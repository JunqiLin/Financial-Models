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ifd\"/>
    </mc:Choice>
  </mc:AlternateContent>
  <bookViews>
    <workbookView xWindow="120" yWindow="120" windowWidth="12120" windowHeight="8835"/>
  </bookViews>
  <sheets>
    <sheet name="American Put Option" sheetId="1" r:id="rId1"/>
  </sheets>
  <definedNames>
    <definedName name="dprice">'American Put Option'!$B$8</definedName>
    <definedName name="dtime">'American Put Option'!$B$9</definedName>
    <definedName name="inverseG">'American Put Option'!$B$119:$AZ$169</definedName>
    <definedName name="riskfree">'American Put Option'!$B$6</definedName>
    <definedName name="sigma">'American Put Option'!$B$7</definedName>
    <definedName name="strike">'American Put Option'!$B$5</definedName>
  </definedNames>
  <calcPr calcId="152511"/>
</workbook>
</file>

<file path=xl/calcChain.xml><?xml version="1.0" encoding="utf-8"?>
<calcChain xmlns="http://schemas.openxmlformats.org/spreadsheetml/2006/main">
  <c r="B12" i="1" l="1"/>
  <c r="D12" i="1"/>
  <c r="D11" i="1"/>
  <c r="E11" i="1"/>
  <c r="F11" i="1"/>
  <c r="G11" i="1"/>
  <c r="H11" i="1"/>
  <c r="B9" i="1"/>
  <c r="A13" i="1"/>
  <c r="A67" i="1"/>
  <c r="C65" i="1"/>
  <c r="B66" i="1"/>
  <c r="E8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B67" i="1"/>
  <c r="A68" i="1"/>
  <c r="A69" i="1"/>
  <c r="B69" i="1"/>
  <c r="B13" i="1"/>
  <c r="D13" i="1"/>
  <c r="A14" i="1"/>
  <c r="B14" i="1"/>
  <c r="D14" i="1"/>
  <c r="B68" i="1"/>
  <c r="A15" i="1"/>
  <c r="A16" i="1"/>
  <c r="C69" i="1"/>
  <c r="B15" i="1"/>
  <c r="D15" i="1"/>
  <c r="DA62" i="1" a="1"/>
  <c r="DA62" i="1"/>
  <c r="DA60" i="1" a="1"/>
  <c r="DA60" i="1"/>
  <c r="DA58" i="1" a="1"/>
  <c r="DA58" i="1"/>
  <c r="DA56" i="1" a="1"/>
  <c r="DA56" i="1"/>
  <c r="DA54" i="1" a="1"/>
  <c r="DA54" i="1"/>
  <c r="DA52" i="1" a="1"/>
  <c r="DA52" i="1"/>
  <c r="DA50" i="1" a="1"/>
  <c r="DA50" i="1"/>
  <c r="DA48" i="1" a="1"/>
  <c r="DA48" i="1"/>
  <c r="DA46" i="1" a="1"/>
  <c r="DA46" i="1"/>
  <c r="DA44" i="1" a="1"/>
  <c r="DA44" i="1"/>
  <c r="DA42" i="1" a="1"/>
  <c r="DA42" i="1"/>
  <c r="DA40" i="1" a="1"/>
  <c r="DA40" i="1"/>
  <c r="DA38" i="1" a="1"/>
  <c r="DA38" i="1"/>
  <c r="DA36" i="1" a="1"/>
  <c r="DA36" i="1"/>
  <c r="DA34" i="1" a="1"/>
  <c r="DA34" i="1"/>
  <c r="DA32" i="1" a="1"/>
  <c r="DA32" i="1"/>
  <c r="DA30" i="1" a="1"/>
  <c r="DA30" i="1"/>
  <c r="DA28" i="1" a="1"/>
  <c r="DA28" i="1"/>
  <c r="DA26" i="1" a="1"/>
  <c r="DA26" i="1"/>
  <c r="DA24" i="1" a="1"/>
  <c r="DA24" i="1"/>
  <c r="DA22" i="1" a="1"/>
  <c r="DA22" i="1"/>
  <c r="DA20" i="1" a="1"/>
  <c r="DA20" i="1"/>
  <c r="DA18" i="1" a="1"/>
  <c r="DA18" i="1"/>
  <c r="DA16" i="1" a="1"/>
  <c r="DA16" i="1"/>
  <c r="DA14" i="1" a="1"/>
  <c r="DA14" i="1"/>
  <c r="DA12" i="1" a="1"/>
  <c r="DA12" i="1"/>
  <c r="DA61" i="1" a="1"/>
  <c r="DA61" i="1"/>
  <c r="DA59" i="1" a="1"/>
  <c r="DA59" i="1"/>
  <c r="DA57" i="1" a="1"/>
  <c r="DA57" i="1"/>
  <c r="DA55" i="1" a="1"/>
  <c r="DA55" i="1"/>
  <c r="DA53" i="1" a="1"/>
  <c r="DA53" i="1"/>
  <c r="DA51" i="1" a="1"/>
  <c r="DA51" i="1"/>
  <c r="DA49" i="1" a="1"/>
  <c r="DA49" i="1"/>
  <c r="DA47" i="1" a="1"/>
  <c r="DA47" i="1"/>
  <c r="DA45" i="1" a="1"/>
  <c r="DA45" i="1"/>
  <c r="DA43" i="1" a="1"/>
  <c r="DA43" i="1"/>
  <c r="DA41" i="1" a="1"/>
  <c r="DA41" i="1"/>
  <c r="DA39" i="1" a="1"/>
  <c r="DA39" i="1"/>
  <c r="DA37" i="1" a="1"/>
  <c r="DA37" i="1"/>
  <c r="DA35" i="1" a="1"/>
  <c r="DA35" i="1"/>
  <c r="DA33" i="1" a="1"/>
  <c r="DA33" i="1"/>
  <c r="DA31" i="1" a="1"/>
  <c r="DA31" i="1"/>
  <c r="DA29" i="1" a="1"/>
  <c r="DA29" i="1"/>
  <c r="DA27" i="1" a="1"/>
  <c r="DA27" i="1"/>
  <c r="DA25" i="1" a="1"/>
  <c r="DA25" i="1"/>
  <c r="DA23" i="1" a="1"/>
  <c r="DA23" i="1"/>
  <c r="DA21" i="1" a="1"/>
  <c r="DA21" i="1"/>
  <c r="DA19" i="1" a="1"/>
  <c r="DA19" i="1"/>
  <c r="DA17" i="1" a="1"/>
  <c r="DA17" i="1"/>
  <c r="DA15" i="1" a="1"/>
  <c r="DA15" i="1"/>
  <c r="DA13" i="1" a="1"/>
  <c r="DA13" i="1"/>
  <c r="DB11" i="1"/>
  <c r="A17" i="1"/>
  <c r="B16" i="1"/>
  <c r="D16" i="1"/>
  <c r="C67" i="1"/>
  <c r="D65" i="1"/>
  <c r="A70" i="1"/>
  <c r="C68" i="1"/>
  <c r="D68" i="1"/>
  <c r="D69" i="1"/>
  <c r="D67" i="1"/>
  <c r="D70" i="1"/>
  <c r="E65" i="1"/>
  <c r="DB62" i="1" a="1"/>
  <c r="DB62" i="1"/>
  <c r="DB60" i="1" a="1"/>
  <c r="DB60" i="1"/>
  <c r="DB58" i="1" a="1"/>
  <c r="DB58" i="1"/>
  <c r="DB56" i="1" a="1"/>
  <c r="DB56" i="1"/>
  <c r="DB54" i="1" a="1"/>
  <c r="DB54" i="1"/>
  <c r="DB50" i="1" a="1"/>
  <c r="DB50" i="1"/>
  <c r="DB52" i="1" a="1"/>
  <c r="DB52" i="1"/>
  <c r="DB46" i="1" a="1"/>
  <c r="DB46" i="1"/>
  <c r="DB44" i="1" a="1"/>
  <c r="DB44" i="1"/>
  <c r="DB42" i="1" a="1"/>
  <c r="DB42" i="1"/>
  <c r="DB47" i="1" a="1"/>
  <c r="DB47" i="1"/>
  <c r="DB36" i="1" a="1"/>
  <c r="DB36" i="1"/>
  <c r="DB34" i="1" a="1"/>
  <c r="DB34" i="1"/>
  <c r="DB39" i="1" a="1"/>
  <c r="DB39" i="1"/>
  <c r="DB37" i="1" a="1"/>
  <c r="DB37" i="1"/>
  <c r="DB32" i="1" a="1"/>
  <c r="DB32" i="1"/>
  <c r="DB30" i="1" a="1"/>
  <c r="DB30" i="1"/>
  <c r="DB28" i="1" a="1"/>
  <c r="DB28" i="1"/>
  <c r="DB61" i="1" a="1"/>
  <c r="DB61" i="1"/>
  <c r="DB59" i="1" a="1"/>
  <c r="DB59" i="1"/>
  <c r="DB57" i="1" a="1"/>
  <c r="DB57" i="1"/>
  <c r="DB55" i="1" a="1"/>
  <c r="DB55" i="1"/>
  <c r="DB51" i="1" a="1"/>
  <c r="DB51" i="1"/>
  <c r="DB53" i="1" a="1"/>
  <c r="DB53" i="1"/>
  <c r="DB49" i="1" a="1"/>
  <c r="DB49" i="1"/>
  <c r="DB45" i="1" a="1"/>
  <c r="DB45" i="1"/>
  <c r="DB43" i="1" a="1"/>
  <c r="DB43" i="1"/>
  <c r="DB48" i="1" a="1"/>
  <c r="DB48" i="1"/>
  <c r="DB41" i="1" a="1"/>
  <c r="DB41" i="1"/>
  <c r="DB35" i="1" a="1"/>
  <c r="DB35" i="1"/>
  <c r="DB38" i="1" a="1"/>
  <c r="DB38" i="1"/>
  <c r="DB31" i="1" a="1"/>
  <c r="DB31" i="1"/>
  <c r="DB27" i="1" a="1"/>
  <c r="DB27" i="1"/>
  <c r="DB22" i="1" a="1"/>
  <c r="DB22" i="1"/>
  <c r="DB19" i="1" a="1"/>
  <c r="DB19" i="1"/>
  <c r="DB14" i="1" a="1"/>
  <c r="DB14" i="1"/>
  <c r="DC11" i="1"/>
  <c r="DB24" i="1" a="1"/>
  <c r="DB24" i="1"/>
  <c r="DB21" i="1" a="1"/>
  <c r="DB21" i="1"/>
  <c r="DB16" i="1" a="1"/>
  <c r="DB16" i="1"/>
  <c r="DB13" i="1" a="1"/>
  <c r="DB13" i="1"/>
  <c r="DB40" i="1" a="1"/>
  <c r="DB40" i="1"/>
  <c r="DB33" i="1" a="1"/>
  <c r="DB33" i="1"/>
  <c r="DB29" i="1" a="1"/>
  <c r="DB29" i="1"/>
  <c r="DB26" i="1" a="1"/>
  <c r="DB26" i="1"/>
  <c r="DB23" i="1" a="1"/>
  <c r="DB23" i="1"/>
  <c r="DB18" i="1" a="1"/>
  <c r="DB18" i="1"/>
  <c r="DB15" i="1" a="1"/>
  <c r="DB15" i="1"/>
  <c r="DB12" i="1" a="1"/>
  <c r="DB12" i="1"/>
  <c r="DB20" i="1" a="1"/>
  <c r="DB20" i="1"/>
  <c r="DB17" i="1" a="1"/>
  <c r="DB17" i="1"/>
  <c r="DB25" i="1" a="1"/>
  <c r="DB25" i="1"/>
  <c r="B70" i="1"/>
  <c r="C70" i="1"/>
  <c r="A71" i="1"/>
  <c r="B17" i="1"/>
  <c r="D17" i="1"/>
  <c r="A18" i="1"/>
  <c r="A19" i="1"/>
  <c r="B18" i="1"/>
  <c r="D18" i="1"/>
  <c r="DC62" i="1" a="1"/>
  <c r="DC62" i="1"/>
  <c r="DC60" i="1" a="1"/>
  <c r="DC60" i="1"/>
  <c r="DC56" i="1" a="1"/>
  <c r="DC56" i="1"/>
  <c r="DC54" i="1" a="1"/>
  <c r="DC54" i="1"/>
  <c r="DC57" i="1" a="1"/>
  <c r="DC57" i="1"/>
  <c r="DC52" i="1" a="1"/>
  <c r="DC52" i="1"/>
  <c r="DC50" i="1" a="1"/>
  <c r="DC50" i="1"/>
  <c r="DC48" i="1" a="1"/>
  <c r="DC48" i="1"/>
  <c r="DC46" i="1" a="1"/>
  <c r="DC46" i="1"/>
  <c r="DC44" i="1" a="1"/>
  <c r="DC44" i="1"/>
  <c r="DC42" i="1" a="1"/>
  <c r="DC42" i="1"/>
  <c r="DC40" i="1" a="1"/>
  <c r="DC40" i="1"/>
  <c r="DC38" i="1" a="1"/>
  <c r="DC38" i="1"/>
  <c r="DC36" i="1" a="1"/>
  <c r="DC36" i="1"/>
  <c r="DC34" i="1" a="1"/>
  <c r="DC34" i="1"/>
  <c r="DC32" i="1" a="1"/>
  <c r="DC32" i="1"/>
  <c r="DC30" i="1" a="1"/>
  <c r="DC30" i="1"/>
  <c r="DC28" i="1" a="1"/>
  <c r="DC28" i="1"/>
  <c r="DC26" i="1" a="1"/>
  <c r="DC26" i="1"/>
  <c r="DC24" i="1" a="1"/>
  <c r="DC24" i="1"/>
  <c r="DC22" i="1" a="1"/>
  <c r="DC22" i="1"/>
  <c r="DC20" i="1" a="1"/>
  <c r="DC20" i="1"/>
  <c r="DC18" i="1" a="1"/>
  <c r="DC18" i="1"/>
  <c r="DC16" i="1" a="1"/>
  <c r="DC16" i="1"/>
  <c r="DC14" i="1" a="1"/>
  <c r="DC14" i="1"/>
  <c r="DC12" i="1" a="1"/>
  <c r="DC12" i="1"/>
  <c r="DC61" i="1" a="1"/>
  <c r="DC61" i="1"/>
  <c r="DC59" i="1" a="1"/>
  <c r="DC59" i="1"/>
  <c r="DC55" i="1" a="1"/>
  <c r="DC55" i="1"/>
  <c r="DC58" i="1" a="1"/>
  <c r="DC58" i="1"/>
  <c r="DC53" i="1" a="1"/>
  <c r="DC53" i="1"/>
  <c r="DC51" i="1" a="1"/>
  <c r="DC51" i="1"/>
  <c r="DC49" i="1" a="1"/>
  <c r="DC49" i="1"/>
  <c r="DC47" i="1" a="1"/>
  <c r="DC47" i="1"/>
  <c r="DC45" i="1" a="1"/>
  <c r="DC45" i="1"/>
  <c r="DC43" i="1" a="1"/>
  <c r="DC43" i="1"/>
  <c r="DC41" i="1" a="1"/>
  <c r="DC41" i="1"/>
  <c r="DC39" i="1" a="1"/>
  <c r="DC39" i="1"/>
  <c r="DC37" i="1" a="1"/>
  <c r="DC37" i="1"/>
  <c r="DC35" i="1" a="1"/>
  <c r="DC35" i="1"/>
  <c r="DC33" i="1" a="1"/>
  <c r="DC33" i="1"/>
  <c r="DC31" i="1" a="1"/>
  <c r="DC31" i="1"/>
  <c r="DC29" i="1" a="1"/>
  <c r="DC29" i="1"/>
  <c r="DC27" i="1" a="1"/>
  <c r="DC27" i="1"/>
  <c r="DC25" i="1" a="1"/>
  <c r="DC25" i="1"/>
  <c r="DC23" i="1" a="1"/>
  <c r="DC23" i="1"/>
  <c r="DC21" i="1" a="1"/>
  <c r="DC21" i="1"/>
  <c r="DC19" i="1" a="1"/>
  <c r="DC19" i="1"/>
  <c r="DC17" i="1" a="1"/>
  <c r="DC17" i="1"/>
  <c r="DC15" i="1" a="1"/>
  <c r="DC15" i="1"/>
  <c r="DC13" i="1" a="1"/>
  <c r="DC13" i="1"/>
  <c r="DD11" i="1"/>
  <c r="B71" i="1"/>
  <c r="A72" i="1"/>
  <c r="C71" i="1"/>
  <c r="E68" i="1"/>
  <c r="F65" i="1"/>
  <c r="E67" i="1"/>
  <c r="E70" i="1"/>
  <c r="E71" i="1"/>
  <c r="E69" i="1"/>
  <c r="E72" i="1"/>
  <c r="D71" i="1"/>
  <c r="A73" i="1"/>
  <c r="B72" i="1"/>
  <c r="C72" i="1"/>
  <c r="D72" i="1"/>
  <c r="F69" i="1"/>
  <c r="F67" i="1"/>
  <c r="F68" i="1"/>
  <c r="G65" i="1"/>
  <c r="F72" i="1"/>
  <c r="F70" i="1"/>
  <c r="F71" i="1"/>
  <c r="F73" i="1"/>
  <c r="DD61" i="1" a="1"/>
  <c r="DD61" i="1"/>
  <c r="DD59" i="1" a="1"/>
  <c r="DD59" i="1"/>
  <c r="DD57" i="1" a="1"/>
  <c r="DD57" i="1"/>
  <c r="DD55" i="1" a="1"/>
  <c r="DD55" i="1"/>
  <c r="DD51" i="1" a="1"/>
  <c r="DD51" i="1"/>
  <c r="DD53" i="1" a="1"/>
  <c r="DD53" i="1"/>
  <c r="DD46" i="1" a="1"/>
  <c r="DD46" i="1"/>
  <c r="DD44" i="1" a="1"/>
  <c r="DD44" i="1"/>
  <c r="DD42" i="1" a="1"/>
  <c r="DD42" i="1"/>
  <c r="DD48" i="1" a="1"/>
  <c r="DD48" i="1"/>
  <c r="DD36" i="1" a="1"/>
  <c r="DD36" i="1"/>
  <c r="DD34" i="1" a="1"/>
  <c r="DD34" i="1"/>
  <c r="DD40" i="1" a="1"/>
  <c r="DD40" i="1"/>
  <c r="DD38" i="1" a="1"/>
  <c r="DD38" i="1"/>
  <c r="DD33" i="1" a="1"/>
  <c r="DD33" i="1"/>
  <c r="DD31" i="1" a="1"/>
  <c r="DD31" i="1"/>
  <c r="DD29" i="1" a="1"/>
  <c r="DD29" i="1"/>
  <c r="DD27" i="1" a="1"/>
  <c r="DD27" i="1"/>
  <c r="DD25" i="1" a="1"/>
  <c r="DD25" i="1"/>
  <c r="DD23" i="1" a="1"/>
  <c r="DD23" i="1"/>
  <c r="DD17" i="1" a="1"/>
  <c r="DD17" i="1"/>
  <c r="DD15" i="1" a="1"/>
  <c r="DD15" i="1"/>
  <c r="DD13" i="1" a="1"/>
  <c r="DD13" i="1"/>
  <c r="DD21" i="1" a="1"/>
  <c r="DD21" i="1"/>
  <c r="DD19" i="1" a="1"/>
  <c r="DD19" i="1"/>
  <c r="DE11" i="1"/>
  <c r="DD62" i="1" a="1"/>
  <c r="DD62" i="1"/>
  <c r="DD60" i="1" a="1"/>
  <c r="DD60" i="1"/>
  <c r="DD58" i="1" a="1"/>
  <c r="DD58" i="1"/>
  <c r="DD56" i="1" a="1"/>
  <c r="DD56" i="1"/>
  <c r="DD54" i="1" a="1"/>
  <c r="DD54" i="1"/>
  <c r="DD50" i="1" a="1"/>
  <c r="DD50" i="1"/>
  <c r="DD52" i="1" a="1"/>
  <c r="DD52" i="1"/>
  <c r="DD45" i="1" a="1"/>
  <c r="DD45" i="1"/>
  <c r="DD43" i="1" a="1"/>
  <c r="DD43" i="1"/>
  <c r="DD47" i="1" a="1"/>
  <c r="DD47" i="1"/>
  <c r="DD41" i="1" a="1"/>
  <c r="DD41" i="1"/>
  <c r="DD37" i="1" a="1"/>
  <c r="DD37" i="1"/>
  <c r="DD30" i="1" a="1"/>
  <c r="DD30" i="1"/>
  <c r="DD26" i="1" a="1"/>
  <c r="DD26" i="1"/>
  <c r="DD22" i="1" a="1"/>
  <c r="DD22" i="1"/>
  <c r="DD14" i="1" a="1"/>
  <c r="DD14" i="1"/>
  <c r="DD20" i="1" a="1"/>
  <c r="DD20" i="1"/>
  <c r="DD35" i="1" a="1"/>
  <c r="DD35" i="1"/>
  <c r="DD24" i="1" a="1"/>
  <c r="DD24" i="1"/>
  <c r="DD32" i="1" a="1"/>
  <c r="DD32" i="1"/>
  <c r="DD12" i="1" a="1"/>
  <c r="DD12" i="1"/>
  <c r="DD28" i="1" a="1"/>
  <c r="DD28" i="1"/>
  <c r="DD39" i="1" a="1"/>
  <c r="DD39" i="1"/>
  <c r="DD16" i="1" a="1"/>
  <c r="DD16" i="1"/>
  <c r="DD18" i="1" a="1"/>
  <c r="DD18" i="1"/>
  <c r="DD49" i="1" a="1"/>
  <c r="DD49" i="1"/>
  <c r="B19" i="1"/>
  <c r="D19" i="1"/>
  <c r="A20" i="1"/>
  <c r="B20" i="1"/>
  <c r="D20" i="1"/>
  <c r="A21" i="1"/>
  <c r="DE60" i="1" a="1"/>
  <c r="DE60" i="1"/>
  <c r="DE55" i="1" a="1"/>
  <c r="DE55" i="1"/>
  <c r="DE52" i="1" a="1"/>
  <c r="DE52" i="1"/>
  <c r="DE49" i="1" a="1"/>
  <c r="DE49" i="1"/>
  <c r="DE44" i="1" a="1"/>
  <c r="DE44" i="1"/>
  <c r="DE41" i="1" a="1"/>
  <c r="DE41" i="1"/>
  <c r="DE36" i="1" a="1"/>
  <c r="DE36" i="1"/>
  <c r="DE33" i="1" a="1"/>
  <c r="DE33" i="1"/>
  <c r="DE24" i="1" a="1"/>
  <c r="DE24" i="1"/>
  <c r="DE29" i="1" a="1"/>
  <c r="DE29" i="1"/>
  <c r="DE20" i="1" a="1"/>
  <c r="DE20" i="1"/>
  <c r="DE17" i="1" a="1"/>
  <c r="DE17" i="1"/>
  <c r="DE12" i="1" a="1"/>
  <c r="DE12" i="1"/>
  <c r="DE62" i="1" a="1"/>
  <c r="DE62" i="1"/>
  <c r="DE59" i="1" a="1"/>
  <c r="DE59" i="1"/>
  <c r="DE57" i="1" a="1"/>
  <c r="DE57" i="1"/>
  <c r="DE51" i="1" a="1"/>
  <c r="DE51" i="1"/>
  <c r="DE46" i="1" a="1"/>
  <c r="DE46" i="1"/>
  <c r="DE43" i="1" a="1"/>
  <c r="DE43" i="1"/>
  <c r="DE38" i="1" a="1"/>
  <c r="DE38" i="1"/>
  <c r="DE35" i="1" a="1"/>
  <c r="DE35" i="1"/>
  <c r="DE26" i="1" a="1"/>
  <c r="DE26" i="1"/>
  <c r="DE31" i="1" a="1"/>
  <c r="DE31" i="1"/>
  <c r="DE22" i="1" a="1"/>
  <c r="DE22" i="1"/>
  <c r="DE19" i="1" a="1"/>
  <c r="DE19" i="1"/>
  <c r="DE14" i="1" a="1"/>
  <c r="DE14" i="1"/>
  <c r="DF11" i="1"/>
  <c r="DE61" i="1" a="1"/>
  <c r="DE61" i="1"/>
  <c r="DE54" i="1" a="1"/>
  <c r="DE54" i="1"/>
  <c r="DE53" i="1" a="1"/>
  <c r="DE53" i="1"/>
  <c r="DE48" i="1" a="1"/>
  <c r="DE48" i="1"/>
  <c r="DE45" i="1" a="1"/>
  <c r="DE45" i="1"/>
  <c r="DE40" i="1" a="1"/>
  <c r="DE40" i="1"/>
  <c r="DE37" i="1" a="1"/>
  <c r="DE37" i="1"/>
  <c r="DE32" i="1" a="1"/>
  <c r="DE32" i="1"/>
  <c r="DE25" i="1" a="1"/>
  <c r="DE25" i="1"/>
  <c r="DE28" i="1" a="1"/>
  <c r="DE28" i="1"/>
  <c r="DE21" i="1" a="1"/>
  <c r="DE21" i="1"/>
  <c r="DE16" i="1" a="1"/>
  <c r="DE16" i="1"/>
  <c r="DE13" i="1" a="1"/>
  <c r="DE13" i="1"/>
  <c r="DE42" i="1" a="1"/>
  <c r="DE42" i="1"/>
  <c r="DE27" i="1" a="1"/>
  <c r="DE27" i="1"/>
  <c r="DE56" i="1" a="1"/>
  <c r="DE56" i="1"/>
  <c r="DE47" i="1" a="1"/>
  <c r="DE47" i="1"/>
  <c r="DE30" i="1" a="1"/>
  <c r="DE30" i="1"/>
  <c r="DE15" i="1" a="1"/>
  <c r="DE15" i="1"/>
  <c r="DE58" i="1" a="1"/>
  <c r="DE58" i="1"/>
  <c r="DE34" i="1" a="1"/>
  <c r="DE34" i="1"/>
  <c r="DE39" i="1" a="1"/>
  <c r="DE39" i="1"/>
  <c r="DE18" i="1" a="1"/>
  <c r="DE18" i="1"/>
  <c r="DE50" i="1" a="1"/>
  <c r="DE50" i="1"/>
  <c r="DE23" i="1" a="1"/>
  <c r="DE23" i="1"/>
  <c r="G67" i="1"/>
  <c r="G68" i="1"/>
  <c r="G69" i="1"/>
  <c r="G71" i="1"/>
  <c r="G72" i="1"/>
  <c r="G73" i="1"/>
  <c r="H65" i="1"/>
  <c r="G70" i="1"/>
  <c r="C73" i="1"/>
  <c r="A74" i="1"/>
  <c r="B73" i="1"/>
  <c r="D73" i="1"/>
  <c r="E73" i="1"/>
  <c r="C74" i="1"/>
  <c r="A75" i="1"/>
  <c r="B74" i="1"/>
  <c r="D74" i="1"/>
  <c r="E74" i="1"/>
  <c r="F74" i="1"/>
  <c r="H70" i="1"/>
  <c r="H67" i="1"/>
  <c r="H68" i="1"/>
  <c r="I65" i="1"/>
  <c r="H71" i="1"/>
  <c r="H69" i="1"/>
  <c r="H72" i="1"/>
  <c r="H73" i="1"/>
  <c r="H74" i="1"/>
  <c r="H75" i="1"/>
  <c r="A22" i="1"/>
  <c r="B21" i="1"/>
  <c r="D21" i="1"/>
  <c r="G74" i="1"/>
  <c r="DF60" i="1" a="1"/>
  <c r="DF60" i="1"/>
  <c r="DF56" i="1" a="1"/>
  <c r="DF56" i="1"/>
  <c r="DF54" i="1" a="1"/>
  <c r="DF54" i="1"/>
  <c r="DF57" i="1" a="1"/>
  <c r="DF57" i="1"/>
  <c r="DF52" i="1" a="1"/>
  <c r="DF52" i="1"/>
  <c r="DF50" i="1" a="1"/>
  <c r="DF50" i="1"/>
  <c r="DF48" i="1" a="1"/>
  <c r="DF48" i="1"/>
  <c r="DF46" i="1" a="1"/>
  <c r="DF46" i="1"/>
  <c r="DF44" i="1" a="1"/>
  <c r="DF44" i="1"/>
  <c r="DF42" i="1" a="1"/>
  <c r="DF42" i="1"/>
  <c r="DF40" i="1" a="1"/>
  <c r="DF40" i="1"/>
  <c r="DF38" i="1" a="1"/>
  <c r="DF38" i="1"/>
  <c r="DF36" i="1" a="1"/>
  <c r="DF36" i="1"/>
  <c r="DF34" i="1" a="1"/>
  <c r="DF34" i="1"/>
  <c r="DF32" i="1" a="1"/>
  <c r="DF32" i="1"/>
  <c r="DF30" i="1" a="1"/>
  <c r="DF30" i="1"/>
  <c r="DF28" i="1" a="1"/>
  <c r="DF28" i="1"/>
  <c r="DF26" i="1" a="1"/>
  <c r="DF26" i="1"/>
  <c r="DF24" i="1" a="1"/>
  <c r="DF24" i="1"/>
  <c r="DF22" i="1" a="1"/>
  <c r="DF22" i="1"/>
  <c r="DF16" i="1" a="1"/>
  <c r="DF16" i="1"/>
  <c r="DF14" i="1" a="1"/>
  <c r="DF14" i="1"/>
  <c r="DF12" i="1" a="1"/>
  <c r="DF12" i="1"/>
  <c r="DF20" i="1" a="1"/>
  <c r="DF20" i="1"/>
  <c r="DF18" i="1" a="1"/>
  <c r="DF18" i="1"/>
  <c r="DF62" i="1" a="1"/>
  <c r="DF62" i="1"/>
  <c r="DF61" i="1" a="1"/>
  <c r="DF61" i="1"/>
  <c r="DF53" i="1" a="1"/>
  <c r="DF53" i="1"/>
  <c r="DF45" i="1" a="1"/>
  <c r="DF45" i="1"/>
  <c r="DF37" i="1" a="1"/>
  <c r="DF37" i="1"/>
  <c r="DF29" i="1" a="1"/>
  <c r="DF29" i="1"/>
  <c r="DF17" i="1" a="1"/>
  <c r="DF17" i="1"/>
  <c r="DF19" i="1" a="1"/>
  <c r="DF19" i="1"/>
  <c r="DF55" i="1" a="1"/>
  <c r="DF55" i="1"/>
  <c r="DF49" i="1" a="1"/>
  <c r="DF49" i="1"/>
  <c r="DF41" i="1" a="1"/>
  <c r="DF41" i="1"/>
  <c r="DF33" i="1" a="1"/>
  <c r="DF33" i="1"/>
  <c r="DF25" i="1" a="1"/>
  <c r="DF25" i="1"/>
  <c r="DF13" i="1" a="1"/>
  <c r="DF13" i="1"/>
  <c r="DF58" i="1" a="1"/>
  <c r="DF58" i="1"/>
  <c r="DF39" i="1" a="1"/>
  <c r="DF39" i="1"/>
  <c r="DF23" i="1" a="1"/>
  <c r="DF23" i="1"/>
  <c r="DF59" i="1" a="1"/>
  <c r="DF59" i="1"/>
  <c r="DF43" i="1" a="1"/>
  <c r="DF43" i="1"/>
  <c r="DF27" i="1" a="1"/>
  <c r="DF27" i="1"/>
  <c r="DG11" i="1"/>
  <c r="DF51" i="1" a="1"/>
  <c r="DF51" i="1"/>
  <c r="DF15" i="1" a="1"/>
  <c r="DF15" i="1"/>
  <c r="DF35" i="1" a="1"/>
  <c r="DF35" i="1"/>
  <c r="DF21" i="1" a="1"/>
  <c r="DF21" i="1"/>
  <c r="DF47" i="1" a="1"/>
  <c r="DF47" i="1"/>
  <c r="DF31" i="1" a="1"/>
  <c r="DF31" i="1"/>
  <c r="I67" i="1"/>
  <c r="J65" i="1"/>
  <c r="I72" i="1"/>
  <c r="I75" i="1"/>
  <c r="I70" i="1"/>
  <c r="I71" i="1"/>
  <c r="I68" i="1"/>
  <c r="I69" i="1"/>
  <c r="I73" i="1"/>
  <c r="I74" i="1"/>
  <c r="A76" i="1"/>
  <c r="C75" i="1"/>
  <c r="B75" i="1"/>
  <c r="D75" i="1"/>
  <c r="E75" i="1"/>
  <c r="F75" i="1"/>
  <c r="G75" i="1"/>
  <c r="DG61" i="1" a="1"/>
  <c r="DG61" i="1"/>
  <c r="DG59" i="1" a="1"/>
  <c r="DG59" i="1"/>
  <c r="DG55" i="1" a="1"/>
  <c r="DG55" i="1"/>
  <c r="DG58" i="1" a="1"/>
  <c r="DG58" i="1"/>
  <c r="DG53" i="1" a="1"/>
  <c r="DG53" i="1"/>
  <c r="DG51" i="1" a="1"/>
  <c r="DG51" i="1"/>
  <c r="DG49" i="1" a="1"/>
  <c r="DG49" i="1"/>
  <c r="DG47" i="1" a="1"/>
  <c r="DG47" i="1"/>
  <c r="DG45" i="1" a="1"/>
  <c r="DG45" i="1"/>
  <c r="DG43" i="1" a="1"/>
  <c r="DG43" i="1"/>
  <c r="DG41" i="1" a="1"/>
  <c r="DG41" i="1"/>
  <c r="DG39" i="1" a="1"/>
  <c r="DG39" i="1"/>
  <c r="DG37" i="1" a="1"/>
  <c r="DG37" i="1"/>
  <c r="DG35" i="1" a="1"/>
  <c r="DG35" i="1"/>
  <c r="DG33" i="1" a="1"/>
  <c r="DG33" i="1"/>
  <c r="DG27" i="1" a="1"/>
  <c r="DG27" i="1"/>
  <c r="DG56" i="1" a="1"/>
  <c r="DG56" i="1"/>
  <c r="DG50" i="1" a="1"/>
  <c r="DG50" i="1"/>
  <c r="DG46" i="1" a="1"/>
  <c r="DG46" i="1"/>
  <c r="DG42" i="1" a="1"/>
  <c r="DG42" i="1"/>
  <c r="DG38" i="1" a="1"/>
  <c r="DG38" i="1"/>
  <c r="DG34" i="1" a="1"/>
  <c r="DG34" i="1"/>
  <c r="DG26" i="1" a="1"/>
  <c r="DG26" i="1"/>
  <c r="DG31" i="1" a="1"/>
  <c r="DG31" i="1"/>
  <c r="DG20" i="1" a="1"/>
  <c r="DG20" i="1"/>
  <c r="DG23" i="1" a="1"/>
  <c r="DG23" i="1"/>
  <c r="DG14" i="1" a="1"/>
  <c r="DG14" i="1"/>
  <c r="DH11" i="1"/>
  <c r="DG62" i="1" a="1"/>
  <c r="DG62" i="1"/>
  <c r="DG57" i="1" a="1"/>
  <c r="DG57" i="1"/>
  <c r="DG48" i="1" a="1"/>
  <c r="DG48" i="1"/>
  <c r="DG44" i="1" a="1"/>
  <c r="DG44" i="1"/>
  <c r="DG40" i="1" a="1"/>
  <c r="DG40" i="1"/>
  <c r="DG36" i="1" a="1"/>
  <c r="DG36" i="1"/>
  <c r="DG32" i="1" a="1"/>
  <c r="DG32" i="1"/>
  <c r="DG30" i="1" a="1"/>
  <c r="DG30" i="1"/>
  <c r="DG21" i="1" a="1"/>
  <c r="DG21" i="1"/>
  <c r="DG22" i="1" a="1"/>
  <c r="DG22" i="1"/>
  <c r="DG15" i="1" a="1"/>
  <c r="DG15" i="1"/>
  <c r="DG52" i="1" a="1"/>
  <c r="DG52" i="1"/>
  <c r="DG24" i="1" a="1"/>
  <c r="DG24" i="1"/>
  <c r="DG17" i="1" a="1"/>
  <c r="DG17" i="1"/>
  <c r="DG12" i="1" a="1"/>
  <c r="DG12" i="1"/>
  <c r="DG54" i="1" a="1"/>
  <c r="DG54" i="1"/>
  <c r="DG25" i="1" a="1"/>
  <c r="DG25" i="1"/>
  <c r="DG28" i="1" a="1"/>
  <c r="DG28" i="1"/>
  <c r="DG13" i="1" a="1"/>
  <c r="DG13" i="1"/>
  <c r="DG19" i="1" a="1"/>
  <c r="DG19" i="1"/>
  <c r="DG16" i="1" a="1"/>
  <c r="DG16" i="1"/>
  <c r="DG18" i="1" a="1"/>
  <c r="DG18" i="1"/>
  <c r="DG29" i="1" a="1"/>
  <c r="DG29" i="1"/>
  <c r="DG60" i="1" a="1"/>
  <c r="DG60" i="1"/>
  <c r="B22" i="1"/>
  <c r="D22" i="1"/>
  <c r="A23" i="1"/>
  <c r="B23" i="1"/>
  <c r="D23" i="1"/>
  <c r="A24" i="1"/>
  <c r="B76" i="1"/>
  <c r="A77" i="1"/>
  <c r="C76" i="1"/>
  <c r="D76" i="1"/>
  <c r="E76" i="1"/>
  <c r="F76" i="1"/>
  <c r="G76" i="1"/>
  <c r="H76" i="1"/>
  <c r="J73" i="1"/>
  <c r="J72" i="1"/>
  <c r="J71" i="1"/>
  <c r="J70" i="1"/>
  <c r="J69" i="1"/>
  <c r="J68" i="1"/>
  <c r="J74" i="1"/>
  <c r="J75" i="1"/>
  <c r="J77" i="1"/>
  <c r="J67" i="1"/>
  <c r="K65" i="1"/>
  <c r="J76" i="1"/>
  <c r="DH62" i="1" a="1"/>
  <c r="DH62" i="1"/>
  <c r="DH59" i="1" a="1"/>
  <c r="DH59" i="1"/>
  <c r="DH54" i="1" a="1"/>
  <c r="DH54" i="1"/>
  <c r="DH51" i="1" a="1"/>
  <c r="DH51" i="1"/>
  <c r="DH45" i="1" a="1"/>
  <c r="DH45" i="1"/>
  <c r="DH42" i="1" a="1"/>
  <c r="DH42" i="1"/>
  <c r="DH37" i="1" a="1"/>
  <c r="DH37" i="1"/>
  <c r="DH34" i="1" a="1"/>
  <c r="DH34" i="1"/>
  <c r="DH28" i="1" a="1"/>
  <c r="DH28" i="1"/>
  <c r="DH27" i="1" a="1"/>
  <c r="DH27" i="1"/>
  <c r="DH22" i="1" a="1"/>
  <c r="DH22" i="1"/>
  <c r="DH19" i="1" a="1"/>
  <c r="DH19" i="1"/>
  <c r="DH14" i="1" a="1"/>
  <c r="DH14" i="1"/>
  <c r="DI11" i="1"/>
  <c r="DH58" i="1" a="1"/>
  <c r="DH58" i="1"/>
  <c r="DH55" i="1" a="1"/>
  <c r="DH55" i="1"/>
  <c r="DH50" i="1" a="1"/>
  <c r="DH50" i="1"/>
  <c r="DH46" i="1" a="1"/>
  <c r="DH46" i="1"/>
  <c r="DH49" i="1" a="1"/>
  <c r="DH49" i="1"/>
  <c r="DH38" i="1" a="1"/>
  <c r="DH38" i="1"/>
  <c r="DH41" i="1" a="1"/>
  <c r="DH41" i="1"/>
  <c r="DH29" i="1" a="1"/>
  <c r="DH29" i="1"/>
  <c r="DH26" i="1" a="1"/>
  <c r="DH26" i="1"/>
  <c r="DH23" i="1" a="1"/>
  <c r="DH23" i="1"/>
  <c r="DH18" i="1" a="1"/>
  <c r="DH18" i="1"/>
  <c r="DH15" i="1" a="1"/>
  <c r="DH15" i="1"/>
  <c r="DH57" i="1" a="1"/>
  <c r="DH57" i="1"/>
  <c r="DH52" i="1" a="1"/>
  <c r="DH52" i="1"/>
  <c r="DH40" i="1" a="1"/>
  <c r="DH40" i="1"/>
  <c r="DH35" i="1" a="1"/>
  <c r="DH35" i="1"/>
  <c r="DH25" i="1" a="1"/>
  <c r="DH25" i="1"/>
  <c r="DH20" i="1" a="1"/>
  <c r="DH20" i="1"/>
  <c r="DH53" i="1" a="1"/>
  <c r="DH53" i="1"/>
  <c r="DH47" i="1" a="1"/>
  <c r="DH47" i="1"/>
  <c r="DH36" i="1" a="1"/>
  <c r="DH36" i="1"/>
  <c r="DH30" i="1" a="1"/>
  <c r="DH30" i="1"/>
  <c r="DH21" i="1" a="1"/>
  <c r="DH21" i="1"/>
  <c r="DH16" i="1" a="1"/>
  <c r="DH16" i="1"/>
  <c r="DH56" i="1" a="1"/>
  <c r="DH56" i="1"/>
  <c r="DH44" i="1" a="1"/>
  <c r="DH44" i="1"/>
  <c r="DH24" i="1" a="1"/>
  <c r="DH24" i="1"/>
  <c r="DH13" i="1" a="1"/>
  <c r="DH13" i="1"/>
  <c r="DH61" i="1" a="1"/>
  <c r="DH61" i="1"/>
  <c r="DH39" i="1" a="1"/>
  <c r="DH39" i="1"/>
  <c r="DH33" i="1" a="1"/>
  <c r="DH33" i="1"/>
  <c r="DH43" i="1" a="1"/>
  <c r="DH43" i="1"/>
  <c r="DH31" i="1" a="1"/>
  <c r="DH31" i="1"/>
  <c r="DH12" i="1" a="1"/>
  <c r="DH12" i="1"/>
  <c r="DH32" i="1" a="1"/>
  <c r="DH32" i="1"/>
  <c r="DH48" i="1" a="1"/>
  <c r="DH48" i="1"/>
  <c r="DH17" i="1" a="1"/>
  <c r="DH17" i="1"/>
  <c r="DH60" i="1" a="1"/>
  <c r="DH60" i="1"/>
  <c r="I76" i="1"/>
  <c r="A78" i="1"/>
  <c r="C77" i="1"/>
  <c r="B77" i="1"/>
  <c r="D77" i="1"/>
  <c r="E77" i="1"/>
  <c r="F77" i="1"/>
  <c r="G77" i="1"/>
  <c r="H77" i="1"/>
  <c r="I77" i="1"/>
  <c r="DI61" i="1" a="1"/>
  <c r="DI61" i="1"/>
  <c r="DI59" i="1" a="1"/>
  <c r="DI59" i="1"/>
  <c r="DI57" i="1" a="1"/>
  <c r="DI57" i="1"/>
  <c r="DI55" i="1" a="1"/>
  <c r="DI55" i="1"/>
  <c r="DI53" i="1" a="1"/>
  <c r="DI53" i="1"/>
  <c r="DI51" i="1" a="1"/>
  <c r="DI51" i="1"/>
  <c r="DI49" i="1" a="1"/>
  <c r="DI49" i="1"/>
  <c r="DI47" i="1" a="1"/>
  <c r="DI47" i="1"/>
  <c r="DI45" i="1" a="1"/>
  <c r="DI45" i="1"/>
  <c r="DI43" i="1" a="1"/>
  <c r="DI43" i="1"/>
  <c r="DI41" i="1" a="1"/>
  <c r="DI41" i="1"/>
  <c r="DI39" i="1" a="1"/>
  <c r="DI39" i="1"/>
  <c r="DI37" i="1" a="1"/>
  <c r="DI37" i="1"/>
  <c r="DI35" i="1" a="1"/>
  <c r="DI35" i="1"/>
  <c r="DI33" i="1" a="1"/>
  <c r="DI33" i="1"/>
  <c r="DI31" i="1" a="1"/>
  <c r="DI31" i="1"/>
  <c r="DI29" i="1" a="1"/>
  <c r="DI29" i="1"/>
  <c r="DI27" i="1" a="1"/>
  <c r="DI27" i="1"/>
  <c r="DI25" i="1" a="1"/>
  <c r="DI25" i="1"/>
  <c r="DI23" i="1" a="1"/>
  <c r="DI23" i="1"/>
  <c r="DI21" i="1" a="1"/>
  <c r="DI21" i="1"/>
  <c r="DI19" i="1" a="1"/>
  <c r="DI19" i="1"/>
  <c r="DI17" i="1" a="1"/>
  <c r="DI17" i="1"/>
  <c r="DI15" i="1" a="1"/>
  <c r="DI15" i="1"/>
  <c r="DI13" i="1" a="1"/>
  <c r="DI13" i="1"/>
  <c r="DJ11" i="1"/>
  <c r="DI62" i="1" a="1"/>
  <c r="DI62" i="1"/>
  <c r="DI60" i="1" a="1"/>
  <c r="DI60" i="1"/>
  <c r="DI58" i="1" a="1"/>
  <c r="DI58" i="1"/>
  <c r="DI56" i="1" a="1"/>
  <c r="DI56" i="1"/>
  <c r="DI54" i="1" a="1"/>
  <c r="DI54" i="1"/>
  <c r="DI52" i="1" a="1"/>
  <c r="DI52" i="1"/>
  <c r="DI50" i="1" a="1"/>
  <c r="DI50" i="1"/>
  <c r="DI48" i="1" a="1"/>
  <c r="DI48" i="1"/>
  <c r="DI46" i="1" a="1"/>
  <c r="DI46" i="1"/>
  <c r="DI44" i="1" a="1"/>
  <c r="DI44" i="1"/>
  <c r="DI42" i="1" a="1"/>
  <c r="DI42" i="1"/>
  <c r="DI40" i="1" a="1"/>
  <c r="DI40" i="1"/>
  <c r="DI38" i="1" a="1"/>
  <c r="DI38" i="1"/>
  <c r="DI36" i="1" a="1"/>
  <c r="DI36" i="1"/>
  <c r="DI34" i="1" a="1"/>
  <c r="DI34" i="1"/>
  <c r="DI32" i="1" a="1"/>
  <c r="DI32" i="1"/>
  <c r="DI30" i="1" a="1"/>
  <c r="DI30" i="1"/>
  <c r="DI28" i="1" a="1"/>
  <c r="DI28" i="1"/>
  <c r="DI26" i="1" a="1"/>
  <c r="DI26" i="1"/>
  <c r="DI24" i="1" a="1"/>
  <c r="DI24" i="1"/>
  <c r="DI22" i="1" a="1"/>
  <c r="DI22" i="1"/>
  <c r="DI20" i="1" a="1"/>
  <c r="DI20" i="1"/>
  <c r="DI18" i="1" a="1"/>
  <c r="DI18" i="1"/>
  <c r="DI16" i="1" a="1"/>
  <c r="DI16" i="1"/>
  <c r="DI14" i="1" a="1"/>
  <c r="DI14" i="1"/>
  <c r="DI12" i="1" a="1"/>
  <c r="DI12" i="1"/>
  <c r="B24" i="1"/>
  <c r="D24" i="1"/>
  <c r="A25" i="1"/>
  <c r="K72" i="1"/>
  <c r="K71" i="1"/>
  <c r="K70" i="1"/>
  <c r="K69" i="1"/>
  <c r="K68" i="1"/>
  <c r="K67" i="1"/>
  <c r="K73" i="1"/>
  <c r="K74" i="1"/>
  <c r="K76" i="1"/>
  <c r="K77" i="1"/>
  <c r="L65" i="1"/>
  <c r="K75" i="1"/>
  <c r="K78" i="1"/>
  <c r="A26" i="1"/>
  <c r="B25" i="1"/>
  <c r="D25" i="1"/>
  <c r="DJ59" i="1" a="1"/>
  <c r="DJ59" i="1"/>
  <c r="DJ55" i="1" a="1"/>
  <c r="DJ55" i="1"/>
  <c r="DJ53" i="1" a="1"/>
  <c r="DJ53" i="1"/>
  <c r="DJ45" i="1" a="1"/>
  <c r="DJ45" i="1"/>
  <c r="DJ48" i="1" a="1"/>
  <c r="DJ48" i="1"/>
  <c r="DJ35" i="1" a="1"/>
  <c r="DJ35" i="1"/>
  <c r="DJ38" i="1" a="1"/>
  <c r="DJ38" i="1"/>
  <c r="DJ31" i="1" a="1"/>
  <c r="DJ31" i="1"/>
  <c r="DJ27" i="1" a="1"/>
  <c r="DJ27" i="1"/>
  <c r="DJ23" i="1" a="1"/>
  <c r="DJ23" i="1"/>
  <c r="DJ19" i="1" a="1"/>
  <c r="DJ19" i="1"/>
  <c r="DJ15" i="1" a="1"/>
  <c r="DJ15" i="1"/>
  <c r="DK11" i="1"/>
  <c r="DJ60" i="1" a="1"/>
  <c r="DJ60" i="1"/>
  <c r="DJ56" i="1" a="1"/>
  <c r="DJ56" i="1"/>
  <c r="DJ50" i="1" a="1"/>
  <c r="DJ50" i="1"/>
  <c r="DJ46" i="1" a="1"/>
  <c r="DJ46" i="1"/>
  <c r="DJ42" i="1" a="1"/>
  <c r="DJ42" i="1"/>
  <c r="DJ36" i="1" a="1"/>
  <c r="DJ36" i="1"/>
  <c r="DJ39" i="1" a="1"/>
  <c r="DJ39" i="1"/>
  <c r="DJ32" i="1" a="1"/>
  <c r="DJ32" i="1"/>
  <c r="DJ28" i="1" a="1"/>
  <c r="DJ28" i="1"/>
  <c r="DJ24" i="1" a="1"/>
  <c r="DJ24" i="1"/>
  <c r="DJ20" i="1" a="1"/>
  <c r="DJ20" i="1"/>
  <c r="DJ16" i="1" a="1"/>
  <c r="DJ16" i="1"/>
  <c r="DJ12" i="1" a="1"/>
  <c r="DJ12" i="1"/>
  <c r="DJ62" i="1" a="1"/>
  <c r="DJ62" i="1"/>
  <c r="DJ54" i="1" a="1"/>
  <c r="DJ54" i="1"/>
  <c r="DJ44" i="1" a="1"/>
  <c r="DJ44" i="1"/>
  <c r="DJ34" i="1" a="1"/>
  <c r="DJ34" i="1"/>
  <c r="DJ30" i="1" a="1"/>
  <c r="DJ30" i="1"/>
  <c r="DJ22" i="1" a="1"/>
  <c r="DJ22" i="1"/>
  <c r="DJ14" i="1" a="1"/>
  <c r="DJ14" i="1"/>
  <c r="DJ58" i="1" a="1"/>
  <c r="DJ58" i="1"/>
  <c r="DJ52" i="1" a="1"/>
  <c r="DJ52" i="1"/>
  <c r="DJ47" i="1" a="1"/>
  <c r="DJ47" i="1"/>
  <c r="DJ37" i="1" a="1"/>
  <c r="DJ37" i="1"/>
  <c r="DJ26" i="1" a="1"/>
  <c r="DJ26" i="1"/>
  <c r="DJ18" i="1" a="1"/>
  <c r="DJ18" i="1"/>
  <c r="DJ61" i="1" a="1"/>
  <c r="DJ61" i="1"/>
  <c r="DJ43" i="1" a="1"/>
  <c r="DJ43" i="1"/>
  <c r="DJ29" i="1" a="1"/>
  <c r="DJ29" i="1"/>
  <c r="DJ13" i="1" a="1"/>
  <c r="DJ13" i="1"/>
  <c r="DJ51" i="1" a="1"/>
  <c r="DJ51" i="1"/>
  <c r="DJ40" i="1" a="1"/>
  <c r="DJ40" i="1"/>
  <c r="DJ21" i="1" a="1"/>
  <c r="DJ21" i="1"/>
  <c r="DJ49" i="1" a="1"/>
  <c r="DJ49" i="1"/>
  <c r="DJ17" i="1" a="1"/>
  <c r="DJ17" i="1"/>
  <c r="DJ33" i="1" a="1"/>
  <c r="DJ33" i="1"/>
  <c r="DJ57" i="1" a="1"/>
  <c r="DJ57" i="1"/>
  <c r="DJ41" i="1" a="1"/>
  <c r="DJ41" i="1"/>
  <c r="DJ25" i="1" a="1"/>
  <c r="DJ25" i="1"/>
  <c r="L74" i="1"/>
  <c r="L75" i="1"/>
  <c r="L67" i="1"/>
  <c r="L73" i="1"/>
  <c r="L70" i="1"/>
  <c r="L69" i="1"/>
  <c r="L77" i="1"/>
  <c r="L68" i="1"/>
  <c r="L72" i="1"/>
  <c r="L71" i="1"/>
  <c r="M65" i="1"/>
  <c r="L76" i="1"/>
  <c r="L78" i="1"/>
  <c r="A79" i="1"/>
  <c r="L79" i="1"/>
  <c r="C78" i="1"/>
  <c r="B78" i="1"/>
  <c r="D78" i="1"/>
  <c r="E78" i="1"/>
  <c r="F78" i="1"/>
  <c r="G78" i="1"/>
  <c r="H78" i="1"/>
  <c r="I78" i="1"/>
  <c r="J78" i="1"/>
  <c r="M71" i="1"/>
  <c r="M72" i="1"/>
  <c r="M73" i="1"/>
  <c r="M70" i="1"/>
  <c r="M67" i="1"/>
  <c r="N65" i="1"/>
  <c r="M76" i="1"/>
  <c r="M75" i="1"/>
  <c r="M77" i="1"/>
  <c r="M68" i="1"/>
  <c r="M78" i="1"/>
  <c r="M69" i="1"/>
  <c r="M79" i="1"/>
  <c r="M74" i="1"/>
  <c r="DK62" i="1" a="1"/>
  <c r="DK62" i="1"/>
  <c r="DK60" i="1" a="1"/>
  <c r="DK60" i="1"/>
  <c r="DK56" i="1" a="1"/>
  <c r="DK56" i="1"/>
  <c r="DK54" i="1" a="1"/>
  <c r="DK54" i="1"/>
  <c r="DK57" i="1" a="1"/>
  <c r="DK57" i="1"/>
  <c r="DK52" i="1" a="1"/>
  <c r="DK52" i="1"/>
  <c r="DK50" i="1" a="1"/>
  <c r="DK50" i="1"/>
  <c r="DK48" i="1" a="1"/>
  <c r="DK48" i="1"/>
  <c r="DK46" i="1" a="1"/>
  <c r="DK46" i="1"/>
  <c r="DK44" i="1" a="1"/>
  <c r="DK44" i="1"/>
  <c r="DK42" i="1" a="1"/>
  <c r="DK42" i="1"/>
  <c r="DK40" i="1" a="1"/>
  <c r="DK40" i="1"/>
  <c r="DK38" i="1" a="1"/>
  <c r="DK38" i="1"/>
  <c r="DK36" i="1" a="1"/>
  <c r="DK36" i="1"/>
  <c r="DK34" i="1" a="1"/>
  <c r="DK34" i="1"/>
  <c r="DK32" i="1" a="1"/>
  <c r="DK32" i="1"/>
  <c r="DK30" i="1" a="1"/>
  <c r="DK30" i="1"/>
  <c r="DK28" i="1" a="1"/>
  <c r="DK28" i="1"/>
  <c r="DK26" i="1" a="1"/>
  <c r="DK26" i="1"/>
  <c r="DK24" i="1" a="1"/>
  <c r="DK24" i="1"/>
  <c r="DK22" i="1" a="1"/>
  <c r="DK22" i="1"/>
  <c r="DK20" i="1" a="1"/>
  <c r="DK20" i="1"/>
  <c r="DK18" i="1" a="1"/>
  <c r="DK18" i="1"/>
  <c r="DK16" i="1" a="1"/>
  <c r="DK16" i="1"/>
  <c r="DK14" i="1" a="1"/>
  <c r="DK14" i="1"/>
  <c r="DK12" i="1" a="1"/>
  <c r="DK12" i="1"/>
  <c r="DK61" i="1" a="1"/>
  <c r="DK61" i="1"/>
  <c r="DK59" i="1" a="1"/>
  <c r="DK59" i="1"/>
  <c r="DK55" i="1" a="1"/>
  <c r="DK55" i="1"/>
  <c r="DK58" i="1" a="1"/>
  <c r="DK58" i="1"/>
  <c r="DK53" i="1" a="1"/>
  <c r="DK53" i="1"/>
  <c r="DK51" i="1" a="1"/>
  <c r="DK51" i="1"/>
  <c r="DK49" i="1" a="1"/>
  <c r="DK49" i="1"/>
  <c r="DK47" i="1" a="1"/>
  <c r="DK47" i="1"/>
  <c r="DK45" i="1" a="1"/>
  <c r="DK45" i="1"/>
  <c r="DK43" i="1" a="1"/>
  <c r="DK43" i="1"/>
  <c r="DK41" i="1" a="1"/>
  <c r="DK41" i="1"/>
  <c r="DK39" i="1" a="1"/>
  <c r="DK39" i="1"/>
  <c r="DK37" i="1" a="1"/>
  <c r="DK37" i="1"/>
  <c r="DK35" i="1" a="1"/>
  <c r="DK35" i="1"/>
  <c r="DK33" i="1" a="1"/>
  <c r="DK33" i="1"/>
  <c r="DK31" i="1" a="1"/>
  <c r="DK31" i="1"/>
  <c r="DK29" i="1" a="1"/>
  <c r="DK29" i="1"/>
  <c r="DK27" i="1" a="1"/>
  <c r="DK27" i="1"/>
  <c r="DK25" i="1" a="1"/>
  <c r="DK25" i="1"/>
  <c r="DK23" i="1" a="1"/>
  <c r="DK23" i="1"/>
  <c r="DK21" i="1" a="1"/>
  <c r="DK21" i="1"/>
  <c r="DK19" i="1" a="1"/>
  <c r="DK19" i="1"/>
  <c r="DK17" i="1" a="1"/>
  <c r="DK17" i="1"/>
  <c r="DK15" i="1" a="1"/>
  <c r="DK15" i="1"/>
  <c r="DK13" i="1" a="1"/>
  <c r="DK13" i="1"/>
  <c r="DL11" i="1"/>
  <c r="C79" i="1"/>
  <c r="B79" i="1"/>
  <c r="A80" i="1"/>
  <c r="M80" i="1"/>
  <c r="D79" i="1"/>
  <c r="E79" i="1"/>
  <c r="F79" i="1"/>
  <c r="G79" i="1"/>
  <c r="H79" i="1"/>
  <c r="I79" i="1"/>
  <c r="J79" i="1"/>
  <c r="K79" i="1"/>
  <c r="A27" i="1"/>
  <c r="B26" i="1"/>
  <c r="D26" i="1"/>
  <c r="A28" i="1"/>
  <c r="B27" i="1"/>
  <c r="D27" i="1"/>
  <c r="DL62" i="1" a="1"/>
  <c r="DL62" i="1"/>
  <c r="DL58" i="1" a="1"/>
  <c r="DL58" i="1"/>
  <c r="DL54" i="1" a="1"/>
  <c r="DL54" i="1"/>
  <c r="DL52" i="1" a="1"/>
  <c r="DL52" i="1"/>
  <c r="DL43" i="1" a="1"/>
  <c r="DL43" i="1"/>
  <c r="DL47" i="1" a="1"/>
  <c r="DL47" i="1"/>
  <c r="DL41" i="1" a="1"/>
  <c r="DL41" i="1"/>
  <c r="DL37" i="1" a="1"/>
  <c r="DL37" i="1"/>
  <c r="DL32" i="1" a="1"/>
  <c r="DL32" i="1"/>
  <c r="DL30" i="1" a="1"/>
  <c r="DL30" i="1"/>
  <c r="DL28" i="1" a="1"/>
  <c r="DL28" i="1"/>
  <c r="DL26" i="1" a="1"/>
  <c r="DL26" i="1"/>
  <c r="DL24" i="1" a="1"/>
  <c r="DL24" i="1"/>
  <c r="DL22" i="1" a="1"/>
  <c r="DL22" i="1"/>
  <c r="DL16" i="1" a="1"/>
  <c r="DL16" i="1"/>
  <c r="DL14" i="1" a="1"/>
  <c r="DL14" i="1"/>
  <c r="DL12" i="1" a="1"/>
  <c r="DL12" i="1"/>
  <c r="DL20" i="1" a="1"/>
  <c r="DL20" i="1"/>
  <c r="DL18" i="1" a="1"/>
  <c r="DL18" i="1"/>
  <c r="DL59" i="1" a="1"/>
  <c r="DL59" i="1"/>
  <c r="DL55" i="1" a="1"/>
  <c r="DL55" i="1"/>
  <c r="DL53" i="1" a="1"/>
  <c r="DL53" i="1"/>
  <c r="DL44" i="1" a="1"/>
  <c r="DL44" i="1"/>
  <c r="DL48" i="1" a="1"/>
  <c r="DL48" i="1"/>
  <c r="DL34" i="1" a="1"/>
  <c r="DL34" i="1"/>
  <c r="DL38" i="1" a="1"/>
  <c r="DL38" i="1"/>
  <c r="DL57" i="1" a="1"/>
  <c r="DL57" i="1"/>
  <c r="DL46" i="1" a="1"/>
  <c r="DL46" i="1"/>
  <c r="DL36" i="1" a="1"/>
  <c r="DL36" i="1"/>
  <c r="DL31" i="1" a="1"/>
  <c r="DL31" i="1"/>
  <c r="DL23" i="1" a="1"/>
  <c r="DL23" i="1"/>
  <c r="DL21" i="1" a="1"/>
  <c r="DL21" i="1"/>
  <c r="DL61" i="1" a="1"/>
  <c r="DL61" i="1"/>
  <c r="DL51" i="1" a="1"/>
  <c r="DL51" i="1"/>
  <c r="DL42" i="1" a="1"/>
  <c r="DL42" i="1"/>
  <c r="DL40" i="1" a="1"/>
  <c r="DL40" i="1"/>
  <c r="DL27" i="1" a="1"/>
  <c r="DL27" i="1"/>
  <c r="DL15" i="1" a="1"/>
  <c r="DL15" i="1"/>
  <c r="DM11" i="1"/>
  <c r="DL45" i="1" a="1"/>
  <c r="DL45" i="1"/>
  <c r="DL33" i="1" a="1"/>
  <c r="DL33" i="1"/>
  <c r="DL13" i="1" a="1"/>
  <c r="DL13" i="1"/>
  <c r="DL56" i="1" a="1"/>
  <c r="DL56" i="1"/>
  <c r="DL35" i="1" a="1"/>
  <c r="DL35" i="1"/>
  <c r="DL25" i="1" a="1"/>
  <c r="DL25" i="1"/>
  <c r="DL50" i="1" a="1"/>
  <c r="DL50" i="1"/>
  <c r="DL29" i="1" a="1"/>
  <c r="DL29" i="1"/>
  <c r="DL39" i="1" a="1"/>
  <c r="DL39" i="1"/>
  <c r="DL19" i="1" a="1"/>
  <c r="DL19" i="1"/>
  <c r="DL60" i="1" a="1"/>
  <c r="DL60" i="1"/>
  <c r="DL17" i="1" a="1"/>
  <c r="DL17" i="1"/>
  <c r="DL49" i="1" a="1"/>
  <c r="DL49" i="1"/>
  <c r="N77" i="1"/>
  <c r="N71" i="1"/>
  <c r="N72" i="1"/>
  <c r="N75" i="1"/>
  <c r="N67" i="1"/>
  <c r="N68" i="1"/>
  <c r="N73" i="1"/>
  <c r="O65" i="1"/>
  <c r="N78" i="1"/>
  <c r="N76" i="1"/>
  <c r="N70" i="1"/>
  <c r="N69" i="1"/>
  <c r="N79" i="1"/>
  <c r="N80" i="1"/>
  <c r="N74" i="1"/>
  <c r="A81" i="1"/>
  <c r="N81" i="1"/>
  <c r="C80" i="1"/>
  <c r="B80" i="1"/>
  <c r="D80" i="1"/>
  <c r="E80" i="1"/>
  <c r="F80" i="1"/>
  <c r="G80" i="1"/>
  <c r="H80" i="1"/>
  <c r="I80" i="1"/>
  <c r="J80" i="1"/>
  <c r="K80" i="1"/>
  <c r="L80" i="1"/>
  <c r="O77" i="1"/>
  <c r="O68" i="1"/>
  <c r="O73" i="1"/>
  <c r="P65" i="1"/>
  <c r="O72" i="1"/>
  <c r="O76" i="1"/>
  <c r="O69" i="1"/>
  <c r="O75" i="1"/>
  <c r="O81" i="1"/>
  <c r="O78" i="1"/>
  <c r="O74" i="1"/>
  <c r="O71" i="1"/>
  <c r="O80" i="1"/>
  <c r="O70" i="1"/>
  <c r="O67" i="1"/>
  <c r="O79" i="1"/>
  <c r="A82" i="1"/>
  <c r="C81" i="1"/>
  <c r="B81" i="1"/>
  <c r="D81" i="1"/>
  <c r="E81" i="1"/>
  <c r="F81" i="1"/>
  <c r="G81" i="1"/>
  <c r="H81" i="1"/>
  <c r="I81" i="1"/>
  <c r="J81" i="1"/>
  <c r="K81" i="1"/>
  <c r="L81" i="1"/>
  <c r="M81" i="1"/>
  <c r="DM61" i="1" a="1"/>
  <c r="DM61" i="1"/>
  <c r="DM54" i="1" a="1"/>
  <c r="DM54" i="1"/>
  <c r="DM53" i="1" a="1"/>
  <c r="DM53" i="1"/>
  <c r="DM48" i="1" a="1"/>
  <c r="DM48" i="1"/>
  <c r="DM45" i="1" a="1"/>
  <c r="DM45" i="1"/>
  <c r="DM40" i="1" a="1"/>
  <c r="DM40" i="1"/>
  <c r="DM37" i="1" a="1"/>
  <c r="DM37" i="1"/>
  <c r="DM32" i="1" a="1"/>
  <c r="DM32" i="1"/>
  <c r="DM25" i="1" a="1"/>
  <c r="DM25" i="1"/>
  <c r="DM28" i="1" a="1"/>
  <c r="DM28" i="1"/>
  <c r="DM21" i="1" a="1"/>
  <c r="DM21" i="1"/>
  <c r="DM16" i="1" a="1"/>
  <c r="DM16" i="1"/>
  <c r="DM13" i="1" a="1"/>
  <c r="DM13" i="1"/>
  <c r="DM60" i="1" a="1"/>
  <c r="DM60" i="1"/>
  <c r="DM55" i="1" a="1"/>
  <c r="DM55" i="1"/>
  <c r="DM52" i="1" a="1"/>
  <c r="DM52" i="1"/>
  <c r="DM49" i="1" a="1"/>
  <c r="DM49" i="1"/>
  <c r="DM44" i="1" a="1"/>
  <c r="DM44" i="1"/>
  <c r="DM41" i="1" a="1"/>
  <c r="DM41" i="1"/>
  <c r="DM36" i="1" a="1"/>
  <c r="DM36" i="1"/>
  <c r="DM33" i="1" a="1"/>
  <c r="DM33" i="1"/>
  <c r="DM24" i="1" a="1"/>
  <c r="DM24" i="1"/>
  <c r="DM29" i="1" a="1"/>
  <c r="DM29" i="1"/>
  <c r="DM20" i="1" a="1"/>
  <c r="DM20" i="1"/>
  <c r="DM17" i="1" a="1"/>
  <c r="DM17" i="1"/>
  <c r="DM12" i="1" a="1"/>
  <c r="DM12" i="1"/>
  <c r="DM56" i="1" a="1"/>
  <c r="DM56" i="1"/>
  <c r="DM47" i="1" a="1"/>
  <c r="DM47" i="1"/>
  <c r="DM42" i="1" a="1"/>
  <c r="DM42" i="1"/>
  <c r="DM27" i="1" a="1"/>
  <c r="DM27" i="1"/>
  <c r="DM30" i="1" a="1"/>
  <c r="DM30" i="1"/>
  <c r="DM15" i="1" a="1"/>
  <c r="DM15" i="1"/>
  <c r="DM58" i="1" a="1"/>
  <c r="DM58" i="1"/>
  <c r="DM50" i="1" a="1"/>
  <c r="DM50" i="1"/>
  <c r="DM39" i="1" a="1"/>
  <c r="DM39" i="1"/>
  <c r="DM34" i="1" a="1"/>
  <c r="DM34" i="1"/>
  <c r="DM23" i="1" a="1"/>
  <c r="DM23" i="1"/>
  <c r="DM18" i="1" a="1"/>
  <c r="DM18" i="1"/>
  <c r="DM59" i="1" a="1"/>
  <c r="DM59" i="1"/>
  <c r="DM38" i="1" a="1"/>
  <c r="DM38" i="1"/>
  <c r="DM31" i="1" a="1"/>
  <c r="DM31" i="1"/>
  <c r="DM57" i="1" a="1"/>
  <c r="DM57" i="1"/>
  <c r="DM43" i="1" a="1"/>
  <c r="DM43" i="1"/>
  <c r="DM22" i="1" a="1"/>
  <c r="DM22" i="1"/>
  <c r="DN11" i="1"/>
  <c r="DM62" i="1" a="1"/>
  <c r="DM62" i="1"/>
  <c r="DM19" i="1" a="1"/>
  <c r="DM19" i="1"/>
  <c r="DM46" i="1" a="1"/>
  <c r="DM46" i="1"/>
  <c r="DM14" i="1" a="1"/>
  <c r="DM14" i="1"/>
  <c r="DM35" i="1" a="1"/>
  <c r="DM35" i="1"/>
  <c r="DM51" i="1" a="1"/>
  <c r="DM51" i="1"/>
  <c r="DM26" i="1" a="1"/>
  <c r="DM26" i="1"/>
  <c r="B28" i="1"/>
  <c r="D28" i="1"/>
  <c r="A29" i="1"/>
  <c r="B29" i="1"/>
  <c r="D29" i="1"/>
  <c r="A30" i="1"/>
  <c r="DN61" i="1" a="1"/>
  <c r="DN61" i="1"/>
  <c r="DN56" i="1" a="1"/>
  <c r="DN56" i="1"/>
  <c r="DN53" i="1" a="1"/>
  <c r="DN53" i="1"/>
  <c r="DN50" i="1" a="1"/>
  <c r="DN50" i="1"/>
  <c r="DN45" i="1" a="1"/>
  <c r="DN45" i="1"/>
  <c r="DN42" i="1" a="1"/>
  <c r="DN42" i="1"/>
  <c r="DN37" i="1" a="1"/>
  <c r="DN37" i="1"/>
  <c r="DN34" i="1" a="1"/>
  <c r="DN34" i="1"/>
  <c r="DN29" i="1" a="1"/>
  <c r="DN29" i="1"/>
  <c r="DN26" i="1" a="1"/>
  <c r="DN26" i="1"/>
  <c r="DN17" i="1" a="1"/>
  <c r="DN17" i="1"/>
  <c r="DN14" i="1" a="1"/>
  <c r="DN14" i="1"/>
  <c r="DN19" i="1" a="1"/>
  <c r="DN19" i="1"/>
  <c r="DN62" i="1" a="1"/>
  <c r="DN62" i="1"/>
  <c r="DN55" i="1" a="1"/>
  <c r="DN55" i="1"/>
  <c r="DN57" i="1" a="1"/>
  <c r="DN57" i="1"/>
  <c r="DN49" i="1" a="1"/>
  <c r="DN49" i="1"/>
  <c r="DN46" i="1" a="1"/>
  <c r="DN46" i="1"/>
  <c r="DN41" i="1" a="1"/>
  <c r="DN41" i="1"/>
  <c r="DN38" i="1" a="1"/>
  <c r="DN38" i="1"/>
  <c r="DN33" i="1" a="1"/>
  <c r="DN33" i="1"/>
  <c r="DN30" i="1" a="1"/>
  <c r="DN30" i="1"/>
  <c r="DN25" i="1" a="1"/>
  <c r="DN25" i="1"/>
  <c r="DN22" i="1" a="1"/>
  <c r="DN22" i="1"/>
  <c r="DN13" i="1" a="1"/>
  <c r="DN13" i="1"/>
  <c r="DN20" i="1" a="1"/>
  <c r="DN20" i="1"/>
  <c r="DN52" i="1" a="1"/>
  <c r="DN52" i="1"/>
  <c r="DN47" i="1" a="1"/>
  <c r="DN47" i="1"/>
  <c r="DN36" i="1" a="1"/>
  <c r="DN36" i="1"/>
  <c r="DN31" i="1" a="1"/>
  <c r="DN31" i="1"/>
  <c r="DN16" i="1" a="1"/>
  <c r="DN16" i="1"/>
  <c r="DN21" i="1" a="1"/>
  <c r="DN21" i="1"/>
  <c r="DN60" i="1" a="1"/>
  <c r="DN60" i="1"/>
  <c r="DN58" i="1" a="1"/>
  <c r="DN58" i="1"/>
  <c r="DN44" i="1" a="1"/>
  <c r="DN44" i="1"/>
  <c r="DN39" i="1" a="1"/>
  <c r="DN39" i="1"/>
  <c r="DN28" i="1" a="1"/>
  <c r="DN28" i="1"/>
  <c r="DN23" i="1" a="1"/>
  <c r="DN23" i="1"/>
  <c r="DN18" i="1" a="1"/>
  <c r="DN18" i="1"/>
  <c r="DN59" i="1" a="1"/>
  <c r="DN59" i="1"/>
  <c r="DN48" i="1" a="1"/>
  <c r="DN48" i="1"/>
  <c r="DN27" i="1" a="1"/>
  <c r="DN27" i="1"/>
  <c r="DN12" i="1" a="1"/>
  <c r="DN12" i="1"/>
  <c r="DN43" i="1" a="1"/>
  <c r="DN43" i="1"/>
  <c r="DN32" i="1" a="1"/>
  <c r="DN32" i="1"/>
  <c r="DO11" i="1"/>
  <c r="DN51" i="1" a="1"/>
  <c r="DN51" i="1"/>
  <c r="DN54" i="1" a="1"/>
  <c r="DN54" i="1"/>
  <c r="DN35" i="1" a="1"/>
  <c r="DN35" i="1"/>
  <c r="DN24" i="1" a="1"/>
  <c r="DN24" i="1"/>
  <c r="DN15" i="1" a="1"/>
  <c r="DN15" i="1"/>
  <c r="DN40" i="1" a="1"/>
  <c r="DN40" i="1"/>
  <c r="P72" i="1"/>
  <c r="P76" i="1"/>
  <c r="P69" i="1"/>
  <c r="P70" i="1"/>
  <c r="P73" i="1"/>
  <c r="P77" i="1"/>
  <c r="P79" i="1"/>
  <c r="P67" i="1"/>
  <c r="P81" i="1"/>
  <c r="P68" i="1"/>
  <c r="P78" i="1"/>
  <c r="P71" i="1"/>
  <c r="Q65" i="1"/>
  <c r="P80" i="1"/>
  <c r="P74" i="1"/>
  <c r="P82" i="1"/>
  <c r="P75" i="1"/>
  <c r="A83" i="1"/>
  <c r="P83" i="1"/>
  <c r="C82" i="1"/>
  <c r="B82" i="1"/>
  <c r="D82" i="1"/>
  <c r="E82" i="1"/>
  <c r="F82" i="1"/>
  <c r="G82" i="1"/>
  <c r="H82" i="1"/>
  <c r="I82" i="1"/>
  <c r="J82" i="1"/>
  <c r="K82" i="1"/>
  <c r="L82" i="1"/>
  <c r="M82" i="1"/>
  <c r="N82" i="1"/>
  <c r="O82" i="1"/>
  <c r="DO56" i="1" a="1"/>
  <c r="DO56" i="1"/>
  <c r="DO58" i="1" a="1"/>
  <c r="DO58" i="1"/>
  <c r="DO50" i="1" a="1"/>
  <c r="DO50" i="1"/>
  <c r="DO47" i="1" a="1"/>
  <c r="DO47" i="1"/>
  <c r="DO42" i="1" a="1"/>
  <c r="DO42" i="1"/>
  <c r="DO39" i="1" a="1"/>
  <c r="DO39" i="1"/>
  <c r="DO34" i="1" a="1"/>
  <c r="DO34" i="1"/>
  <c r="DO27" i="1" a="1"/>
  <c r="DO27" i="1"/>
  <c r="DO30" i="1" a="1"/>
  <c r="DO30" i="1"/>
  <c r="DO21" i="1" a="1"/>
  <c r="DO21" i="1"/>
  <c r="DO22" i="1" a="1"/>
  <c r="DO22" i="1"/>
  <c r="DO15" i="1" a="1"/>
  <c r="DO15" i="1"/>
  <c r="DO62" i="1" a="1"/>
  <c r="DO62" i="1"/>
  <c r="DO59" i="1" a="1"/>
  <c r="DO59" i="1"/>
  <c r="DO57" i="1" a="1"/>
  <c r="DO57" i="1"/>
  <c r="DO51" i="1" a="1"/>
  <c r="DO51" i="1"/>
  <c r="DO46" i="1" a="1"/>
  <c r="DO46" i="1"/>
  <c r="DO43" i="1" a="1"/>
  <c r="DO43" i="1"/>
  <c r="DO38" i="1" a="1"/>
  <c r="DO38" i="1"/>
  <c r="DO35" i="1" a="1"/>
  <c r="DO35" i="1"/>
  <c r="DO26" i="1" a="1"/>
  <c r="DO26" i="1"/>
  <c r="DO31" i="1" a="1"/>
  <c r="DO31" i="1"/>
  <c r="DO20" i="1" a="1"/>
  <c r="DO20" i="1"/>
  <c r="DO23" i="1" a="1"/>
  <c r="DO23" i="1"/>
  <c r="DO14" i="1" a="1"/>
  <c r="DO14" i="1"/>
  <c r="DP11" i="1"/>
  <c r="DO55" i="1" a="1"/>
  <c r="DO55" i="1"/>
  <c r="DO52" i="1" a="1"/>
  <c r="DO52" i="1"/>
  <c r="DO41" i="1" a="1"/>
  <c r="DO41" i="1"/>
  <c r="DO36" i="1" a="1"/>
  <c r="DO36" i="1"/>
  <c r="DO29" i="1" a="1"/>
  <c r="DO29" i="1"/>
  <c r="DO18" i="1" a="1"/>
  <c r="DO18" i="1"/>
  <c r="DO60" i="1" a="1"/>
  <c r="DO60" i="1"/>
  <c r="DO49" i="1" a="1"/>
  <c r="DO49" i="1"/>
  <c r="DO44" i="1" a="1"/>
  <c r="DO44" i="1"/>
  <c r="DO33" i="1" a="1"/>
  <c r="DO33" i="1"/>
  <c r="DO24" i="1" a="1"/>
  <c r="DO24" i="1"/>
  <c r="DO17" i="1" a="1"/>
  <c r="DO17" i="1"/>
  <c r="DO12" i="1" a="1"/>
  <c r="DO12" i="1"/>
  <c r="DO53" i="1" a="1"/>
  <c r="DO53" i="1"/>
  <c r="DO32" i="1" a="1"/>
  <c r="DO32" i="1"/>
  <c r="DO19" i="1" a="1"/>
  <c r="DO19" i="1"/>
  <c r="DO48" i="1" a="1"/>
  <c r="DO48" i="1"/>
  <c r="DO37" i="1" a="1"/>
  <c r="DO37" i="1"/>
  <c r="DO16" i="1" a="1"/>
  <c r="DO16" i="1"/>
  <c r="DO54" i="1" a="1"/>
  <c r="DO54" i="1"/>
  <c r="DO13" i="1" a="1"/>
  <c r="DO13" i="1"/>
  <c r="DO61" i="1" a="1"/>
  <c r="DO61" i="1"/>
  <c r="DO40" i="1" a="1"/>
  <c r="DO40" i="1"/>
  <c r="DO25" i="1" a="1"/>
  <c r="DO25" i="1"/>
  <c r="DO45" i="1" a="1"/>
  <c r="DO45" i="1"/>
  <c r="DO28" i="1" a="1"/>
  <c r="DO28" i="1"/>
  <c r="Q80" i="1"/>
  <c r="Q73" i="1"/>
  <c r="Q77" i="1"/>
  <c r="Q68" i="1"/>
  <c r="Q82" i="1"/>
  <c r="Q78" i="1"/>
  <c r="Q69" i="1"/>
  <c r="Q70" i="1"/>
  <c r="Q75" i="1"/>
  <c r="Q74" i="1"/>
  <c r="R65" i="1"/>
  <c r="Q76" i="1"/>
  <c r="Q79" i="1"/>
  <c r="Q67" i="1"/>
  <c r="Q72" i="1"/>
  <c r="Q71" i="1"/>
  <c r="Q81" i="1"/>
  <c r="Q83" i="1"/>
  <c r="B30" i="1"/>
  <c r="D30" i="1"/>
  <c r="A31" i="1"/>
  <c r="C83" i="1"/>
  <c r="B83" i="1"/>
  <c r="A84" i="1"/>
  <c r="D83" i="1"/>
  <c r="E83" i="1"/>
  <c r="F83" i="1"/>
  <c r="G83" i="1"/>
  <c r="H83" i="1"/>
  <c r="I83" i="1"/>
  <c r="J83" i="1"/>
  <c r="K83" i="1"/>
  <c r="L83" i="1"/>
  <c r="M83" i="1"/>
  <c r="N83" i="1"/>
  <c r="O83" i="1"/>
  <c r="B31" i="1"/>
  <c r="D31" i="1"/>
  <c r="A32" i="1"/>
  <c r="A85" i="1"/>
  <c r="C84" i="1"/>
  <c r="B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R79" i="1"/>
  <c r="R75" i="1"/>
  <c r="R67" i="1"/>
  <c r="R70" i="1"/>
  <c r="R77" i="1"/>
  <c r="R71" i="1"/>
  <c r="R72" i="1"/>
  <c r="R81" i="1"/>
  <c r="R76" i="1"/>
  <c r="R78" i="1"/>
  <c r="S65" i="1"/>
  <c r="R82" i="1"/>
  <c r="R80" i="1"/>
  <c r="R68" i="1"/>
  <c r="R84" i="1"/>
  <c r="R85" i="1"/>
  <c r="R69" i="1"/>
  <c r="R83" i="1"/>
  <c r="R74" i="1"/>
  <c r="R73" i="1"/>
  <c r="Q84" i="1"/>
  <c r="DP62" i="1" a="1"/>
  <c r="DP62" i="1"/>
  <c r="DP60" i="1" a="1"/>
  <c r="DP60" i="1"/>
  <c r="DP58" i="1" a="1"/>
  <c r="DP58" i="1"/>
  <c r="DP56" i="1" a="1"/>
  <c r="DP56" i="1"/>
  <c r="DP54" i="1" a="1"/>
  <c r="DP54" i="1"/>
  <c r="DP52" i="1" a="1"/>
  <c r="DP52" i="1"/>
  <c r="DP50" i="1" a="1"/>
  <c r="DP50" i="1"/>
  <c r="DP47" i="1" a="1"/>
  <c r="DP47" i="1"/>
  <c r="DP45" i="1" a="1"/>
  <c r="DP45" i="1"/>
  <c r="DP43" i="1" a="1"/>
  <c r="DP43" i="1"/>
  <c r="DP49" i="1" a="1"/>
  <c r="DP49" i="1"/>
  <c r="DP39" i="1" a="1"/>
  <c r="DP39" i="1"/>
  <c r="DP37" i="1" a="1"/>
  <c r="DP37" i="1"/>
  <c r="DP35" i="1" a="1"/>
  <c r="DP35" i="1"/>
  <c r="DP41" i="1" a="1"/>
  <c r="DP41" i="1"/>
  <c r="DP30" i="1" a="1"/>
  <c r="DP30" i="1"/>
  <c r="DP28" i="1" a="1"/>
  <c r="DP28" i="1"/>
  <c r="DP32" i="1" a="1"/>
  <c r="DP32" i="1"/>
  <c r="DP26" i="1" a="1"/>
  <c r="DP26" i="1"/>
  <c r="DP24" i="1" a="1"/>
  <c r="DP24" i="1"/>
  <c r="DP22" i="1" a="1"/>
  <c r="DP22" i="1"/>
  <c r="DP20" i="1" a="1"/>
  <c r="DP20" i="1"/>
  <c r="DP18" i="1" a="1"/>
  <c r="DP18" i="1"/>
  <c r="DP16" i="1" a="1"/>
  <c r="DP16" i="1"/>
  <c r="DP14" i="1" a="1"/>
  <c r="DP14" i="1"/>
  <c r="DP12" i="1" a="1"/>
  <c r="DP12" i="1"/>
  <c r="DP59" i="1" a="1"/>
  <c r="DP59" i="1"/>
  <c r="DP51" i="1" a="1"/>
  <c r="DP51" i="1"/>
  <c r="DP42" i="1" a="1"/>
  <c r="DP42" i="1"/>
  <c r="DP34" i="1" a="1"/>
  <c r="DP34" i="1"/>
  <c r="DP55" i="1" a="1"/>
  <c r="DP55" i="1"/>
  <c r="DP46" i="1" a="1"/>
  <c r="DP46" i="1"/>
  <c r="DP38" i="1" a="1"/>
  <c r="DP38" i="1"/>
  <c r="DP29" i="1" a="1"/>
  <c r="DP29" i="1"/>
  <c r="DP23" i="1" a="1"/>
  <c r="DP23" i="1"/>
  <c r="DP15" i="1" a="1"/>
  <c r="DP15" i="1"/>
  <c r="DP61" i="1" a="1"/>
  <c r="DP61" i="1"/>
  <c r="DP44" i="1" a="1"/>
  <c r="DP44" i="1"/>
  <c r="DP19" i="1" a="1"/>
  <c r="DP19" i="1"/>
  <c r="DP53" i="1" a="1"/>
  <c r="DP53" i="1"/>
  <c r="DP36" i="1" a="1"/>
  <c r="DP36" i="1"/>
  <c r="DP21" i="1" a="1"/>
  <c r="DP21" i="1"/>
  <c r="DP17" i="1" a="1"/>
  <c r="DP17" i="1"/>
  <c r="DP57" i="1" a="1"/>
  <c r="DP57" i="1"/>
  <c r="DP27" i="1" a="1"/>
  <c r="DP27" i="1"/>
  <c r="DP13" i="1" a="1"/>
  <c r="DP13" i="1"/>
  <c r="DP40" i="1" a="1"/>
  <c r="DP40" i="1"/>
  <c r="DP48" i="1" a="1"/>
  <c r="DP48" i="1"/>
  <c r="DP33" i="1" a="1"/>
  <c r="DP33" i="1"/>
  <c r="DP31" i="1" a="1"/>
  <c r="DP31" i="1"/>
  <c r="DQ11" i="1"/>
  <c r="DP25" i="1" a="1"/>
  <c r="DP25" i="1"/>
  <c r="DQ62" i="1" a="1"/>
  <c r="DQ62" i="1"/>
  <c r="DQ60" i="1" a="1"/>
  <c r="DQ60" i="1"/>
  <c r="DQ58" i="1" a="1"/>
  <c r="DQ58" i="1"/>
  <c r="DQ56" i="1" a="1"/>
  <c r="DQ56" i="1"/>
  <c r="DQ54" i="1" a="1"/>
  <c r="DQ54" i="1"/>
  <c r="DQ52" i="1" a="1"/>
  <c r="DQ52" i="1"/>
  <c r="DQ50" i="1" a="1"/>
  <c r="DQ50" i="1"/>
  <c r="DQ48" i="1" a="1"/>
  <c r="DQ48" i="1"/>
  <c r="DQ46" i="1" a="1"/>
  <c r="DQ46" i="1"/>
  <c r="DQ44" i="1" a="1"/>
  <c r="DQ44" i="1"/>
  <c r="DQ42" i="1" a="1"/>
  <c r="DQ42" i="1"/>
  <c r="DQ40" i="1" a="1"/>
  <c r="DQ40" i="1"/>
  <c r="DQ38" i="1" a="1"/>
  <c r="DQ38" i="1"/>
  <c r="DQ36" i="1" a="1"/>
  <c r="DQ36" i="1"/>
  <c r="DQ34" i="1" a="1"/>
  <c r="DQ34" i="1"/>
  <c r="DQ32" i="1" a="1"/>
  <c r="DQ32" i="1"/>
  <c r="DQ30" i="1" a="1"/>
  <c r="DQ30" i="1"/>
  <c r="DQ28" i="1" a="1"/>
  <c r="DQ28" i="1"/>
  <c r="DQ26" i="1" a="1"/>
  <c r="DQ26" i="1"/>
  <c r="DQ24" i="1" a="1"/>
  <c r="DQ24" i="1"/>
  <c r="DQ22" i="1" a="1"/>
  <c r="DQ22" i="1"/>
  <c r="DQ20" i="1" a="1"/>
  <c r="DQ20" i="1"/>
  <c r="DQ18" i="1" a="1"/>
  <c r="DQ18" i="1"/>
  <c r="DQ16" i="1" a="1"/>
  <c r="DQ16" i="1"/>
  <c r="DQ14" i="1" a="1"/>
  <c r="DQ14" i="1"/>
  <c r="DQ12" i="1" a="1"/>
  <c r="DQ12" i="1"/>
  <c r="DQ55" i="1" a="1"/>
  <c r="DQ55" i="1"/>
  <c r="DQ59" i="1" a="1"/>
  <c r="DQ59" i="1"/>
  <c r="DQ43" i="1" a="1"/>
  <c r="DQ43" i="1"/>
  <c r="DQ35" i="1" a="1"/>
  <c r="DQ35" i="1"/>
  <c r="DQ27" i="1" a="1"/>
  <c r="DQ27" i="1"/>
  <c r="DQ19" i="1" a="1"/>
  <c r="DQ19" i="1"/>
  <c r="DR11" i="1"/>
  <c r="DQ61" i="1" a="1"/>
  <c r="DQ61" i="1"/>
  <c r="DQ57" i="1" a="1"/>
  <c r="DQ57" i="1"/>
  <c r="DQ47" i="1" a="1"/>
  <c r="DQ47" i="1"/>
  <c r="DQ39" i="1" a="1"/>
  <c r="DQ39" i="1"/>
  <c r="DQ31" i="1" a="1"/>
  <c r="DQ31" i="1"/>
  <c r="DQ23" i="1" a="1"/>
  <c r="DQ23" i="1"/>
  <c r="DQ15" i="1" a="1"/>
  <c r="DQ15" i="1"/>
  <c r="DQ49" i="1" a="1"/>
  <c r="DQ49" i="1"/>
  <c r="DQ33" i="1" a="1"/>
  <c r="DQ33" i="1"/>
  <c r="DQ17" i="1" a="1"/>
  <c r="DQ17" i="1"/>
  <c r="DQ53" i="1" a="1"/>
  <c r="DQ53" i="1"/>
  <c r="DQ41" i="1" a="1"/>
  <c r="DQ41" i="1"/>
  <c r="DQ25" i="1" a="1"/>
  <c r="DQ25" i="1"/>
  <c r="DQ45" i="1" a="1"/>
  <c r="DQ45" i="1"/>
  <c r="DQ13" i="1" a="1"/>
  <c r="DQ13" i="1"/>
  <c r="DQ37" i="1" a="1"/>
  <c r="DQ37" i="1"/>
  <c r="DQ21" i="1" a="1"/>
  <c r="DQ21" i="1"/>
  <c r="DQ29" i="1" a="1"/>
  <c r="DQ29" i="1"/>
  <c r="DQ51" i="1" a="1"/>
  <c r="DQ51" i="1"/>
  <c r="B85" i="1"/>
  <c r="A86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A33" i="1"/>
  <c r="B32" i="1"/>
  <c r="D32" i="1"/>
  <c r="S81" i="1"/>
  <c r="S72" i="1"/>
  <c r="S76" i="1"/>
  <c r="S69" i="1"/>
  <c r="S83" i="1"/>
  <c r="S82" i="1"/>
  <c r="S70" i="1"/>
  <c r="S73" i="1"/>
  <c r="T65" i="1"/>
  <c r="S77" i="1"/>
  <c r="S80" i="1"/>
  <c r="S67" i="1"/>
  <c r="S68" i="1"/>
  <c r="S79" i="1"/>
  <c r="S71" i="1"/>
  <c r="S74" i="1"/>
  <c r="S86" i="1"/>
  <c r="S78" i="1"/>
  <c r="S75" i="1"/>
  <c r="S84" i="1"/>
  <c r="S85" i="1"/>
  <c r="T80" i="1"/>
  <c r="T72" i="1"/>
  <c r="T77" i="1"/>
  <c r="T71" i="1"/>
  <c r="T78" i="1"/>
  <c r="T68" i="1"/>
  <c r="T73" i="1"/>
  <c r="T74" i="1"/>
  <c r="T76" i="1"/>
  <c r="T67" i="1"/>
  <c r="T83" i="1"/>
  <c r="T81" i="1"/>
  <c r="T86" i="1"/>
  <c r="T79" i="1"/>
  <c r="T69" i="1"/>
  <c r="T84" i="1"/>
  <c r="T85" i="1"/>
  <c r="T70" i="1"/>
  <c r="U65" i="1"/>
  <c r="T82" i="1"/>
  <c r="T75" i="1"/>
  <c r="B33" i="1"/>
  <c r="D33" i="1"/>
  <c r="A34" i="1"/>
  <c r="A87" i="1"/>
  <c r="T87" i="1"/>
  <c r="C86" i="1"/>
  <c r="B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DR62" i="1" a="1"/>
  <c r="DR62" i="1"/>
  <c r="DR60" i="1" a="1"/>
  <c r="DR60" i="1"/>
  <c r="DR58" i="1" a="1"/>
  <c r="DR58" i="1"/>
  <c r="DR56" i="1" a="1"/>
  <c r="DR56" i="1"/>
  <c r="DR54" i="1" a="1"/>
  <c r="DR54" i="1"/>
  <c r="DR50" i="1" a="1"/>
  <c r="DR50" i="1"/>
  <c r="DR52" i="1" a="1"/>
  <c r="DR52" i="1"/>
  <c r="DR46" i="1" a="1"/>
  <c r="DR46" i="1"/>
  <c r="DR44" i="1" a="1"/>
  <c r="DR44" i="1"/>
  <c r="DR42" i="1" a="1"/>
  <c r="DR42" i="1"/>
  <c r="DR47" i="1" a="1"/>
  <c r="DR47" i="1"/>
  <c r="DR36" i="1" a="1"/>
  <c r="DR36" i="1"/>
  <c r="DR34" i="1" a="1"/>
  <c r="DR34" i="1"/>
  <c r="DR39" i="1" a="1"/>
  <c r="DR39" i="1"/>
  <c r="DR37" i="1" a="1"/>
  <c r="DR37" i="1"/>
  <c r="DR32" i="1" a="1"/>
  <c r="DR32" i="1"/>
  <c r="DR30" i="1" a="1"/>
  <c r="DR30" i="1"/>
  <c r="DR28" i="1" a="1"/>
  <c r="DR28" i="1"/>
  <c r="DR26" i="1" a="1"/>
  <c r="DR26" i="1"/>
  <c r="DR24" i="1" a="1"/>
  <c r="DR24" i="1"/>
  <c r="DR22" i="1" a="1"/>
  <c r="DR22" i="1"/>
  <c r="DR20" i="1" a="1"/>
  <c r="DR20" i="1"/>
  <c r="DR18" i="1" a="1"/>
  <c r="DR18" i="1"/>
  <c r="DR16" i="1" a="1"/>
  <c r="DR16" i="1"/>
  <c r="DR14" i="1" a="1"/>
  <c r="DR14" i="1"/>
  <c r="DR12" i="1" a="1"/>
  <c r="DR12" i="1"/>
  <c r="DR61" i="1" a="1"/>
  <c r="DR61" i="1"/>
  <c r="DR59" i="1" a="1"/>
  <c r="DR59" i="1"/>
  <c r="DR57" i="1" a="1"/>
  <c r="DR57" i="1"/>
  <c r="DR55" i="1" a="1"/>
  <c r="DR55" i="1"/>
  <c r="DR51" i="1" a="1"/>
  <c r="DR51" i="1"/>
  <c r="DR53" i="1" a="1"/>
  <c r="DR53" i="1"/>
  <c r="DR49" i="1" a="1"/>
  <c r="DR49" i="1"/>
  <c r="DR45" i="1" a="1"/>
  <c r="DR45" i="1"/>
  <c r="DR43" i="1" a="1"/>
  <c r="DR43" i="1"/>
  <c r="DR48" i="1" a="1"/>
  <c r="DR48" i="1"/>
  <c r="DR41" i="1" a="1"/>
  <c r="DR41" i="1"/>
  <c r="DR35" i="1" a="1"/>
  <c r="DR35" i="1"/>
  <c r="DR40" i="1" a="1"/>
  <c r="DR40" i="1"/>
  <c r="DR38" i="1" a="1"/>
  <c r="DR38" i="1"/>
  <c r="DR33" i="1" a="1"/>
  <c r="DR33" i="1"/>
  <c r="DR31" i="1" a="1"/>
  <c r="DR31" i="1"/>
  <c r="DR29" i="1" a="1"/>
  <c r="DR29" i="1"/>
  <c r="DR27" i="1" a="1"/>
  <c r="DR27" i="1"/>
  <c r="DR25" i="1" a="1"/>
  <c r="DR25" i="1"/>
  <c r="DR23" i="1" a="1"/>
  <c r="DR23" i="1"/>
  <c r="DR21" i="1" a="1"/>
  <c r="DR21" i="1"/>
  <c r="DR19" i="1" a="1"/>
  <c r="DR19" i="1"/>
  <c r="DR17" i="1" a="1"/>
  <c r="DR17" i="1"/>
  <c r="DR15" i="1" a="1"/>
  <c r="DR15" i="1"/>
  <c r="DR13" i="1" a="1"/>
  <c r="DR13" i="1"/>
  <c r="DS11" i="1"/>
  <c r="B34" i="1"/>
  <c r="D34" i="1"/>
  <c r="A35" i="1"/>
  <c r="U84" i="1"/>
  <c r="U76" i="1"/>
  <c r="U69" i="1"/>
  <c r="U72" i="1"/>
  <c r="U78" i="1"/>
  <c r="U67" i="1"/>
  <c r="U68" i="1"/>
  <c r="U82" i="1"/>
  <c r="U73" i="1"/>
  <c r="U74" i="1"/>
  <c r="U77" i="1"/>
  <c r="U87" i="1"/>
  <c r="U71" i="1"/>
  <c r="V65" i="1"/>
  <c r="U80" i="1"/>
  <c r="U70" i="1"/>
  <c r="U85" i="1"/>
  <c r="U81" i="1"/>
  <c r="U79" i="1"/>
  <c r="U86" i="1"/>
  <c r="U83" i="1"/>
  <c r="U75" i="1"/>
  <c r="DS62" i="1" a="1"/>
  <c r="DS62" i="1"/>
  <c r="DS56" i="1" a="1"/>
  <c r="DS56" i="1"/>
  <c r="DS57" i="1" a="1"/>
  <c r="DS57" i="1"/>
  <c r="DS50" i="1" a="1"/>
  <c r="DS50" i="1"/>
  <c r="DS46" i="1" a="1"/>
  <c r="DS46" i="1"/>
  <c r="DS42" i="1" a="1"/>
  <c r="DS42" i="1"/>
  <c r="DS38" i="1" a="1"/>
  <c r="DS38" i="1"/>
  <c r="DS34" i="1" a="1"/>
  <c r="DS34" i="1"/>
  <c r="DS30" i="1" a="1"/>
  <c r="DS30" i="1"/>
  <c r="DS26" i="1" a="1"/>
  <c r="DS26" i="1"/>
  <c r="DS22" i="1" a="1"/>
  <c r="DS22" i="1"/>
  <c r="DS18" i="1" a="1"/>
  <c r="DS18" i="1"/>
  <c r="DS14" i="1" a="1"/>
  <c r="DS14" i="1"/>
  <c r="DS60" i="1" a="1"/>
  <c r="DS60" i="1"/>
  <c r="DS54" i="1" a="1"/>
  <c r="DS54" i="1"/>
  <c r="DS52" i="1" a="1"/>
  <c r="DS52" i="1"/>
  <c r="DS48" i="1" a="1"/>
  <c r="DS48" i="1"/>
  <c r="DS44" i="1" a="1"/>
  <c r="DS44" i="1"/>
  <c r="DS40" i="1" a="1"/>
  <c r="DS40" i="1"/>
  <c r="DS36" i="1" a="1"/>
  <c r="DS36" i="1"/>
  <c r="DS32" i="1" a="1"/>
  <c r="DS32" i="1"/>
  <c r="DS28" i="1" a="1"/>
  <c r="DS28" i="1"/>
  <c r="DS24" i="1" a="1"/>
  <c r="DS24" i="1"/>
  <c r="DS20" i="1" a="1"/>
  <c r="DS20" i="1"/>
  <c r="DS16" i="1" a="1"/>
  <c r="DS16" i="1"/>
  <c r="DS12" i="1" a="1"/>
  <c r="DS12" i="1"/>
  <c r="DS58" i="1" a="1"/>
  <c r="DS58" i="1"/>
  <c r="DS47" i="1" a="1"/>
  <c r="DS47" i="1"/>
  <c r="DS39" i="1" a="1"/>
  <c r="DS39" i="1"/>
  <c r="DS31" i="1" a="1"/>
  <c r="DS31" i="1"/>
  <c r="DS23" i="1" a="1"/>
  <c r="DS23" i="1"/>
  <c r="DS15" i="1" a="1"/>
  <c r="DS15" i="1"/>
  <c r="DS55" i="1" a="1"/>
  <c r="DS55" i="1"/>
  <c r="DS49" i="1" a="1"/>
  <c r="DS49" i="1"/>
  <c r="DS41" i="1" a="1"/>
  <c r="DS41" i="1"/>
  <c r="DS33" i="1" a="1"/>
  <c r="DS33" i="1"/>
  <c r="DS25" i="1" a="1"/>
  <c r="DS25" i="1"/>
  <c r="DS17" i="1" a="1"/>
  <c r="DS17" i="1"/>
  <c r="DS53" i="1" a="1"/>
  <c r="DS53" i="1"/>
  <c r="DS37" i="1" a="1"/>
  <c r="DS37" i="1"/>
  <c r="DS21" i="1" a="1"/>
  <c r="DS21" i="1"/>
  <c r="DS61" i="1" a="1"/>
  <c r="DS61" i="1"/>
  <c r="DS45" i="1" a="1"/>
  <c r="DS45" i="1"/>
  <c r="DS29" i="1" a="1"/>
  <c r="DS29" i="1"/>
  <c r="DS13" i="1" a="1"/>
  <c r="DS13" i="1"/>
  <c r="DS51" i="1" a="1"/>
  <c r="DS51" i="1"/>
  <c r="DS19" i="1" a="1"/>
  <c r="DS19" i="1"/>
  <c r="DS35" i="1" a="1"/>
  <c r="DS35" i="1"/>
  <c r="DS59" i="1" a="1"/>
  <c r="DS59" i="1"/>
  <c r="DS27" i="1" a="1"/>
  <c r="DS27" i="1"/>
  <c r="DS43" i="1" a="1"/>
  <c r="DS43" i="1"/>
  <c r="DT11" i="1"/>
  <c r="C87" i="1"/>
  <c r="B87" i="1"/>
  <c r="A88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DT59" i="1" a="1"/>
  <c r="DT59" i="1"/>
  <c r="DT55" i="1" a="1"/>
  <c r="DT55" i="1"/>
  <c r="DT53" i="1" a="1"/>
  <c r="DT53" i="1"/>
  <c r="DT44" i="1" a="1"/>
  <c r="DT44" i="1"/>
  <c r="DT48" i="1" a="1"/>
  <c r="DT48" i="1"/>
  <c r="DT34" i="1" a="1"/>
  <c r="DT34" i="1"/>
  <c r="DT38" i="1" a="1"/>
  <c r="DT38" i="1"/>
  <c r="DT31" i="1" a="1"/>
  <c r="DT31" i="1"/>
  <c r="DT27" i="1" a="1"/>
  <c r="DT27" i="1"/>
  <c r="DT23" i="1" a="1"/>
  <c r="DT23" i="1"/>
  <c r="DT15" i="1" a="1"/>
  <c r="DT15" i="1"/>
  <c r="DT21" i="1" a="1"/>
  <c r="DT21" i="1"/>
  <c r="DU11" i="1"/>
  <c r="DT61" i="1" a="1"/>
  <c r="DT61" i="1"/>
  <c r="DT57" i="1" a="1"/>
  <c r="DT57" i="1"/>
  <c r="DT51" i="1" a="1"/>
  <c r="DT51" i="1"/>
  <c r="DT46" i="1" a="1"/>
  <c r="DT46" i="1"/>
  <c r="DT42" i="1" a="1"/>
  <c r="DT42" i="1"/>
  <c r="DT36" i="1" a="1"/>
  <c r="DT36" i="1"/>
  <c r="DT40" i="1" a="1"/>
  <c r="DT40" i="1"/>
  <c r="DT33" i="1" a="1"/>
  <c r="DT33" i="1"/>
  <c r="DT29" i="1" a="1"/>
  <c r="DT29" i="1"/>
  <c r="DT25" i="1" a="1"/>
  <c r="DT25" i="1"/>
  <c r="DT17" i="1" a="1"/>
  <c r="DT17" i="1"/>
  <c r="DT13" i="1" a="1"/>
  <c r="DT13" i="1"/>
  <c r="DT19" i="1" a="1"/>
  <c r="DT19" i="1"/>
  <c r="DT60" i="1" a="1"/>
  <c r="DT60" i="1"/>
  <c r="DT50" i="1" a="1"/>
  <c r="DT50" i="1"/>
  <c r="DT49" i="1" a="1"/>
  <c r="DT49" i="1"/>
  <c r="DT39" i="1" a="1"/>
  <c r="DT39" i="1"/>
  <c r="DT28" i="1" a="1"/>
  <c r="DT28" i="1"/>
  <c r="DT16" i="1" a="1"/>
  <c r="DT16" i="1"/>
  <c r="DT18" i="1" a="1"/>
  <c r="DT18" i="1"/>
  <c r="DT62" i="1" a="1"/>
  <c r="DT62" i="1"/>
  <c r="DT54" i="1" a="1"/>
  <c r="DT54" i="1"/>
  <c r="DT43" i="1" a="1"/>
  <c r="DT43" i="1"/>
  <c r="DT41" i="1" a="1"/>
  <c r="DT41" i="1"/>
  <c r="DT30" i="1" a="1"/>
  <c r="DT30" i="1"/>
  <c r="DT22" i="1" a="1"/>
  <c r="DT22" i="1"/>
  <c r="DT20" i="1" a="1"/>
  <c r="DT20" i="1"/>
  <c r="DT58" i="1" a="1"/>
  <c r="DT58" i="1"/>
  <c r="DT47" i="1" a="1"/>
  <c r="DT47" i="1"/>
  <c r="DT26" i="1" a="1"/>
  <c r="DT26" i="1"/>
  <c r="DT52" i="1" a="1"/>
  <c r="DT52" i="1"/>
  <c r="DT37" i="1" a="1"/>
  <c r="DT37" i="1"/>
  <c r="DT14" i="1" a="1"/>
  <c r="DT14" i="1"/>
  <c r="DT35" i="1" a="1"/>
  <c r="DT35" i="1"/>
  <c r="DT56" i="1" a="1"/>
  <c r="DT56" i="1"/>
  <c r="DT24" i="1" a="1"/>
  <c r="DT24" i="1"/>
  <c r="DT45" i="1" a="1"/>
  <c r="DT45" i="1"/>
  <c r="DT12" i="1" a="1"/>
  <c r="DT12" i="1"/>
  <c r="DT32" i="1" a="1"/>
  <c r="DT32" i="1"/>
  <c r="A89" i="1"/>
  <c r="C88" i="1"/>
  <c r="B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2" i="1"/>
  <c r="V79" i="1"/>
  <c r="V73" i="1"/>
  <c r="V80" i="1"/>
  <c r="V70" i="1"/>
  <c r="V83" i="1"/>
  <c r="V78" i="1"/>
  <c r="V69" i="1"/>
  <c r="V74" i="1"/>
  <c r="W65" i="1"/>
  <c r="V86" i="1"/>
  <c r="V81" i="1"/>
  <c r="V67" i="1"/>
  <c r="V84" i="1"/>
  <c r="V75" i="1"/>
  <c r="V72" i="1"/>
  <c r="V87" i="1"/>
  <c r="V88" i="1"/>
  <c r="V89" i="1"/>
  <c r="V85" i="1"/>
  <c r="V68" i="1"/>
  <c r="V76" i="1"/>
  <c r="V77" i="1"/>
  <c r="V71" i="1"/>
  <c r="B35" i="1"/>
  <c r="D35" i="1"/>
  <c r="A36" i="1"/>
  <c r="W85" i="1"/>
  <c r="W77" i="1"/>
  <c r="W70" i="1"/>
  <c r="W73" i="1"/>
  <c r="W80" i="1"/>
  <c r="W86" i="1"/>
  <c r="W87" i="1"/>
  <c r="W88" i="1"/>
  <c r="W89" i="1"/>
  <c r="W84" i="1"/>
  <c r="W81" i="1"/>
  <c r="W74" i="1"/>
  <c r="W78" i="1"/>
  <c r="W69" i="1"/>
  <c r="W79" i="1"/>
  <c r="W75" i="1"/>
  <c r="W82" i="1"/>
  <c r="W72" i="1"/>
  <c r="W67" i="1"/>
  <c r="W68" i="1"/>
  <c r="W76" i="1"/>
  <c r="W71" i="1"/>
  <c r="W83" i="1"/>
  <c r="X65" i="1"/>
  <c r="B36" i="1"/>
  <c r="D36" i="1"/>
  <c r="A37" i="1"/>
  <c r="B89" i="1"/>
  <c r="C89" i="1"/>
  <c r="A90" i="1"/>
  <c r="W90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DU61" i="1" a="1"/>
  <c r="DU61" i="1"/>
  <c r="DU55" i="1" a="1"/>
  <c r="DU55" i="1"/>
  <c r="DU53" i="1" a="1"/>
  <c r="DU53" i="1"/>
  <c r="DU49" i="1" a="1"/>
  <c r="DU49" i="1"/>
  <c r="DU45" i="1" a="1"/>
  <c r="DU45" i="1"/>
  <c r="DU41" i="1" a="1"/>
  <c r="DU41" i="1"/>
  <c r="DU37" i="1" a="1"/>
  <c r="DU37" i="1"/>
  <c r="DU33" i="1" a="1"/>
  <c r="DU33" i="1"/>
  <c r="DU25" i="1" a="1"/>
  <c r="DU25" i="1"/>
  <c r="DU29" i="1" a="1"/>
  <c r="DU29" i="1"/>
  <c r="DU21" i="1" a="1"/>
  <c r="DU21" i="1"/>
  <c r="DU17" i="1" a="1"/>
  <c r="DU17" i="1"/>
  <c r="DU13" i="1" a="1"/>
  <c r="DU13" i="1"/>
  <c r="DU59" i="1" a="1"/>
  <c r="DU59" i="1"/>
  <c r="DU58" i="1" a="1"/>
  <c r="DU58" i="1"/>
  <c r="DU51" i="1" a="1"/>
  <c r="DU51" i="1"/>
  <c r="DU47" i="1" a="1"/>
  <c r="DU47" i="1"/>
  <c r="DU43" i="1" a="1"/>
  <c r="DU43" i="1"/>
  <c r="DU39" i="1" a="1"/>
  <c r="DU39" i="1"/>
  <c r="DU35" i="1" a="1"/>
  <c r="DU35" i="1"/>
  <c r="DU27" i="1" a="1"/>
  <c r="DU27" i="1"/>
  <c r="DU31" i="1" a="1"/>
  <c r="DU31" i="1"/>
  <c r="DU23" i="1" a="1"/>
  <c r="DU23" i="1"/>
  <c r="DU19" i="1" a="1"/>
  <c r="DU19" i="1"/>
  <c r="DU15" i="1" a="1"/>
  <c r="DU15" i="1"/>
  <c r="DV11" i="1"/>
  <c r="DU56" i="1" a="1"/>
  <c r="DU56" i="1"/>
  <c r="DU50" i="1" a="1"/>
  <c r="DU50" i="1"/>
  <c r="DU42" i="1" a="1"/>
  <c r="DU42" i="1"/>
  <c r="DU34" i="1" a="1"/>
  <c r="DU34" i="1"/>
  <c r="DU30" i="1" a="1"/>
  <c r="DU30" i="1"/>
  <c r="DU18" i="1" a="1"/>
  <c r="DU18" i="1"/>
  <c r="DU60" i="1" a="1"/>
  <c r="DU60" i="1"/>
  <c r="DU52" i="1" a="1"/>
  <c r="DU52" i="1"/>
  <c r="DU44" i="1" a="1"/>
  <c r="DU44" i="1"/>
  <c r="DU36" i="1" a="1"/>
  <c r="DU36" i="1"/>
  <c r="DU24" i="1" a="1"/>
  <c r="DU24" i="1"/>
  <c r="DU20" i="1" a="1"/>
  <c r="DU20" i="1"/>
  <c r="DU12" i="1" a="1"/>
  <c r="DU12" i="1"/>
  <c r="DU48" i="1" a="1"/>
  <c r="DU48" i="1"/>
  <c r="DU32" i="1" a="1"/>
  <c r="DU32" i="1"/>
  <c r="DU16" i="1" a="1"/>
  <c r="DU16" i="1"/>
  <c r="DU54" i="1" a="1"/>
  <c r="DU54" i="1"/>
  <c r="DU40" i="1" a="1"/>
  <c r="DU40" i="1"/>
  <c r="DU28" i="1" a="1"/>
  <c r="DU28" i="1"/>
  <c r="DU62" i="1" a="1"/>
  <c r="DU62" i="1"/>
  <c r="DU26" i="1" a="1"/>
  <c r="DU26" i="1"/>
  <c r="DU46" i="1" a="1"/>
  <c r="DU46" i="1"/>
  <c r="DU14" i="1" a="1"/>
  <c r="DU14" i="1"/>
  <c r="DU38" i="1" a="1"/>
  <c r="DU38" i="1"/>
  <c r="DU57" i="1" a="1"/>
  <c r="DU57" i="1"/>
  <c r="DU22" i="1" a="1"/>
  <c r="DU22" i="1"/>
  <c r="A38" i="1"/>
  <c r="B37" i="1"/>
  <c r="D37" i="1"/>
  <c r="DV62" i="1" a="1"/>
  <c r="DV62" i="1"/>
  <c r="DV60" i="1" a="1"/>
  <c r="DV60" i="1"/>
  <c r="DV56" i="1" a="1"/>
  <c r="DV56" i="1"/>
  <c r="DV54" i="1" a="1"/>
  <c r="DV54" i="1"/>
  <c r="DV57" i="1" a="1"/>
  <c r="DV57" i="1"/>
  <c r="DV52" i="1" a="1"/>
  <c r="DV52" i="1"/>
  <c r="DV50" i="1" a="1"/>
  <c r="DV50" i="1"/>
  <c r="DV48" i="1" a="1"/>
  <c r="DV48" i="1"/>
  <c r="DV46" i="1" a="1"/>
  <c r="DV46" i="1"/>
  <c r="DV44" i="1" a="1"/>
  <c r="DV44" i="1"/>
  <c r="DV42" i="1" a="1"/>
  <c r="DV42" i="1"/>
  <c r="DV40" i="1" a="1"/>
  <c r="DV40" i="1"/>
  <c r="DV38" i="1" a="1"/>
  <c r="DV38" i="1"/>
  <c r="DV36" i="1" a="1"/>
  <c r="DV36" i="1"/>
  <c r="DV34" i="1" a="1"/>
  <c r="DV34" i="1"/>
  <c r="DV32" i="1" a="1"/>
  <c r="DV32" i="1"/>
  <c r="DV30" i="1" a="1"/>
  <c r="DV30" i="1"/>
  <c r="DV28" i="1" a="1"/>
  <c r="DV28" i="1"/>
  <c r="DV26" i="1" a="1"/>
  <c r="DV26" i="1"/>
  <c r="DV24" i="1" a="1"/>
  <c r="DV24" i="1"/>
  <c r="DV22" i="1" a="1"/>
  <c r="DV22" i="1"/>
  <c r="DV16" i="1" a="1"/>
  <c r="DV16" i="1"/>
  <c r="DV14" i="1" a="1"/>
  <c r="DV14" i="1"/>
  <c r="DV12" i="1" a="1"/>
  <c r="DV12" i="1"/>
  <c r="DV20" i="1" a="1"/>
  <c r="DV20" i="1"/>
  <c r="DV18" i="1" a="1"/>
  <c r="DV18" i="1"/>
  <c r="DV61" i="1" a="1"/>
  <c r="DV61" i="1"/>
  <c r="DV59" i="1" a="1"/>
  <c r="DV59" i="1"/>
  <c r="DV55" i="1" a="1"/>
  <c r="DV55" i="1"/>
  <c r="DV58" i="1" a="1"/>
  <c r="DV58" i="1"/>
  <c r="DV53" i="1" a="1"/>
  <c r="DV53" i="1"/>
  <c r="DV51" i="1" a="1"/>
  <c r="DV51" i="1"/>
  <c r="DV49" i="1" a="1"/>
  <c r="DV49" i="1"/>
  <c r="DV47" i="1" a="1"/>
  <c r="DV47" i="1"/>
  <c r="DV45" i="1" a="1"/>
  <c r="DV45" i="1"/>
  <c r="DV43" i="1" a="1"/>
  <c r="DV43" i="1"/>
  <c r="DV41" i="1" a="1"/>
  <c r="DV41" i="1"/>
  <c r="DV39" i="1" a="1"/>
  <c r="DV39" i="1"/>
  <c r="DV37" i="1" a="1"/>
  <c r="DV37" i="1"/>
  <c r="DV35" i="1" a="1"/>
  <c r="DV35" i="1"/>
  <c r="DV33" i="1" a="1"/>
  <c r="DV33" i="1"/>
  <c r="DV31" i="1" a="1"/>
  <c r="DV31" i="1"/>
  <c r="DV29" i="1" a="1"/>
  <c r="DV29" i="1"/>
  <c r="DV27" i="1" a="1"/>
  <c r="DV27" i="1"/>
  <c r="DV25" i="1" a="1"/>
  <c r="DV25" i="1"/>
  <c r="DV23" i="1" a="1"/>
  <c r="DV23" i="1"/>
  <c r="DV17" i="1" a="1"/>
  <c r="DV17" i="1"/>
  <c r="DV15" i="1" a="1"/>
  <c r="DV15" i="1"/>
  <c r="DV13" i="1" a="1"/>
  <c r="DV13" i="1"/>
  <c r="DV21" i="1" a="1"/>
  <c r="DV21" i="1"/>
  <c r="DV19" i="1" a="1"/>
  <c r="DV19" i="1"/>
  <c r="DW11" i="1"/>
  <c r="A91" i="1"/>
  <c r="C90" i="1"/>
  <c r="B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X85" i="1"/>
  <c r="X82" i="1"/>
  <c r="X77" i="1"/>
  <c r="X70" i="1"/>
  <c r="X73" i="1"/>
  <c r="Y65" i="1"/>
  <c r="X87" i="1"/>
  <c r="X86" i="1"/>
  <c r="X78" i="1"/>
  <c r="X74" i="1"/>
  <c r="X79" i="1"/>
  <c r="X69" i="1"/>
  <c r="X81" i="1"/>
  <c r="X75" i="1"/>
  <c r="X91" i="1"/>
  <c r="X84" i="1"/>
  <c r="X72" i="1"/>
  <c r="X67" i="1"/>
  <c r="X90" i="1"/>
  <c r="X68" i="1"/>
  <c r="X88" i="1"/>
  <c r="X76" i="1"/>
  <c r="X83" i="1"/>
  <c r="X71" i="1"/>
  <c r="X80" i="1"/>
  <c r="X89" i="1"/>
  <c r="A92" i="1"/>
  <c r="Y92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Y88" i="1"/>
  <c r="Y80" i="1"/>
  <c r="Y73" i="1"/>
  <c r="Y81" i="1"/>
  <c r="Y70" i="1"/>
  <c r="Y85" i="1"/>
  <c r="Y84" i="1"/>
  <c r="Y76" i="1"/>
  <c r="Y69" i="1"/>
  <c r="Y74" i="1"/>
  <c r="Y79" i="1"/>
  <c r="Y89" i="1"/>
  <c r="Y83" i="1"/>
  <c r="Y75" i="1"/>
  <c r="Y72" i="1"/>
  <c r="Y82" i="1"/>
  <c r="Y67" i="1"/>
  <c r="Z65" i="1"/>
  <c r="Y87" i="1"/>
  <c r="Y77" i="1"/>
  <c r="Y71" i="1"/>
  <c r="Y91" i="1"/>
  <c r="Y68" i="1"/>
  <c r="Y86" i="1"/>
  <c r="Y78" i="1"/>
  <c r="Y90" i="1"/>
  <c r="DW60" i="1" a="1"/>
  <c r="DW60" i="1"/>
  <c r="DW54" i="1" a="1"/>
  <c r="DW54" i="1"/>
  <c r="DW52" i="1" a="1"/>
  <c r="DW52" i="1"/>
  <c r="DW48" i="1" a="1"/>
  <c r="DW48" i="1"/>
  <c r="DW44" i="1" a="1"/>
  <c r="DW44" i="1"/>
  <c r="DW40" i="1" a="1"/>
  <c r="DW40" i="1"/>
  <c r="DW36" i="1" a="1"/>
  <c r="DW36" i="1"/>
  <c r="DW32" i="1" a="1"/>
  <c r="DW32" i="1"/>
  <c r="DW24" i="1" a="1"/>
  <c r="DW24" i="1"/>
  <c r="DW28" i="1" a="1"/>
  <c r="DW28" i="1"/>
  <c r="DW18" i="1" a="1"/>
  <c r="DW18" i="1"/>
  <c r="DW16" i="1" a="1"/>
  <c r="DW16" i="1"/>
  <c r="DW12" i="1" a="1"/>
  <c r="DW12" i="1"/>
  <c r="DW62" i="1" a="1"/>
  <c r="DW62" i="1"/>
  <c r="DW56" i="1" a="1"/>
  <c r="DW56" i="1"/>
  <c r="DW57" i="1" a="1"/>
  <c r="DW57" i="1"/>
  <c r="DW50" i="1" a="1"/>
  <c r="DW50" i="1"/>
  <c r="DW46" i="1" a="1"/>
  <c r="DW46" i="1"/>
  <c r="DW42" i="1" a="1"/>
  <c r="DW42" i="1"/>
  <c r="DW38" i="1" a="1"/>
  <c r="DW38" i="1"/>
  <c r="DW34" i="1" a="1"/>
  <c r="DW34" i="1"/>
  <c r="DW26" i="1" a="1"/>
  <c r="DW26" i="1"/>
  <c r="DW30" i="1" a="1"/>
  <c r="DW30" i="1"/>
  <c r="DW20" i="1" a="1"/>
  <c r="DW20" i="1"/>
  <c r="DW22" i="1" a="1"/>
  <c r="DW22" i="1"/>
  <c r="DW14" i="1" a="1"/>
  <c r="DW14" i="1"/>
  <c r="DW55" i="1" a="1"/>
  <c r="DW55" i="1"/>
  <c r="DW49" i="1" a="1"/>
  <c r="DW49" i="1"/>
  <c r="DW41" i="1" a="1"/>
  <c r="DW41" i="1"/>
  <c r="DW33" i="1" a="1"/>
  <c r="DW33" i="1"/>
  <c r="DW29" i="1" a="1"/>
  <c r="DW29" i="1"/>
  <c r="DW17" i="1" a="1"/>
  <c r="DW17" i="1"/>
  <c r="DW59" i="1" a="1"/>
  <c r="DW59" i="1"/>
  <c r="DW51" i="1" a="1"/>
  <c r="DW51" i="1"/>
  <c r="DW43" i="1" a="1"/>
  <c r="DW43" i="1"/>
  <c r="DW35" i="1" a="1"/>
  <c r="DW35" i="1"/>
  <c r="DW31" i="1" a="1"/>
  <c r="DW31" i="1"/>
  <c r="DW23" i="1" a="1"/>
  <c r="DW23" i="1"/>
  <c r="DX11" i="1"/>
  <c r="DW58" i="1" a="1"/>
  <c r="DW58" i="1"/>
  <c r="DW39" i="1" a="1"/>
  <c r="DW39" i="1"/>
  <c r="DW21" i="1" a="1"/>
  <c r="DW21" i="1"/>
  <c r="DW47" i="1" a="1"/>
  <c r="DW47" i="1"/>
  <c r="DW27" i="1" a="1"/>
  <c r="DW27" i="1"/>
  <c r="DW15" i="1" a="1"/>
  <c r="DW15" i="1"/>
  <c r="DW37" i="1" a="1"/>
  <c r="DW37" i="1"/>
  <c r="DW53" i="1" a="1"/>
  <c r="DW53" i="1"/>
  <c r="DW19" i="1" a="1"/>
  <c r="DW19" i="1"/>
  <c r="DW45" i="1" a="1"/>
  <c r="DW45" i="1"/>
  <c r="DW13" i="1" a="1"/>
  <c r="DW13" i="1"/>
  <c r="DW25" i="1" a="1"/>
  <c r="DW25" i="1"/>
  <c r="DW61" i="1" a="1"/>
  <c r="DW61" i="1"/>
  <c r="A39" i="1"/>
  <c r="B38" i="1"/>
  <c r="D38" i="1"/>
  <c r="DX61" i="1" a="1"/>
  <c r="DX61" i="1"/>
  <c r="DX59" i="1" a="1"/>
  <c r="DX59" i="1"/>
  <c r="DX57" i="1" a="1"/>
  <c r="DX57" i="1"/>
  <c r="DX55" i="1" a="1"/>
  <c r="DX55" i="1"/>
  <c r="DX53" i="1" a="1"/>
  <c r="DX53" i="1"/>
  <c r="DX51" i="1" a="1"/>
  <c r="DX51" i="1"/>
  <c r="DX47" i="1" a="1"/>
  <c r="DX47" i="1"/>
  <c r="DX62" i="1" a="1"/>
  <c r="DX62" i="1"/>
  <c r="DX60" i="1" a="1"/>
  <c r="DX60" i="1"/>
  <c r="DX58" i="1" a="1"/>
  <c r="DX58" i="1"/>
  <c r="DX56" i="1" a="1"/>
  <c r="DX56" i="1"/>
  <c r="DX54" i="1" a="1"/>
  <c r="DX54" i="1"/>
  <c r="DX52" i="1" a="1"/>
  <c r="DX52" i="1"/>
  <c r="DX50" i="1" a="1"/>
  <c r="DX50" i="1"/>
  <c r="DX46" i="1" a="1"/>
  <c r="DX46" i="1"/>
  <c r="DX44" i="1" a="1"/>
  <c r="DX44" i="1"/>
  <c r="DX42" i="1" a="1"/>
  <c r="DX42" i="1"/>
  <c r="DX48" i="1" a="1"/>
  <c r="DX48" i="1"/>
  <c r="DX39" i="1" a="1"/>
  <c r="DX39" i="1"/>
  <c r="DX37" i="1" a="1"/>
  <c r="DX37" i="1"/>
  <c r="DX35" i="1" a="1"/>
  <c r="DX35" i="1"/>
  <c r="DX41" i="1" a="1"/>
  <c r="DX41" i="1"/>
  <c r="DX30" i="1" a="1"/>
  <c r="DX30" i="1"/>
  <c r="DX28" i="1" a="1"/>
  <c r="DX28" i="1"/>
  <c r="DX32" i="1" a="1"/>
  <c r="DX32" i="1"/>
  <c r="DX26" i="1" a="1"/>
  <c r="DX26" i="1"/>
  <c r="DX24" i="1" a="1"/>
  <c r="DX24" i="1"/>
  <c r="DX22" i="1" a="1"/>
  <c r="DX22" i="1"/>
  <c r="DX20" i="1" a="1"/>
  <c r="DX20" i="1"/>
  <c r="DX18" i="1" a="1"/>
  <c r="DX18" i="1"/>
  <c r="DX16" i="1" a="1"/>
  <c r="DX16" i="1"/>
  <c r="DX14" i="1" a="1"/>
  <c r="DX14" i="1"/>
  <c r="DX12" i="1" a="1"/>
  <c r="DX12" i="1"/>
  <c r="DX45" i="1" a="1"/>
  <c r="DX45" i="1"/>
  <c r="DX43" i="1" a="1"/>
  <c r="DX43" i="1"/>
  <c r="DX49" i="1" a="1"/>
  <c r="DX49" i="1"/>
  <c r="DX40" i="1" a="1"/>
  <c r="DX40" i="1"/>
  <c r="DX38" i="1" a="1"/>
  <c r="DX38" i="1"/>
  <c r="DX36" i="1" a="1"/>
  <c r="DX36" i="1"/>
  <c r="DX34" i="1" a="1"/>
  <c r="DX34" i="1"/>
  <c r="DX31" i="1" a="1"/>
  <c r="DX31" i="1"/>
  <c r="DX29" i="1" a="1"/>
  <c r="DX29" i="1"/>
  <c r="DX33" i="1" a="1"/>
  <c r="DX33" i="1"/>
  <c r="DX27" i="1" a="1"/>
  <c r="DX27" i="1"/>
  <c r="DX25" i="1" a="1"/>
  <c r="DX25" i="1"/>
  <c r="DX23" i="1" a="1"/>
  <c r="DX23" i="1"/>
  <c r="DX21" i="1" a="1"/>
  <c r="DX21" i="1"/>
  <c r="DX19" i="1" a="1"/>
  <c r="DX19" i="1"/>
  <c r="DX17" i="1" a="1"/>
  <c r="DX17" i="1"/>
  <c r="DX15" i="1" a="1"/>
  <c r="DX15" i="1"/>
  <c r="DX13" i="1" a="1"/>
  <c r="DX13" i="1"/>
  <c r="DY11" i="1"/>
  <c r="B39" i="1"/>
  <c r="D39" i="1"/>
  <c r="A40" i="1"/>
  <c r="Z84" i="1"/>
  <c r="Z83" i="1"/>
  <c r="Z80" i="1"/>
  <c r="Z69" i="1"/>
  <c r="Z74" i="1"/>
  <c r="AA65" i="1"/>
  <c r="Z88" i="1"/>
  <c r="Z87" i="1"/>
  <c r="Z79" i="1"/>
  <c r="Z73" i="1"/>
  <c r="Z78" i="1"/>
  <c r="Z70" i="1"/>
  <c r="Z86" i="1"/>
  <c r="Z77" i="1"/>
  <c r="Z76" i="1"/>
  <c r="Z89" i="1"/>
  <c r="Z90" i="1"/>
  <c r="Z93" i="1"/>
  <c r="Z85" i="1"/>
  <c r="Z71" i="1"/>
  <c r="Z68" i="1"/>
  <c r="Z91" i="1"/>
  <c r="Z67" i="1"/>
  <c r="Z75" i="1"/>
  <c r="Z72" i="1"/>
  <c r="Z82" i="1"/>
  <c r="Z92" i="1"/>
  <c r="Z81" i="1"/>
  <c r="C92" i="1"/>
  <c r="A93" i="1"/>
  <c r="B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AA86" i="1"/>
  <c r="AA87" i="1"/>
  <c r="AA79" i="1"/>
  <c r="AA72" i="1"/>
  <c r="AA73" i="1"/>
  <c r="AA78" i="1"/>
  <c r="AA90" i="1"/>
  <c r="AA82" i="1"/>
  <c r="AA83" i="1"/>
  <c r="AA75" i="1"/>
  <c r="AA68" i="1"/>
  <c r="AA69" i="1"/>
  <c r="AB65" i="1"/>
  <c r="AA89" i="1"/>
  <c r="AA74" i="1"/>
  <c r="AA67" i="1"/>
  <c r="AA92" i="1"/>
  <c r="AA88" i="1"/>
  <c r="AA81" i="1"/>
  <c r="AA80" i="1"/>
  <c r="AA84" i="1"/>
  <c r="AA71" i="1"/>
  <c r="AA91" i="1"/>
  <c r="AA70" i="1"/>
  <c r="AA85" i="1"/>
  <c r="AA76" i="1"/>
  <c r="AA93" i="1"/>
  <c r="AA77" i="1"/>
  <c r="B93" i="1"/>
  <c r="A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B40" i="1"/>
  <c r="D40" i="1"/>
  <c r="A41" i="1"/>
  <c r="DY62" i="1" a="1"/>
  <c r="DY62" i="1"/>
  <c r="DY58" i="1" a="1"/>
  <c r="DY58" i="1"/>
  <c r="DY54" i="1" a="1"/>
  <c r="DY54" i="1"/>
  <c r="DY50" i="1" a="1"/>
  <c r="DY50" i="1"/>
  <c r="DY46" i="1" a="1"/>
  <c r="DY46" i="1"/>
  <c r="DY42" i="1" a="1"/>
  <c r="DY42" i="1"/>
  <c r="DY38" i="1" a="1"/>
  <c r="DY38" i="1"/>
  <c r="DY34" i="1" a="1"/>
  <c r="DY34" i="1"/>
  <c r="DY59" i="1" a="1"/>
  <c r="DY59" i="1"/>
  <c r="DY55" i="1" a="1"/>
  <c r="DY55" i="1"/>
  <c r="DY51" i="1" a="1"/>
  <c r="DY51" i="1"/>
  <c r="DY47" i="1" a="1"/>
  <c r="DY47" i="1"/>
  <c r="DY43" i="1" a="1"/>
  <c r="DY43" i="1"/>
  <c r="DY39" i="1" a="1"/>
  <c r="DY39" i="1"/>
  <c r="DY35" i="1" a="1"/>
  <c r="DY35" i="1"/>
  <c r="DY31" i="1" a="1"/>
  <c r="DY31" i="1"/>
  <c r="DY27" i="1" a="1"/>
  <c r="DY27" i="1"/>
  <c r="DY23" i="1" a="1"/>
  <c r="DY23" i="1"/>
  <c r="DY19" i="1" a="1"/>
  <c r="DY19" i="1"/>
  <c r="DY15" i="1" a="1"/>
  <c r="DY15" i="1"/>
  <c r="DZ11" i="1"/>
  <c r="DY57" i="1" a="1"/>
  <c r="DY57" i="1"/>
  <c r="DY49" i="1" a="1"/>
  <c r="DY49" i="1"/>
  <c r="DY41" i="1" a="1"/>
  <c r="DY41" i="1"/>
  <c r="DY33" i="1" a="1"/>
  <c r="DY33" i="1"/>
  <c r="DY28" i="1" a="1"/>
  <c r="DY28" i="1"/>
  <c r="DY22" i="1" a="1"/>
  <c r="DY22" i="1"/>
  <c r="DY17" i="1" a="1"/>
  <c r="DY17" i="1"/>
  <c r="DY12" i="1" a="1"/>
  <c r="DY12" i="1"/>
  <c r="DY61" i="1" a="1"/>
  <c r="DY61" i="1"/>
  <c r="DY53" i="1" a="1"/>
  <c r="DY53" i="1"/>
  <c r="DY45" i="1" a="1"/>
  <c r="DY45" i="1"/>
  <c r="DY37" i="1" a="1"/>
  <c r="DY37" i="1"/>
  <c r="DY30" i="1" a="1"/>
  <c r="DY30" i="1"/>
  <c r="DY25" i="1" a="1"/>
  <c r="DY25" i="1"/>
  <c r="DY20" i="1" a="1"/>
  <c r="DY20" i="1"/>
  <c r="DY14" i="1" a="1"/>
  <c r="DY14" i="1"/>
  <c r="DY48" i="1" a="1"/>
  <c r="DY48" i="1"/>
  <c r="DY32" i="1" a="1"/>
  <c r="DY32" i="1"/>
  <c r="DY21" i="1" a="1"/>
  <c r="DY21" i="1"/>
  <c r="DY56" i="1" a="1"/>
  <c r="DY56" i="1"/>
  <c r="DY40" i="1" a="1"/>
  <c r="DY40" i="1"/>
  <c r="DY26" i="1" a="1"/>
  <c r="DY26" i="1"/>
  <c r="DY16" i="1" a="1"/>
  <c r="DY16" i="1"/>
  <c r="DY52" i="1" a="1"/>
  <c r="DY52" i="1"/>
  <c r="DY36" i="1" a="1"/>
  <c r="DY36" i="1"/>
  <c r="DY24" i="1" a="1"/>
  <c r="DY24" i="1"/>
  <c r="DY13" i="1" a="1"/>
  <c r="DY13" i="1"/>
  <c r="DY44" i="1" a="1"/>
  <c r="DY44" i="1"/>
  <c r="DY29" i="1" a="1"/>
  <c r="DY29" i="1"/>
  <c r="DY18" i="1" a="1"/>
  <c r="DY18" i="1"/>
  <c r="DY60" i="1" a="1"/>
  <c r="DY60" i="1"/>
  <c r="B94" i="1"/>
  <c r="A95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DZ60" i="1" a="1"/>
  <c r="DZ60" i="1"/>
  <c r="DZ56" i="1" a="1"/>
  <c r="DZ56" i="1"/>
  <c r="DZ50" i="1" a="1"/>
  <c r="DZ50" i="1"/>
  <c r="DZ48" i="1" a="1"/>
  <c r="DZ48" i="1"/>
  <c r="DZ43" i="1" a="1"/>
  <c r="DZ43" i="1"/>
  <c r="DZ36" i="1" a="1"/>
  <c r="DZ36" i="1"/>
  <c r="DZ39" i="1" a="1"/>
  <c r="DZ39" i="1"/>
  <c r="DZ32" i="1" a="1"/>
  <c r="DZ32" i="1"/>
  <c r="DZ28" i="1" a="1"/>
  <c r="DZ28" i="1"/>
  <c r="DZ24" i="1" a="1"/>
  <c r="DZ24" i="1"/>
  <c r="DZ20" i="1" a="1"/>
  <c r="DZ20" i="1"/>
  <c r="DZ16" i="1" a="1"/>
  <c r="DZ16" i="1"/>
  <c r="DZ12" i="1" a="1"/>
  <c r="DZ12" i="1"/>
  <c r="DZ61" i="1" a="1"/>
  <c r="DZ61" i="1"/>
  <c r="DZ55" i="1" a="1"/>
  <c r="DZ55" i="1"/>
  <c r="DZ52" i="1" a="1"/>
  <c r="DZ52" i="1"/>
  <c r="DZ44" i="1" a="1"/>
  <c r="DZ44" i="1"/>
  <c r="DZ35" i="1" a="1"/>
  <c r="DZ35" i="1"/>
  <c r="DZ37" i="1" a="1"/>
  <c r="DZ37" i="1"/>
  <c r="DZ29" i="1" a="1"/>
  <c r="DZ29" i="1"/>
  <c r="DZ23" i="1" a="1"/>
  <c r="DZ23" i="1"/>
  <c r="DZ18" i="1" a="1"/>
  <c r="DZ18" i="1"/>
  <c r="DZ13" i="1" a="1"/>
  <c r="DZ13" i="1"/>
  <c r="DZ58" i="1" a="1"/>
  <c r="DZ58" i="1"/>
  <c r="DZ51" i="1" a="1"/>
  <c r="DZ51" i="1"/>
  <c r="DZ46" i="1" a="1"/>
  <c r="DZ46" i="1"/>
  <c r="DZ47" i="1" a="1"/>
  <c r="DZ47" i="1"/>
  <c r="DZ40" i="1" a="1"/>
  <c r="DZ40" i="1"/>
  <c r="DZ31" i="1" a="1"/>
  <c r="DZ31" i="1"/>
  <c r="DZ26" i="1" a="1"/>
  <c r="DZ26" i="1"/>
  <c r="DZ21" i="1" a="1"/>
  <c r="DZ21" i="1"/>
  <c r="DZ15" i="1" a="1"/>
  <c r="DZ15" i="1"/>
  <c r="DZ59" i="1" a="1"/>
  <c r="DZ59" i="1"/>
  <c r="DZ49" i="1" a="1"/>
  <c r="DZ49" i="1"/>
  <c r="DZ34" i="1" a="1"/>
  <c r="DZ34" i="1"/>
  <c r="DZ27" i="1" a="1"/>
  <c r="DZ27" i="1"/>
  <c r="DZ17" i="1" a="1"/>
  <c r="DZ17" i="1"/>
  <c r="DZ54" i="1" a="1"/>
  <c r="DZ54" i="1"/>
  <c r="DZ42" i="1" a="1"/>
  <c r="DZ42" i="1"/>
  <c r="DZ33" i="1" a="1"/>
  <c r="DZ33" i="1"/>
  <c r="DZ22" i="1" a="1"/>
  <c r="DZ22" i="1"/>
  <c r="EA11" i="1"/>
  <c r="DZ62" i="1" a="1"/>
  <c r="DZ62" i="1"/>
  <c r="DZ53" i="1" a="1"/>
  <c r="DZ53" i="1"/>
  <c r="DZ41" i="1" a="1"/>
  <c r="DZ41" i="1"/>
  <c r="DZ30" i="1" a="1"/>
  <c r="DZ30" i="1"/>
  <c r="DZ19" i="1" a="1"/>
  <c r="DZ19" i="1"/>
  <c r="DZ38" i="1" a="1"/>
  <c r="DZ38" i="1"/>
  <c r="DZ25" i="1" a="1"/>
  <c r="DZ25" i="1"/>
  <c r="DZ57" i="1" a="1"/>
  <c r="DZ57" i="1"/>
  <c r="DZ14" i="1" a="1"/>
  <c r="DZ14" i="1"/>
  <c r="DZ45" i="1" a="1"/>
  <c r="DZ45" i="1"/>
  <c r="A42" i="1"/>
  <c r="B41" i="1"/>
  <c r="D41" i="1"/>
  <c r="AA94" i="1"/>
  <c r="AB87" i="1"/>
  <c r="AB88" i="1"/>
  <c r="AB80" i="1"/>
  <c r="AB74" i="1"/>
  <c r="AB81" i="1"/>
  <c r="AB71" i="1"/>
  <c r="AB83" i="1"/>
  <c r="AB84" i="1"/>
  <c r="AB79" i="1"/>
  <c r="AB70" i="1"/>
  <c r="AB75" i="1"/>
  <c r="AB67" i="1"/>
  <c r="AB93" i="1"/>
  <c r="AB89" i="1"/>
  <c r="AB82" i="1"/>
  <c r="AB68" i="1"/>
  <c r="AC65" i="1"/>
  <c r="AB86" i="1"/>
  <c r="AB72" i="1"/>
  <c r="AB69" i="1"/>
  <c r="AB92" i="1"/>
  <c r="AB78" i="1"/>
  <c r="AB85" i="1"/>
  <c r="AB77" i="1"/>
  <c r="AB95" i="1"/>
  <c r="AB76" i="1"/>
  <c r="AB91" i="1"/>
  <c r="AB94" i="1"/>
  <c r="AB90" i="1"/>
  <c r="AB73" i="1"/>
  <c r="A43" i="1"/>
  <c r="B42" i="1"/>
  <c r="D42" i="1"/>
  <c r="EA62" i="1" a="1"/>
  <c r="EA62" i="1"/>
  <c r="EA60" i="1" a="1"/>
  <c r="EA60" i="1"/>
  <c r="EA56" i="1" a="1"/>
  <c r="EA56" i="1"/>
  <c r="EA54" i="1" a="1"/>
  <c r="EA54" i="1"/>
  <c r="EA57" i="1" a="1"/>
  <c r="EA57" i="1"/>
  <c r="EA52" i="1" a="1"/>
  <c r="EA52" i="1"/>
  <c r="EA50" i="1" a="1"/>
  <c r="EA50" i="1"/>
  <c r="EA48" i="1" a="1"/>
  <c r="EA48" i="1"/>
  <c r="EA46" i="1" a="1"/>
  <c r="EA46" i="1"/>
  <c r="EA44" i="1" a="1"/>
  <c r="EA44" i="1"/>
  <c r="EA42" i="1" a="1"/>
  <c r="EA42" i="1"/>
  <c r="EA40" i="1" a="1"/>
  <c r="EA40" i="1"/>
  <c r="EA38" i="1" a="1"/>
  <c r="EA38" i="1"/>
  <c r="EA36" i="1" a="1"/>
  <c r="EA36" i="1"/>
  <c r="EA34" i="1" a="1"/>
  <c r="EA34" i="1"/>
  <c r="EA32" i="1" a="1"/>
  <c r="EA32" i="1"/>
  <c r="EA30" i="1" a="1"/>
  <c r="EA30" i="1"/>
  <c r="EA28" i="1" a="1"/>
  <c r="EA28" i="1"/>
  <c r="EA26" i="1" a="1"/>
  <c r="EA26" i="1"/>
  <c r="EA24" i="1" a="1"/>
  <c r="EA24" i="1"/>
  <c r="EA22" i="1" a="1"/>
  <c r="EA22" i="1"/>
  <c r="EA20" i="1" a="1"/>
  <c r="EA20" i="1"/>
  <c r="EA18" i="1" a="1"/>
  <c r="EA18" i="1"/>
  <c r="EA16" i="1" a="1"/>
  <c r="EA16" i="1"/>
  <c r="EA14" i="1" a="1"/>
  <c r="EA14" i="1"/>
  <c r="EA12" i="1" a="1"/>
  <c r="EA12" i="1"/>
  <c r="EA61" i="1" a="1"/>
  <c r="EA61" i="1"/>
  <c r="EA59" i="1" a="1"/>
  <c r="EA59" i="1"/>
  <c r="EA55" i="1" a="1"/>
  <c r="EA55" i="1"/>
  <c r="EA58" i="1" a="1"/>
  <c r="EA58" i="1"/>
  <c r="EA53" i="1" a="1"/>
  <c r="EA53" i="1"/>
  <c r="EA51" i="1" a="1"/>
  <c r="EA51" i="1"/>
  <c r="EA49" i="1" a="1"/>
  <c r="EA49" i="1"/>
  <c r="EA47" i="1" a="1"/>
  <c r="EA47" i="1"/>
  <c r="EA45" i="1" a="1"/>
  <c r="EA45" i="1"/>
  <c r="EA43" i="1" a="1"/>
  <c r="EA43" i="1"/>
  <c r="EA41" i="1" a="1"/>
  <c r="EA41" i="1"/>
  <c r="EA39" i="1" a="1"/>
  <c r="EA39" i="1"/>
  <c r="EA37" i="1" a="1"/>
  <c r="EA37" i="1"/>
  <c r="EA35" i="1" a="1"/>
  <c r="EA35" i="1"/>
  <c r="EA33" i="1" a="1"/>
  <c r="EA33" i="1"/>
  <c r="EA31" i="1" a="1"/>
  <c r="EA31" i="1"/>
  <c r="EA29" i="1" a="1"/>
  <c r="EA29" i="1"/>
  <c r="EA27" i="1" a="1"/>
  <c r="EA27" i="1"/>
  <c r="EA25" i="1" a="1"/>
  <c r="EA25" i="1"/>
  <c r="EA23" i="1" a="1"/>
  <c r="EA23" i="1"/>
  <c r="EA21" i="1" a="1"/>
  <c r="EA21" i="1"/>
  <c r="EA19" i="1" a="1"/>
  <c r="EA19" i="1"/>
  <c r="EA17" i="1" a="1"/>
  <c r="EA17" i="1"/>
  <c r="EA15" i="1" a="1"/>
  <c r="EA15" i="1"/>
  <c r="EA13" i="1" a="1"/>
  <c r="EA13" i="1"/>
  <c r="EB11" i="1"/>
  <c r="AC91" i="1"/>
  <c r="AC83" i="1"/>
  <c r="AC86" i="1"/>
  <c r="AC78" i="1"/>
  <c r="AC69" i="1"/>
  <c r="AC72" i="1"/>
  <c r="AC77" i="1"/>
  <c r="AC94" i="1"/>
  <c r="AC87" i="1"/>
  <c r="AC90" i="1"/>
  <c r="AC82" i="1"/>
  <c r="AC73" i="1"/>
  <c r="AC79" i="1"/>
  <c r="AC68" i="1"/>
  <c r="AD65" i="1"/>
  <c r="AC88" i="1"/>
  <c r="AC71" i="1"/>
  <c r="AC81" i="1"/>
  <c r="AC92" i="1"/>
  <c r="AC76" i="1"/>
  <c r="AC70" i="1"/>
  <c r="AC84" i="1"/>
  <c r="AC75" i="1"/>
  <c r="AC89" i="1"/>
  <c r="AC67" i="1"/>
  <c r="AC80" i="1"/>
  <c r="AC74" i="1"/>
  <c r="AC85" i="1"/>
  <c r="AC93" i="1"/>
  <c r="AC95" i="1"/>
  <c r="A96" i="1"/>
  <c r="AC96" i="1"/>
  <c r="C95" i="1"/>
  <c r="B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EB61" i="1" a="1"/>
  <c r="EB61" i="1"/>
  <c r="EB59" i="1" a="1"/>
  <c r="EB59" i="1"/>
  <c r="EB57" i="1" a="1"/>
  <c r="EB57" i="1"/>
  <c r="EB55" i="1" a="1"/>
  <c r="EB55" i="1"/>
  <c r="EB51" i="1" a="1"/>
  <c r="EB51" i="1"/>
  <c r="EB53" i="1" a="1"/>
  <c r="EB53" i="1"/>
  <c r="EB46" i="1" a="1"/>
  <c r="EB46" i="1"/>
  <c r="EB44" i="1" a="1"/>
  <c r="EB44" i="1"/>
  <c r="EB42" i="1" a="1"/>
  <c r="EB42" i="1"/>
  <c r="EB62" i="1" a="1"/>
  <c r="EB62" i="1"/>
  <c r="EB60" i="1" a="1"/>
  <c r="EB60" i="1"/>
  <c r="EB58" i="1" a="1"/>
  <c r="EB58" i="1"/>
  <c r="EB56" i="1" a="1"/>
  <c r="EB56" i="1"/>
  <c r="EB54" i="1" a="1"/>
  <c r="EB54" i="1"/>
  <c r="EB50" i="1" a="1"/>
  <c r="EB50" i="1"/>
  <c r="EB52" i="1" a="1"/>
  <c r="EB52" i="1"/>
  <c r="EB45" i="1" a="1"/>
  <c r="EB45" i="1"/>
  <c r="EB43" i="1" a="1"/>
  <c r="EB43" i="1"/>
  <c r="EB49" i="1" a="1"/>
  <c r="EB49" i="1"/>
  <c r="EB47" i="1" a="1"/>
  <c r="EB47" i="1"/>
  <c r="EB35" i="1" a="1"/>
  <c r="EB35" i="1"/>
  <c r="EB41" i="1" a="1"/>
  <c r="EB41" i="1"/>
  <c r="EB39" i="1" a="1"/>
  <c r="EB39" i="1"/>
  <c r="EB37" i="1" a="1"/>
  <c r="EB37" i="1"/>
  <c r="EB32" i="1" a="1"/>
  <c r="EB32" i="1"/>
  <c r="EB30" i="1" a="1"/>
  <c r="EB30" i="1"/>
  <c r="EB28" i="1" a="1"/>
  <c r="EB28" i="1"/>
  <c r="EB26" i="1" a="1"/>
  <c r="EB26" i="1"/>
  <c r="EB24" i="1" a="1"/>
  <c r="EB24" i="1"/>
  <c r="EB22" i="1" a="1"/>
  <c r="EB22" i="1"/>
  <c r="EB16" i="1" a="1"/>
  <c r="EB16" i="1"/>
  <c r="EB14" i="1" a="1"/>
  <c r="EB14" i="1"/>
  <c r="EB12" i="1" a="1"/>
  <c r="EB12" i="1"/>
  <c r="EB20" i="1" a="1"/>
  <c r="EB20" i="1"/>
  <c r="EB18" i="1" a="1"/>
  <c r="EB18" i="1"/>
  <c r="EB36" i="1" a="1"/>
  <c r="EB36" i="1"/>
  <c r="EB34" i="1" a="1"/>
  <c r="EB34" i="1"/>
  <c r="EB40" i="1" a="1"/>
  <c r="EB40" i="1"/>
  <c r="EB38" i="1" a="1"/>
  <c r="EB38" i="1"/>
  <c r="EB33" i="1" a="1"/>
  <c r="EB33" i="1"/>
  <c r="EB31" i="1" a="1"/>
  <c r="EB31" i="1"/>
  <c r="EB29" i="1" a="1"/>
  <c r="EB29" i="1"/>
  <c r="EB27" i="1" a="1"/>
  <c r="EB27" i="1"/>
  <c r="EB25" i="1" a="1"/>
  <c r="EB25" i="1"/>
  <c r="EB23" i="1" a="1"/>
  <c r="EB23" i="1"/>
  <c r="EB17" i="1" a="1"/>
  <c r="EB17" i="1"/>
  <c r="EB15" i="1" a="1"/>
  <c r="EB15" i="1"/>
  <c r="EB13" i="1" a="1"/>
  <c r="EB13" i="1"/>
  <c r="EB21" i="1" a="1"/>
  <c r="EB21" i="1"/>
  <c r="EB19" i="1" a="1"/>
  <c r="EB19" i="1"/>
  <c r="EC11" i="1"/>
  <c r="EB48" i="1" a="1"/>
  <c r="EB48" i="1"/>
  <c r="B96" i="1"/>
  <c r="A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D88" i="1"/>
  <c r="AD91" i="1"/>
  <c r="AD83" i="1"/>
  <c r="AD78" i="1"/>
  <c r="AD71" i="1"/>
  <c r="AD74" i="1"/>
  <c r="AE65" i="1"/>
  <c r="AD92" i="1"/>
  <c r="AD84" i="1"/>
  <c r="AD87" i="1"/>
  <c r="AD79" i="1"/>
  <c r="AD76" i="1"/>
  <c r="AD67" i="1"/>
  <c r="AD70" i="1"/>
  <c r="AD89" i="1"/>
  <c r="AD75" i="1"/>
  <c r="AD72" i="1"/>
  <c r="AD85" i="1"/>
  <c r="AD69" i="1"/>
  <c r="AD93" i="1"/>
  <c r="AD95" i="1"/>
  <c r="AD97" i="1"/>
  <c r="AD86" i="1"/>
  <c r="AD77" i="1"/>
  <c r="AD68" i="1"/>
  <c r="AD94" i="1"/>
  <c r="AD90" i="1"/>
  <c r="AD80" i="1"/>
  <c r="AD81" i="1"/>
  <c r="AD96" i="1"/>
  <c r="AD73" i="1"/>
  <c r="AD82" i="1"/>
  <c r="B43" i="1"/>
  <c r="D43" i="1"/>
  <c r="A44" i="1"/>
  <c r="B44" i="1"/>
  <c r="D44" i="1"/>
  <c r="A45" i="1"/>
  <c r="AE92" i="1"/>
  <c r="AE84" i="1"/>
  <c r="AE89" i="1"/>
  <c r="AE81" i="1"/>
  <c r="AE74" i="1"/>
  <c r="AE78" i="1"/>
  <c r="AE69" i="1"/>
  <c r="AE94" i="1"/>
  <c r="AE88" i="1"/>
  <c r="AE93" i="1"/>
  <c r="AE85" i="1"/>
  <c r="AE77" i="1"/>
  <c r="AE70" i="1"/>
  <c r="AE73" i="1"/>
  <c r="AE80" i="1"/>
  <c r="AE82" i="1"/>
  <c r="AE79" i="1"/>
  <c r="AE76" i="1"/>
  <c r="AE91" i="1"/>
  <c r="AE72" i="1"/>
  <c r="AF65" i="1"/>
  <c r="AE98" i="1"/>
  <c r="AE90" i="1"/>
  <c r="AE83" i="1"/>
  <c r="AE71" i="1"/>
  <c r="AE96" i="1"/>
  <c r="AE87" i="1"/>
  <c r="AE97" i="1"/>
  <c r="AE68" i="1"/>
  <c r="AE95" i="1"/>
  <c r="AE86" i="1"/>
  <c r="AE67" i="1"/>
  <c r="AE75" i="1"/>
  <c r="EC62" i="1" a="1"/>
  <c r="EC62" i="1"/>
  <c r="EC60" i="1" a="1"/>
  <c r="EC60" i="1"/>
  <c r="EC56" i="1" a="1"/>
  <c r="EC56" i="1"/>
  <c r="EC54" i="1" a="1"/>
  <c r="EC54" i="1"/>
  <c r="EC57" i="1" a="1"/>
  <c r="EC57" i="1"/>
  <c r="EC52" i="1" a="1"/>
  <c r="EC52" i="1"/>
  <c r="EC50" i="1" a="1"/>
  <c r="EC50" i="1"/>
  <c r="EC48" i="1" a="1"/>
  <c r="EC48" i="1"/>
  <c r="EC46" i="1" a="1"/>
  <c r="EC46" i="1"/>
  <c r="EC44" i="1" a="1"/>
  <c r="EC44" i="1"/>
  <c r="EC42" i="1" a="1"/>
  <c r="EC42" i="1"/>
  <c r="EC40" i="1" a="1"/>
  <c r="EC40" i="1"/>
  <c r="EC38" i="1" a="1"/>
  <c r="EC38" i="1"/>
  <c r="EC36" i="1" a="1"/>
  <c r="EC36" i="1"/>
  <c r="EC34" i="1" a="1"/>
  <c r="EC34" i="1"/>
  <c r="EC32" i="1" a="1"/>
  <c r="EC32" i="1"/>
  <c r="EC26" i="1" a="1"/>
  <c r="EC26" i="1"/>
  <c r="EC24" i="1" a="1"/>
  <c r="EC24" i="1"/>
  <c r="EC30" i="1" a="1"/>
  <c r="EC30" i="1"/>
  <c r="EC28" i="1" a="1"/>
  <c r="EC28" i="1"/>
  <c r="EC22" i="1" a="1"/>
  <c r="EC22" i="1"/>
  <c r="EC20" i="1" a="1"/>
  <c r="EC20" i="1"/>
  <c r="EC18" i="1" a="1"/>
  <c r="EC18" i="1"/>
  <c r="EC16" i="1" a="1"/>
  <c r="EC16" i="1"/>
  <c r="EC14" i="1" a="1"/>
  <c r="EC14" i="1"/>
  <c r="EC12" i="1" a="1"/>
  <c r="EC12" i="1"/>
  <c r="EC61" i="1" a="1"/>
  <c r="EC61" i="1"/>
  <c r="EC59" i="1" a="1"/>
  <c r="EC59" i="1"/>
  <c r="EC55" i="1" a="1"/>
  <c r="EC55" i="1"/>
  <c r="EC58" i="1" a="1"/>
  <c r="EC58" i="1"/>
  <c r="EC53" i="1" a="1"/>
  <c r="EC53" i="1"/>
  <c r="EC51" i="1" a="1"/>
  <c r="EC51" i="1"/>
  <c r="EC49" i="1" a="1"/>
  <c r="EC49" i="1"/>
  <c r="EC47" i="1" a="1"/>
  <c r="EC47" i="1"/>
  <c r="EC45" i="1" a="1"/>
  <c r="EC45" i="1"/>
  <c r="EC43" i="1" a="1"/>
  <c r="EC43" i="1"/>
  <c r="EC41" i="1" a="1"/>
  <c r="EC41" i="1"/>
  <c r="EC39" i="1" a="1"/>
  <c r="EC39" i="1"/>
  <c r="EC37" i="1" a="1"/>
  <c r="EC37" i="1"/>
  <c r="EC35" i="1" a="1"/>
  <c r="EC35" i="1"/>
  <c r="EC33" i="1" a="1"/>
  <c r="EC33" i="1"/>
  <c r="EC27" i="1" a="1"/>
  <c r="EC27" i="1"/>
  <c r="EC25" i="1" a="1"/>
  <c r="EC25" i="1"/>
  <c r="EC31" i="1" a="1"/>
  <c r="EC31" i="1"/>
  <c r="EC29" i="1" a="1"/>
  <c r="EC29" i="1"/>
  <c r="EC23" i="1" a="1"/>
  <c r="EC23" i="1"/>
  <c r="EC21" i="1" a="1"/>
  <c r="EC21" i="1"/>
  <c r="EC19" i="1" a="1"/>
  <c r="EC19" i="1"/>
  <c r="EC17" i="1" a="1"/>
  <c r="EC17" i="1"/>
  <c r="EC15" i="1" a="1"/>
  <c r="EC15" i="1"/>
  <c r="EC13" i="1" a="1"/>
  <c r="EC13" i="1"/>
  <c r="ED11" i="1"/>
  <c r="B97" i="1"/>
  <c r="C97" i="1"/>
  <c r="A98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ED59" i="1" a="1"/>
  <c r="ED59" i="1"/>
  <c r="ED58" i="1" a="1"/>
  <c r="ED58" i="1"/>
  <c r="ED51" i="1" a="1"/>
  <c r="ED51" i="1"/>
  <c r="ED47" i="1" a="1"/>
  <c r="ED47" i="1"/>
  <c r="ED43" i="1" a="1"/>
  <c r="ED43" i="1"/>
  <c r="ED39" i="1" a="1"/>
  <c r="ED39" i="1"/>
  <c r="ED35" i="1" a="1"/>
  <c r="ED35" i="1"/>
  <c r="ED31" i="1" a="1"/>
  <c r="ED31" i="1"/>
  <c r="ED27" i="1" a="1"/>
  <c r="ED27" i="1"/>
  <c r="ED23" i="1" a="1"/>
  <c r="ED23" i="1"/>
  <c r="ED15" i="1" a="1"/>
  <c r="ED15" i="1"/>
  <c r="ED21" i="1" a="1"/>
  <c r="ED21" i="1"/>
  <c r="EE11" i="1"/>
  <c r="ED61" i="1" a="1"/>
  <c r="ED61" i="1"/>
  <c r="ED55" i="1" a="1"/>
  <c r="ED55" i="1"/>
  <c r="ED53" i="1" a="1"/>
  <c r="ED53" i="1"/>
  <c r="ED49" i="1" a="1"/>
  <c r="ED49" i="1"/>
  <c r="ED45" i="1" a="1"/>
  <c r="ED45" i="1"/>
  <c r="ED41" i="1" a="1"/>
  <c r="ED41" i="1"/>
  <c r="ED37" i="1" a="1"/>
  <c r="ED37" i="1"/>
  <c r="ED33" i="1" a="1"/>
  <c r="ED33" i="1"/>
  <c r="ED29" i="1" a="1"/>
  <c r="ED29" i="1"/>
  <c r="ED25" i="1" a="1"/>
  <c r="ED25" i="1"/>
  <c r="ED17" i="1" a="1"/>
  <c r="ED17" i="1"/>
  <c r="ED13" i="1" a="1"/>
  <c r="ED13" i="1"/>
  <c r="ED19" i="1" a="1"/>
  <c r="ED19" i="1"/>
  <c r="ED60" i="1" a="1"/>
  <c r="ED60" i="1"/>
  <c r="ED54" i="1" a="1"/>
  <c r="ED54" i="1"/>
  <c r="ED52" i="1" a="1"/>
  <c r="ED52" i="1"/>
  <c r="ED48" i="1" a="1"/>
  <c r="ED48" i="1"/>
  <c r="ED44" i="1" a="1"/>
  <c r="ED44" i="1"/>
  <c r="ED40" i="1" a="1"/>
  <c r="ED40" i="1"/>
  <c r="ED36" i="1" a="1"/>
  <c r="ED36" i="1"/>
  <c r="ED32" i="1" a="1"/>
  <c r="ED32" i="1"/>
  <c r="ED28" i="1" a="1"/>
  <c r="ED28" i="1"/>
  <c r="ED24" i="1" a="1"/>
  <c r="ED24" i="1"/>
  <c r="ED16" i="1" a="1"/>
  <c r="ED16" i="1"/>
  <c r="ED12" i="1" a="1"/>
  <c r="ED12" i="1"/>
  <c r="ED18" i="1" a="1"/>
  <c r="ED18" i="1"/>
  <c r="ED56" i="1" a="1"/>
  <c r="ED56" i="1"/>
  <c r="ED42" i="1" a="1"/>
  <c r="ED42" i="1"/>
  <c r="ED26" i="1" a="1"/>
  <c r="ED26" i="1"/>
  <c r="ED57" i="1" a="1"/>
  <c r="ED57" i="1"/>
  <c r="ED38" i="1" a="1"/>
  <c r="ED38" i="1"/>
  <c r="ED22" i="1" a="1"/>
  <c r="ED22" i="1"/>
  <c r="ED50" i="1" a="1"/>
  <c r="ED50" i="1"/>
  <c r="ED34" i="1" a="1"/>
  <c r="ED34" i="1"/>
  <c r="ED14" i="1" a="1"/>
  <c r="ED14" i="1"/>
  <c r="ED30" i="1" a="1"/>
  <c r="ED30" i="1"/>
  <c r="ED20" i="1" a="1"/>
  <c r="ED20" i="1"/>
  <c r="ED62" i="1" a="1"/>
  <c r="ED62" i="1"/>
  <c r="ED46" i="1" a="1"/>
  <c r="ED46" i="1"/>
  <c r="A99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F91" i="1"/>
  <c r="AF83" i="1"/>
  <c r="AF88" i="1"/>
  <c r="AF80" i="1"/>
  <c r="AF77" i="1"/>
  <c r="AF70" i="1"/>
  <c r="AF73" i="1"/>
  <c r="AG65" i="1"/>
  <c r="AF87" i="1"/>
  <c r="AF92" i="1"/>
  <c r="AF84" i="1"/>
  <c r="AF95" i="1"/>
  <c r="AF74" i="1"/>
  <c r="AF79" i="1"/>
  <c r="AF69" i="1"/>
  <c r="AF97" i="1"/>
  <c r="AF99" i="1"/>
  <c r="AF89" i="1"/>
  <c r="AF86" i="1"/>
  <c r="AF75" i="1"/>
  <c r="AF71" i="1"/>
  <c r="AF98" i="1"/>
  <c r="AF94" i="1"/>
  <c r="AF78" i="1"/>
  <c r="AF68" i="1"/>
  <c r="AF93" i="1"/>
  <c r="AF90" i="1"/>
  <c r="AF81" i="1"/>
  <c r="AF76" i="1"/>
  <c r="AF96" i="1"/>
  <c r="AF72" i="1"/>
  <c r="AF67" i="1"/>
  <c r="AF85" i="1"/>
  <c r="AF82" i="1"/>
  <c r="A46" i="1"/>
  <c r="B45" i="1"/>
  <c r="D45" i="1"/>
  <c r="AG91" i="1"/>
  <c r="AG83" i="1"/>
  <c r="AG88" i="1"/>
  <c r="AG80" i="1"/>
  <c r="AG71" i="1"/>
  <c r="AG77" i="1"/>
  <c r="AG70" i="1"/>
  <c r="AG95" i="1"/>
  <c r="AG87" i="1"/>
  <c r="AG92" i="1"/>
  <c r="AG84" i="1"/>
  <c r="AG76" i="1"/>
  <c r="AG67" i="1"/>
  <c r="AG74" i="1"/>
  <c r="AG79" i="1"/>
  <c r="AG98" i="1"/>
  <c r="AG96" i="1"/>
  <c r="AG94" i="1"/>
  <c r="AG78" i="1"/>
  <c r="AG75" i="1"/>
  <c r="AG100" i="1"/>
  <c r="AG89" i="1"/>
  <c r="AG86" i="1"/>
  <c r="AG69" i="1"/>
  <c r="AG68" i="1"/>
  <c r="AG85" i="1"/>
  <c r="AG82" i="1"/>
  <c r="AG81" i="1"/>
  <c r="AH65" i="1"/>
  <c r="AG99" i="1"/>
  <c r="AG90" i="1"/>
  <c r="AG97" i="1"/>
  <c r="AG73" i="1"/>
  <c r="AG72" i="1"/>
  <c r="AG93" i="1"/>
  <c r="B46" i="1"/>
  <c r="D46" i="1"/>
  <c r="A47" i="1"/>
  <c r="A100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EE61" i="1" a="1"/>
  <c r="EE61" i="1"/>
  <c r="EE55" i="1" a="1"/>
  <c r="EE55" i="1"/>
  <c r="EE53" i="1" a="1"/>
  <c r="EE53" i="1"/>
  <c r="EE49" i="1" a="1"/>
  <c r="EE49" i="1"/>
  <c r="EE45" i="1" a="1"/>
  <c r="EE45" i="1"/>
  <c r="EE41" i="1" a="1"/>
  <c r="EE41" i="1"/>
  <c r="EE37" i="1" a="1"/>
  <c r="EE37" i="1"/>
  <c r="EE33" i="1" a="1"/>
  <c r="EE33" i="1"/>
  <c r="EE25" i="1" a="1"/>
  <c r="EE25" i="1"/>
  <c r="EE29" i="1" a="1"/>
  <c r="EE29" i="1"/>
  <c r="EE19" i="1" a="1"/>
  <c r="EE19" i="1"/>
  <c r="EE17" i="1" a="1"/>
  <c r="EE17" i="1"/>
  <c r="EE13" i="1" a="1"/>
  <c r="EE13" i="1"/>
  <c r="EE59" i="1" a="1"/>
  <c r="EE59" i="1"/>
  <c r="EE58" i="1" a="1"/>
  <c r="EE58" i="1"/>
  <c r="EE51" i="1" a="1"/>
  <c r="EE51" i="1"/>
  <c r="EE47" i="1" a="1"/>
  <c r="EE47" i="1"/>
  <c r="EE43" i="1" a="1"/>
  <c r="EE43" i="1"/>
  <c r="EE39" i="1" a="1"/>
  <c r="EE39" i="1"/>
  <c r="EE35" i="1" a="1"/>
  <c r="EE35" i="1"/>
  <c r="EE27" i="1" a="1"/>
  <c r="EE27" i="1"/>
  <c r="EE31" i="1" a="1"/>
  <c r="EE31" i="1"/>
  <c r="EE21" i="1" a="1"/>
  <c r="EE21" i="1"/>
  <c r="EE23" i="1" a="1"/>
  <c r="EE23" i="1"/>
  <c r="EE15" i="1" a="1"/>
  <c r="EE15" i="1"/>
  <c r="EF11" i="1"/>
  <c r="EE62" i="1" a="1"/>
  <c r="EE62" i="1"/>
  <c r="EE56" i="1" a="1"/>
  <c r="EE56" i="1"/>
  <c r="EE57" i="1" a="1"/>
  <c r="EE57" i="1"/>
  <c r="EE50" i="1" a="1"/>
  <c r="EE50" i="1"/>
  <c r="EE46" i="1" a="1"/>
  <c r="EE46" i="1"/>
  <c r="EE42" i="1" a="1"/>
  <c r="EE42" i="1"/>
  <c r="EE38" i="1" a="1"/>
  <c r="EE38" i="1"/>
  <c r="EE34" i="1" a="1"/>
  <c r="EE34" i="1"/>
  <c r="EE26" i="1" a="1"/>
  <c r="EE26" i="1"/>
  <c r="EE30" i="1" a="1"/>
  <c r="EE30" i="1"/>
  <c r="EE20" i="1" a="1"/>
  <c r="EE20" i="1"/>
  <c r="EE22" i="1" a="1"/>
  <c r="EE22" i="1"/>
  <c r="EE14" i="1" a="1"/>
  <c r="EE14" i="1"/>
  <c r="EE48" i="1" a="1"/>
  <c r="EE48" i="1"/>
  <c r="EE32" i="1" a="1"/>
  <c r="EE32" i="1"/>
  <c r="EE16" i="1" a="1"/>
  <c r="EE16" i="1"/>
  <c r="EE60" i="1" a="1"/>
  <c r="EE60" i="1"/>
  <c r="EE44" i="1" a="1"/>
  <c r="EE44" i="1"/>
  <c r="EE24" i="1" a="1"/>
  <c r="EE24" i="1"/>
  <c r="EE12" i="1" a="1"/>
  <c r="EE12" i="1"/>
  <c r="EE54" i="1" a="1"/>
  <c r="EE54" i="1"/>
  <c r="EE40" i="1" a="1"/>
  <c r="EE40" i="1"/>
  <c r="EE28" i="1" a="1"/>
  <c r="EE28" i="1"/>
  <c r="EE52" i="1" a="1"/>
  <c r="EE52" i="1"/>
  <c r="EE36" i="1" a="1"/>
  <c r="EE36" i="1"/>
  <c r="EE18" i="1" a="1"/>
  <c r="EE18" i="1"/>
  <c r="EF61" i="1" a="1"/>
  <c r="EF61" i="1"/>
  <c r="EF59" i="1" a="1"/>
  <c r="EF59" i="1"/>
  <c r="EF57" i="1" a="1"/>
  <c r="EF57" i="1"/>
  <c r="EF55" i="1" a="1"/>
  <c r="EF55" i="1"/>
  <c r="EF53" i="1" a="1"/>
  <c r="EF53" i="1"/>
  <c r="EF51" i="1" a="1"/>
  <c r="EF51" i="1"/>
  <c r="EF47" i="1" a="1"/>
  <c r="EF47" i="1"/>
  <c r="EF45" i="1" a="1"/>
  <c r="EF45" i="1"/>
  <c r="EF43" i="1" a="1"/>
  <c r="EF43" i="1"/>
  <c r="EF49" i="1" a="1"/>
  <c r="EF49" i="1"/>
  <c r="EF40" i="1" a="1"/>
  <c r="EF40" i="1"/>
  <c r="EF38" i="1" a="1"/>
  <c r="EF38" i="1"/>
  <c r="EF36" i="1" a="1"/>
  <c r="EF36" i="1"/>
  <c r="EF34" i="1" a="1"/>
  <c r="EF34" i="1"/>
  <c r="EF31" i="1" a="1"/>
  <c r="EF31" i="1"/>
  <c r="EF29" i="1" a="1"/>
  <c r="EF29" i="1"/>
  <c r="EF33" i="1" a="1"/>
  <c r="EF33" i="1"/>
  <c r="EF27" i="1" a="1"/>
  <c r="EF27" i="1"/>
  <c r="EF25" i="1" a="1"/>
  <c r="EF25" i="1"/>
  <c r="EF23" i="1" a="1"/>
  <c r="EF23" i="1"/>
  <c r="EF21" i="1" a="1"/>
  <c r="EF21" i="1"/>
  <c r="EF19" i="1" a="1"/>
  <c r="EF19" i="1"/>
  <c r="EF17" i="1" a="1"/>
  <c r="EF17" i="1"/>
  <c r="EF15" i="1" a="1"/>
  <c r="EF15" i="1"/>
  <c r="EF13" i="1" a="1"/>
  <c r="EF13" i="1"/>
  <c r="EG11" i="1"/>
  <c r="EF62" i="1" a="1"/>
  <c r="EF62" i="1"/>
  <c r="EF60" i="1" a="1"/>
  <c r="EF60" i="1"/>
  <c r="EF58" i="1" a="1"/>
  <c r="EF58" i="1"/>
  <c r="EF56" i="1" a="1"/>
  <c r="EF56" i="1"/>
  <c r="EF54" i="1" a="1"/>
  <c r="EF54" i="1"/>
  <c r="EF52" i="1" a="1"/>
  <c r="EF52" i="1"/>
  <c r="EF50" i="1" a="1"/>
  <c r="EF50" i="1"/>
  <c r="EF46" i="1" a="1"/>
  <c r="EF46" i="1"/>
  <c r="EF44" i="1" a="1"/>
  <c r="EF44" i="1"/>
  <c r="EF42" i="1" a="1"/>
  <c r="EF42" i="1"/>
  <c r="EF48" i="1" a="1"/>
  <c r="EF48" i="1"/>
  <c r="EF39" i="1" a="1"/>
  <c r="EF39" i="1"/>
  <c r="EF37" i="1" a="1"/>
  <c r="EF37" i="1"/>
  <c r="EF35" i="1" a="1"/>
  <c r="EF35" i="1"/>
  <c r="EF41" i="1" a="1"/>
  <c r="EF41" i="1"/>
  <c r="EF30" i="1" a="1"/>
  <c r="EF30" i="1"/>
  <c r="EF28" i="1" a="1"/>
  <c r="EF28" i="1"/>
  <c r="EF32" i="1" a="1"/>
  <c r="EF32" i="1"/>
  <c r="EF26" i="1" a="1"/>
  <c r="EF26" i="1"/>
  <c r="EF24" i="1" a="1"/>
  <c r="EF24" i="1"/>
  <c r="EF22" i="1" a="1"/>
  <c r="EF22" i="1"/>
  <c r="EF20" i="1" a="1"/>
  <c r="EF20" i="1"/>
  <c r="EF18" i="1" a="1"/>
  <c r="EF18" i="1"/>
  <c r="EF16" i="1" a="1"/>
  <c r="EF16" i="1"/>
  <c r="EF14" i="1" a="1"/>
  <c r="EF14" i="1"/>
  <c r="EF12" i="1" a="1"/>
  <c r="EF12" i="1"/>
  <c r="B47" i="1"/>
  <c r="D47" i="1"/>
  <c r="A48" i="1"/>
  <c r="AH97" i="1"/>
  <c r="AH92" i="1"/>
  <c r="AH84" i="1"/>
  <c r="AH89" i="1"/>
  <c r="AH81" i="1"/>
  <c r="AH76" i="1"/>
  <c r="AH67" i="1"/>
  <c r="AH72" i="1"/>
  <c r="AH99" i="1"/>
  <c r="AH96" i="1"/>
  <c r="AH88" i="1"/>
  <c r="AH93" i="1"/>
  <c r="AH85" i="1"/>
  <c r="AH77" i="1"/>
  <c r="AH71" i="1"/>
  <c r="AH75" i="1"/>
  <c r="AH68" i="1"/>
  <c r="AH100" i="1"/>
  <c r="AH101" i="1"/>
  <c r="AH95" i="1"/>
  <c r="AH82" i="1"/>
  <c r="AH79" i="1"/>
  <c r="AH78" i="1"/>
  <c r="AH90" i="1"/>
  <c r="AH87" i="1"/>
  <c r="AH73" i="1"/>
  <c r="AH70" i="1"/>
  <c r="AH86" i="1"/>
  <c r="AH83" i="1"/>
  <c r="AH69" i="1"/>
  <c r="AI65" i="1"/>
  <c r="AH91" i="1"/>
  <c r="AH80" i="1"/>
  <c r="AH74" i="1"/>
  <c r="AH98" i="1"/>
  <c r="AH94" i="1"/>
  <c r="A101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49" i="1"/>
  <c r="B48" i="1"/>
  <c r="D48" i="1"/>
  <c r="EG60" i="1" a="1"/>
  <c r="EG60" i="1"/>
  <c r="EG55" i="1" a="1"/>
  <c r="EG55" i="1"/>
  <c r="EG52" i="1" a="1"/>
  <c r="EG52" i="1"/>
  <c r="EG48" i="1" a="1"/>
  <c r="EG48" i="1"/>
  <c r="EG44" i="1" a="1"/>
  <c r="EG44" i="1"/>
  <c r="EG40" i="1" a="1"/>
  <c r="EG40" i="1"/>
  <c r="EG36" i="1" a="1"/>
  <c r="EG36" i="1"/>
  <c r="EG32" i="1" a="1"/>
  <c r="EG32" i="1"/>
  <c r="EG28" i="1" a="1"/>
  <c r="EG28" i="1"/>
  <c r="EG24" i="1" a="1"/>
  <c r="EG24" i="1"/>
  <c r="EG20" i="1" a="1"/>
  <c r="EG20" i="1"/>
  <c r="EG16" i="1" a="1"/>
  <c r="EG16" i="1"/>
  <c r="EG12" i="1" a="1"/>
  <c r="EG12" i="1"/>
  <c r="EG62" i="1" a="1"/>
  <c r="EG62" i="1"/>
  <c r="EG57" i="1" a="1"/>
  <c r="EG57" i="1"/>
  <c r="EG58" i="1" a="1"/>
  <c r="EG58" i="1"/>
  <c r="EG50" i="1" a="1"/>
  <c r="EG50" i="1"/>
  <c r="EG46" i="1" a="1"/>
  <c r="EG46" i="1"/>
  <c r="EG42" i="1" a="1"/>
  <c r="EG42" i="1"/>
  <c r="EG38" i="1" a="1"/>
  <c r="EG38" i="1"/>
  <c r="EG34" i="1" a="1"/>
  <c r="EG34" i="1"/>
  <c r="EG30" i="1" a="1"/>
  <c r="EG30" i="1"/>
  <c r="EG26" i="1" a="1"/>
  <c r="EG26" i="1"/>
  <c r="EG22" i="1" a="1"/>
  <c r="EG22" i="1"/>
  <c r="EG18" i="1" a="1"/>
  <c r="EG18" i="1"/>
  <c r="EG14" i="1" a="1"/>
  <c r="EG14" i="1"/>
  <c r="EG61" i="1" a="1"/>
  <c r="EG61" i="1"/>
  <c r="EG56" i="1" a="1"/>
  <c r="EG56" i="1"/>
  <c r="EG53" i="1" a="1"/>
  <c r="EG53" i="1"/>
  <c r="EG49" i="1" a="1"/>
  <c r="EG49" i="1"/>
  <c r="EG45" i="1" a="1"/>
  <c r="EG45" i="1"/>
  <c r="EG41" i="1" a="1"/>
  <c r="EG41" i="1"/>
  <c r="EG37" i="1" a="1"/>
  <c r="EG37" i="1"/>
  <c r="EG33" i="1" a="1"/>
  <c r="EG33" i="1"/>
  <c r="EG29" i="1" a="1"/>
  <c r="EG29" i="1"/>
  <c r="EG25" i="1" a="1"/>
  <c r="EG25" i="1"/>
  <c r="EG21" i="1" a="1"/>
  <c r="EG21" i="1"/>
  <c r="EG17" i="1" a="1"/>
  <c r="EG17" i="1"/>
  <c r="EG13" i="1" a="1"/>
  <c r="EG13" i="1"/>
  <c r="EG47" i="1" a="1"/>
  <c r="EG47" i="1"/>
  <c r="EG31" i="1" a="1"/>
  <c r="EG31" i="1"/>
  <c r="EG15" i="1" a="1"/>
  <c r="EG15" i="1"/>
  <c r="EG59" i="1" a="1"/>
  <c r="EG59" i="1"/>
  <c r="EG43" i="1" a="1"/>
  <c r="EG43" i="1"/>
  <c r="EG27" i="1" a="1"/>
  <c r="EG27" i="1"/>
  <c r="EH11" i="1"/>
  <c r="EG54" i="1" a="1"/>
  <c r="EG54" i="1"/>
  <c r="EG39" i="1" a="1"/>
  <c r="EG39" i="1"/>
  <c r="EG23" i="1" a="1"/>
  <c r="EG23" i="1"/>
  <c r="EG35" i="1" a="1"/>
  <c r="EG35" i="1"/>
  <c r="EG19" i="1" a="1"/>
  <c r="EG19" i="1"/>
  <c r="EG51" i="1" a="1"/>
  <c r="EG51" i="1"/>
  <c r="AI95" i="1"/>
  <c r="AI88" i="1"/>
  <c r="AI93" i="1"/>
  <c r="AI85" i="1"/>
  <c r="AI77" i="1"/>
  <c r="AI70" i="1"/>
  <c r="AI73" i="1"/>
  <c r="AI78" i="1"/>
  <c r="AI98" i="1"/>
  <c r="AI96" i="1"/>
  <c r="AI92" i="1"/>
  <c r="AI84" i="1"/>
  <c r="AI89" i="1"/>
  <c r="AI81" i="1"/>
  <c r="AI74" i="1"/>
  <c r="AI80" i="1"/>
  <c r="AI69" i="1"/>
  <c r="AI86" i="1"/>
  <c r="AI83" i="1"/>
  <c r="AI68" i="1"/>
  <c r="AJ65" i="1"/>
  <c r="AI99" i="1"/>
  <c r="AI94" i="1"/>
  <c r="AI91" i="1"/>
  <c r="AI75" i="1"/>
  <c r="AI71" i="1"/>
  <c r="AI90" i="1"/>
  <c r="AI87" i="1"/>
  <c r="AI72" i="1"/>
  <c r="AI67" i="1"/>
  <c r="AI101" i="1"/>
  <c r="AI97" i="1"/>
  <c r="AI102" i="1"/>
  <c r="AI82" i="1"/>
  <c r="AI79" i="1"/>
  <c r="AI76" i="1"/>
  <c r="AI100" i="1"/>
  <c r="C101" i="1"/>
  <c r="A102" i="1"/>
  <c r="B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EH61" i="1" a="1"/>
  <c r="EH61" i="1"/>
  <c r="EH57" i="1" a="1"/>
  <c r="EH57" i="1"/>
  <c r="EH51" i="1" a="1"/>
  <c r="EH51" i="1"/>
  <c r="EH49" i="1" a="1"/>
  <c r="EH49" i="1"/>
  <c r="EH44" i="1" a="1"/>
  <c r="EH44" i="1"/>
  <c r="EH41" i="1" a="1"/>
  <c r="EH41" i="1"/>
  <c r="EH40" i="1" a="1"/>
  <c r="EH40" i="1"/>
  <c r="EH33" i="1" a="1"/>
  <c r="EH33" i="1"/>
  <c r="EH29" i="1" a="1"/>
  <c r="EH29" i="1"/>
  <c r="EH25" i="1" a="1"/>
  <c r="EH25" i="1"/>
  <c r="EH21" i="1" a="1"/>
  <c r="EH21" i="1"/>
  <c r="EH17" i="1" a="1"/>
  <c r="EH17" i="1"/>
  <c r="EH13" i="1" a="1"/>
  <c r="EH13" i="1"/>
  <c r="EH59" i="1" a="1"/>
  <c r="EH59" i="1"/>
  <c r="EH55" i="1" a="1"/>
  <c r="EH55" i="1"/>
  <c r="EH53" i="1" a="1"/>
  <c r="EH53" i="1"/>
  <c r="EH46" i="1" a="1"/>
  <c r="EH46" i="1"/>
  <c r="EH42" i="1" a="1"/>
  <c r="EH42" i="1"/>
  <c r="EH35" i="1" a="1"/>
  <c r="EH35" i="1"/>
  <c r="EH38" i="1" a="1"/>
  <c r="EH38" i="1"/>
  <c r="EH31" i="1" a="1"/>
  <c r="EH31" i="1"/>
  <c r="EH27" i="1" a="1"/>
  <c r="EH27" i="1"/>
  <c r="EH23" i="1" a="1"/>
  <c r="EH23" i="1"/>
  <c r="EH19" i="1" a="1"/>
  <c r="EH19" i="1"/>
  <c r="EH15" i="1" a="1"/>
  <c r="EH15" i="1"/>
  <c r="EI11" i="1"/>
  <c r="EH62" i="1" a="1"/>
  <c r="EH62" i="1"/>
  <c r="EH58" i="1" a="1"/>
  <c r="EH58" i="1"/>
  <c r="EH54" i="1" a="1"/>
  <c r="EH54" i="1"/>
  <c r="EH52" i="1" a="1"/>
  <c r="EH52" i="1"/>
  <c r="EH45" i="1" a="1"/>
  <c r="EH45" i="1"/>
  <c r="EH47" i="1" a="1"/>
  <c r="EH47" i="1"/>
  <c r="EH34" i="1" a="1"/>
  <c r="EH34" i="1"/>
  <c r="EH37" i="1" a="1"/>
  <c r="EH37" i="1"/>
  <c r="EH30" i="1" a="1"/>
  <c r="EH30" i="1"/>
  <c r="EH26" i="1" a="1"/>
  <c r="EH26" i="1"/>
  <c r="EH22" i="1" a="1"/>
  <c r="EH22" i="1"/>
  <c r="EH18" i="1" a="1"/>
  <c r="EH18" i="1"/>
  <c r="EH14" i="1" a="1"/>
  <c r="EH14" i="1"/>
  <c r="EH50" i="1" a="1"/>
  <c r="EH50" i="1"/>
  <c r="EH39" i="1" a="1"/>
  <c r="EH39" i="1"/>
  <c r="EH20" i="1" a="1"/>
  <c r="EH20" i="1"/>
  <c r="EH48" i="1" a="1"/>
  <c r="EH48" i="1"/>
  <c r="EH32" i="1" a="1"/>
  <c r="EH32" i="1"/>
  <c r="EH16" i="1" a="1"/>
  <c r="EH16" i="1"/>
  <c r="EH60" i="1" a="1"/>
  <c r="EH60" i="1"/>
  <c r="EH43" i="1" a="1"/>
  <c r="EH43" i="1"/>
  <c r="EH28" i="1" a="1"/>
  <c r="EH28" i="1"/>
  <c r="EH12" i="1" a="1"/>
  <c r="EH12" i="1"/>
  <c r="EH24" i="1" a="1"/>
  <c r="EH24" i="1"/>
  <c r="EH56" i="1" a="1"/>
  <c r="EH56" i="1"/>
  <c r="EH36" i="1" a="1"/>
  <c r="EH36" i="1"/>
  <c r="A103" i="1"/>
  <c r="AJ103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J98" i="1"/>
  <c r="AJ91" i="1"/>
  <c r="AJ83" i="1"/>
  <c r="AJ90" i="1"/>
  <c r="AJ82" i="1"/>
  <c r="AJ75" i="1"/>
  <c r="AJ68" i="1"/>
  <c r="AJ73" i="1"/>
  <c r="AK65" i="1"/>
  <c r="AJ100" i="1"/>
  <c r="AJ101" i="1"/>
  <c r="AJ102" i="1"/>
  <c r="AJ97" i="1"/>
  <c r="AJ87" i="1"/>
  <c r="AJ94" i="1"/>
  <c r="AJ86" i="1"/>
  <c r="AJ78" i="1"/>
  <c r="AJ72" i="1"/>
  <c r="AJ77" i="1"/>
  <c r="AJ69" i="1"/>
  <c r="AJ96" i="1"/>
  <c r="AJ95" i="1"/>
  <c r="AJ80" i="1"/>
  <c r="AJ81" i="1"/>
  <c r="AJ89" i="1"/>
  <c r="AJ88" i="1"/>
  <c r="AJ74" i="1"/>
  <c r="AJ71" i="1"/>
  <c r="AJ85" i="1"/>
  <c r="AJ84" i="1"/>
  <c r="AJ70" i="1"/>
  <c r="AJ67" i="1"/>
  <c r="AJ92" i="1"/>
  <c r="AJ79" i="1"/>
  <c r="AJ76" i="1"/>
  <c r="AJ93" i="1"/>
  <c r="AJ99" i="1"/>
  <c r="A50" i="1"/>
  <c r="B49" i="1"/>
  <c r="D49" i="1"/>
  <c r="B50" i="1"/>
  <c r="D50" i="1"/>
  <c r="A51" i="1"/>
  <c r="AK100" i="1"/>
  <c r="AK91" i="1"/>
  <c r="AK83" i="1"/>
  <c r="AK90" i="1"/>
  <c r="AK82" i="1"/>
  <c r="AK73" i="1"/>
  <c r="AK79" i="1"/>
  <c r="AK70" i="1"/>
  <c r="AL65" i="1"/>
  <c r="AK99" i="1"/>
  <c r="AK96" i="1"/>
  <c r="AK87" i="1"/>
  <c r="AK94" i="1"/>
  <c r="AK86" i="1"/>
  <c r="AK78" i="1"/>
  <c r="AK69" i="1"/>
  <c r="AK74" i="1"/>
  <c r="AK81" i="1"/>
  <c r="AK103" i="1"/>
  <c r="AK89" i="1"/>
  <c r="AK88" i="1"/>
  <c r="AK71" i="1"/>
  <c r="AK68" i="1"/>
  <c r="AK101" i="1"/>
  <c r="AK98" i="1"/>
  <c r="AK95" i="1"/>
  <c r="AK80" i="1"/>
  <c r="AK75" i="1"/>
  <c r="AK102" i="1"/>
  <c r="AK93" i="1"/>
  <c r="AK92" i="1"/>
  <c r="AK76" i="1"/>
  <c r="AK72" i="1"/>
  <c r="AK97" i="1"/>
  <c r="AK77" i="1"/>
  <c r="AK85" i="1"/>
  <c r="AK84" i="1"/>
  <c r="AK67" i="1"/>
  <c r="EI61" i="1" a="1"/>
  <c r="EI61" i="1"/>
  <c r="EI59" i="1" a="1"/>
  <c r="EI59" i="1"/>
  <c r="EI55" i="1" a="1"/>
  <c r="EI55" i="1"/>
  <c r="EI58" i="1" a="1"/>
  <c r="EI58" i="1"/>
  <c r="EI53" i="1" a="1"/>
  <c r="EI53" i="1"/>
  <c r="EI51" i="1" a="1"/>
  <c r="EI51" i="1"/>
  <c r="EI49" i="1" a="1"/>
  <c r="EI49" i="1"/>
  <c r="EI47" i="1" a="1"/>
  <c r="EI47" i="1"/>
  <c r="EI45" i="1" a="1"/>
  <c r="EI45" i="1"/>
  <c r="EI43" i="1" a="1"/>
  <c r="EI43" i="1"/>
  <c r="EI41" i="1" a="1"/>
  <c r="EI41" i="1"/>
  <c r="EI39" i="1" a="1"/>
  <c r="EI39" i="1"/>
  <c r="EI37" i="1" a="1"/>
  <c r="EI37" i="1"/>
  <c r="EI35" i="1" a="1"/>
  <c r="EI35" i="1"/>
  <c r="EI33" i="1" a="1"/>
  <c r="EI33" i="1"/>
  <c r="EI31" i="1" a="1"/>
  <c r="EI31" i="1"/>
  <c r="EI29" i="1" a="1"/>
  <c r="EI29" i="1"/>
  <c r="EI27" i="1" a="1"/>
  <c r="EI27" i="1"/>
  <c r="EI25" i="1" a="1"/>
  <c r="EI25" i="1"/>
  <c r="EI23" i="1" a="1"/>
  <c r="EI23" i="1"/>
  <c r="EI21" i="1" a="1"/>
  <c r="EI21" i="1"/>
  <c r="EI19" i="1" a="1"/>
  <c r="EI19" i="1"/>
  <c r="EI17" i="1" a="1"/>
  <c r="EI17" i="1"/>
  <c r="EI15" i="1" a="1"/>
  <c r="EI15" i="1"/>
  <c r="EI13" i="1" a="1"/>
  <c r="EI13" i="1"/>
  <c r="EJ11" i="1"/>
  <c r="EI62" i="1" a="1"/>
  <c r="EI62" i="1"/>
  <c r="EI60" i="1" a="1"/>
  <c r="EI60" i="1"/>
  <c r="EI56" i="1" a="1"/>
  <c r="EI56" i="1"/>
  <c r="EI54" i="1" a="1"/>
  <c r="EI54" i="1"/>
  <c r="EI57" i="1" a="1"/>
  <c r="EI57" i="1"/>
  <c r="EI52" i="1" a="1"/>
  <c r="EI52" i="1"/>
  <c r="EI50" i="1" a="1"/>
  <c r="EI50" i="1"/>
  <c r="EI48" i="1" a="1"/>
  <c r="EI48" i="1"/>
  <c r="EI46" i="1" a="1"/>
  <c r="EI46" i="1"/>
  <c r="EI44" i="1" a="1"/>
  <c r="EI44" i="1"/>
  <c r="EI42" i="1" a="1"/>
  <c r="EI42" i="1"/>
  <c r="EI40" i="1" a="1"/>
  <c r="EI40" i="1"/>
  <c r="EI38" i="1" a="1"/>
  <c r="EI38" i="1"/>
  <c r="EI36" i="1" a="1"/>
  <c r="EI36" i="1"/>
  <c r="EI34" i="1" a="1"/>
  <c r="EI34" i="1"/>
  <c r="EI32" i="1" a="1"/>
  <c r="EI32" i="1"/>
  <c r="EI30" i="1" a="1"/>
  <c r="EI30" i="1"/>
  <c r="EI28" i="1" a="1"/>
  <c r="EI28" i="1"/>
  <c r="EI26" i="1" a="1"/>
  <c r="EI26" i="1"/>
  <c r="EI24" i="1" a="1"/>
  <c r="EI24" i="1"/>
  <c r="EI22" i="1" a="1"/>
  <c r="EI22" i="1"/>
  <c r="EI20" i="1" a="1"/>
  <c r="EI20" i="1"/>
  <c r="EI18" i="1" a="1"/>
  <c r="EI18" i="1"/>
  <c r="EI16" i="1" a="1"/>
  <c r="EI16" i="1"/>
  <c r="EI14" i="1" a="1"/>
  <c r="EI14" i="1"/>
  <c r="EI12" i="1" a="1"/>
  <c r="EI12" i="1"/>
  <c r="B103" i="1"/>
  <c r="C103" i="1"/>
  <c r="A104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105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L95" i="1"/>
  <c r="AL94" i="1"/>
  <c r="AL86" i="1"/>
  <c r="AL91" i="1"/>
  <c r="AL83" i="1"/>
  <c r="AL78" i="1"/>
  <c r="AL67" i="1"/>
  <c r="AL74" i="1"/>
  <c r="AM65" i="1"/>
  <c r="AL101" i="1"/>
  <c r="AL99" i="1"/>
  <c r="AL98" i="1"/>
  <c r="AL90" i="1"/>
  <c r="AL82" i="1"/>
  <c r="AL87" i="1"/>
  <c r="AL79" i="1"/>
  <c r="AL71" i="1"/>
  <c r="AL75" i="1"/>
  <c r="AL70" i="1"/>
  <c r="AL102" i="1"/>
  <c r="AL104" i="1"/>
  <c r="AL100" i="1"/>
  <c r="AL84" i="1"/>
  <c r="AL81" i="1"/>
  <c r="AL80" i="1"/>
  <c r="AL105" i="1"/>
  <c r="AL92" i="1"/>
  <c r="AL89" i="1"/>
  <c r="AL73" i="1"/>
  <c r="AL72" i="1"/>
  <c r="AL97" i="1"/>
  <c r="AL88" i="1"/>
  <c r="AL85" i="1"/>
  <c r="AL69" i="1"/>
  <c r="AL68" i="1"/>
  <c r="AL103" i="1"/>
  <c r="AL93" i="1"/>
  <c r="AL77" i="1"/>
  <c r="AL76" i="1"/>
  <c r="AL96" i="1"/>
  <c r="EJ60" i="1" a="1"/>
  <c r="EJ60" i="1"/>
  <c r="EJ56" i="1" a="1"/>
  <c r="EJ56" i="1"/>
  <c r="EJ50" i="1" a="1"/>
  <c r="EJ50" i="1"/>
  <c r="EJ45" i="1" a="1"/>
  <c r="EJ45" i="1"/>
  <c r="EJ49" i="1" a="1"/>
  <c r="EJ49" i="1"/>
  <c r="EJ35" i="1" a="1"/>
  <c r="EJ35" i="1"/>
  <c r="EJ39" i="1" a="1"/>
  <c r="EJ39" i="1"/>
  <c r="EJ32" i="1" a="1"/>
  <c r="EJ32" i="1"/>
  <c r="EJ28" i="1" a="1"/>
  <c r="EJ28" i="1"/>
  <c r="EJ24" i="1" a="1"/>
  <c r="EJ24" i="1"/>
  <c r="EJ16" i="1" a="1"/>
  <c r="EJ16" i="1"/>
  <c r="EJ12" i="1" a="1"/>
  <c r="EJ12" i="1"/>
  <c r="EJ18" i="1" a="1"/>
  <c r="EJ18" i="1"/>
  <c r="EJ62" i="1" a="1"/>
  <c r="EJ62" i="1"/>
  <c r="EJ58" i="1" a="1"/>
  <c r="EJ58" i="1"/>
  <c r="EJ54" i="1" a="1"/>
  <c r="EJ54" i="1"/>
  <c r="EJ52" i="1" a="1"/>
  <c r="EJ52" i="1"/>
  <c r="EJ43" i="1" a="1"/>
  <c r="EJ43" i="1"/>
  <c r="EJ47" i="1" a="1"/>
  <c r="EJ47" i="1"/>
  <c r="EJ41" i="1" a="1"/>
  <c r="EJ41" i="1"/>
  <c r="EJ37" i="1" a="1"/>
  <c r="EJ37" i="1"/>
  <c r="EJ30" i="1" a="1"/>
  <c r="EJ30" i="1"/>
  <c r="EJ26" i="1" a="1"/>
  <c r="EJ26" i="1"/>
  <c r="EJ22" i="1" a="1"/>
  <c r="EJ22" i="1"/>
  <c r="EJ14" i="1" a="1"/>
  <c r="EJ14" i="1"/>
  <c r="EJ20" i="1" a="1"/>
  <c r="EJ20" i="1"/>
  <c r="EJ61" i="1" a="1"/>
  <c r="EJ61" i="1"/>
  <c r="EJ57" i="1" a="1"/>
  <c r="EJ57" i="1"/>
  <c r="EJ51" i="1" a="1"/>
  <c r="EJ51" i="1"/>
  <c r="EJ46" i="1" a="1"/>
  <c r="EJ46" i="1"/>
  <c r="EJ42" i="1" a="1"/>
  <c r="EJ42" i="1"/>
  <c r="EJ36" i="1" a="1"/>
  <c r="EJ36" i="1"/>
  <c r="EJ40" i="1" a="1"/>
  <c r="EJ40" i="1"/>
  <c r="EJ33" i="1" a="1"/>
  <c r="EJ33" i="1"/>
  <c r="EJ29" i="1" a="1"/>
  <c r="EJ29" i="1"/>
  <c r="EJ25" i="1" a="1"/>
  <c r="EJ25" i="1"/>
  <c r="EJ17" i="1" a="1"/>
  <c r="EJ17" i="1"/>
  <c r="EJ13" i="1" a="1"/>
  <c r="EJ13" i="1"/>
  <c r="EJ19" i="1" a="1"/>
  <c r="EJ19" i="1"/>
  <c r="EJ55" i="1" a="1"/>
  <c r="EJ55" i="1"/>
  <c r="EJ34" i="1" a="1"/>
  <c r="EJ34" i="1"/>
  <c r="EJ23" i="1" a="1"/>
  <c r="EJ23" i="1"/>
  <c r="EJ53" i="1" a="1"/>
  <c r="EJ53" i="1"/>
  <c r="EJ38" i="1" a="1"/>
  <c r="EJ38" i="1"/>
  <c r="EJ15" i="1" a="1"/>
  <c r="EJ15" i="1"/>
  <c r="EJ44" i="1" a="1"/>
  <c r="EJ44" i="1"/>
  <c r="EJ31" i="1" a="1"/>
  <c r="EJ31" i="1"/>
  <c r="EJ21" i="1" a="1"/>
  <c r="EJ21" i="1"/>
  <c r="EK11" i="1"/>
  <c r="EJ59" i="1" a="1"/>
  <c r="EJ59" i="1"/>
  <c r="EJ48" i="1" a="1"/>
  <c r="EJ48" i="1"/>
  <c r="EJ27" i="1" a="1"/>
  <c r="EJ27" i="1"/>
  <c r="B51" i="1"/>
  <c r="D51" i="1"/>
  <c r="A52" i="1"/>
  <c r="AK104" i="1"/>
  <c r="EK62" i="1" a="1"/>
  <c r="EK62" i="1"/>
  <c r="EK56" i="1" a="1"/>
  <c r="EK56" i="1"/>
  <c r="EK58" i="1" a="1"/>
  <c r="EK58" i="1"/>
  <c r="EK50" i="1" a="1"/>
  <c r="EK50" i="1"/>
  <c r="EK46" i="1" a="1"/>
  <c r="EK46" i="1"/>
  <c r="EK42" i="1" a="1"/>
  <c r="EK42" i="1"/>
  <c r="EK38" i="1" a="1"/>
  <c r="EK38" i="1"/>
  <c r="EK34" i="1" a="1"/>
  <c r="EK34" i="1"/>
  <c r="EK26" i="1" a="1"/>
  <c r="EK26" i="1"/>
  <c r="EK30" i="1" a="1"/>
  <c r="EK30" i="1"/>
  <c r="EK22" i="1" a="1"/>
  <c r="EK22" i="1"/>
  <c r="EK18" i="1" a="1"/>
  <c r="EK18" i="1"/>
  <c r="EK14" i="1" a="1"/>
  <c r="EK14" i="1"/>
  <c r="EK60" i="1" a="1"/>
  <c r="EK60" i="1"/>
  <c r="EK54" i="1" a="1"/>
  <c r="EK54" i="1"/>
  <c r="EK52" i="1" a="1"/>
  <c r="EK52" i="1"/>
  <c r="EK48" i="1" a="1"/>
  <c r="EK48" i="1"/>
  <c r="EK44" i="1" a="1"/>
  <c r="EK44" i="1"/>
  <c r="EK40" i="1" a="1"/>
  <c r="EK40" i="1"/>
  <c r="EK36" i="1" a="1"/>
  <c r="EK36" i="1"/>
  <c r="EK32" i="1" a="1"/>
  <c r="EK32" i="1"/>
  <c r="EK24" i="1" a="1"/>
  <c r="EK24" i="1"/>
  <c r="EK28" i="1" a="1"/>
  <c r="EK28" i="1"/>
  <c r="EK20" i="1" a="1"/>
  <c r="EK20" i="1"/>
  <c r="EK16" i="1" a="1"/>
  <c r="EK16" i="1"/>
  <c r="EK12" i="1" a="1"/>
  <c r="EK12" i="1"/>
  <c r="EK59" i="1" a="1"/>
  <c r="EK59" i="1"/>
  <c r="EK57" i="1" a="1"/>
  <c r="EK57" i="1"/>
  <c r="EK51" i="1" a="1"/>
  <c r="EK51" i="1"/>
  <c r="EK47" i="1" a="1"/>
  <c r="EK47" i="1"/>
  <c r="EK43" i="1" a="1"/>
  <c r="EK43" i="1"/>
  <c r="EK39" i="1" a="1"/>
  <c r="EK39" i="1"/>
  <c r="EK35" i="1" a="1"/>
  <c r="EK35" i="1"/>
  <c r="EK27" i="1" a="1"/>
  <c r="EK27" i="1"/>
  <c r="EK31" i="1" a="1"/>
  <c r="EK31" i="1"/>
  <c r="EK23" i="1" a="1"/>
  <c r="EK23" i="1"/>
  <c r="EK19" i="1" a="1"/>
  <c r="EK19" i="1"/>
  <c r="EK15" i="1" a="1"/>
  <c r="EK15" i="1"/>
  <c r="EL11" i="1"/>
  <c r="EK53" i="1" a="1"/>
  <c r="EK53" i="1"/>
  <c r="EK37" i="1" a="1"/>
  <c r="EK37" i="1"/>
  <c r="EK21" i="1" a="1"/>
  <c r="EK21" i="1"/>
  <c r="EK49" i="1" a="1"/>
  <c r="EK49" i="1"/>
  <c r="EK33" i="1" a="1"/>
  <c r="EK33" i="1"/>
  <c r="EK17" i="1" a="1"/>
  <c r="EK17" i="1"/>
  <c r="EK61" i="1" a="1"/>
  <c r="EK61" i="1"/>
  <c r="EK45" i="1" a="1"/>
  <c r="EK45" i="1"/>
  <c r="EK25" i="1" a="1"/>
  <c r="EK25" i="1"/>
  <c r="EK13" i="1" a="1"/>
  <c r="EK13" i="1"/>
  <c r="EK55" i="1" a="1"/>
  <c r="EK55" i="1"/>
  <c r="EK41" i="1" a="1"/>
  <c r="EK41" i="1"/>
  <c r="EK29" i="1" a="1"/>
  <c r="EK29" i="1"/>
  <c r="A53" i="1"/>
  <c r="B52" i="1"/>
  <c r="D52" i="1"/>
  <c r="AM96" i="1"/>
  <c r="AM95" i="1"/>
  <c r="AM88" i="1"/>
  <c r="AM93" i="1"/>
  <c r="AM85" i="1"/>
  <c r="AM77" i="1"/>
  <c r="AM72" i="1"/>
  <c r="AM73" i="1"/>
  <c r="AM80" i="1"/>
  <c r="AM103" i="1"/>
  <c r="AM100" i="1"/>
  <c r="AM99" i="1"/>
  <c r="AM92" i="1"/>
  <c r="AM84" i="1"/>
  <c r="AM89" i="1"/>
  <c r="AM81" i="1"/>
  <c r="AM76" i="1"/>
  <c r="AM68" i="1"/>
  <c r="AM69" i="1"/>
  <c r="AM105" i="1"/>
  <c r="AM101" i="1"/>
  <c r="AM86" i="1"/>
  <c r="AM83" i="1"/>
  <c r="AM70" i="1"/>
  <c r="AN65" i="1"/>
  <c r="AM102" i="1"/>
  <c r="AM94" i="1"/>
  <c r="AM91" i="1"/>
  <c r="AM75" i="1"/>
  <c r="AM71" i="1"/>
  <c r="AM98" i="1"/>
  <c r="AM90" i="1"/>
  <c r="AM87" i="1"/>
  <c r="AM74" i="1"/>
  <c r="AM67" i="1"/>
  <c r="AM104" i="1"/>
  <c r="AM79" i="1"/>
  <c r="AM78" i="1"/>
  <c r="AM97" i="1"/>
  <c r="AM82" i="1"/>
  <c r="B105" i="1"/>
  <c r="A106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EL62" i="1" a="1"/>
  <c r="EL62" i="1"/>
  <c r="EL60" i="1" a="1"/>
  <c r="EL60" i="1"/>
  <c r="EL58" i="1" a="1"/>
  <c r="EL58" i="1"/>
  <c r="EL55" i="1" a="1"/>
  <c r="EL55" i="1"/>
  <c r="EL57" i="1" a="1"/>
  <c r="EL57" i="1"/>
  <c r="EL52" i="1" a="1"/>
  <c r="EL52" i="1"/>
  <c r="EL50" i="1" a="1"/>
  <c r="EL50" i="1"/>
  <c r="EL48" i="1" a="1"/>
  <c r="EL48" i="1"/>
  <c r="EL46" i="1" a="1"/>
  <c r="EL46" i="1"/>
  <c r="EL44" i="1" a="1"/>
  <c r="EL44" i="1"/>
  <c r="EL42" i="1" a="1"/>
  <c r="EL42" i="1"/>
  <c r="EL40" i="1" a="1"/>
  <c r="EL40" i="1"/>
  <c r="EL38" i="1" a="1"/>
  <c r="EL38" i="1"/>
  <c r="EL36" i="1" a="1"/>
  <c r="EL36" i="1"/>
  <c r="EL34" i="1" a="1"/>
  <c r="EL34" i="1"/>
  <c r="EL32" i="1" a="1"/>
  <c r="EL32" i="1"/>
  <c r="EL30" i="1" a="1"/>
  <c r="EL30" i="1"/>
  <c r="EL28" i="1" a="1"/>
  <c r="EL28" i="1"/>
  <c r="EL26" i="1" a="1"/>
  <c r="EL26" i="1"/>
  <c r="EL24" i="1" a="1"/>
  <c r="EL24" i="1"/>
  <c r="EL22" i="1" a="1"/>
  <c r="EL22" i="1"/>
  <c r="EL16" i="1" a="1"/>
  <c r="EL16" i="1"/>
  <c r="EL14" i="1" a="1"/>
  <c r="EL14" i="1"/>
  <c r="EL12" i="1" a="1"/>
  <c r="EL12" i="1"/>
  <c r="EL20" i="1" a="1"/>
  <c r="EL20" i="1"/>
  <c r="EL18" i="1" a="1"/>
  <c r="EL18" i="1"/>
  <c r="EL61" i="1" a="1"/>
  <c r="EL61" i="1"/>
  <c r="EL59" i="1" a="1"/>
  <c r="EL59" i="1"/>
  <c r="EL56" i="1" a="1"/>
  <c r="EL56" i="1"/>
  <c r="EL54" i="1" a="1"/>
  <c r="EL54" i="1"/>
  <c r="EL53" i="1" a="1"/>
  <c r="EL53" i="1"/>
  <c r="EL51" i="1" a="1"/>
  <c r="EL51" i="1"/>
  <c r="EL49" i="1" a="1"/>
  <c r="EL49" i="1"/>
  <c r="EL47" i="1" a="1"/>
  <c r="EL47" i="1"/>
  <c r="EL45" i="1" a="1"/>
  <c r="EL45" i="1"/>
  <c r="EL43" i="1" a="1"/>
  <c r="EL43" i="1"/>
  <c r="EL41" i="1" a="1"/>
  <c r="EL41" i="1"/>
  <c r="EL39" i="1" a="1"/>
  <c r="EL39" i="1"/>
  <c r="EL37" i="1" a="1"/>
  <c r="EL37" i="1"/>
  <c r="EL35" i="1" a="1"/>
  <c r="EL35" i="1"/>
  <c r="EL33" i="1" a="1"/>
  <c r="EL33" i="1"/>
  <c r="EL31" i="1" a="1"/>
  <c r="EL31" i="1"/>
  <c r="EL29" i="1" a="1"/>
  <c r="EL29" i="1"/>
  <c r="EL27" i="1" a="1"/>
  <c r="EL27" i="1"/>
  <c r="EL25" i="1" a="1"/>
  <c r="EL25" i="1"/>
  <c r="EL23" i="1" a="1"/>
  <c r="EL23" i="1"/>
  <c r="EL17" i="1" a="1"/>
  <c r="EL17" i="1"/>
  <c r="EL15" i="1" a="1"/>
  <c r="EL15" i="1"/>
  <c r="EL13" i="1" a="1"/>
  <c r="EL13" i="1"/>
  <c r="EL21" i="1" a="1"/>
  <c r="EL21" i="1"/>
  <c r="EL19" i="1" a="1"/>
  <c r="EL19" i="1"/>
  <c r="EM11" i="1"/>
  <c r="AN102" i="1"/>
  <c r="AN101" i="1"/>
  <c r="AN93" i="1"/>
  <c r="AN85" i="1"/>
  <c r="AN92" i="1"/>
  <c r="AN84" i="1"/>
  <c r="AN77" i="1"/>
  <c r="AN70" i="1"/>
  <c r="AN73" i="1"/>
  <c r="AO65" i="1"/>
  <c r="AN103" i="1"/>
  <c r="AN104" i="1"/>
  <c r="AN106" i="1"/>
  <c r="AN98" i="1"/>
  <c r="AN97" i="1"/>
  <c r="AN89" i="1"/>
  <c r="AN81" i="1"/>
  <c r="AN88" i="1"/>
  <c r="AN80" i="1"/>
  <c r="AN74" i="1"/>
  <c r="AN79" i="1"/>
  <c r="AN69" i="1"/>
  <c r="AN99" i="1"/>
  <c r="AN83" i="1"/>
  <c r="AN82" i="1"/>
  <c r="AN68" i="1"/>
  <c r="AN100" i="1"/>
  <c r="AN91" i="1"/>
  <c r="AN90" i="1"/>
  <c r="AN76" i="1"/>
  <c r="AN71" i="1"/>
  <c r="AN96" i="1"/>
  <c r="AN87" i="1"/>
  <c r="AN86" i="1"/>
  <c r="AN72" i="1"/>
  <c r="AN67" i="1"/>
  <c r="AN95" i="1"/>
  <c r="AN105" i="1"/>
  <c r="AN94" i="1"/>
  <c r="AN78" i="1"/>
  <c r="AN75" i="1"/>
  <c r="C106" i="1"/>
  <c r="A107" i="1"/>
  <c r="B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B53" i="1"/>
  <c r="D53" i="1"/>
  <c r="A54" i="1"/>
  <c r="A108" i="1"/>
  <c r="C107" i="1"/>
  <c r="B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EM61" i="1" a="1"/>
  <c r="EM61" i="1"/>
  <c r="EM59" i="1" a="1"/>
  <c r="EM59" i="1"/>
  <c r="EM55" i="1" a="1"/>
  <c r="EM55" i="1"/>
  <c r="EM58" i="1" a="1"/>
  <c r="EM58" i="1"/>
  <c r="EM53" i="1" a="1"/>
  <c r="EM53" i="1"/>
  <c r="EM51" i="1" a="1"/>
  <c r="EM51" i="1"/>
  <c r="EM49" i="1" a="1"/>
  <c r="EM49" i="1"/>
  <c r="EM47" i="1" a="1"/>
  <c r="EM47" i="1"/>
  <c r="EM45" i="1" a="1"/>
  <c r="EM45" i="1"/>
  <c r="EM43" i="1" a="1"/>
  <c r="EM43" i="1"/>
  <c r="EM41" i="1" a="1"/>
  <c r="EM41" i="1"/>
  <c r="EM39" i="1" a="1"/>
  <c r="EM39" i="1"/>
  <c r="EM37" i="1" a="1"/>
  <c r="EM37" i="1"/>
  <c r="EM35" i="1" a="1"/>
  <c r="EM35" i="1"/>
  <c r="EM33" i="1" a="1"/>
  <c r="EM33" i="1"/>
  <c r="EM27" i="1" a="1"/>
  <c r="EM27" i="1"/>
  <c r="EM25" i="1" a="1"/>
  <c r="EM25" i="1"/>
  <c r="EM31" i="1" a="1"/>
  <c r="EM31" i="1"/>
  <c r="EM29" i="1" a="1"/>
  <c r="EM29" i="1"/>
  <c r="EM21" i="1" a="1"/>
  <c r="EM21" i="1"/>
  <c r="EM19" i="1" a="1"/>
  <c r="EM19" i="1"/>
  <c r="EM23" i="1" a="1"/>
  <c r="EM23" i="1"/>
  <c r="EM17" i="1" a="1"/>
  <c r="EM17" i="1"/>
  <c r="EM15" i="1" a="1"/>
  <c r="EM15" i="1"/>
  <c r="EM13" i="1" a="1"/>
  <c r="EM13" i="1"/>
  <c r="EN11" i="1"/>
  <c r="EM62" i="1" a="1"/>
  <c r="EM62" i="1"/>
  <c r="EM60" i="1" a="1"/>
  <c r="EM60" i="1"/>
  <c r="EM56" i="1" a="1"/>
  <c r="EM56" i="1"/>
  <c r="EM54" i="1" a="1"/>
  <c r="EM54" i="1"/>
  <c r="EM57" i="1" a="1"/>
  <c r="EM57" i="1"/>
  <c r="EM52" i="1" a="1"/>
  <c r="EM52" i="1"/>
  <c r="EM50" i="1" a="1"/>
  <c r="EM50" i="1"/>
  <c r="EM48" i="1" a="1"/>
  <c r="EM48" i="1"/>
  <c r="EM46" i="1" a="1"/>
  <c r="EM46" i="1"/>
  <c r="EM44" i="1" a="1"/>
  <c r="EM44" i="1"/>
  <c r="EM42" i="1" a="1"/>
  <c r="EM42" i="1"/>
  <c r="EM40" i="1" a="1"/>
  <c r="EM40" i="1"/>
  <c r="EM38" i="1" a="1"/>
  <c r="EM38" i="1"/>
  <c r="EM36" i="1" a="1"/>
  <c r="EM36" i="1"/>
  <c r="EM34" i="1" a="1"/>
  <c r="EM34" i="1"/>
  <c r="EM32" i="1" a="1"/>
  <c r="EM32" i="1"/>
  <c r="EM26" i="1" a="1"/>
  <c r="EM26" i="1"/>
  <c r="EM24" i="1" a="1"/>
  <c r="EM24" i="1"/>
  <c r="EM30" i="1" a="1"/>
  <c r="EM30" i="1"/>
  <c r="EM28" i="1" a="1"/>
  <c r="EM28" i="1"/>
  <c r="EM20" i="1" a="1"/>
  <c r="EM20" i="1"/>
  <c r="EM18" i="1" a="1"/>
  <c r="EM18" i="1"/>
  <c r="EM22" i="1" a="1"/>
  <c r="EM22" i="1"/>
  <c r="EM16" i="1" a="1"/>
  <c r="EM16" i="1"/>
  <c r="EM14" i="1" a="1"/>
  <c r="EM14" i="1"/>
  <c r="EM12" i="1" a="1"/>
  <c r="EM12" i="1"/>
  <c r="B54" i="1"/>
  <c r="D54" i="1"/>
  <c r="A55" i="1"/>
  <c r="AN107" i="1"/>
  <c r="AO97" i="1"/>
  <c r="AO98" i="1"/>
  <c r="AO91" i="1"/>
  <c r="AO83" i="1"/>
  <c r="AO90" i="1"/>
  <c r="AO82" i="1"/>
  <c r="AO75" i="1"/>
  <c r="AO67" i="1"/>
  <c r="AO70" i="1"/>
  <c r="AO105" i="1"/>
  <c r="AO101" i="1"/>
  <c r="AO102" i="1"/>
  <c r="AO95" i="1"/>
  <c r="AO87" i="1"/>
  <c r="AO94" i="1"/>
  <c r="AO86" i="1"/>
  <c r="AO78" i="1"/>
  <c r="AO71" i="1"/>
  <c r="AO74" i="1"/>
  <c r="AO79" i="1"/>
  <c r="AO103" i="1"/>
  <c r="AO96" i="1"/>
  <c r="AO81" i="1"/>
  <c r="AO80" i="1"/>
  <c r="AO77" i="1"/>
  <c r="AO106" i="1"/>
  <c r="AO104" i="1"/>
  <c r="AO89" i="1"/>
  <c r="AO88" i="1"/>
  <c r="AO73" i="1"/>
  <c r="AO68" i="1"/>
  <c r="AO100" i="1"/>
  <c r="AO85" i="1"/>
  <c r="AO84" i="1"/>
  <c r="AO69" i="1"/>
  <c r="AP65" i="1"/>
  <c r="AO93" i="1"/>
  <c r="AO92" i="1"/>
  <c r="AO76" i="1"/>
  <c r="AO72" i="1"/>
  <c r="AO108" i="1"/>
  <c r="AO107" i="1"/>
  <c r="AO99" i="1"/>
  <c r="AP99" i="1"/>
  <c r="AP102" i="1"/>
  <c r="AP94" i="1"/>
  <c r="AP86" i="1"/>
  <c r="AP91" i="1"/>
  <c r="AP83" i="1"/>
  <c r="AP80" i="1"/>
  <c r="AP69" i="1"/>
  <c r="AP74" i="1"/>
  <c r="AQ65" i="1"/>
  <c r="AP107" i="1"/>
  <c r="AP103" i="1"/>
  <c r="AP95" i="1"/>
  <c r="AP98" i="1"/>
  <c r="AP90" i="1"/>
  <c r="AP82" i="1"/>
  <c r="AP87" i="1"/>
  <c r="AP79" i="1"/>
  <c r="AP73" i="1"/>
  <c r="AP78" i="1"/>
  <c r="AP70" i="1"/>
  <c r="AP106" i="1"/>
  <c r="AP100" i="1"/>
  <c r="AP84" i="1"/>
  <c r="AP81" i="1"/>
  <c r="AP67" i="1"/>
  <c r="AP97" i="1"/>
  <c r="AP92" i="1"/>
  <c r="AP89" i="1"/>
  <c r="AP75" i="1"/>
  <c r="AP72" i="1"/>
  <c r="AP105" i="1"/>
  <c r="AP104" i="1"/>
  <c r="AP88" i="1"/>
  <c r="AP85" i="1"/>
  <c r="AP71" i="1"/>
  <c r="AP68" i="1"/>
  <c r="AP77" i="1"/>
  <c r="AP108" i="1"/>
  <c r="AP101" i="1"/>
  <c r="AP76" i="1"/>
  <c r="AP96" i="1"/>
  <c r="AP93" i="1"/>
  <c r="B55" i="1"/>
  <c r="D55" i="1"/>
  <c r="A56" i="1"/>
  <c r="EN61" i="1" a="1"/>
  <c r="EN61" i="1"/>
  <c r="EN59" i="1" a="1"/>
  <c r="EN59" i="1"/>
  <c r="EN57" i="1" a="1"/>
  <c r="EN57" i="1"/>
  <c r="EN55" i="1" a="1"/>
  <c r="EN55" i="1"/>
  <c r="EN53" i="1" a="1"/>
  <c r="EN53" i="1"/>
  <c r="EN51" i="1" a="1"/>
  <c r="EN51" i="1"/>
  <c r="EN47" i="1" a="1"/>
  <c r="EN47" i="1"/>
  <c r="EN45" i="1" a="1"/>
  <c r="EN45" i="1"/>
  <c r="EN43" i="1" a="1"/>
  <c r="EN43" i="1"/>
  <c r="EN49" i="1" a="1"/>
  <c r="EN49" i="1"/>
  <c r="EN40" i="1" a="1"/>
  <c r="EN40" i="1"/>
  <c r="EN38" i="1" a="1"/>
  <c r="EN38" i="1"/>
  <c r="EN36" i="1" a="1"/>
  <c r="EN36" i="1"/>
  <c r="EN34" i="1" a="1"/>
  <c r="EN34" i="1"/>
  <c r="EN31" i="1" a="1"/>
  <c r="EN31" i="1"/>
  <c r="EN29" i="1" a="1"/>
  <c r="EN29" i="1"/>
  <c r="EN33" i="1" a="1"/>
  <c r="EN33" i="1"/>
  <c r="EN27" i="1" a="1"/>
  <c r="EN27" i="1"/>
  <c r="EN25" i="1" a="1"/>
  <c r="EN25" i="1"/>
  <c r="EN23" i="1" a="1"/>
  <c r="EN23" i="1"/>
  <c r="EN21" i="1" a="1"/>
  <c r="EN21" i="1"/>
  <c r="EN19" i="1" a="1"/>
  <c r="EN19" i="1"/>
  <c r="EN17" i="1" a="1"/>
  <c r="EN17" i="1"/>
  <c r="EN15" i="1" a="1"/>
  <c r="EN15" i="1"/>
  <c r="EN13" i="1" a="1"/>
  <c r="EN13" i="1"/>
  <c r="EO11" i="1"/>
  <c r="EN62" i="1" a="1"/>
  <c r="EN62" i="1"/>
  <c r="EN60" i="1" a="1"/>
  <c r="EN60" i="1"/>
  <c r="EN58" i="1" a="1"/>
  <c r="EN58" i="1"/>
  <c r="EN56" i="1" a="1"/>
  <c r="EN56" i="1"/>
  <c r="EN54" i="1" a="1"/>
  <c r="EN54" i="1"/>
  <c r="EN52" i="1" a="1"/>
  <c r="EN52" i="1"/>
  <c r="EN50" i="1" a="1"/>
  <c r="EN50" i="1"/>
  <c r="EN46" i="1" a="1"/>
  <c r="EN46" i="1"/>
  <c r="EN44" i="1" a="1"/>
  <c r="EN44" i="1"/>
  <c r="EN42" i="1" a="1"/>
  <c r="EN42" i="1"/>
  <c r="EN48" i="1" a="1"/>
  <c r="EN48" i="1"/>
  <c r="EN39" i="1" a="1"/>
  <c r="EN39" i="1"/>
  <c r="EN37" i="1" a="1"/>
  <c r="EN37" i="1"/>
  <c r="EN35" i="1" a="1"/>
  <c r="EN35" i="1"/>
  <c r="EN41" i="1" a="1"/>
  <c r="EN41" i="1"/>
  <c r="EN30" i="1" a="1"/>
  <c r="EN30" i="1"/>
  <c r="EN28" i="1" a="1"/>
  <c r="EN28" i="1"/>
  <c r="EN32" i="1" a="1"/>
  <c r="EN32" i="1"/>
  <c r="EN26" i="1" a="1"/>
  <c r="EN26" i="1"/>
  <c r="EN24" i="1" a="1"/>
  <c r="EN24" i="1"/>
  <c r="EN22" i="1" a="1"/>
  <c r="EN22" i="1"/>
  <c r="EN20" i="1" a="1"/>
  <c r="EN20" i="1"/>
  <c r="EN18" i="1" a="1"/>
  <c r="EN18" i="1"/>
  <c r="EN16" i="1" a="1"/>
  <c r="EN16" i="1"/>
  <c r="EN14" i="1" a="1"/>
  <c r="EN14" i="1"/>
  <c r="EN12" i="1" a="1"/>
  <c r="EN12" i="1"/>
  <c r="B108" i="1"/>
  <c r="A109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B56" i="1"/>
  <c r="D56" i="1"/>
  <c r="A57" i="1"/>
  <c r="B109" i="1"/>
  <c r="C109" i="1"/>
  <c r="A110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EO61" i="1" a="1"/>
  <c r="EO61" i="1"/>
  <c r="EO56" i="1" a="1"/>
  <c r="EO56" i="1"/>
  <c r="EO53" i="1" a="1"/>
  <c r="EO53" i="1"/>
  <c r="EO49" i="1" a="1"/>
  <c r="EO49" i="1"/>
  <c r="EO45" i="1" a="1"/>
  <c r="EO45" i="1"/>
  <c r="EO41" i="1" a="1"/>
  <c r="EO41" i="1"/>
  <c r="EO37" i="1" a="1"/>
  <c r="EO37" i="1"/>
  <c r="EO33" i="1" a="1"/>
  <c r="EO33" i="1"/>
  <c r="EO29" i="1" a="1"/>
  <c r="EO29" i="1"/>
  <c r="EO25" i="1" a="1"/>
  <c r="EO25" i="1"/>
  <c r="EO21" i="1" a="1"/>
  <c r="EO21" i="1"/>
  <c r="EO17" i="1" a="1"/>
  <c r="EO17" i="1"/>
  <c r="EO13" i="1" a="1"/>
  <c r="EO13" i="1"/>
  <c r="EO60" i="1" a="1"/>
  <c r="EO60" i="1"/>
  <c r="EO55" i="1" a="1"/>
  <c r="EO55" i="1"/>
  <c r="EO52" i="1" a="1"/>
  <c r="EO52" i="1"/>
  <c r="EO48" i="1" a="1"/>
  <c r="EO48" i="1"/>
  <c r="EO44" i="1" a="1"/>
  <c r="EO44" i="1"/>
  <c r="EO40" i="1" a="1"/>
  <c r="EO40" i="1"/>
  <c r="EO36" i="1" a="1"/>
  <c r="EO36" i="1"/>
  <c r="EO32" i="1" a="1"/>
  <c r="EO32" i="1"/>
  <c r="EO28" i="1" a="1"/>
  <c r="EO28" i="1"/>
  <c r="EO24" i="1" a="1"/>
  <c r="EO24" i="1"/>
  <c r="EO20" i="1" a="1"/>
  <c r="EO20" i="1"/>
  <c r="EO16" i="1" a="1"/>
  <c r="EO16" i="1"/>
  <c r="EO12" i="1" a="1"/>
  <c r="EO12" i="1"/>
  <c r="EO59" i="1" a="1"/>
  <c r="EO59" i="1"/>
  <c r="EO54" i="1" a="1"/>
  <c r="EO54" i="1"/>
  <c r="EO51" i="1" a="1"/>
  <c r="EO51" i="1"/>
  <c r="EO47" i="1" a="1"/>
  <c r="EO47" i="1"/>
  <c r="EO43" i="1" a="1"/>
  <c r="EO43" i="1"/>
  <c r="EO39" i="1" a="1"/>
  <c r="EO39" i="1"/>
  <c r="EO35" i="1" a="1"/>
  <c r="EO35" i="1"/>
  <c r="EO31" i="1" a="1"/>
  <c r="EO31" i="1"/>
  <c r="EO27" i="1" a="1"/>
  <c r="EO27" i="1"/>
  <c r="EO23" i="1" a="1"/>
  <c r="EO23" i="1"/>
  <c r="EO19" i="1" a="1"/>
  <c r="EO19" i="1"/>
  <c r="EO15" i="1" a="1"/>
  <c r="EO15" i="1"/>
  <c r="EP11" i="1"/>
  <c r="EO50" i="1" a="1"/>
  <c r="EO50" i="1"/>
  <c r="EO34" i="1" a="1"/>
  <c r="EO34" i="1"/>
  <c r="EO18" i="1" a="1"/>
  <c r="EO18" i="1"/>
  <c r="EO62" i="1" a="1"/>
  <c r="EO62" i="1"/>
  <c r="EO46" i="1" a="1"/>
  <c r="EO46" i="1"/>
  <c r="EO30" i="1" a="1"/>
  <c r="EO30" i="1"/>
  <c r="EO14" i="1" a="1"/>
  <c r="EO14" i="1"/>
  <c r="EO57" i="1" a="1"/>
  <c r="EO57" i="1"/>
  <c r="EO42" i="1" a="1"/>
  <c r="EO42" i="1"/>
  <c r="EO26" i="1" a="1"/>
  <c r="EO26" i="1"/>
  <c r="EO58" i="1" a="1"/>
  <c r="EO58" i="1"/>
  <c r="EO38" i="1" a="1"/>
  <c r="EO38" i="1"/>
  <c r="EO22" i="1" a="1"/>
  <c r="EO22" i="1"/>
  <c r="AP109" i="1"/>
  <c r="AQ100" i="1"/>
  <c r="AQ103" i="1"/>
  <c r="AQ94" i="1"/>
  <c r="AQ86" i="1"/>
  <c r="AQ93" i="1"/>
  <c r="AQ85" i="1"/>
  <c r="AQ77" i="1"/>
  <c r="AQ70" i="1"/>
  <c r="AQ71" i="1"/>
  <c r="AQ76" i="1"/>
  <c r="AQ104" i="1"/>
  <c r="AQ96" i="1"/>
  <c r="AQ99" i="1"/>
  <c r="AQ90" i="1"/>
  <c r="AQ82" i="1"/>
  <c r="AQ89" i="1"/>
  <c r="AQ81" i="1"/>
  <c r="AQ74" i="1"/>
  <c r="AQ80" i="1"/>
  <c r="AQ67" i="1"/>
  <c r="AQ98" i="1"/>
  <c r="AQ92" i="1"/>
  <c r="AQ91" i="1"/>
  <c r="AQ75" i="1"/>
  <c r="AQ69" i="1"/>
  <c r="AQ108" i="1"/>
  <c r="AQ106" i="1"/>
  <c r="AQ101" i="1"/>
  <c r="AQ84" i="1"/>
  <c r="AQ83" i="1"/>
  <c r="AQ68" i="1"/>
  <c r="AR65" i="1"/>
  <c r="AQ107" i="1"/>
  <c r="AQ102" i="1"/>
  <c r="AQ97" i="1"/>
  <c r="AQ95" i="1"/>
  <c r="AQ79" i="1"/>
  <c r="AQ73" i="1"/>
  <c r="AQ72" i="1"/>
  <c r="AQ105" i="1"/>
  <c r="AQ78" i="1"/>
  <c r="AQ88" i="1"/>
  <c r="AQ109" i="1"/>
  <c r="AQ87" i="1"/>
  <c r="AQ110" i="1"/>
  <c r="AR100" i="1"/>
  <c r="AR103" i="1"/>
  <c r="AR95" i="1"/>
  <c r="AR87" i="1"/>
  <c r="AR94" i="1"/>
  <c r="AR86" i="1"/>
  <c r="AR78" i="1"/>
  <c r="AR72" i="1"/>
  <c r="AR75" i="1"/>
  <c r="AR67" i="1"/>
  <c r="AR104" i="1"/>
  <c r="AR96" i="1"/>
  <c r="AR99" i="1"/>
  <c r="AR91" i="1"/>
  <c r="AR83" i="1"/>
  <c r="AR90" i="1"/>
  <c r="AR82" i="1"/>
  <c r="AR76" i="1"/>
  <c r="AR68" i="1"/>
  <c r="AR71" i="1"/>
  <c r="AR98" i="1"/>
  <c r="AR93" i="1"/>
  <c r="AR92" i="1"/>
  <c r="AR79" i="1"/>
  <c r="AR73" i="1"/>
  <c r="AR107" i="1"/>
  <c r="AR106" i="1"/>
  <c r="AR101" i="1"/>
  <c r="AR85" i="1"/>
  <c r="AR84" i="1"/>
  <c r="AR70" i="1"/>
  <c r="AS65" i="1"/>
  <c r="AR102" i="1"/>
  <c r="AR97" i="1"/>
  <c r="AR81" i="1"/>
  <c r="AR80" i="1"/>
  <c r="AR77" i="1"/>
  <c r="AR105" i="1"/>
  <c r="AR69" i="1"/>
  <c r="AR110" i="1"/>
  <c r="AR89" i="1"/>
  <c r="AR108" i="1"/>
  <c r="AR88" i="1"/>
  <c r="AR74" i="1"/>
  <c r="AR109" i="1"/>
  <c r="EP61" i="1" a="1"/>
  <c r="EP61" i="1"/>
  <c r="EP59" i="1" a="1"/>
  <c r="EP59" i="1"/>
  <c r="EP57" i="1" a="1"/>
  <c r="EP57" i="1"/>
  <c r="EP55" i="1" a="1"/>
  <c r="EP55" i="1"/>
  <c r="EP50" i="1" a="1"/>
  <c r="EP50" i="1"/>
  <c r="EP52" i="1" a="1"/>
  <c r="EP52" i="1"/>
  <c r="EP49" i="1" a="1"/>
  <c r="EP49" i="1"/>
  <c r="EP46" i="1" a="1"/>
  <c r="EP46" i="1"/>
  <c r="EP44" i="1" a="1"/>
  <c r="EP44" i="1"/>
  <c r="EP42" i="1" a="1"/>
  <c r="EP42" i="1"/>
  <c r="EP41" i="1" a="1"/>
  <c r="EP41" i="1"/>
  <c r="EP35" i="1" a="1"/>
  <c r="EP35" i="1"/>
  <c r="EP40" i="1" a="1"/>
  <c r="EP40" i="1"/>
  <c r="EP38" i="1" a="1"/>
  <c r="EP38" i="1"/>
  <c r="EP33" i="1" a="1"/>
  <c r="EP33" i="1"/>
  <c r="EP31" i="1" a="1"/>
  <c r="EP31" i="1"/>
  <c r="EP29" i="1" a="1"/>
  <c r="EP29" i="1"/>
  <c r="EP58" i="1" a="1"/>
  <c r="EP58" i="1"/>
  <c r="EP51" i="1" a="1"/>
  <c r="EP51" i="1"/>
  <c r="EP47" i="1" a="1"/>
  <c r="EP47" i="1"/>
  <c r="EP37" i="1" a="1"/>
  <c r="EP37" i="1"/>
  <c r="EP60" i="1" a="1"/>
  <c r="EP60" i="1"/>
  <c r="EP53" i="1" a="1"/>
  <c r="EP53" i="1"/>
  <c r="EP43" i="1" a="1"/>
  <c r="EP43" i="1"/>
  <c r="EP39" i="1" a="1"/>
  <c r="EP39" i="1"/>
  <c r="EP28" i="1" a="1"/>
  <c r="EP28" i="1"/>
  <c r="EP26" i="1" a="1"/>
  <c r="EP26" i="1"/>
  <c r="EP24" i="1" a="1"/>
  <c r="EP24" i="1"/>
  <c r="EP22" i="1" a="1"/>
  <c r="EP22" i="1"/>
  <c r="EP20" i="1" a="1"/>
  <c r="EP20" i="1"/>
  <c r="EP18" i="1" a="1"/>
  <c r="EP18" i="1"/>
  <c r="EP16" i="1" a="1"/>
  <c r="EP16" i="1"/>
  <c r="EP14" i="1" a="1"/>
  <c r="EP14" i="1"/>
  <c r="EP12" i="1" a="1"/>
  <c r="EP12" i="1"/>
  <c r="EP62" i="1" a="1"/>
  <c r="EP62" i="1"/>
  <c r="EP54" i="1" a="1"/>
  <c r="EP54" i="1"/>
  <c r="EP45" i="1" a="1"/>
  <c r="EP45" i="1"/>
  <c r="EP34" i="1" a="1"/>
  <c r="EP34" i="1"/>
  <c r="EP30" i="1" a="1"/>
  <c r="EP30" i="1"/>
  <c r="EP56" i="1" a="1"/>
  <c r="EP56" i="1"/>
  <c r="EP25" i="1" a="1"/>
  <c r="EP25" i="1"/>
  <c r="EP17" i="1" a="1"/>
  <c r="EP17" i="1"/>
  <c r="EP32" i="1" a="1"/>
  <c r="EP32" i="1"/>
  <c r="EP23" i="1" a="1"/>
  <c r="EP23" i="1"/>
  <c r="EP15" i="1" a="1"/>
  <c r="EP15" i="1"/>
  <c r="EP36" i="1" a="1"/>
  <c r="EP36" i="1"/>
  <c r="EP21" i="1" a="1"/>
  <c r="EP21" i="1"/>
  <c r="EP13" i="1" a="1"/>
  <c r="EP13" i="1"/>
  <c r="EP48" i="1" a="1"/>
  <c r="EP48" i="1"/>
  <c r="EQ11" i="1"/>
  <c r="EP27" i="1" a="1"/>
  <c r="EP27" i="1"/>
  <c r="EP19" i="1" a="1"/>
  <c r="EP19" i="1"/>
  <c r="B57" i="1"/>
  <c r="D57" i="1"/>
  <c r="A58" i="1"/>
  <c r="A111" i="1"/>
  <c r="AR111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B58" i="1"/>
  <c r="D58" i="1"/>
  <c r="A59" i="1"/>
  <c r="EQ61" i="1" a="1"/>
  <c r="EQ61" i="1"/>
  <c r="EQ59" i="1" a="1"/>
  <c r="EQ59" i="1"/>
  <c r="EQ55" i="1" a="1"/>
  <c r="EQ55" i="1"/>
  <c r="EQ58" i="1" a="1"/>
  <c r="EQ58" i="1"/>
  <c r="EQ53" i="1" a="1"/>
  <c r="EQ53" i="1"/>
  <c r="EQ51" i="1" a="1"/>
  <c r="EQ51" i="1"/>
  <c r="EQ49" i="1" a="1"/>
  <c r="EQ49" i="1"/>
  <c r="EQ47" i="1" a="1"/>
  <c r="EQ47" i="1"/>
  <c r="EQ45" i="1" a="1"/>
  <c r="EQ45" i="1"/>
  <c r="EQ43" i="1" a="1"/>
  <c r="EQ43" i="1"/>
  <c r="EQ41" i="1" a="1"/>
  <c r="EQ41" i="1"/>
  <c r="EQ39" i="1" a="1"/>
  <c r="EQ39" i="1"/>
  <c r="EQ37" i="1" a="1"/>
  <c r="EQ37" i="1"/>
  <c r="EQ35" i="1" a="1"/>
  <c r="EQ35" i="1"/>
  <c r="EQ33" i="1" a="1"/>
  <c r="EQ33" i="1"/>
  <c r="EQ31" i="1" a="1"/>
  <c r="EQ31" i="1"/>
  <c r="EQ29" i="1" a="1"/>
  <c r="EQ29" i="1"/>
  <c r="EQ27" i="1" a="1"/>
  <c r="EQ27" i="1"/>
  <c r="EQ25" i="1" a="1"/>
  <c r="EQ25" i="1"/>
  <c r="EQ23" i="1" a="1"/>
  <c r="EQ23" i="1"/>
  <c r="EQ21" i="1" a="1"/>
  <c r="EQ21" i="1"/>
  <c r="EQ19" i="1" a="1"/>
  <c r="EQ19" i="1"/>
  <c r="EQ17" i="1" a="1"/>
  <c r="EQ17" i="1"/>
  <c r="EQ15" i="1" a="1"/>
  <c r="EQ15" i="1"/>
  <c r="EQ13" i="1" a="1"/>
  <c r="EQ13" i="1"/>
  <c r="ER11" i="1"/>
  <c r="EQ62" i="1" a="1"/>
  <c r="EQ62" i="1"/>
  <c r="EQ60" i="1" a="1"/>
  <c r="EQ60" i="1"/>
  <c r="EQ56" i="1" a="1"/>
  <c r="EQ56" i="1"/>
  <c r="EQ54" i="1" a="1"/>
  <c r="EQ54" i="1"/>
  <c r="EQ57" i="1" a="1"/>
  <c r="EQ57" i="1"/>
  <c r="EQ52" i="1" a="1"/>
  <c r="EQ52" i="1"/>
  <c r="EQ50" i="1" a="1"/>
  <c r="EQ50" i="1"/>
  <c r="EQ48" i="1" a="1"/>
  <c r="EQ48" i="1"/>
  <c r="EQ46" i="1" a="1"/>
  <c r="EQ46" i="1"/>
  <c r="EQ44" i="1" a="1"/>
  <c r="EQ44" i="1"/>
  <c r="EQ42" i="1" a="1"/>
  <c r="EQ42" i="1"/>
  <c r="EQ40" i="1" a="1"/>
  <c r="EQ40" i="1"/>
  <c r="EQ38" i="1" a="1"/>
  <c r="EQ38" i="1"/>
  <c r="EQ36" i="1" a="1"/>
  <c r="EQ36" i="1"/>
  <c r="EQ34" i="1" a="1"/>
  <c r="EQ34" i="1"/>
  <c r="EQ32" i="1" a="1"/>
  <c r="EQ32" i="1"/>
  <c r="EQ30" i="1" a="1"/>
  <c r="EQ30" i="1"/>
  <c r="EQ28" i="1" a="1"/>
  <c r="EQ28" i="1"/>
  <c r="EQ26" i="1" a="1"/>
  <c r="EQ26" i="1"/>
  <c r="EQ24" i="1" a="1"/>
  <c r="EQ24" i="1"/>
  <c r="EQ22" i="1" a="1"/>
  <c r="EQ22" i="1"/>
  <c r="EQ20" i="1" a="1"/>
  <c r="EQ20" i="1"/>
  <c r="EQ18" i="1" a="1"/>
  <c r="EQ18" i="1"/>
  <c r="EQ16" i="1" a="1"/>
  <c r="EQ16" i="1"/>
  <c r="EQ14" i="1" a="1"/>
  <c r="EQ14" i="1"/>
  <c r="EQ12" i="1" a="1"/>
  <c r="EQ12" i="1"/>
  <c r="AS103" i="1"/>
  <c r="AS108" i="1"/>
  <c r="AS100" i="1"/>
  <c r="AS91" i="1"/>
  <c r="AS83" i="1"/>
  <c r="AS92" i="1"/>
  <c r="AS84" i="1"/>
  <c r="AS76" i="1"/>
  <c r="AS67" i="1"/>
  <c r="AS70" i="1"/>
  <c r="AS107" i="1"/>
  <c r="AS99" i="1"/>
  <c r="AS104" i="1"/>
  <c r="AS96" i="1"/>
  <c r="AS87" i="1"/>
  <c r="AS95" i="1"/>
  <c r="AS88" i="1"/>
  <c r="AS80" i="1"/>
  <c r="AS71" i="1"/>
  <c r="AS74" i="1"/>
  <c r="AS77" i="1"/>
  <c r="AS101" i="1"/>
  <c r="AS98" i="1"/>
  <c r="AS81" i="1"/>
  <c r="AS82" i="1"/>
  <c r="AS79" i="1"/>
  <c r="AT65" i="1"/>
  <c r="AS106" i="1"/>
  <c r="AS89" i="1"/>
  <c r="AS90" i="1"/>
  <c r="AS73" i="1"/>
  <c r="AS68" i="1"/>
  <c r="AS105" i="1"/>
  <c r="AS102" i="1"/>
  <c r="AS85" i="1"/>
  <c r="AS86" i="1"/>
  <c r="AS69" i="1"/>
  <c r="AS75" i="1"/>
  <c r="AS97" i="1"/>
  <c r="AS72" i="1"/>
  <c r="AS109" i="1"/>
  <c r="AS93" i="1"/>
  <c r="AS94" i="1"/>
  <c r="AS78" i="1"/>
  <c r="AS111" i="1"/>
  <c r="AS110" i="1"/>
  <c r="AS112" i="1"/>
  <c r="A112" i="1"/>
  <c r="C111" i="1"/>
  <c r="B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ER60" i="1" a="1"/>
  <c r="ER60" i="1"/>
  <c r="ER56" i="1" a="1"/>
  <c r="ER56" i="1"/>
  <c r="ER53" i="1" a="1"/>
  <c r="ER53" i="1"/>
  <c r="ER46" i="1" a="1"/>
  <c r="ER46" i="1"/>
  <c r="ER42" i="1" a="1"/>
  <c r="ER42" i="1"/>
  <c r="ER35" i="1" a="1"/>
  <c r="ER35" i="1"/>
  <c r="ER39" i="1" a="1"/>
  <c r="ER39" i="1"/>
  <c r="ER32" i="1" a="1"/>
  <c r="ER32" i="1"/>
  <c r="ER28" i="1" a="1"/>
  <c r="ER28" i="1"/>
  <c r="ER24" i="1" a="1"/>
  <c r="ER24" i="1"/>
  <c r="ER16" i="1" a="1"/>
  <c r="ER16" i="1"/>
  <c r="ER12" i="1" a="1"/>
  <c r="ER12" i="1"/>
  <c r="ER18" i="1" a="1"/>
  <c r="ER18" i="1"/>
  <c r="ER59" i="1" a="1"/>
  <c r="ER59" i="1"/>
  <c r="ER55" i="1" a="1"/>
  <c r="ER55" i="1"/>
  <c r="ER52" i="1" a="1"/>
  <c r="ER52" i="1"/>
  <c r="ER45" i="1" a="1"/>
  <c r="ER45" i="1"/>
  <c r="ER48" i="1" a="1"/>
  <c r="ER48" i="1"/>
  <c r="ER34" i="1" a="1"/>
  <c r="ER34" i="1"/>
  <c r="ER38" i="1" a="1"/>
  <c r="ER38" i="1"/>
  <c r="ER31" i="1" a="1"/>
  <c r="ER31" i="1"/>
  <c r="ER27" i="1" a="1"/>
  <c r="ER27" i="1"/>
  <c r="ER23" i="1" a="1"/>
  <c r="ER23" i="1"/>
  <c r="ER15" i="1" a="1"/>
  <c r="ER15" i="1"/>
  <c r="ER21" i="1" a="1"/>
  <c r="ER21" i="1"/>
  <c r="ES11" i="1"/>
  <c r="ER62" i="1" a="1"/>
  <c r="ER62" i="1"/>
  <c r="ER58" i="1" a="1"/>
  <c r="ER58" i="1"/>
  <c r="ER54" i="1" a="1"/>
  <c r="ER54" i="1"/>
  <c r="ER51" i="1" a="1"/>
  <c r="ER51" i="1"/>
  <c r="ER44" i="1" a="1"/>
  <c r="ER44" i="1"/>
  <c r="ER47" i="1" a="1"/>
  <c r="ER47" i="1"/>
  <c r="ER41" i="1" a="1"/>
  <c r="ER41" i="1"/>
  <c r="ER37" i="1" a="1"/>
  <c r="ER37" i="1"/>
  <c r="ER30" i="1" a="1"/>
  <c r="ER30" i="1"/>
  <c r="ER26" i="1" a="1"/>
  <c r="ER26" i="1"/>
  <c r="ER22" i="1" a="1"/>
  <c r="ER22" i="1"/>
  <c r="ER14" i="1" a="1"/>
  <c r="ER14" i="1"/>
  <c r="ER20" i="1" a="1"/>
  <c r="ER20" i="1"/>
  <c r="ER57" i="1" a="1"/>
  <c r="ER57" i="1"/>
  <c r="ER36" i="1" a="1"/>
  <c r="ER36" i="1"/>
  <c r="ER25" i="1" a="1"/>
  <c r="ER25" i="1"/>
  <c r="ER50" i="1" a="1"/>
  <c r="ER50" i="1"/>
  <c r="ER40" i="1" a="1"/>
  <c r="ER40" i="1"/>
  <c r="ER17" i="1" a="1"/>
  <c r="ER17" i="1"/>
  <c r="ER49" i="1" a="1"/>
  <c r="ER49" i="1"/>
  <c r="ER33" i="1" a="1"/>
  <c r="ER33" i="1"/>
  <c r="ER13" i="1" a="1"/>
  <c r="ER13" i="1"/>
  <c r="ER29" i="1" a="1"/>
  <c r="ER29" i="1"/>
  <c r="ER19" i="1" a="1"/>
  <c r="ER19" i="1"/>
  <c r="ER61" i="1" a="1"/>
  <c r="ER61" i="1"/>
  <c r="ER43" i="1" a="1"/>
  <c r="ER43" i="1"/>
  <c r="A60" i="1"/>
  <c r="B59" i="1"/>
  <c r="D59" i="1"/>
  <c r="A113" i="1"/>
  <c r="C112" i="1"/>
  <c r="B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T107" i="1"/>
  <c r="AT99" i="1"/>
  <c r="AT106" i="1"/>
  <c r="AT98" i="1"/>
  <c r="AT90" i="1"/>
  <c r="AT82" i="1"/>
  <c r="AT87" i="1"/>
  <c r="AT79" i="1"/>
  <c r="AT76" i="1"/>
  <c r="AT67" i="1"/>
  <c r="AT70" i="1"/>
  <c r="AT103" i="1"/>
  <c r="AT95" i="1"/>
  <c r="AT102" i="1"/>
  <c r="AT94" i="1"/>
  <c r="AT86" i="1"/>
  <c r="AT91" i="1"/>
  <c r="AT83" i="1"/>
  <c r="AT78" i="1"/>
  <c r="AT71" i="1"/>
  <c r="AT74" i="1"/>
  <c r="AU65" i="1"/>
  <c r="AT101" i="1"/>
  <c r="AT100" i="1"/>
  <c r="AT84" i="1"/>
  <c r="AT81" i="1"/>
  <c r="AT69" i="1"/>
  <c r="AT109" i="1"/>
  <c r="AT97" i="1"/>
  <c r="AT96" i="1"/>
  <c r="AT93" i="1"/>
  <c r="AT77" i="1"/>
  <c r="AT80" i="1"/>
  <c r="AT108" i="1"/>
  <c r="AT92" i="1"/>
  <c r="AT89" i="1"/>
  <c r="AT75" i="1"/>
  <c r="AT72" i="1"/>
  <c r="AT110" i="1"/>
  <c r="AT88" i="1"/>
  <c r="AT112" i="1"/>
  <c r="AT85" i="1"/>
  <c r="AT111" i="1"/>
  <c r="AT105" i="1"/>
  <c r="AT73" i="1"/>
  <c r="AT104" i="1"/>
  <c r="AT68" i="1"/>
  <c r="AT113" i="1"/>
  <c r="AU104" i="1"/>
  <c r="AU96" i="1"/>
  <c r="AU103" i="1"/>
  <c r="AU95" i="1"/>
  <c r="AU88" i="1"/>
  <c r="AU93" i="1"/>
  <c r="AU85" i="1"/>
  <c r="AU77" i="1"/>
  <c r="AU70" i="1"/>
  <c r="AU73" i="1"/>
  <c r="AU80" i="1"/>
  <c r="AU110" i="1"/>
  <c r="AU102" i="1"/>
  <c r="AU109" i="1"/>
  <c r="AU101" i="1"/>
  <c r="AU94" i="1"/>
  <c r="AU86" i="1"/>
  <c r="AU91" i="1"/>
  <c r="AU83" i="1"/>
  <c r="AU75" i="1"/>
  <c r="AU68" i="1"/>
  <c r="AU71" i="1"/>
  <c r="AV65" i="1"/>
  <c r="AU108" i="1"/>
  <c r="AU100" i="1"/>
  <c r="AU107" i="1"/>
  <c r="AU99" i="1"/>
  <c r="AU92" i="1"/>
  <c r="AU84" i="1"/>
  <c r="AU89" i="1"/>
  <c r="AU81" i="1"/>
  <c r="AU74" i="1"/>
  <c r="AU78" i="1"/>
  <c r="AU69" i="1"/>
  <c r="AU98" i="1"/>
  <c r="AU82" i="1"/>
  <c r="AU76" i="1"/>
  <c r="AU113" i="1"/>
  <c r="AU105" i="1"/>
  <c r="AU87" i="1"/>
  <c r="AU67" i="1"/>
  <c r="AU112" i="1"/>
  <c r="AU97" i="1"/>
  <c r="AU79" i="1"/>
  <c r="AU111" i="1"/>
  <c r="AU90" i="1"/>
  <c r="AU114" i="1"/>
  <c r="AU72" i="1"/>
  <c r="AU106" i="1"/>
  <c r="C113" i="1"/>
  <c r="B113" i="1"/>
  <c r="A114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ES61" i="1" a="1"/>
  <c r="ES61" i="1"/>
  <c r="ES59" i="1" a="1"/>
  <c r="ES59" i="1"/>
  <c r="ES55" i="1" a="1"/>
  <c r="ES55" i="1"/>
  <c r="ES57" i="1" a="1"/>
  <c r="ES57" i="1"/>
  <c r="ES53" i="1" a="1"/>
  <c r="ES53" i="1"/>
  <c r="ES51" i="1" a="1"/>
  <c r="ES51" i="1"/>
  <c r="ES49" i="1" a="1"/>
  <c r="ES49" i="1"/>
  <c r="ES47" i="1" a="1"/>
  <c r="ES47" i="1"/>
  <c r="ES45" i="1" a="1"/>
  <c r="ES45" i="1"/>
  <c r="ES43" i="1" a="1"/>
  <c r="ES43" i="1"/>
  <c r="ES41" i="1" a="1"/>
  <c r="ES41" i="1"/>
  <c r="ES39" i="1" a="1"/>
  <c r="ES39" i="1"/>
  <c r="ES37" i="1" a="1"/>
  <c r="ES37" i="1"/>
  <c r="ES35" i="1" a="1"/>
  <c r="ES35" i="1"/>
  <c r="ES33" i="1" a="1"/>
  <c r="ES33" i="1"/>
  <c r="ES31" i="1" a="1"/>
  <c r="ES31" i="1"/>
  <c r="ES26" i="1" a="1"/>
  <c r="ES26" i="1"/>
  <c r="ES24" i="1" a="1"/>
  <c r="ES24" i="1"/>
  <c r="ES29" i="1" a="1"/>
  <c r="ES29" i="1"/>
  <c r="ES23" i="1" a="1"/>
  <c r="ES23" i="1"/>
  <c r="ES21" i="1" a="1"/>
  <c r="ES21" i="1"/>
  <c r="ES19" i="1" a="1"/>
  <c r="ES19" i="1"/>
  <c r="ES17" i="1" a="1"/>
  <c r="ES17" i="1"/>
  <c r="ES15" i="1" a="1"/>
  <c r="ES15" i="1"/>
  <c r="ES13" i="1" a="1"/>
  <c r="ES13" i="1"/>
  <c r="ET11" i="1"/>
  <c r="ES62" i="1" a="1"/>
  <c r="ES62" i="1"/>
  <c r="ES60" i="1" a="1"/>
  <c r="ES60" i="1"/>
  <c r="ES56" i="1" a="1"/>
  <c r="ES56" i="1"/>
  <c r="ES54" i="1" a="1"/>
  <c r="ES54" i="1"/>
  <c r="ES58" i="1" a="1"/>
  <c r="ES58" i="1"/>
  <c r="ES52" i="1" a="1"/>
  <c r="ES52" i="1"/>
  <c r="ES50" i="1" a="1"/>
  <c r="ES50" i="1"/>
  <c r="ES48" i="1" a="1"/>
  <c r="ES48" i="1"/>
  <c r="ES46" i="1" a="1"/>
  <c r="ES46" i="1"/>
  <c r="ES44" i="1" a="1"/>
  <c r="ES44" i="1"/>
  <c r="ES42" i="1" a="1"/>
  <c r="ES42" i="1"/>
  <c r="ES40" i="1" a="1"/>
  <c r="ES40" i="1"/>
  <c r="ES38" i="1" a="1"/>
  <c r="ES38" i="1"/>
  <c r="ES36" i="1" a="1"/>
  <c r="ES36" i="1"/>
  <c r="ES34" i="1" a="1"/>
  <c r="ES34" i="1"/>
  <c r="ES32" i="1" a="1"/>
  <c r="ES32" i="1"/>
  <c r="ES27" i="1" a="1"/>
  <c r="ES27" i="1"/>
  <c r="ES25" i="1" a="1"/>
  <c r="ES25" i="1"/>
  <c r="ES30" i="1" a="1"/>
  <c r="ES30" i="1"/>
  <c r="ES28" i="1" a="1"/>
  <c r="ES28" i="1"/>
  <c r="ES22" i="1" a="1"/>
  <c r="ES22" i="1"/>
  <c r="ES20" i="1" a="1"/>
  <c r="ES20" i="1"/>
  <c r="ES18" i="1" a="1"/>
  <c r="ES18" i="1"/>
  <c r="ES16" i="1" a="1"/>
  <c r="ES16" i="1"/>
  <c r="ES14" i="1" a="1"/>
  <c r="ES14" i="1"/>
  <c r="ES12" i="1" a="1"/>
  <c r="ES12" i="1"/>
  <c r="B60" i="1"/>
  <c r="D60" i="1"/>
  <c r="A61" i="1"/>
  <c r="AV108" i="1"/>
  <c r="AV100" i="1"/>
  <c r="AV109" i="1"/>
  <c r="AV101" i="1"/>
  <c r="AV93" i="1"/>
  <c r="AV85" i="1"/>
  <c r="AV92" i="1"/>
  <c r="AV84" i="1"/>
  <c r="AV77" i="1"/>
  <c r="AV70" i="1"/>
  <c r="AV73" i="1"/>
  <c r="AW65" i="1"/>
  <c r="AV104" i="1"/>
  <c r="AV96" i="1"/>
  <c r="AV105" i="1"/>
  <c r="AV97" i="1"/>
  <c r="AV89" i="1"/>
  <c r="AV81" i="1"/>
  <c r="AV88" i="1"/>
  <c r="AV80" i="1"/>
  <c r="AV74" i="1"/>
  <c r="AV79" i="1"/>
  <c r="AV69" i="1"/>
  <c r="AV106" i="1"/>
  <c r="AV107" i="1"/>
  <c r="AV91" i="1"/>
  <c r="AV90" i="1"/>
  <c r="AV75" i="1"/>
  <c r="AV71" i="1"/>
  <c r="AV114" i="1"/>
  <c r="AV102" i="1"/>
  <c r="AV103" i="1"/>
  <c r="AV87" i="1"/>
  <c r="AV86" i="1"/>
  <c r="AV72" i="1"/>
  <c r="AV67" i="1"/>
  <c r="AV113" i="1"/>
  <c r="AV98" i="1"/>
  <c r="AV99" i="1"/>
  <c r="AV83" i="1"/>
  <c r="AV82" i="1"/>
  <c r="AV68" i="1"/>
  <c r="AV112" i="1"/>
  <c r="AV94" i="1"/>
  <c r="AV110" i="1"/>
  <c r="AV78" i="1"/>
  <c r="AV111" i="1"/>
  <c r="AV76" i="1"/>
  <c r="AV95" i="1"/>
  <c r="A62" i="1"/>
  <c r="B62" i="1"/>
  <c r="D62" i="1"/>
  <c r="B61" i="1"/>
  <c r="D61" i="1"/>
  <c r="ET62" i="1" a="1"/>
  <c r="ET62" i="1"/>
  <c r="ET60" i="1" a="1"/>
  <c r="ET60" i="1"/>
  <c r="ET58" i="1" a="1"/>
  <c r="ET58" i="1"/>
  <c r="ET55" i="1" a="1"/>
  <c r="ET55" i="1"/>
  <c r="ET57" i="1" a="1"/>
  <c r="ET57" i="1"/>
  <c r="ET52" i="1" a="1"/>
  <c r="ET52" i="1"/>
  <c r="ET50" i="1" a="1"/>
  <c r="ET50" i="1"/>
  <c r="ET47" i="1" a="1"/>
  <c r="ET47" i="1"/>
  <c r="ET45" i="1" a="1"/>
  <c r="ET45" i="1"/>
  <c r="ET43" i="1" a="1"/>
  <c r="ET43" i="1"/>
  <c r="ET49" i="1" a="1"/>
  <c r="ET49" i="1"/>
  <c r="ET40" i="1" a="1"/>
  <c r="ET40" i="1"/>
  <c r="ET38" i="1" a="1"/>
  <c r="ET38" i="1"/>
  <c r="ET36" i="1" a="1"/>
  <c r="ET36" i="1"/>
  <c r="ET34" i="1" a="1"/>
  <c r="ET34" i="1"/>
  <c r="ET32" i="1" a="1"/>
  <c r="ET32" i="1"/>
  <c r="ET30" i="1" a="1"/>
  <c r="ET30" i="1"/>
  <c r="ET28" i="1" a="1"/>
  <c r="ET28" i="1"/>
  <c r="ET26" i="1" a="1"/>
  <c r="ET26" i="1"/>
  <c r="ET24" i="1" a="1"/>
  <c r="ET24" i="1"/>
  <c r="ET22" i="1" a="1"/>
  <c r="ET22" i="1"/>
  <c r="ET16" i="1" a="1"/>
  <c r="ET16" i="1"/>
  <c r="ET14" i="1" a="1"/>
  <c r="ET14" i="1"/>
  <c r="ET12" i="1" a="1"/>
  <c r="ET12" i="1"/>
  <c r="ET20" i="1" a="1"/>
  <c r="ET20" i="1"/>
  <c r="ET18" i="1" a="1"/>
  <c r="ET18" i="1"/>
  <c r="ET61" i="1" a="1"/>
  <c r="ET61" i="1"/>
  <c r="ET59" i="1" a="1"/>
  <c r="ET59" i="1"/>
  <c r="ET56" i="1" a="1"/>
  <c r="ET56" i="1"/>
  <c r="ET54" i="1" a="1"/>
  <c r="ET54" i="1"/>
  <c r="ET53" i="1" a="1"/>
  <c r="ET53" i="1"/>
  <c r="ET51" i="1" a="1"/>
  <c r="ET51" i="1"/>
  <c r="ET48" i="1" a="1"/>
  <c r="ET48" i="1"/>
  <c r="ET46" i="1" a="1"/>
  <c r="ET46" i="1"/>
  <c r="ET44" i="1" a="1"/>
  <c r="ET44" i="1"/>
  <c r="ET42" i="1" a="1"/>
  <c r="ET42" i="1"/>
  <c r="ET41" i="1" a="1"/>
  <c r="ET41" i="1"/>
  <c r="ET39" i="1" a="1"/>
  <c r="ET39" i="1"/>
  <c r="ET37" i="1" a="1"/>
  <c r="ET37" i="1"/>
  <c r="ET35" i="1" a="1"/>
  <c r="ET35" i="1"/>
  <c r="ET33" i="1" a="1"/>
  <c r="ET33" i="1"/>
  <c r="ET31" i="1" a="1"/>
  <c r="ET31" i="1"/>
  <c r="ET29" i="1" a="1"/>
  <c r="ET29" i="1"/>
  <c r="ET27" i="1" a="1"/>
  <c r="ET27" i="1"/>
  <c r="ET25" i="1" a="1"/>
  <c r="ET25" i="1"/>
  <c r="ET23" i="1" a="1"/>
  <c r="ET23" i="1"/>
  <c r="ET17" i="1" a="1"/>
  <c r="ET17" i="1"/>
  <c r="ET15" i="1" a="1"/>
  <c r="ET15" i="1"/>
  <c r="ET13" i="1" a="1"/>
  <c r="ET13" i="1"/>
  <c r="ET21" i="1" a="1"/>
  <c r="ET21" i="1"/>
  <c r="ET19" i="1" a="1"/>
  <c r="ET19" i="1"/>
  <c r="EU11" i="1"/>
  <c r="C114" i="1"/>
  <c r="B114" i="1"/>
  <c r="A115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EU61" i="1" a="1"/>
  <c r="EU61" i="1"/>
  <c r="EU59" i="1" a="1"/>
  <c r="EU59" i="1"/>
  <c r="EU55" i="1" a="1"/>
  <c r="EU55" i="1"/>
  <c r="EU58" i="1" a="1"/>
  <c r="EU58" i="1"/>
  <c r="EU53" i="1" a="1"/>
  <c r="EU53" i="1"/>
  <c r="EU51" i="1" a="1"/>
  <c r="EU51" i="1"/>
  <c r="EU49" i="1" a="1"/>
  <c r="EU49" i="1"/>
  <c r="EU47" i="1" a="1"/>
  <c r="EU47" i="1"/>
  <c r="EU45" i="1" a="1"/>
  <c r="EU45" i="1"/>
  <c r="EU43" i="1" a="1"/>
  <c r="EU43" i="1"/>
  <c r="EU41" i="1" a="1"/>
  <c r="EU41" i="1"/>
  <c r="EU39" i="1" a="1"/>
  <c r="EU39" i="1"/>
  <c r="EU37" i="1" a="1"/>
  <c r="EU37" i="1"/>
  <c r="EU35" i="1" a="1"/>
  <c r="EU35" i="1"/>
  <c r="EU33" i="1" a="1"/>
  <c r="EU33" i="1"/>
  <c r="EU31" i="1" a="1"/>
  <c r="EU31" i="1"/>
  <c r="EU26" i="1" a="1"/>
  <c r="EU26" i="1"/>
  <c r="EU24" i="1" a="1"/>
  <c r="EU24" i="1"/>
  <c r="EU29" i="1" a="1"/>
  <c r="EU29" i="1"/>
  <c r="EU21" i="1" a="1"/>
  <c r="EU21" i="1"/>
  <c r="EU19" i="1" a="1"/>
  <c r="EU19" i="1"/>
  <c r="EU23" i="1" a="1"/>
  <c r="EU23" i="1"/>
  <c r="EU17" i="1" a="1"/>
  <c r="EU17" i="1"/>
  <c r="EU15" i="1" a="1"/>
  <c r="EU15" i="1"/>
  <c r="EU13" i="1" a="1"/>
  <c r="EU13" i="1"/>
  <c r="EV11" i="1"/>
  <c r="EU54" i="1" a="1"/>
  <c r="EU54" i="1"/>
  <c r="EU48" i="1" a="1"/>
  <c r="EU48" i="1"/>
  <c r="EU40" i="1" a="1"/>
  <c r="EU40" i="1"/>
  <c r="EU32" i="1" a="1"/>
  <c r="EU32" i="1"/>
  <c r="EU28" i="1" a="1"/>
  <c r="EU28" i="1"/>
  <c r="EU16" i="1" a="1"/>
  <c r="EU16" i="1"/>
  <c r="EU62" i="1" a="1"/>
  <c r="EU62" i="1"/>
  <c r="EU57" i="1" a="1"/>
  <c r="EU57" i="1"/>
  <c r="EU46" i="1" a="1"/>
  <c r="EU46" i="1"/>
  <c r="EU38" i="1" a="1"/>
  <c r="EU38" i="1"/>
  <c r="EU27" i="1" a="1"/>
  <c r="EU27" i="1"/>
  <c r="EU20" i="1" a="1"/>
  <c r="EU20" i="1"/>
  <c r="EU14" i="1" a="1"/>
  <c r="EU14" i="1"/>
  <c r="EU60" i="1" a="1"/>
  <c r="EU60" i="1"/>
  <c r="EU52" i="1" a="1"/>
  <c r="EU52" i="1"/>
  <c r="EU44" i="1" a="1"/>
  <c r="EU44" i="1"/>
  <c r="EU36" i="1" a="1"/>
  <c r="EU36" i="1"/>
  <c r="EU25" i="1" a="1"/>
  <c r="EU25" i="1"/>
  <c r="EU18" i="1" a="1"/>
  <c r="EU18" i="1"/>
  <c r="EU12" i="1" a="1"/>
  <c r="EU12" i="1"/>
  <c r="EU56" i="1" a="1"/>
  <c r="EU56" i="1"/>
  <c r="EU30" i="1" a="1"/>
  <c r="EU30" i="1"/>
  <c r="EU50" i="1" a="1"/>
  <c r="EU50" i="1"/>
  <c r="EU22" i="1" a="1"/>
  <c r="EU22" i="1"/>
  <c r="EU42" i="1" a="1"/>
  <c r="EU42" i="1"/>
  <c r="EU34" i="1" a="1"/>
  <c r="EU34" i="1"/>
  <c r="AW105" i="1"/>
  <c r="AW97" i="1"/>
  <c r="AW106" i="1"/>
  <c r="AW98" i="1"/>
  <c r="AW91" i="1"/>
  <c r="AW83" i="1"/>
  <c r="AW90" i="1"/>
  <c r="AW82" i="1"/>
  <c r="AW73" i="1"/>
  <c r="AW77" i="1"/>
  <c r="AW70" i="1"/>
  <c r="AW111" i="1"/>
  <c r="AW103" i="1"/>
  <c r="AW112" i="1"/>
  <c r="AW104" i="1"/>
  <c r="AW96" i="1"/>
  <c r="AW89" i="1"/>
  <c r="AW81" i="1"/>
  <c r="AW88" i="1"/>
  <c r="AW80" i="1"/>
  <c r="AW71" i="1"/>
  <c r="AW75" i="1"/>
  <c r="AW68" i="1"/>
  <c r="AW114" i="1"/>
  <c r="AW109" i="1"/>
  <c r="AW101" i="1"/>
  <c r="AW110" i="1"/>
  <c r="AW102" i="1"/>
  <c r="AW95" i="1"/>
  <c r="AW87" i="1"/>
  <c r="AW94" i="1"/>
  <c r="AW86" i="1"/>
  <c r="AW78" i="1"/>
  <c r="AW69" i="1"/>
  <c r="AW74" i="1"/>
  <c r="AW79" i="1"/>
  <c r="AW113" i="1"/>
  <c r="AW115" i="1"/>
  <c r="AW108" i="1"/>
  <c r="AW92" i="1"/>
  <c r="AW72" i="1"/>
  <c r="AW100" i="1"/>
  <c r="AW84" i="1"/>
  <c r="AX65" i="1"/>
  <c r="AW107" i="1"/>
  <c r="AW93" i="1"/>
  <c r="AW76" i="1"/>
  <c r="AW67" i="1"/>
  <c r="AW99" i="1"/>
  <c r="AW85" i="1"/>
  <c r="B115" i="1"/>
  <c r="C115" i="1"/>
  <c r="A116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X111" i="1"/>
  <c r="AX103" i="1"/>
  <c r="AX95" i="1"/>
  <c r="AX106" i="1"/>
  <c r="AX98" i="1"/>
  <c r="AX90" i="1"/>
  <c r="AX82" i="1"/>
  <c r="AX87" i="1"/>
  <c r="AX79" i="1"/>
  <c r="AX73" i="1"/>
  <c r="AX78" i="1"/>
  <c r="AX70" i="1"/>
  <c r="AX109" i="1"/>
  <c r="AX101" i="1"/>
  <c r="AX112" i="1"/>
  <c r="AX104" i="1"/>
  <c r="AX96" i="1"/>
  <c r="AX88" i="1"/>
  <c r="AX93" i="1"/>
  <c r="AX85" i="1"/>
  <c r="AX77" i="1"/>
  <c r="AX71" i="1"/>
  <c r="AX75" i="1"/>
  <c r="AX68" i="1"/>
  <c r="AX107" i="1"/>
  <c r="AX99" i="1"/>
  <c r="AX110" i="1"/>
  <c r="AX102" i="1"/>
  <c r="AX94" i="1"/>
  <c r="AX86" i="1"/>
  <c r="AX91" i="1"/>
  <c r="AX83" i="1"/>
  <c r="AX80" i="1"/>
  <c r="AX69" i="1"/>
  <c r="AX74" i="1"/>
  <c r="AY65" i="1"/>
  <c r="AX114" i="1"/>
  <c r="AX105" i="1"/>
  <c r="AX92" i="1"/>
  <c r="AX76" i="1"/>
  <c r="AX97" i="1"/>
  <c r="AX84" i="1"/>
  <c r="AX67" i="1"/>
  <c r="AX108" i="1"/>
  <c r="AX89" i="1"/>
  <c r="AX72" i="1"/>
  <c r="AX115" i="1"/>
  <c r="AX81" i="1"/>
  <c r="AX113" i="1"/>
  <c r="AX100" i="1"/>
  <c r="EV61" i="1" a="1"/>
  <c r="EV61" i="1"/>
  <c r="EV59" i="1" a="1"/>
  <c r="EV59" i="1"/>
  <c r="EV57" i="1" a="1"/>
  <c r="EV57" i="1"/>
  <c r="EV55" i="1" a="1"/>
  <c r="EV55" i="1"/>
  <c r="EV53" i="1" a="1"/>
  <c r="EV53" i="1"/>
  <c r="EV51" i="1" a="1"/>
  <c r="EV51" i="1"/>
  <c r="EV47" i="1" a="1"/>
  <c r="EV47" i="1"/>
  <c r="EV45" i="1" a="1"/>
  <c r="EV45" i="1"/>
  <c r="EV43" i="1" a="1"/>
  <c r="EV43" i="1"/>
  <c r="EV48" i="1" a="1"/>
  <c r="EV48" i="1"/>
  <c r="EV40" i="1" a="1"/>
  <c r="EV40" i="1"/>
  <c r="EV38" i="1" a="1"/>
  <c r="EV38" i="1"/>
  <c r="EV36" i="1" a="1"/>
  <c r="EV36" i="1"/>
  <c r="EV34" i="1" a="1"/>
  <c r="EV34" i="1"/>
  <c r="EV30" i="1" a="1"/>
  <c r="EV30" i="1"/>
  <c r="EV28" i="1" a="1"/>
  <c r="EV28" i="1"/>
  <c r="EV32" i="1" a="1"/>
  <c r="EV32" i="1"/>
  <c r="EV27" i="1" a="1"/>
  <c r="EV27" i="1"/>
  <c r="EV25" i="1" a="1"/>
  <c r="EV25" i="1"/>
  <c r="EV23" i="1" a="1"/>
  <c r="EV23" i="1"/>
  <c r="EV21" i="1" a="1"/>
  <c r="EV21" i="1"/>
  <c r="EV19" i="1" a="1"/>
  <c r="EV19" i="1"/>
  <c r="EV17" i="1" a="1"/>
  <c r="EV17" i="1"/>
  <c r="EV15" i="1" a="1"/>
  <c r="EV15" i="1"/>
  <c r="EV13" i="1" a="1"/>
  <c r="EV13" i="1"/>
  <c r="EW11" i="1"/>
  <c r="EV62" i="1" a="1"/>
  <c r="EV62" i="1"/>
  <c r="EV60" i="1" a="1"/>
  <c r="EV60" i="1"/>
  <c r="EV58" i="1" a="1"/>
  <c r="EV58" i="1"/>
  <c r="EV56" i="1" a="1"/>
  <c r="EV56" i="1"/>
  <c r="EV54" i="1" a="1"/>
  <c r="EV54" i="1"/>
  <c r="EV52" i="1" a="1"/>
  <c r="EV52" i="1"/>
  <c r="EV50" i="1" a="1"/>
  <c r="EV50" i="1"/>
  <c r="EV46" i="1" a="1"/>
  <c r="EV46" i="1"/>
  <c r="EV44" i="1" a="1"/>
  <c r="EV44" i="1"/>
  <c r="EV42" i="1" a="1"/>
  <c r="EV42" i="1"/>
  <c r="EV49" i="1" a="1"/>
  <c r="EV49" i="1"/>
  <c r="EV39" i="1" a="1"/>
  <c r="EV39" i="1"/>
  <c r="EV37" i="1" a="1"/>
  <c r="EV37" i="1"/>
  <c r="EV35" i="1" a="1"/>
  <c r="EV35" i="1"/>
  <c r="EV41" i="1" a="1"/>
  <c r="EV41" i="1"/>
  <c r="EV29" i="1" a="1"/>
  <c r="EV29" i="1"/>
  <c r="EV33" i="1" a="1"/>
  <c r="EV33" i="1"/>
  <c r="EV31" i="1" a="1"/>
  <c r="EV31" i="1"/>
  <c r="EV26" i="1" a="1"/>
  <c r="EV26" i="1"/>
  <c r="EV24" i="1" a="1"/>
  <c r="EV24" i="1"/>
  <c r="EV22" i="1" a="1"/>
  <c r="EV22" i="1"/>
  <c r="EV20" i="1" a="1"/>
  <c r="EV20" i="1"/>
  <c r="EV18" i="1" a="1"/>
  <c r="EV18" i="1"/>
  <c r="EV16" i="1" a="1"/>
  <c r="EV16" i="1"/>
  <c r="EV14" i="1" a="1"/>
  <c r="EV14" i="1"/>
  <c r="EV12" i="1" a="1"/>
  <c r="EV12" i="1"/>
  <c r="EW62" i="1" a="1"/>
  <c r="EW62" i="1"/>
  <c r="EW60" i="1" a="1"/>
  <c r="EW60" i="1"/>
  <c r="EW57" i="1" a="1"/>
  <c r="EW57" i="1"/>
  <c r="EW55" i="1" a="1"/>
  <c r="EW55" i="1"/>
  <c r="EW58" i="1" a="1"/>
  <c r="EW58" i="1"/>
  <c r="EW52" i="1" a="1"/>
  <c r="EW52" i="1"/>
  <c r="EW50" i="1" a="1"/>
  <c r="EW50" i="1"/>
  <c r="EW48" i="1" a="1"/>
  <c r="EW48" i="1"/>
  <c r="EW46" i="1" a="1"/>
  <c r="EW46" i="1"/>
  <c r="EW44" i="1" a="1"/>
  <c r="EW44" i="1"/>
  <c r="EW42" i="1" a="1"/>
  <c r="EW42" i="1"/>
  <c r="EW40" i="1" a="1"/>
  <c r="EW40" i="1"/>
  <c r="EW38" i="1" a="1"/>
  <c r="EW38" i="1"/>
  <c r="EW36" i="1" a="1"/>
  <c r="EW36" i="1"/>
  <c r="EW34" i="1" a="1"/>
  <c r="EW34" i="1"/>
  <c r="EW32" i="1" a="1"/>
  <c r="EW32" i="1"/>
  <c r="EW30" i="1" a="1"/>
  <c r="EW30" i="1"/>
  <c r="EW28" i="1" a="1"/>
  <c r="EW28" i="1"/>
  <c r="EW26" i="1" a="1"/>
  <c r="EW26" i="1"/>
  <c r="EW24" i="1" a="1"/>
  <c r="EW24" i="1"/>
  <c r="EW22" i="1" a="1"/>
  <c r="EW22" i="1"/>
  <c r="EW20" i="1" a="1"/>
  <c r="EW20" i="1"/>
  <c r="EW18" i="1" a="1"/>
  <c r="EW18" i="1"/>
  <c r="EW16" i="1" a="1"/>
  <c r="EW16" i="1"/>
  <c r="EW14" i="1" a="1"/>
  <c r="EW14" i="1"/>
  <c r="EW12" i="1" a="1"/>
  <c r="EW12" i="1"/>
  <c r="EW59" i="1" a="1"/>
  <c r="EW59" i="1"/>
  <c r="EW54" i="1" a="1"/>
  <c r="EW54" i="1"/>
  <c r="EW51" i="1" a="1"/>
  <c r="EW51" i="1"/>
  <c r="EW47" i="1" a="1"/>
  <c r="EW47" i="1"/>
  <c r="EW43" i="1" a="1"/>
  <c r="EW43" i="1"/>
  <c r="EW39" i="1" a="1"/>
  <c r="EW39" i="1"/>
  <c r="EW35" i="1" a="1"/>
  <c r="EW35" i="1"/>
  <c r="EW31" i="1" a="1"/>
  <c r="EW31" i="1"/>
  <c r="EW27" i="1" a="1"/>
  <c r="EW27" i="1"/>
  <c r="EW23" i="1" a="1"/>
  <c r="EW23" i="1"/>
  <c r="EW19" i="1" a="1"/>
  <c r="EW19" i="1"/>
  <c r="EW15" i="1" a="1"/>
  <c r="EW15" i="1"/>
  <c r="EX11" i="1"/>
  <c r="EW61" i="1" a="1"/>
  <c r="EW61" i="1"/>
  <c r="EW56" i="1" a="1"/>
  <c r="EW56" i="1"/>
  <c r="EW53" i="1" a="1"/>
  <c r="EW53" i="1"/>
  <c r="EW49" i="1" a="1"/>
  <c r="EW49" i="1"/>
  <c r="EW45" i="1" a="1"/>
  <c r="EW45" i="1"/>
  <c r="EW41" i="1" a="1"/>
  <c r="EW41" i="1"/>
  <c r="EW37" i="1" a="1"/>
  <c r="EW37" i="1"/>
  <c r="EW33" i="1" a="1"/>
  <c r="EW33" i="1"/>
  <c r="EW29" i="1" a="1"/>
  <c r="EW29" i="1"/>
  <c r="EW25" i="1" a="1"/>
  <c r="EW25" i="1"/>
  <c r="EW21" i="1" a="1"/>
  <c r="EW21" i="1"/>
  <c r="EW17" i="1" a="1"/>
  <c r="EW17" i="1"/>
  <c r="EW13" i="1" a="1"/>
  <c r="EW13" i="1"/>
  <c r="AY110" i="1"/>
  <c r="AY102" i="1"/>
  <c r="AY113" i="1"/>
  <c r="AY105" i="1"/>
  <c r="AY97" i="1"/>
  <c r="AY88" i="1"/>
  <c r="AY95" i="1"/>
  <c r="AY87" i="1"/>
  <c r="AY79" i="1"/>
  <c r="AY72" i="1"/>
  <c r="AY76" i="1"/>
  <c r="AY67" i="1"/>
  <c r="AY115" i="1"/>
  <c r="AY108" i="1"/>
  <c r="AY100" i="1"/>
  <c r="AY111" i="1"/>
  <c r="AY103" i="1"/>
  <c r="AY94" i="1"/>
  <c r="AY86" i="1"/>
  <c r="AY93" i="1"/>
  <c r="AY85" i="1"/>
  <c r="AY77" i="1"/>
  <c r="AY70" i="1"/>
  <c r="AY73" i="1"/>
  <c r="AY78" i="1"/>
  <c r="AY114" i="1"/>
  <c r="AY106" i="1"/>
  <c r="AY98" i="1"/>
  <c r="AY109" i="1"/>
  <c r="AY101" i="1"/>
  <c r="AY92" i="1"/>
  <c r="AY84" i="1"/>
  <c r="AY91" i="1"/>
  <c r="AY83" i="1"/>
  <c r="AY75" i="1"/>
  <c r="AY68" i="1"/>
  <c r="AY71" i="1"/>
  <c r="AZ65" i="1"/>
  <c r="AY107" i="1"/>
  <c r="AY89" i="1"/>
  <c r="AY69" i="1"/>
  <c r="AY112" i="1"/>
  <c r="AY99" i="1"/>
  <c r="AY81" i="1"/>
  <c r="AY104" i="1"/>
  <c r="AY90" i="1"/>
  <c r="AY74" i="1"/>
  <c r="AY96" i="1"/>
  <c r="AY82" i="1"/>
  <c r="AY80" i="1"/>
  <c r="EX61" i="1" a="1"/>
  <c r="EX61" i="1"/>
  <c r="EX59" i="1" a="1"/>
  <c r="EX59" i="1"/>
  <c r="EX57" i="1" a="1"/>
  <c r="EX57" i="1"/>
  <c r="EX55" i="1" a="1"/>
  <c r="EX55" i="1"/>
  <c r="EX53" i="1" a="1"/>
  <c r="EX53" i="1"/>
  <c r="EX49" i="1" a="1"/>
  <c r="EX49" i="1"/>
  <c r="EX51" i="1" a="1"/>
  <c r="EX51" i="1"/>
  <c r="EX46" i="1" a="1"/>
  <c r="EX46" i="1"/>
  <c r="EX44" i="1" a="1"/>
  <c r="EX44" i="1"/>
  <c r="EX42" i="1" a="1"/>
  <c r="EX42" i="1"/>
  <c r="EX41" i="1" a="1"/>
  <c r="EX41" i="1"/>
  <c r="EX35" i="1" a="1"/>
  <c r="EX35" i="1"/>
  <c r="EX40" i="1" a="1"/>
  <c r="EX40" i="1"/>
  <c r="EX38" i="1" a="1"/>
  <c r="EX38" i="1"/>
  <c r="EX32" i="1" a="1"/>
  <c r="EX32" i="1"/>
  <c r="EX33" i="1" a="1"/>
  <c r="EX33" i="1"/>
  <c r="EX29" i="1" a="1"/>
  <c r="EX29" i="1"/>
  <c r="EX27" i="1" a="1"/>
  <c r="EX27" i="1"/>
  <c r="EX25" i="1" a="1"/>
  <c r="EX25" i="1"/>
  <c r="EX23" i="1" a="1"/>
  <c r="EX23" i="1"/>
  <c r="EX21" i="1" a="1"/>
  <c r="EX21" i="1"/>
  <c r="EX19" i="1" a="1"/>
  <c r="EX19" i="1"/>
  <c r="EX17" i="1" a="1"/>
  <c r="EX17" i="1"/>
  <c r="EX15" i="1" a="1"/>
  <c r="EX15" i="1"/>
  <c r="EX13" i="1" a="1"/>
  <c r="EX13" i="1"/>
  <c r="EY11" i="1"/>
  <c r="EX62" i="1" a="1"/>
  <c r="EX62" i="1"/>
  <c r="EX58" i="1" a="1"/>
  <c r="EX58" i="1"/>
  <c r="EX54" i="1" a="1"/>
  <c r="EX54" i="1"/>
  <c r="EX52" i="1" a="1"/>
  <c r="EX52" i="1"/>
  <c r="EX45" i="1" a="1"/>
  <c r="EX45" i="1"/>
  <c r="EX47" i="1" a="1"/>
  <c r="EX47" i="1"/>
  <c r="EX34" i="1" a="1"/>
  <c r="EX34" i="1"/>
  <c r="EX37" i="1" a="1"/>
  <c r="EX37" i="1"/>
  <c r="EX30" i="1" a="1"/>
  <c r="EX30" i="1"/>
  <c r="EX26" i="1" a="1"/>
  <c r="EX26" i="1"/>
  <c r="EX22" i="1" a="1"/>
  <c r="EX22" i="1"/>
  <c r="EX18" i="1" a="1"/>
  <c r="EX18" i="1"/>
  <c r="EX14" i="1" a="1"/>
  <c r="EX14" i="1"/>
  <c r="EX60" i="1" a="1"/>
  <c r="EX60" i="1"/>
  <c r="EX43" i="1" a="1"/>
  <c r="EX43" i="1"/>
  <c r="EX28" i="1" a="1"/>
  <c r="EX28" i="1"/>
  <c r="EX12" i="1" a="1"/>
  <c r="EX12" i="1"/>
  <c r="EX56" i="1" a="1"/>
  <c r="EX56" i="1"/>
  <c r="EX36" i="1" a="1"/>
  <c r="EX36" i="1"/>
  <c r="EX24" i="1" a="1"/>
  <c r="EX24" i="1"/>
  <c r="EX50" i="1" a="1"/>
  <c r="EX50" i="1"/>
  <c r="EX39" i="1" a="1"/>
  <c r="EX39" i="1"/>
  <c r="EX20" i="1" a="1"/>
  <c r="EX20" i="1"/>
  <c r="EX48" i="1" a="1"/>
  <c r="EX48" i="1"/>
  <c r="EX31" i="1" a="1"/>
  <c r="EX31" i="1"/>
  <c r="EX16" i="1" a="1"/>
  <c r="EX16" i="1"/>
  <c r="AZ108" i="1"/>
  <c r="AZ100" i="1"/>
  <c r="AZ111" i="1"/>
  <c r="AZ103" i="1"/>
  <c r="AZ95" i="1"/>
  <c r="AZ87" i="1"/>
  <c r="AZ94" i="1"/>
  <c r="AZ86" i="1"/>
  <c r="AZ78" i="1"/>
  <c r="AZ74" i="1"/>
  <c r="AZ77" i="1"/>
  <c r="AZ67" i="1"/>
  <c r="AZ114" i="1"/>
  <c r="AZ106" i="1"/>
  <c r="AZ98" i="1"/>
  <c r="AZ109" i="1"/>
  <c r="AZ101" i="1"/>
  <c r="AZ93" i="1"/>
  <c r="AZ85" i="1"/>
  <c r="AZ92" i="1"/>
  <c r="AZ84" i="1"/>
  <c r="AZ76" i="1"/>
  <c r="AZ72" i="1"/>
  <c r="AZ73" i="1"/>
  <c r="AZ115" i="1"/>
  <c r="AZ112" i="1"/>
  <c r="AZ104" i="1"/>
  <c r="AZ96" i="1"/>
  <c r="AZ107" i="1"/>
  <c r="AZ99" i="1"/>
  <c r="AZ91" i="1"/>
  <c r="AZ83" i="1"/>
  <c r="AZ90" i="1"/>
  <c r="AZ82" i="1"/>
  <c r="AZ79" i="1"/>
  <c r="AZ70" i="1"/>
  <c r="AZ71" i="1"/>
  <c r="AZ105" i="1"/>
  <c r="AZ88" i="1"/>
  <c r="AZ69" i="1"/>
  <c r="AZ110" i="1"/>
  <c r="AZ97" i="1"/>
  <c r="AZ80" i="1"/>
  <c r="AZ102" i="1"/>
  <c r="AZ89" i="1"/>
  <c r="AZ75" i="1"/>
  <c r="AZ113" i="1"/>
  <c r="AZ81" i="1"/>
  <c r="AZ68" i="1"/>
  <c r="EY61" i="1" a="1"/>
  <c r="EY61" i="1"/>
  <c r="EY59" i="1" a="1"/>
  <c r="EY59" i="1"/>
  <c r="EY55" i="1" a="1"/>
  <c r="EY55" i="1"/>
  <c r="EY58" i="1" a="1"/>
  <c r="EY58" i="1"/>
  <c r="EY52" i="1" a="1"/>
  <c r="EY52" i="1"/>
  <c r="EY53" i="1" a="1"/>
  <c r="EY53" i="1"/>
  <c r="EY49" i="1" a="1"/>
  <c r="EY49" i="1"/>
  <c r="EY47" i="1" a="1"/>
  <c r="EY47" i="1"/>
  <c r="EY45" i="1" a="1"/>
  <c r="EY45" i="1"/>
  <c r="EY43" i="1" a="1"/>
  <c r="EY43" i="1"/>
  <c r="EY41" i="1" a="1"/>
  <c r="EY41" i="1"/>
  <c r="EY39" i="1" a="1"/>
  <c r="EY39" i="1"/>
  <c r="EY37" i="1" a="1"/>
  <c r="EY37" i="1"/>
  <c r="EY35" i="1" a="1"/>
  <c r="EY35" i="1"/>
  <c r="EY33" i="1" a="1"/>
  <c r="EY33" i="1"/>
  <c r="EY31" i="1" a="1"/>
  <c r="EY31" i="1"/>
  <c r="EY29" i="1" a="1"/>
  <c r="EY29" i="1"/>
  <c r="EY27" i="1" a="1"/>
  <c r="EY27" i="1"/>
  <c r="EY25" i="1" a="1"/>
  <c r="EY25" i="1"/>
  <c r="EY23" i="1" a="1"/>
  <c r="EY23" i="1"/>
  <c r="EY21" i="1" a="1"/>
  <c r="EY21" i="1"/>
  <c r="EY19" i="1" a="1"/>
  <c r="EY19" i="1"/>
  <c r="EY17" i="1" a="1"/>
  <c r="EY17" i="1"/>
  <c r="EY15" i="1" a="1"/>
  <c r="EY15" i="1"/>
  <c r="EY13" i="1" a="1"/>
  <c r="EY13" i="1"/>
  <c r="EZ11" i="1"/>
  <c r="EY62" i="1" a="1"/>
  <c r="EY62" i="1"/>
  <c r="EY60" i="1" a="1"/>
  <c r="EY60" i="1"/>
  <c r="EY56" i="1" a="1"/>
  <c r="EY56" i="1"/>
  <c r="EY54" i="1" a="1"/>
  <c r="EY54" i="1"/>
  <c r="EY57" i="1" a="1"/>
  <c r="EY57" i="1"/>
  <c r="EY51" i="1" a="1"/>
  <c r="EY51" i="1"/>
  <c r="EY50" i="1" a="1"/>
  <c r="EY50" i="1"/>
  <c r="EY48" i="1" a="1"/>
  <c r="EY48" i="1"/>
  <c r="EY46" i="1" a="1"/>
  <c r="EY46" i="1"/>
  <c r="EY44" i="1" a="1"/>
  <c r="EY44" i="1"/>
  <c r="EY42" i="1" a="1"/>
  <c r="EY42" i="1"/>
  <c r="EY40" i="1" a="1"/>
  <c r="EY40" i="1"/>
  <c r="EY38" i="1" a="1"/>
  <c r="EY38" i="1"/>
  <c r="EY36" i="1" a="1"/>
  <c r="EY36" i="1"/>
  <c r="EY34" i="1" a="1"/>
  <c r="EY34" i="1"/>
  <c r="EY32" i="1" a="1"/>
  <c r="EY32" i="1"/>
  <c r="EY30" i="1" a="1"/>
  <c r="EY30" i="1"/>
  <c r="EY28" i="1" a="1"/>
  <c r="EY28" i="1"/>
  <c r="EY26" i="1" a="1"/>
  <c r="EY26" i="1"/>
  <c r="EY24" i="1" a="1"/>
  <c r="EY24" i="1"/>
  <c r="EY22" i="1" a="1"/>
  <c r="EY22" i="1"/>
  <c r="EY20" i="1" a="1"/>
  <c r="EY20" i="1"/>
  <c r="EY18" i="1" a="1"/>
  <c r="EY18" i="1"/>
  <c r="EY16" i="1" a="1"/>
  <c r="EY16" i="1"/>
  <c r="EY14" i="1" a="1"/>
  <c r="EY14" i="1"/>
  <c r="EY12" i="1" a="1"/>
  <c r="EY12" i="1"/>
  <c r="B119" i="1" a="1"/>
  <c r="EZ62" i="1" a="1"/>
  <c r="EZ62" i="1"/>
  <c r="EZ60" i="1" a="1"/>
  <c r="EZ60" i="1"/>
  <c r="EZ58" i="1" a="1"/>
  <c r="EZ58" i="1"/>
  <c r="EZ56" i="1" a="1"/>
  <c r="EZ56" i="1"/>
  <c r="EZ54" i="1" a="1"/>
  <c r="EZ54" i="1"/>
  <c r="EZ50" i="1" a="1"/>
  <c r="EZ50" i="1"/>
  <c r="EZ52" i="1" a="1"/>
  <c r="EZ52" i="1"/>
  <c r="EZ46" i="1" a="1"/>
  <c r="EZ46" i="1"/>
  <c r="EZ44" i="1" a="1"/>
  <c r="EZ44" i="1"/>
  <c r="EZ42" i="1" a="1"/>
  <c r="EZ42" i="1"/>
  <c r="EZ47" i="1" a="1"/>
  <c r="EZ47" i="1"/>
  <c r="EZ35" i="1" a="1"/>
  <c r="EZ35" i="1"/>
  <c r="EZ33" i="1" a="1"/>
  <c r="EZ33" i="1"/>
  <c r="EZ40" i="1" a="1"/>
  <c r="EZ40" i="1"/>
  <c r="EZ38" i="1" a="1"/>
  <c r="EZ38" i="1"/>
  <c r="EZ32" i="1" a="1"/>
  <c r="EZ32" i="1"/>
  <c r="EZ30" i="1" a="1"/>
  <c r="EZ30" i="1"/>
  <c r="EZ28" i="1" a="1"/>
  <c r="EZ28" i="1"/>
  <c r="EZ26" i="1" a="1"/>
  <c r="EZ26" i="1"/>
  <c r="EZ24" i="1" a="1"/>
  <c r="EZ24" i="1"/>
  <c r="EZ22" i="1" a="1"/>
  <c r="EZ22" i="1"/>
  <c r="EZ16" i="1" a="1"/>
  <c r="EZ16" i="1"/>
  <c r="EZ14" i="1" a="1"/>
  <c r="EZ14" i="1"/>
  <c r="EZ12" i="1" a="1"/>
  <c r="EZ12" i="1"/>
  <c r="EZ20" i="1" a="1"/>
  <c r="EZ20" i="1"/>
  <c r="EZ18" i="1" a="1"/>
  <c r="EZ18" i="1"/>
  <c r="EZ61" i="1" a="1"/>
  <c r="EZ61" i="1"/>
  <c r="EZ59" i="1" a="1"/>
  <c r="EZ59" i="1"/>
  <c r="EZ57" i="1" a="1"/>
  <c r="EZ57" i="1"/>
  <c r="EZ55" i="1" a="1"/>
  <c r="EZ55" i="1"/>
  <c r="EZ53" i="1" a="1"/>
  <c r="EZ53" i="1"/>
  <c r="EZ49" i="1" a="1"/>
  <c r="EZ49" i="1"/>
  <c r="EZ51" i="1" a="1"/>
  <c r="EZ51" i="1"/>
  <c r="EZ45" i="1" a="1"/>
  <c r="EZ45" i="1"/>
  <c r="EZ43" i="1" a="1"/>
  <c r="EZ43" i="1"/>
  <c r="EZ48" i="1" a="1"/>
  <c r="EZ48" i="1"/>
  <c r="EZ36" i="1" a="1"/>
  <c r="EZ36" i="1"/>
  <c r="EZ34" i="1" a="1"/>
  <c r="EZ34" i="1"/>
  <c r="EZ41" i="1" a="1"/>
  <c r="EZ41" i="1"/>
  <c r="EZ39" i="1" a="1"/>
  <c r="EZ39" i="1"/>
  <c r="EZ37" i="1" a="1"/>
  <c r="EZ37" i="1"/>
  <c r="EZ31" i="1" a="1"/>
  <c r="EZ31" i="1"/>
  <c r="EZ29" i="1" a="1"/>
  <c r="EZ29" i="1"/>
  <c r="EZ27" i="1" a="1"/>
  <c r="EZ27" i="1"/>
  <c r="EZ25" i="1" a="1"/>
  <c r="EZ25" i="1"/>
  <c r="EZ23" i="1" a="1"/>
  <c r="EZ23" i="1"/>
  <c r="EZ17" i="1" a="1"/>
  <c r="EZ17" i="1"/>
  <c r="EZ15" i="1" a="1"/>
  <c r="EZ15" i="1"/>
  <c r="EZ13" i="1" a="1"/>
  <c r="EZ13" i="1"/>
  <c r="EZ21" i="1" a="1"/>
  <c r="EZ21" i="1"/>
  <c r="EZ19" i="1" a="1"/>
  <c r="EZ19" i="1"/>
  <c r="FA11" i="1"/>
  <c r="K169" i="1"/>
  <c r="AW167" i="1"/>
  <c r="AJ166" i="1"/>
  <c r="G168" i="1"/>
  <c r="AY165" i="1"/>
  <c r="AL164" i="1"/>
  <c r="Y163" i="1"/>
  <c r="L162" i="1"/>
  <c r="AX160" i="1"/>
  <c r="AK159" i="1"/>
  <c r="Y169" i="1"/>
  <c r="AX166" i="1"/>
  <c r="N166" i="1"/>
  <c r="AM163" i="1"/>
  <c r="M161" i="1"/>
  <c r="AL158" i="1"/>
  <c r="Y157" i="1"/>
  <c r="L156" i="1"/>
  <c r="AX154" i="1"/>
  <c r="AK153" i="1"/>
  <c r="X152" i="1"/>
  <c r="K151" i="1"/>
  <c r="AW149" i="1"/>
  <c r="AJ148" i="1"/>
  <c r="W147" i="1"/>
  <c r="J146" i="1"/>
  <c r="AV144" i="1"/>
  <c r="AI143" i="1"/>
  <c r="V142" i="1"/>
  <c r="I141" i="1"/>
  <c r="AU139" i="1"/>
  <c r="AH138" i="1"/>
  <c r="U137" i="1"/>
  <c r="H136" i="1"/>
  <c r="AT134" i="1"/>
  <c r="AT168" i="1"/>
  <c r="AG167" i="1"/>
  <c r="T166" i="1"/>
  <c r="Z167" i="1"/>
  <c r="AQ169" i="1"/>
  <c r="Q167" i="1"/>
  <c r="AS166" i="1"/>
  <c r="C165" i="1"/>
  <c r="I163" i="1"/>
  <c r="AE161" i="1"/>
  <c r="B160" i="1"/>
  <c r="AR168" i="1"/>
  <c r="AI168" i="1"/>
  <c r="T164" i="1"/>
  <c r="AF160" i="1"/>
  <c r="F158" i="1"/>
  <c r="AB156" i="1"/>
  <c r="AH154" i="1"/>
  <c r="E153" i="1"/>
  <c r="AA151" i="1"/>
  <c r="AG149" i="1"/>
  <c r="D148" i="1"/>
  <c r="Z146" i="1"/>
  <c r="AF144" i="1"/>
  <c r="C143" i="1"/>
  <c r="Y141" i="1"/>
  <c r="AE139" i="1"/>
  <c r="B138" i="1"/>
  <c r="X136" i="1"/>
  <c r="AD134" i="1"/>
  <c r="Q133" i="1"/>
  <c r="D132" i="1"/>
  <c r="AP130" i="1"/>
  <c r="AC129" i="1"/>
  <c r="P128" i="1"/>
  <c r="C127" i="1"/>
  <c r="AO125" i="1"/>
  <c r="S167" i="1"/>
  <c r="H164" i="1"/>
  <c r="G159" i="1"/>
  <c r="V156" i="1"/>
  <c r="AU153" i="1"/>
  <c r="U151" i="1"/>
  <c r="AT148" i="1"/>
  <c r="T146" i="1"/>
  <c r="AS143" i="1"/>
  <c r="S141" i="1"/>
  <c r="AR138" i="1"/>
  <c r="R136" i="1"/>
  <c r="AQ133" i="1"/>
  <c r="Q131" i="1"/>
  <c r="AP128" i="1"/>
  <c r="P126" i="1"/>
  <c r="AG166" i="1"/>
  <c r="AE157" i="1"/>
  <c r="AD152" i="1"/>
  <c r="AC147" i="1"/>
  <c r="AB142" i="1"/>
  <c r="AA137" i="1"/>
  <c r="Z132" i="1"/>
  <c r="Y127" i="1"/>
  <c r="Z124" i="1"/>
  <c r="M123" i="1"/>
  <c r="AY121" i="1"/>
  <c r="AL120" i="1"/>
  <c r="Y119" i="1"/>
  <c r="Y168" i="1"/>
  <c r="I166" i="1"/>
  <c r="AU164" i="1"/>
  <c r="AH163" i="1"/>
  <c r="U162" i="1"/>
  <c r="H161" i="1"/>
  <c r="AT159" i="1"/>
  <c r="AG158" i="1"/>
  <c r="T157" i="1"/>
  <c r="G156" i="1"/>
  <c r="AS154" i="1"/>
  <c r="AF153" i="1"/>
  <c r="S152" i="1"/>
  <c r="F151" i="1"/>
  <c r="AR149" i="1"/>
  <c r="AE148" i="1"/>
  <c r="R147" i="1"/>
  <c r="E146" i="1"/>
  <c r="AU169" i="1"/>
  <c r="AH168" i="1"/>
  <c r="U167" i="1"/>
  <c r="AB169" i="1"/>
  <c r="B167" i="1"/>
  <c r="W165" i="1"/>
  <c r="J164" i="1"/>
  <c r="AV162" i="1"/>
  <c r="AI161" i="1"/>
  <c r="V160" i="1"/>
  <c r="I159" i="1"/>
  <c r="T168" i="1"/>
  <c r="AY168" i="1"/>
  <c r="I165" i="1"/>
  <c r="AH162" i="1"/>
  <c r="H160" i="1"/>
  <c r="J158" i="1"/>
  <c r="AV156" i="1"/>
  <c r="AI155" i="1"/>
  <c r="V154" i="1"/>
  <c r="I153" i="1"/>
  <c r="AU151" i="1"/>
  <c r="AH150" i="1"/>
  <c r="U149" i="1"/>
  <c r="H148" i="1"/>
  <c r="AT146" i="1"/>
  <c r="AG145" i="1"/>
  <c r="T144" i="1"/>
  <c r="G143" i="1"/>
  <c r="AS141" i="1"/>
  <c r="AF140" i="1"/>
  <c r="S139" i="1"/>
  <c r="F138" i="1"/>
  <c r="AR136" i="1"/>
  <c r="AE135" i="1"/>
  <c r="R134" i="1"/>
  <c r="E133" i="1"/>
  <c r="AC167" i="1"/>
  <c r="R167" i="1"/>
  <c r="R164" i="1"/>
  <c r="AQ161" i="1"/>
  <c r="Q159" i="1"/>
  <c r="AF169" i="1"/>
  <c r="AX162" i="1"/>
  <c r="R158" i="1"/>
  <c r="AQ155" i="1"/>
  <c r="Q153" i="1"/>
  <c r="AP150" i="1"/>
  <c r="P148" i="1"/>
  <c r="AO145" i="1"/>
  <c r="O143" i="1"/>
  <c r="AN140" i="1"/>
  <c r="N138" i="1"/>
  <c r="AM135" i="1"/>
  <c r="C169" i="1"/>
  <c r="AB166" i="1"/>
  <c r="AQ165" i="1"/>
  <c r="Q163" i="1"/>
  <c r="AP160" i="1"/>
  <c r="I169" i="1"/>
  <c r="AW165" i="1"/>
  <c r="AV160" i="1"/>
  <c r="Q157" i="1"/>
  <c r="AP154" i="1"/>
  <c r="P152" i="1"/>
  <c r="AO149" i="1"/>
  <c r="O147" i="1"/>
  <c r="AN144" i="1"/>
  <c r="N142" i="1"/>
  <c r="AM139" i="1"/>
  <c r="M137" i="1"/>
  <c r="AL134" i="1"/>
  <c r="X132" i="1"/>
  <c r="AL130" i="1"/>
  <c r="E129" i="1"/>
  <c r="W127" i="1"/>
  <c r="AK125" i="1"/>
  <c r="K168" i="1"/>
  <c r="AJ160" i="1"/>
  <c r="N156" i="1"/>
  <c r="AX152" i="1"/>
  <c r="AI149" i="1"/>
  <c r="L146" i="1"/>
  <c r="AV142" i="1"/>
  <c r="AG139" i="1"/>
  <c r="J136" i="1"/>
  <c r="AT132" i="1"/>
  <c r="AE129" i="1"/>
  <c r="H126" i="1"/>
  <c r="AL162" i="1"/>
  <c r="H154" i="1"/>
  <c r="M147" i="1"/>
  <c r="AH140" i="1"/>
  <c r="D134" i="1"/>
  <c r="I127" i="1"/>
  <c r="B124" i="1"/>
  <c r="T122" i="1"/>
  <c r="AH120" i="1"/>
  <c r="AZ169" i="1"/>
  <c r="AM166" i="1"/>
  <c r="AQ164" i="1"/>
  <c r="J163" i="1"/>
  <c r="AB161" i="1"/>
  <c r="AP159" i="1"/>
  <c r="I158" i="1"/>
  <c r="AA156" i="1"/>
  <c r="AO154" i="1"/>
  <c r="H153" i="1"/>
  <c r="Z151" i="1"/>
  <c r="AN149" i="1"/>
  <c r="G148" i="1"/>
  <c r="Y146" i="1"/>
  <c r="AQ144" i="1"/>
  <c r="AH119" i="1"/>
  <c r="AU120" i="1"/>
  <c r="I122" i="1"/>
  <c r="V123" i="1"/>
  <c r="AI124" i="1"/>
  <c r="AV125" i="1"/>
  <c r="J127" i="1"/>
  <c r="W128" i="1"/>
  <c r="AJ129" i="1"/>
  <c r="AW130" i="1"/>
  <c r="K132" i="1"/>
  <c r="X133" i="1"/>
  <c r="AK134" i="1"/>
  <c r="AX135" i="1"/>
  <c r="L137" i="1"/>
  <c r="Y138" i="1"/>
  <c r="AL139" i="1"/>
  <c r="AY140" i="1"/>
  <c r="M142" i="1"/>
  <c r="Z143" i="1"/>
  <c r="N145" i="1"/>
  <c r="AN147" i="1"/>
  <c r="O150" i="1"/>
  <c r="AO152" i="1"/>
  <c r="P155" i="1"/>
  <c r="AP157" i="1"/>
  <c r="Q160" i="1"/>
  <c r="AQ162" i="1"/>
  <c r="R165" i="1"/>
  <c r="R169" i="1"/>
  <c r="I121" i="1"/>
  <c r="AI123" i="1"/>
  <c r="K129" i="1"/>
  <c r="M139" i="1"/>
  <c r="O149" i="1"/>
  <c r="AU159" i="1"/>
  <c r="AB119" i="1"/>
  <c r="AO120" i="1"/>
  <c r="C122" i="1"/>
  <c r="P123" i="1"/>
  <c r="AC124" i="1"/>
  <c r="AP125" i="1"/>
  <c r="D127" i="1"/>
  <c r="Q128" i="1"/>
  <c r="AD129" i="1"/>
  <c r="AQ130" i="1"/>
  <c r="E132" i="1"/>
  <c r="R133" i="1"/>
  <c r="AE134" i="1"/>
  <c r="AR135" i="1"/>
  <c r="F137" i="1"/>
  <c r="S138" i="1"/>
  <c r="AF139" i="1"/>
  <c r="AS140" i="1"/>
  <c r="G142" i="1"/>
  <c r="T143" i="1"/>
  <c r="B145" i="1"/>
  <c r="AB147" i="1"/>
  <c r="C150" i="1"/>
  <c r="AC152" i="1"/>
  <c r="D155" i="1"/>
  <c r="AD157" i="1"/>
  <c r="E160" i="1"/>
  <c r="AE162" i="1"/>
  <c r="F165" i="1"/>
  <c r="AS168" i="1"/>
  <c r="AV120" i="1"/>
  <c r="W123" i="1"/>
  <c r="N128" i="1"/>
  <c r="P138" i="1"/>
  <c r="R148" i="1"/>
  <c r="T158" i="1"/>
  <c r="G169" i="1"/>
  <c r="AF166" i="1"/>
  <c r="AU165" i="1"/>
  <c r="U163" i="1"/>
  <c r="AT160" i="1"/>
  <c r="Q169" i="1"/>
  <c r="F166" i="1"/>
  <c r="E161" i="1"/>
  <c r="U157" i="1"/>
  <c r="AT154" i="1"/>
  <c r="T152" i="1"/>
  <c r="AS149" i="1"/>
  <c r="S147" i="1"/>
  <c r="AR144" i="1"/>
  <c r="R142" i="1"/>
  <c r="AQ139" i="1"/>
  <c r="Q137" i="1"/>
  <c r="AP134" i="1"/>
  <c r="AB132" i="1"/>
  <c r="AT130" i="1"/>
  <c r="I129" i="1"/>
  <c r="AA127" i="1"/>
  <c r="AS125" i="1"/>
  <c r="AQ168" i="1"/>
  <c r="AZ160" i="1"/>
  <c r="AD156" i="1"/>
  <c r="G153" i="1"/>
  <c r="AQ149" i="1"/>
  <c r="AB146" i="1"/>
  <c r="E143" i="1"/>
  <c r="AO139" i="1"/>
  <c r="Z136" i="1"/>
  <c r="C133" i="1"/>
  <c r="AM129" i="1"/>
  <c r="X126" i="1"/>
  <c r="S163" i="1"/>
  <c r="X154" i="1"/>
  <c r="AS147" i="1"/>
  <c r="AX140" i="1"/>
  <c r="T134" i="1"/>
  <c r="AO127" i="1"/>
  <c r="F124" i="1"/>
  <c r="X122" i="1"/>
  <c r="AP120" i="1"/>
  <c r="E119" i="1"/>
  <c r="AU166" i="1"/>
  <c r="AY164" i="1"/>
  <c r="N163" i="1"/>
  <c r="AF161" i="1"/>
  <c r="AX159" i="1"/>
  <c r="M158" i="1"/>
  <c r="AE156" i="1"/>
  <c r="AW154" i="1"/>
  <c r="L153" i="1"/>
  <c r="AD151" i="1"/>
  <c r="AV149" i="1"/>
  <c r="K148" i="1"/>
  <c r="AC146" i="1"/>
  <c r="AU144" i="1"/>
  <c r="AD119" i="1"/>
  <c r="AQ120" i="1"/>
  <c r="E122" i="1"/>
  <c r="R123" i="1"/>
  <c r="AE124" i="1"/>
  <c r="AR125" i="1"/>
  <c r="F127" i="1"/>
  <c r="S128" i="1"/>
  <c r="AF129" i="1"/>
  <c r="AS130" i="1"/>
  <c r="G132" i="1"/>
  <c r="T133" i="1"/>
  <c r="AG134" i="1"/>
  <c r="AT135" i="1"/>
  <c r="H137" i="1"/>
  <c r="U138" i="1"/>
  <c r="AH139" i="1"/>
  <c r="AU140" i="1"/>
  <c r="I142" i="1"/>
  <c r="V143" i="1"/>
  <c r="F145" i="1"/>
  <c r="AF147" i="1"/>
  <c r="G150" i="1"/>
  <c r="AG152" i="1"/>
  <c r="H155" i="1"/>
  <c r="AH157" i="1"/>
  <c r="I160" i="1"/>
  <c r="AI162" i="1"/>
  <c r="J165" i="1"/>
  <c r="B169" i="1"/>
  <c r="AZ120" i="1"/>
  <c r="AA123" i="1"/>
  <c r="AD128" i="1"/>
  <c r="AF138" i="1"/>
  <c r="AH148" i="1"/>
  <c r="AJ158" i="1"/>
  <c r="X119" i="1"/>
  <c r="AK120" i="1"/>
  <c r="AX121" i="1"/>
  <c r="L123" i="1"/>
  <c r="Y124" i="1"/>
  <c r="AL125" i="1"/>
  <c r="AY126" i="1"/>
  <c r="M128" i="1"/>
  <c r="Z129" i="1"/>
  <c r="AM130" i="1"/>
  <c r="AZ131" i="1"/>
  <c r="N133" i="1"/>
  <c r="AA134" i="1"/>
  <c r="AN135" i="1"/>
  <c r="B137" i="1"/>
  <c r="O138" i="1"/>
  <c r="AB139" i="1"/>
  <c r="AO140" i="1"/>
  <c r="C142" i="1"/>
  <c r="P143" i="1"/>
  <c r="AS144" i="1"/>
  <c r="T147" i="1"/>
  <c r="AT149" i="1"/>
  <c r="U152" i="1"/>
  <c r="AU154" i="1"/>
  <c r="V157" i="1"/>
  <c r="AV159" i="1"/>
  <c r="W162" i="1"/>
  <c r="AW164" i="1"/>
  <c r="AC168" i="1"/>
  <c r="AN120" i="1"/>
  <c r="O123" i="1"/>
  <c r="AG127" i="1"/>
  <c r="AI137" i="1"/>
  <c r="AK147" i="1"/>
  <c r="AM157" i="1"/>
  <c r="S169" i="1"/>
  <c r="AR166" i="1"/>
  <c r="H166" i="1"/>
  <c r="AG163" i="1"/>
  <c r="G161" i="1"/>
  <c r="AO169" i="1"/>
  <c r="AO166" i="1"/>
  <c r="AC161" i="1"/>
  <c r="AG157" i="1"/>
  <c r="G155" i="1"/>
  <c r="AF152" i="1"/>
  <c r="F150" i="1"/>
  <c r="AE147" i="1"/>
  <c r="E145" i="1"/>
  <c r="AD142" i="1"/>
  <c r="D140" i="1"/>
  <c r="AC137" i="1"/>
  <c r="C135" i="1"/>
  <c r="AF132" i="1"/>
  <c r="AX130" i="1"/>
  <c r="Q129" i="1"/>
  <c r="AE127" i="1"/>
  <c r="AW125" i="1"/>
  <c r="V166" i="1"/>
  <c r="Q161" i="1"/>
  <c r="AL156" i="1"/>
  <c r="W153" i="1"/>
  <c r="AY149" i="1"/>
  <c r="AJ146" i="1"/>
  <c r="U143" i="1"/>
  <c r="AW139" i="1"/>
  <c r="AH136" i="1"/>
  <c r="S133" i="1"/>
  <c r="AU129" i="1"/>
  <c r="AF126" i="1"/>
  <c r="AF164" i="1"/>
  <c r="AN154" i="1"/>
  <c r="J148" i="1"/>
  <c r="AE141" i="1"/>
  <c r="AJ134" i="1"/>
  <c r="F128" i="1"/>
  <c r="N124" i="1"/>
  <c r="AB122" i="1"/>
  <c r="AT120" i="1"/>
  <c r="M119" i="1"/>
  <c r="D167" i="1"/>
  <c r="D165" i="1"/>
  <c r="V163" i="1"/>
  <c r="AJ161" i="1"/>
  <c r="C160" i="1"/>
  <c r="U158" i="1"/>
  <c r="AI156" i="1"/>
  <c r="B155" i="1"/>
  <c r="T153" i="1"/>
  <c r="AH151" i="1"/>
  <c r="AZ149" i="1"/>
  <c r="S148" i="1"/>
  <c r="AG146" i="1"/>
  <c r="AY144" i="1"/>
  <c r="Z119" i="1"/>
  <c r="AM120" i="1"/>
  <c r="AZ121" i="1"/>
  <c r="N123" i="1"/>
  <c r="AA124" i="1"/>
  <c r="AN125" i="1"/>
  <c r="B127" i="1"/>
  <c r="O128" i="1"/>
  <c r="AB129" i="1"/>
  <c r="AO130" i="1"/>
  <c r="C132" i="1"/>
  <c r="P133" i="1"/>
  <c r="AC134" i="1"/>
  <c r="AP135" i="1"/>
  <c r="D137" i="1"/>
  <c r="Q138" i="1"/>
  <c r="AD139" i="1"/>
  <c r="AQ140" i="1"/>
  <c r="E142" i="1"/>
  <c r="R143" i="1"/>
  <c r="AW144" i="1"/>
  <c r="X147" i="1"/>
  <c r="AX149" i="1"/>
  <c r="Y152" i="1"/>
  <c r="AY154" i="1"/>
  <c r="Z157" i="1"/>
  <c r="AZ159" i="1"/>
  <c r="AA162" i="1"/>
  <c r="B165" i="1"/>
  <c r="AK168" i="1"/>
  <c r="AR120" i="1"/>
  <c r="S123" i="1"/>
  <c r="AW127" i="1"/>
  <c r="AY137" i="1"/>
  <c r="B148" i="1"/>
  <c r="D158" i="1"/>
  <c r="T119" i="1"/>
  <c r="AG120" i="1"/>
  <c r="AT121" i="1"/>
  <c r="H123" i="1"/>
  <c r="U124" i="1"/>
  <c r="AH125" i="1"/>
  <c r="AU126" i="1"/>
  <c r="I128" i="1"/>
  <c r="V129" i="1"/>
  <c r="AI130" i="1"/>
  <c r="AV131" i="1"/>
  <c r="J133" i="1"/>
  <c r="W134" i="1"/>
  <c r="AJ135" i="1"/>
  <c r="AW136" i="1"/>
  <c r="K138" i="1"/>
  <c r="X139" i="1"/>
  <c r="AK140" i="1"/>
  <c r="AX141" i="1"/>
  <c r="L143" i="1"/>
  <c r="AK144" i="1"/>
  <c r="L147" i="1"/>
  <c r="AL149" i="1"/>
  <c r="M152" i="1"/>
  <c r="AM154" i="1"/>
  <c r="N157" i="1"/>
  <c r="AN159" i="1"/>
  <c r="O162" i="1"/>
  <c r="AO164" i="1"/>
  <c r="M168" i="1"/>
  <c r="AF120" i="1"/>
  <c r="G123" i="1"/>
  <c r="AZ126" i="1"/>
  <c r="C137" i="1"/>
  <c r="E147" i="1"/>
  <c r="G157" i="1"/>
  <c r="M133" i="1"/>
  <c r="Z126" i="1"/>
  <c r="T154" i="1"/>
  <c r="C141" i="1"/>
  <c r="AK127" i="1"/>
  <c r="Y143" i="1"/>
  <c r="E123" i="1"/>
  <c r="AF165" i="1"/>
  <c r="AS158" i="1"/>
  <c r="K152" i="1"/>
  <c r="AB145" i="1"/>
  <c r="AS122" i="1"/>
  <c r="AT127" i="1"/>
  <c r="AU132" i="1"/>
  <c r="AV137" i="1"/>
  <c r="AW142" i="1"/>
  <c r="AJ151" i="1"/>
  <c r="AL161" i="1"/>
  <c r="AD122" i="1"/>
  <c r="AV154" i="1"/>
  <c r="AM122" i="1"/>
  <c r="AN127" i="1"/>
  <c r="AO132" i="1"/>
  <c r="AP137" i="1"/>
  <c r="AQ142" i="1"/>
  <c r="X151" i="1"/>
  <c r="Z161" i="1"/>
  <c r="R122" i="1"/>
  <c r="AY153" i="1"/>
  <c r="N130" i="1"/>
  <c r="E165" i="1"/>
  <c r="AD148" i="1"/>
  <c r="M135" i="1"/>
  <c r="AB158" i="1"/>
  <c r="AS131" i="1"/>
  <c r="J120" i="1"/>
  <c r="AG162" i="1"/>
  <c r="AX155" i="1"/>
  <c r="P149" i="1"/>
  <c r="C120" i="1"/>
  <c r="D125" i="1"/>
  <c r="E130" i="1"/>
  <c r="F135" i="1"/>
  <c r="G140" i="1"/>
  <c r="C146" i="1"/>
  <c r="E156" i="1"/>
  <c r="G166" i="1"/>
  <c r="R132" i="1"/>
  <c r="AV119" i="1"/>
  <c r="AW124" i="1"/>
  <c r="AX129" i="1"/>
  <c r="AY134" i="1"/>
  <c r="AZ139" i="1"/>
  <c r="AP145" i="1"/>
  <c r="AR155" i="1"/>
  <c r="AT165" i="1"/>
  <c r="U131" i="1"/>
  <c r="P132" i="1"/>
  <c r="AG125" i="1"/>
  <c r="AP152" i="1"/>
  <c r="Q139" i="1"/>
  <c r="AY125" i="1"/>
  <c r="R140" i="1"/>
  <c r="L122" i="1"/>
  <c r="AM164" i="1"/>
  <c r="E158" i="1"/>
  <c r="R151" i="1"/>
  <c r="AM144" i="1"/>
  <c r="Z123" i="1"/>
  <c r="AA128" i="1"/>
  <c r="AB133" i="1"/>
  <c r="AC138" i="1"/>
  <c r="AD143" i="1"/>
  <c r="AW152" i="1"/>
  <c r="AY162" i="1"/>
  <c r="AQ123" i="1"/>
  <c r="I161" i="1"/>
  <c r="T123" i="1"/>
  <c r="U128" i="1"/>
  <c r="V133" i="1"/>
  <c r="W138" i="1"/>
  <c r="X143" i="1"/>
  <c r="AK152" i="1"/>
  <c r="AM162" i="1"/>
  <c r="AE123" i="1"/>
  <c r="O159" i="1"/>
  <c r="AM127" i="1"/>
  <c r="AT156" i="1"/>
  <c r="AC143" i="1"/>
  <c r="L130" i="1"/>
  <c r="Z148" i="1"/>
  <c r="R124" i="1"/>
  <c r="T167" i="1"/>
  <c r="G160" i="1"/>
  <c r="X153" i="1"/>
  <c r="AO146" i="1"/>
  <c r="AV121" i="1"/>
  <c r="AW126" i="1"/>
  <c r="AX131" i="1"/>
  <c r="AY136" i="1"/>
  <c r="AZ141" i="1"/>
  <c r="AP149" i="1"/>
  <c r="AR159" i="1"/>
  <c r="AJ120" i="1"/>
  <c r="U147" i="1"/>
  <c r="AP121" i="1"/>
  <c r="AQ126" i="1"/>
  <c r="AR131" i="1"/>
  <c r="AS136" i="1"/>
  <c r="AT141" i="1"/>
  <c r="AD149" i="1"/>
  <c r="AF159" i="1"/>
  <c r="X120" i="1"/>
  <c r="X146" i="1"/>
  <c r="AA169" i="1"/>
  <c r="AZ166" i="1"/>
  <c r="P166" i="1"/>
  <c r="V164" i="1"/>
  <c r="AR162" i="1"/>
  <c r="O161" i="1"/>
  <c r="U159" i="1"/>
  <c r="L168" i="1"/>
  <c r="V167" i="1"/>
  <c r="G163" i="1"/>
  <c r="AY159" i="1"/>
  <c r="AO157" i="1"/>
  <c r="AU155" i="1"/>
  <c r="R154" i="1"/>
  <c r="AN152" i="1"/>
  <c r="AT150" i="1"/>
  <c r="Q149" i="1"/>
  <c r="AM147" i="1"/>
  <c r="AS145" i="1"/>
  <c r="P144" i="1"/>
  <c r="AL142" i="1"/>
  <c r="AR140" i="1"/>
  <c r="O139" i="1"/>
  <c r="AK137" i="1"/>
  <c r="AQ135" i="1"/>
  <c r="N134" i="1"/>
  <c r="AZ132" i="1"/>
  <c r="AM131" i="1"/>
  <c r="Z130" i="1"/>
  <c r="M129" i="1"/>
  <c r="AY127" i="1"/>
  <c r="AL126" i="1"/>
  <c r="Y125" i="1"/>
  <c r="X169" i="1"/>
  <c r="AT162" i="1"/>
  <c r="P158" i="1"/>
  <c r="AO155" i="1"/>
  <c r="O153" i="1"/>
  <c r="AN150" i="1"/>
  <c r="N148" i="1"/>
  <c r="AM145" i="1"/>
  <c r="M143" i="1"/>
  <c r="AL140" i="1"/>
  <c r="L138" i="1"/>
  <c r="AK135" i="1"/>
  <c r="K133" i="1"/>
  <c r="AJ130" i="1"/>
  <c r="J128" i="1"/>
  <c r="AI125" i="1"/>
  <c r="AY163" i="1"/>
  <c r="R156" i="1"/>
  <c r="Q151" i="1"/>
  <c r="P146" i="1"/>
  <c r="O141" i="1"/>
  <c r="N136" i="1"/>
  <c r="M131" i="1"/>
  <c r="L126" i="1"/>
  <c r="J124" i="1"/>
  <c r="AV122" i="1"/>
  <c r="AI121" i="1"/>
  <c r="V120" i="1"/>
  <c r="I119" i="1"/>
  <c r="AR167" i="1"/>
  <c r="AR165" i="1"/>
  <c r="AE164" i="1"/>
  <c r="R163" i="1"/>
  <c r="E162" i="1"/>
  <c r="AQ160" i="1"/>
  <c r="AD159" i="1"/>
  <c r="Q158" i="1"/>
  <c r="D157" i="1"/>
  <c r="AP155" i="1"/>
  <c r="AC154" i="1"/>
  <c r="P153" i="1"/>
  <c r="C152" i="1"/>
  <c r="AO150" i="1"/>
  <c r="AB149" i="1"/>
  <c r="O148" i="1"/>
  <c r="B147" i="1"/>
  <c r="AN145" i="1"/>
  <c r="AE169" i="1"/>
  <c r="R168" i="1"/>
  <c r="E167" i="1"/>
  <c r="AU168" i="1"/>
  <c r="U166" i="1"/>
  <c r="G165" i="1"/>
  <c r="AS163" i="1"/>
  <c r="AF162" i="1"/>
  <c r="S161" i="1"/>
  <c r="F160" i="1"/>
  <c r="AR158" i="1"/>
  <c r="AM167" i="1"/>
  <c r="AL167" i="1"/>
  <c r="AB164" i="1"/>
  <c r="B162" i="1"/>
  <c r="AA159" i="1"/>
  <c r="AS157" i="1"/>
  <c r="AF156" i="1"/>
  <c r="S155" i="1"/>
  <c r="F154" i="1"/>
  <c r="AR152" i="1"/>
  <c r="AE151" i="1"/>
  <c r="R150" i="1"/>
  <c r="E149" i="1"/>
  <c r="AQ147" i="1"/>
  <c r="AD146" i="1"/>
  <c r="Q145" i="1"/>
  <c r="D144" i="1"/>
  <c r="AP142" i="1"/>
  <c r="AC141" i="1"/>
  <c r="P140" i="1"/>
  <c r="C139" i="1"/>
  <c r="AO137" i="1"/>
  <c r="AB136" i="1"/>
  <c r="O135" i="1"/>
  <c r="B134" i="1"/>
  <c r="W169" i="1"/>
  <c r="AV166" i="1"/>
  <c r="L166" i="1"/>
  <c r="AK163" i="1"/>
  <c r="K161" i="1"/>
  <c r="AW169" i="1"/>
  <c r="F167" i="1"/>
  <c r="AK161" i="1"/>
  <c r="AK157" i="1"/>
  <c r="K155" i="1"/>
  <c r="AJ152" i="1"/>
  <c r="J150" i="1"/>
  <c r="AI147" i="1"/>
  <c r="I145" i="1"/>
  <c r="AH142" i="1"/>
  <c r="H140" i="1"/>
  <c r="AG137" i="1"/>
  <c r="G135" i="1"/>
  <c r="V168" i="1"/>
  <c r="D169" i="1"/>
  <c r="K165" i="1"/>
  <c r="AJ162" i="1"/>
  <c r="J160" i="1"/>
  <c r="AU167" i="1"/>
  <c r="AJ164" i="1"/>
  <c r="AI159" i="1"/>
  <c r="AJ156" i="1"/>
  <c r="J154" i="1"/>
  <c r="AI151" i="1"/>
  <c r="I149" i="1"/>
  <c r="AH146" i="1"/>
  <c r="H144" i="1"/>
  <c r="AG141" i="1"/>
  <c r="G139" i="1"/>
  <c r="AF136" i="1"/>
  <c r="F134" i="1"/>
  <c r="AY131" i="1"/>
  <c r="R130" i="1"/>
  <c r="AJ128" i="1"/>
  <c r="AX126" i="1"/>
  <c r="Q125" i="1"/>
  <c r="AK165" i="1"/>
  <c r="AP158" i="1"/>
  <c r="Y155" i="1"/>
  <c r="J152" i="1"/>
  <c r="AL148" i="1"/>
  <c r="W145" i="1"/>
  <c r="H142" i="1"/>
  <c r="AJ138" i="1"/>
  <c r="U135" i="1"/>
  <c r="F132" i="1"/>
  <c r="AH128" i="1"/>
  <c r="S125" i="1"/>
  <c r="AE159" i="1"/>
  <c r="N152" i="1"/>
  <c r="AI145" i="1"/>
  <c r="E139" i="1"/>
  <c r="J132" i="1"/>
  <c r="AE125" i="1"/>
  <c r="AG123" i="1"/>
  <c r="AU121" i="1"/>
  <c r="N120" i="1"/>
  <c r="N169" i="1"/>
  <c r="E166" i="1"/>
  <c r="W164" i="1"/>
  <c r="AO162" i="1"/>
  <c r="D161" i="1"/>
  <c r="V159" i="1"/>
  <c r="AN157" i="1"/>
  <c r="C156" i="1"/>
  <c r="U154" i="1"/>
  <c r="AM152" i="1"/>
  <c r="B151" i="1"/>
  <c r="T149" i="1"/>
  <c r="AL147" i="1"/>
  <c r="AZ145" i="1"/>
  <c r="AA144" i="1"/>
  <c r="AX119" i="1"/>
  <c r="L121" i="1"/>
  <c r="Y122" i="1"/>
  <c r="AL123" i="1"/>
  <c r="AY124" i="1"/>
  <c r="M126" i="1"/>
  <c r="Z127" i="1"/>
  <c r="AM128" i="1"/>
  <c r="AZ129" i="1"/>
  <c r="N131" i="1"/>
  <c r="AA132" i="1"/>
  <c r="AN133" i="1"/>
  <c r="B135" i="1"/>
  <c r="O136" i="1"/>
  <c r="AB137" i="1"/>
  <c r="AO138" i="1"/>
  <c r="C140" i="1"/>
  <c r="P141" i="1"/>
  <c r="AC142" i="1"/>
  <c r="AP143" i="1"/>
  <c r="AT145" i="1"/>
  <c r="U148" i="1"/>
  <c r="AU150" i="1"/>
  <c r="V153" i="1"/>
  <c r="AV155" i="1"/>
  <c r="W158" i="1"/>
  <c r="AW160" i="1"/>
  <c r="X163" i="1"/>
  <c r="AX165" i="1"/>
  <c r="O119" i="1"/>
  <c r="AO121" i="1"/>
  <c r="P124" i="1"/>
  <c r="AK131" i="1"/>
  <c r="AM141" i="1"/>
  <c r="AO151" i="1"/>
  <c r="AV164" i="1"/>
  <c r="AR119" i="1"/>
  <c r="F121" i="1"/>
  <c r="S122" i="1"/>
  <c r="AF123" i="1"/>
  <c r="AS124" i="1"/>
  <c r="G126" i="1"/>
  <c r="T127" i="1"/>
  <c r="AG128" i="1"/>
  <c r="AT129" i="1"/>
  <c r="H131" i="1"/>
  <c r="U132" i="1"/>
  <c r="AH133" i="1"/>
  <c r="AU134" i="1"/>
  <c r="I136" i="1"/>
  <c r="V137" i="1"/>
  <c r="AI138" i="1"/>
  <c r="AV139" i="1"/>
  <c r="J141" i="1"/>
  <c r="W142" i="1"/>
  <c r="AJ143" i="1"/>
  <c r="AH145" i="1"/>
  <c r="I148" i="1"/>
  <c r="AI150" i="1"/>
  <c r="J153" i="1"/>
  <c r="AJ155" i="1"/>
  <c r="K158" i="1"/>
  <c r="AK160" i="1"/>
  <c r="L163" i="1"/>
  <c r="AL165" i="1"/>
  <c r="C119" i="1"/>
  <c r="AC121" i="1"/>
  <c r="D124" i="1"/>
  <c r="AN130" i="1"/>
  <c r="AP140" i="1"/>
  <c r="AR150" i="1"/>
  <c r="C163" i="1"/>
  <c r="Z168" i="1"/>
  <c r="L169" i="1"/>
  <c r="O165" i="1"/>
  <c r="AN162" i="1"/>
  <c r="N160" i="1"/>
  <c r="D168" i="1"/>
  <c r="AR164" i="1"/>
  <c r="AQ159" i="1"/>
  <c r="AN156" i="1"/>
  <c r="N154" i="1"/>
  <c r="AM151" i="1"/>
  <c r="M149" i="1"/>
  <c r="AL146" i="1"/>
  <c r="L144" i="1"/>
  <c r="AK141" i="1"/>
  <c r="K139" i="1"/>
  <c r="AJ136" i="1"/>
  <c r="J134" i="1"/>
  <c r="H132" i="1"/>
  <c r="V130" i="1"/>
  <c r="AN128" i="1"/>
  <c r="G127" i="1"/>
  <c r="U125" i="1"/>
  <c r="B166" i="1"/>
  <c r="W159" i="1"/>
  <c r="AG155" i="1"/>
  <c r="R152" i="1"/>
  <c r="C149" i="1"/>
  <c r="AE145" i="1"/>
  <c r="P142" i="1"/>
  <c r="AZ138" i="1"/>
  <c r="AC135" i="1"/>
  <c r="N132" i="1"/>
  <c r="AX128" i="1"/>
  <c r="AA125" i="1"/>
  <c r="L160" i="1"/>
  <c r="AT152" i="1"/>
  <c r="AY145" i="1"/>
  <c r="U139" i="1"/>
  <c r="AP132" i="1"/>
  <c r="AU125" i="1"/>
  <c r="AK123" i="1"/>
  <c r="D122" i="1"/>
  <c r="R120" i="1"/>
  <c r="V169" i="1"/>
  <c r="M166" i="1"/>
  <c r="AA164" i="1"/>
  <c r="AS162" i="1"/>
  <c r="L161" i="1"/>
  <c r="Z159" i="1"/>
  <c r="AR157" i="1"/>
  <c r="K156" i="1"/>
  <c r="Y154" i="1"/>
  <c r="AQ152" i="1"/>
  <c r="J151" i="1"/>
  <c r="X149" i="1"/>
  <c r="AP147" i="1"/>
  <c r="I146" i="1"/>
  <c r="AE144" i="1"/>
  <c r="AT119" i="1"/>
  <c r="H121" i="1"/>
  <c r="U122" i="1"/>
  <c r="AH123" i="1"/>
  <c r="AU124" i="1"/>
  <c r="I126" i="1"/>
  <c r="V127" i="1"/>
  <c r="AI128" i="1"/>
  <c r="AV129" i="1"/>
  <c r="J131" i="1"/>
  <c r="W132" i="1"/>
  <c r="AJ133" i="1"/>
  <c r="AW134" i="1"/>
  <c r="K136" i="1"/>
  <c r="X137" i="1"/>
  <c r="AK138" i="1"/>
  <c r="AX139" i="1"/>
  <c r="L141" i="1"/>
  <c r="Y142" i="1"/>
  <c r="AL143" i="1"/>
  <c r="AL145" i="1"/>
  <c r="M148" i="1"/>
  <c r="AM150" i="1"/>
  <c r="N153" i="1"/>
  <c r="AN155" i="1"/>
  <c r="O158" i="1"/>
  <c r="AO160" i="1"/>
  <c r="P163" i="1"/>
  <c r="AP165" i="1"/>
  <c r="G119" i="1"/>
  <c r="AG121" i="1"/>
  <c r="H124" i="1"/>
  <c r="E131" i="1"/>
  <c r="G141" i="1"/>
  <c r="I151" i="1"/>
  <c r="AI163" i="1"/>
  <c r="AN119" i="1"/>
  <c r="B121" i="1"/>
  <c r="O122" i="1"/>
  <c r="AB123" i="1"/>
  <c r="AO124" i="1"/>
  <c r="C126" i="1"/>
  <c r="P127" i="1"/>
  <c r="AC128" i="1"/>
  <c r="AP129" i="1"/>
  <c r="D131" i="1"/>
  <c r="Q132" i="1"/>
  <c r="AD133" i="1"/>
  <c r="AQ134" i="1"/>
  <c r="E136" i="1"/>
  <c r="R137" i="1"/>
  <c r="AE138" i="1"/>
  <c r="AR139" i="1"/>
  <c r="F141" i="1"/>
  <c r="S142" i="1"/>
  <c r="AF143" i="1"/>
  <c r="Z145" i="1"/>
  <c r="AZ147" i="1"/>
  <c r="AA150" i="1"/>
  <c r="B153" i="1"/>
  <c r="AB155" i="1"/>
  <c r="C158" i="1"/>
  <c r="AC160" i="1"/>
  <c r="D163" i="1"/>
  <c r="AD165" i="1"/>
  <c r="AP169" i="1"/>
  <c r="U121" i="1"/>
  <c r="AU123" i="1"/>
  <c r="H130" i="1"/>
  <c r="J140" i="1"/>
  <c r="L150" i="1"/>
  <c r="AO161" i="1"/>
  <c r="AL168" i="1"/>
  <c r="AJ169" i="1"/>
  <c r="AA165" i="1"/>
  <c r="AZ162" i="1"/>
  <c r="Z160" i="1"/>
  <c r="AB168" i="1"/>
  <c r="Q165" i="1"/>
  <c r="P160" i="1"/>
  <c r="AZ156" i="1"/>
  <c r="Z154" i="1"/>
  <c r="AY151" i="1"/>
  <c r="Y149" i="1"/>
  <c r="AX146" i="1"/>
  <c r="X144" i="1"/>
  <c r="AW141" i="1"/>
  <c r="W139" i="1"/>
  <c r="AV136" i="1"/>
  <c r="V134" i="1"/>
  <c r="L132" i="1"/>
  <c r="AD130" i="1"/>
  <c r="AR128" i="1"/>
  <c r="K127" i="1"/>
  <c r="AC125" i="1"/>
  <c r="R166" i="1"/>
  <c r="AM159" i="1"/>
  <c r="AW155" i="1"/>
  <c r="Z152" i="1"/>
  <c r="K149" i="1"/>
  <c r="AU145" i="1"/>
  <c r="X142" i="1"/>
  <c r="I139" i="1"/>
  <c r="AS135" i="1"/>
  <c r="V132" i="1"/>
  <c r="G129" i="1"/>
  <c r="AQ125" i="1"/>
  <c r="AR160" i="1"/>
  <c r="K153" i="1"/>
  <c r="AF146" i="1"/>
  <c r="AK139" i="1"/>
  <c r="G133" i="1"/>
  <c r="AB126" i="1"/>
  <c r="AO123" i="1"/>
  <c r="H122" i="1"/>
  <c r="Z120" i="1"/>
  <c r="AD169" i="1"/>
  <c r="Q166" i="1"/>
  <c r="AI164" i="1"/>
  <c r="AW162" i="1"/>
  <c r="P161" i="1"/>
  <c r="AH159" i="1"/>
  <c r="AV157" i="1"/>
  <c r="O156" i="1"/>
  <c r="AG154" i="1"/>
  <c r="AU152" i="1"/>
  <c r="N151" i="1"/>
  <c r="AF149" i="1"/>
  <c r="AT147" i="1"/>
  <c r="M146" i="1"/>
  <c r="AI144" i="1"/>
  <c r="AP119" i="1"/>
  <c r="D121" i="1"/>
  <c r="Q122" i="1"/>
  <c r="AD123" i="1"/>
  <c r="AQ124" i="1"/>
  <c r="E126" i="1"/>
  <c r="R127" i="1"/>
  <c r="AE128" i="1"/>
  <c r="AR129" i="1"/>
  <c r="F131" i="1"/>
  <c r="S132" i="1"/>
  <c r="AF133" i="1"/>
  <c r="AS134" i="1"/>
  <c r="G136" i="1"/>
  <c r="T137" i="1"/>
  <c r="AG138" i="1"/>
  <c r="AT139" i="1"/>
  <c r="H141" i="1"/>
  <c r="U142" i="1"/>
  <c r="AH143" i="1"/>
  <c r="AD145" i="1"/>
  <c r="E148" i="1"/>
  <c r="AE150" i="1"/>
  <c r="F153" i="1"/>
  <c r="AF155" i="1"/>
  <c r="G158" i="1"/>
  <c r="AG160" i="1"/>
  <c r="H163" i="1"/>
  <c r="AH165" i="1"/>
  <c r="AX169" i="1"/>
  <c r="Y121" i="1"/>
  <c r="AY123" i="1"/>
  <c r="X130" i="1"/>
  <c r="Z140" i="1"/>
  <c r="AB150" i="1"/>
  <c r="V162" i="1"/>
  <c r="AJ119" i="1"/>
  <c r="AW120" i="1"/>
  <c r="K122" i="1"/>
  <c r="X123" i="1"/>
  <c r="AK124" i="1"/>
  <c r="AX125" i="1"/>
  <c r="L127" i="1"/>
  <c r="Y128" i="1"/>
  <c r="AL129" i="1"/>
  <c r="AY130" i="1"/>
  <c r="M132" i="1"/>
  <c r="Z133" i="1"/>
  <c r="AM134" i="1"/>
  <c r="AZ135" i="1"/>
  <c r="N137" i="1"/>
  <c r="AA138" i="1"/>
  <c r="AN139" i="1"/>
  <c r="B141" i="1"/>
  <c r="O142" i="1"/>
  <c r="AB143" i="1"/>
  <c r="R145" i="1"/>
  <c r="AR147" i="1"/>
  <c r="S150" i="1"/>
  <c r="AS152" i="1"/>
  <c r="T155" i="1"/>
  <c r="AT157" i="1"/>
  <c r="U160" i="1"/>
  <c r="AU162" i="1"/>
  <c r="V165" i="1"/>
  <c r="Z169" i="1"/>
  <c r="M121" i="1"/>
  <c r="AM123" i="1"/>
  <c r="AA129" i="1"/>
  <c r="AC139" i="1"/>
  <c r="AE149" i="1"/>
  <c r="AB160" i="1"/>
  <c r="AA131" i="1"/>
  <c r="P168" i="1"/>
  <c r="E151" i="1"/>
  <c r="AM137" i="1"/>
  <c r="AD166" i="1"/>
  <c r="AT136" i="1"/>
  <c r="W121" i="1"/>
  <c r="AT163" i="1"/>
  <c r="L157" i="1"/>
  <c r="AC150" i="1"/>
  <c r="F119" i="1"/>
  <c r="G124" i="1"/>
  <c r="H129" i="1"/>
  <c r="I134" i="1"/>
  <c r="J139" i="1"/>
  <c r="K144" i="1"/>
  <c r="K154" i="1"/>
  <c r="M164" i="1"/>
  <c r="E125" i="1"/>
  <c r="U169" i="1"/>
  <c r="AZ123" i="1"/>
  <c r="B129" i="1"/>
  <c r="C134" i="1"/>
  <c r="D139" i="1"/>
  <c r="E144" i="1"/>
  <c r="AX153" i="1"/>
  <c r="AZ163" i="1"/>
  <c r="AR124" i="1"/>
  <c r="AA167" i="1"/>
  <c r="AB128" i="1"/>
  <c r="AF158" i="1"/>
  <c r="O145" i="1"/>
  <c r="AO131" i="1"/>
  <c r="AW151" i="1"/>
  <c r="O125" i="1"/>
  <c r="AW168" i="1"/>
  <c r="AY160" i="1"/>
  <c r="Q154" i="1"/>
  <c r="AD147" i="1"/>
  <c r="P121" i="1"/>
  <c r="Q126" i="1"/>
  <c r="R131" i="1"/>
  <c r="S136" i="1"/>
  <c r="T141" i="1"/>
  <c r="AC148" i="1"/>
  <c r="AE158" i="1"/>
  <c r="W119" i="1"/>
  <c r="T142" i="1"/>
  <c r="J121" i="1"/>
  <c r="K126" i="1"/>
  <c r="L131" i="1"/>
  <c r="M136" i="1"/>
  <c r="N141" i="1"/>
  <c r="Q148" i="1"/>
  <c r="S158" i="1"/>
  <c r="K119" i="1"/>
  <c r="W141" i="1"/>
  <c r="AH130" i="1"/>
  <c r="AD168" i="1"/>
  <c r="T169" i="1"/>
  <c r="AI165" i="1"/>
  <c r="F164" i="1"/>
  <c r="AB162" i="1"/>
  <c r="AH160" i="1"/>
  <c r="E159" i="1"/>
  <c r="AE167" i="1"/>
  <c r="AG165" i="1"/>
  <c r="Z162" i="1"/>
  <c r="S159" i="1"/>
  <c r="I157" i="1"/>
  <c r="AE155" i="1"/>
  <c r="B154" i="1"/>
  <c r="H152" i="1"/>
  <c r="AD150" i="1"/>
  <c r="AZ148" i="1"/>
  <c r="G147" i="1"/>
  <c r="AC145" i="1"/>
  <c r="AY143" i="1"/>
  <c r="F142" i="1"/>
  <c r="AB140" i="1"/>
  <c r="AX138" i="1"/>
  <c r="E137" i="1"/>
  <c r="AA135" i="1"/>
  <c r="AW133" i="1"/>
  <c r="AJ132" i="1"/>
  <c r="W131" i="1"/>
  <c r="J130" i="1"/>
  <c r="AV128" i="1"/>
  <c r="AI127" i="1"/>
  <c r="V126" i="1"/>
  <c r="AS169" i="1"/>
  <c r="AW166" i="1"/>
  <c r="AG161" i="1"/>
  <c r="AI157" i="1"/>
  <c r="I155" i="1"/>
  <c r="AH152" i="1"/>
  <c r="H150" i="1"/>
  <c r="AG147" i="1"/>
  <c r="G145" i="1"/>
  <c r="AF142" i="1"/>
  <c r="F140" i="1"/>
  <c r="AE137" i="1"/>
  <c r="E135" i="1"/>
  <c r="AD132" i="1"/>
  <c r="D130" i="1"/>
  <c r="AC127" i="1"/>
  <c r="AK169" i="1"/>
  <c r="Y161" i="1"/>
  <c r="E155" i="1"/>
  <c r="D150" i="1"/>
  <c r="C145" i="1"/>
  <c r="B140" i="1"/>
  <c r="AZ134" i="1"/>
  <c r="AY129" i="1"/>
  <c r="G125" i="1"/>
  <c r="AS123" i="1"/>
  <c r="AF122" i="1"/>
  <c r="S121" i="1"/>
  <c r="F120" i="1"/>
  <c r="AL169" i="1"/>
  <c r="L167" i="1"/>
  <c r="AB165" i="1"/>
  <c r="O164" i="1"/>
  <c r="B163" i="1"/>
  <c r="AN161" i="1"/>
  <c r="AA160" i="1"/>
  <c r="N159" i="1"/>
  <c r="AZ157" i="1"/>
  <c r="AM156" i="1"/>
  <c r="Z155" i="1"/>
  <c r="M154" i="1"/>
  <c r="AY152" i="1"/>
  <c r="AL151" i="1"/>
  <c r="Y150" i="1"/>
  <c r="L149" i="1"/>
  <c r="AX147" i="1"/>
  <c r="AK146" i="1"/>
  <c r="X145" i="1"/>
  <c r="O169" i="1"/>
  <c r="B168" i="1"/>
  <c r="AN166" i="1"/>
  <c r="O168" i="1"/>
  <c r="D166" i="1"/>
  <c r="AP164" i="1"/>
  <c r="AC163" i="1"/>
  <c r="P162" i="1"/>
  <c r="C161" i="1"/>
  <c r="AO159" i="1"/>
  <c r="AG169" i="1"/>
  <c r="G167" i="1"/>
  <c r="Y166" i="1"/>
  <c r="AU163" i="1"/>
  <c r="U161" i="1"/>
  <c r="AT158" i="1"/>
  <c r="AC157" i="1"/>
  <c r="P156" i="1"/>
  <c r="C155" i="1"/>
  <c r="AO153" i="1"/>
  <c r="AB152" i="1"/>
  <c r="O151" i="1"/>
  <c r="B150" i="1"/>
  <c r="AN148" i="1"/>
  <c r="AA147" i="1"/>
  <c r="N146" i="1"/>
  <c r="AZ144" i="1"/>
  <c r="AM143" i="1"/>
  <c r="Z142" i="1"/>
  <c r="M141" i="1"/>
  <c r="AY139" i="1"/>
  <c r="AL138" i="1"/>
  <c r="Y137" i="1"/>
  <c r="L136" i="1"/>
  <c r="AX134" i="1"/>
  <c r="AK133" i="1"/>
  <c r="AP168" i="1"/>
  <c r="AR169" i="1"/>
  <c r="AE165" i="1"/>
  <c r="E163" i="1"/>
  <c r="AD160" i="1"/>
  <c r="AJ168" i="1"/>
  <c r="Y165" i="1"/>
  <c r="X160" i="1"/>
  <c r="E157" i="1"/>
  <c r="AD154" i="1"/>
  <c r="D152" i="1"/>
  <c r="AC149" i="1"/>
  <c r="C147" i="1"/>
  <c r="AB144" i="1"/>
  <c r="B142" i="1"/>
  <c r="AA139" i="1"/>
  <c r="AZ136" i="1"/>
  <c r="Z134" i="1"/>
  <c r="AO167" i="1"/>
  <c r="AP167" i="1"/>
  <c r="AD164" i="1"/>
  <c r="D162" i="1"/>
  <c r="AC159" i="1"/>
  <c r="AH166" i="1"/>
  <c r="W163" i="1"/>
  <c r="AD158" i="1"/>
  <c r="D156" i="1"/>
  <c r="AC153" i="1"/>
  <c r="C151" i="1"/>
  <c r="AB148" i="1"/>
  <c r="B146" i="1"/>
  <c r="AA143" i="1"/>
  <c r="AZ140" i="1"/>
  <c r="Z138" i="1"/>
  <c r="AY135" i="1"/>
  <c r="Y133" i="1"/>
  <c r="AE131" i="1"/>
  <c r="AW129" i="1"/>
  <c r="L128" i="1"/>
  <c r="AD126" i="1"/>
  <c r="AV168" i="1"/>
  <c r="AQ163" i="1"/>
  <c r="AY157" i="1"/>
  <c r="AJ154" i="1"/>
  <c r="M151" i="1"/>
  <c r="AW147" i="1"/>
  <c r="AH144" i="1"/>
  <c r="K141" i="1"/>
  <c r="AU137" i="1"/>
  <c r="AF134" i="1"/>
  <c r="I131" i="1"/>
  <c r="AS127" i="1"/>
  <c r="AQ167" i="1"/>
  <c r="O157" i="1"/>
  <c r="AJ150" i="1"/>
  <c r="F144" i="1"/>
  <c r="K137" i="1"/>
  <c r="AF130" i="1"/>
  <c r="AT124" i="1"/>
  <c r="I123" i="1"/>
  <c r="AA121" i="1"/>
  <c r="AS119" i="1"/>
  <c r="Q168" i="1"/>
  <c r="AJ165" i="1"/>
  <c r="C164" i="1"/>
  <c r="Q162" i="1"/>
  <c r="AI160" i="1"/>
  <c r="B159" i="1"/>
  <c r="P157" i="1"/>
  <c r="AH155" i="1"/>
  <c r="AZ153" i="1"/>
  <c r="O152" i="1"/>
  <c r="AG150" i="1"/>
  <c r="AY148" i="1"/>
  <c r="N147" i="1"/>
  <c r="AF145" i="1"/>
  <c r="B119" i="1"/>
  <c r="O120" i="1"/>
  <c r="AB121" i="1"/>
  <c r="AO122" i="1"/>
  <c r="C124" i="1"/>
  <c r="P125" i="1"/>
  <c r="AC126" i="1"/>
  <c r="AP127" i="1"/>
  <c r="D129" i="1"/>
  <c r="Q130" i="1"/>
  <c r="AD131" i="1"/>
  <c r="AQ132" i="1"/>
  <c r="E134" i="1"/>
  <c r="R135" i="1"/>
  <c r="AE136" i="1"/>
  <c r="AR137" i="1"/>
  <c r="F139" i="1"/>
  <c r="S140" i="1"/>
  <c r="AF141" i="1"/>
  <c r="AS142" i="1"/>
  <c r="G144" i="1"/>
  <c r="AA146" i="1"/>
  <c r="B149" i="1"/>
  <c r="AB151" i="1"/>
  <c r="C154" i="1"/>
  <c r="AC156" i="1"/>
  <c r="D159" i="1"/>
  <c r="AD161" i="1"/>
  <c r="E164" i="1"/>
  <c r="AQ166" i="1"/>
  <c r="AU119" i="1"/>
  <c r="V122" i="1"/>
  <c r="AV124" i="1"/>
  <c r="L134" i="1"/>
  <c r="N144" i="1"/>
  <c r="P154" i="1"/>
  <c r="H168" i="1"/>
  <c r="I120" i="1"/>
  <c r="V121" i="1"/>
  <c r="AI122" i="1"/>
  <c r="AV123" i="1"/>
  <c r="J125" i="1"/>
  <c r="W126" i="1"/>
  <c r="AJ127" i="1"/>
  <c r="AW128" i="1"/>
  <c r="K130" i="1"/>
  <c r="X131" i="1"/>
  <c r="AK132" i="1"/>
  <c r="AX133" i="1"/>
  <c r="L135" i="1"/>
  <c r="Y136" i="1"/>
  <c r="AL137" i="1"/>
  <c r="AY138" i="1"/>
  <c r="M140" i="1"/>
  <c r="Z141" i="1"/>
  <c r="AM142" i="1"/>
  <c r="AZ143" i="1"/>
  <c r="O146" i="1"/>
  <c r="AO148" i="1"/>
  <c r="P151" i="1"/>
  <c r="AP153" i="1"/>
  <c r="Q156" i="1"/>
  <c r="AQ158" i="1"/>
  <c r="R161" i="1"/>
  <c r="AR163" i="1"/>
  <c r="S166" i="1"/>
  <c r="AI119" i="1"/>
  <c r="J122" i="1"/>
  <c r="AJ124" i="1"/>
  <c r="O133" i="1"/>
  <c r="Q143" i="1"/>
  <c r="S153" i="1"/>
  <c r="AN169" i="1"/>
  <c r="AS167" i="1"/>
  <c r="AX167" i="1"/>
  <c r="AH164" i="1"/>
  <c r="H162" i="1"/>
  <c r="AG159" i="1"/>
  <c r="AP166" i="1"/>
  <c r="AE163" i="1"/>
  <c r="AH158" i="1"/>
  <c r="H156" i="1"/>
  <c r="AG153" i="1"/>
  <c r="G151" i="1"/>
  <c r="AF148" i="1"/>
  <c r="F146" i="1"/>
  <c r="AE143" i="1"/>
  <c r="E141" i="1"/>
  <c r="AD138" i="1"/>
  <c r="D136" i="1"/>
  <c r="AC133" i="1"/>
  <c r="AI131" i="1"/>
  <c r="B130" i="1"/>
  <c r="T128" i="1"/>
  <c r="AH126" i="1"/>
  <c r="M169" i="1"/>
  <c r="X164" i="1"/>
  <c r="H158" i="1"/>
  <c r="AR154" i="1"/>
  <c r="AC151" i="1"/>
  <c r="F148" i="1"/>
  <c r="AP144" i="1"/>
  <c r="AA141" i="1"/>
  <c r="D138" i="1"/>
  <c r="AN134" i="1"/>
  <c r="Y131" i="1"/>
  <c r="B128" i="1"/>
  <c r="X168" i="1"/>
  <c r="AU157" i="1"/>
  <c r="AZ150" i="1"/>
  <c r="V144" i="1"/>
  <c r="AQ137" i="1"/>
  <c r="AV130" i="1"/>
  <c r="AX124" i="1"/>
  <c r="Q123" i="1"/>
  <c r="AE121" i="1"/>
  <c r="AW119" i="1"/>
  <c r="AG168" i="1"/>
  <c r="AN165" i="1"/>
  <c r="G164" i="1"/>
  <c r="Y162" i="1"/>
  <c r="AM160" i="1"/>
  <c r="F159" i="1"/>
  <c r="X157" i="1"/>
  <c r="AL155" i="1"/>
  <c r="E154" i="1"/>
  <c r="W152" i="1"/>
  <c r="AK150" i="1"/>
  <c r="D149" i="1"/>
  <c r="V147" i="1"/>
  <c r="AJ145" i="1"/>
  <c r="O144" i="1"/>
  <c r="K120" i="1"/>
  <c r="X121" i="1"/>
  <c r="AK122" i="1"/>
  <c r="AX123" i="1"/>
  <c r="L125" i="1"/>
  <c r="Y126" i="1"/>
  <c r="AL127" i="1"/>
  <c r="AY128" i="1"/>
  <c r="M130" i="1"/>
  <c r="Z131" i="1"/>
  <c r="AM132" i="1"/>
  <c r="AZ133" i="1"/>
  <c r="N135" i="1"/>
  <c r="AA136" i="1"/>
  <c r="AN137" i="1"/>
  <c r="B139" i="1"/>
  <c r="O140" i="1"/>
  <c r="AB141" i="1"/>
  <c r="AO142" i="1"/>
  <c r="C144" i="1"/>
  <c r="S146" i="1"/>
  <c r="AS148" i="1"/>
  <c r="T151" i="1"/>
  <c r="AT153" i="1"/>
  <c r="U156" i="1"/>
  <c r="AU158" i="1"/>
  <c r="V161" i="1"/>
  <c r="AV163" i="1"/>
  <c r="AA166" i="1"/>
  <c r="AM119" i="1"/>
  <c r="N122" i="1"/>
  <c r="AN124" i="1"/>
  <c r="AE133" i="1"/>
  <c r="AG143" i="1"/>
  <c r="AI153" i="1"/>
  <c r="AT166" i="1"/>
  <c r="E120" i="1"/>
  <c r="R121" i="1"/>
  <c r="AE122" i="1"/>
  <c r="AR123" i="1"/>
  <c r="F125" i="1"/>
  <c r="S126" i="1"/>
  <c r="AF127" i="1"/>
  <c r="AS128" i="1"/>
  <c r="G130" i="1"/>
  <c r="T131" i="1"/>
  <c r="AG132" i="1"/>
  <c r="AT133" i="1"/>
  <c r="H135" i="1"/>
  <c r="U136" i="1"/>
  <c r="AH137" i="1"/>
  <c r="AU138" i="1"/>
  <c r="I140" i="1"/>
  <c r="V141" i="1"/>
  <c r="AI142" i="1"/>
  <c r="AV143" i="1"/>
  <c r="G146" i="1"/>
  <c r="AG148" i="1"/>
  <c r="H151" i="1"/>
  <c r="AH153" i="1"/>
  <c r="I156" i="1"/>
  <c r="AI158" i="1"/>
  <c r="J161" i="1"/>
  <c r="AJ163" i="1"/>
  <c r="K166" i="1"/>
  <c r="AA119" i="1"/>
  <c r="B122" i="1"/>
  <c r="AB124" i="1"/>
  <c r="AH132" i="1"/>
  <c r="AJ142" i="1"/>
  <c r="AL152" i="1"/>
  <c r="N167" i="1"/>
  <c r="F168" i="1"/>
  <c r="W168" i="1"/>
  <c r="AT164" i="1"/>
  <c r="T162" i="1"/>
  <c r="AS159" i="1"/>
  <c r="O167" i="1"/>
  <c r="D164" i="1"/>
  <c r="C159" i="1"/>
  <c r="T156" i="1"/>
  <c r="AS153" i="1"/>
  <c r="S151" i="1"/>
  <c r="AR148" i="1"/>
  <c r="R146" i="1"/>
  <c r="AQ143" i="1"/>
  <c r="Q141" i="1"/>
  <c r="AP138" i="1"/>
  <c r="P136" i="1"/>
  <c r="AO133" i="1"/>
  <c r="AQ131" i="1"/>
  <c r="F130" i="1"/>
  <c r="X128" i="1"/>
  <c r="AP126" i="1"/>
  <c r="AC169" i="1"/>
  <c r="AN164" i="1"/>
  <c r="X158" i="1"/>
  <c r="AZ154" i="1"/>
  <c r="AK151" i="1"/>
  <c r="V148" i="1"/>
  <c r="AX144" i="1"/>
  <c r="AI141" i="1"/>
  <c r="T138" i="1"/>
  <c r="AV134" i="1"/>
  <c r="AG131" i="1"/>
  <c r="R128" i="1"/>
  <c r="E169" i="1"/>
  <c r="L158" i="1"/>
  <c r="AG151" i="1"/>
  <c r="AL144" i="1"/>
  <c r="H138" i="1"/>
  <c r="AC131" i="1"/>
  <c r="C125" i="1"/>
  <c r="U123" i="1"/>
  <c r="AM121" i="1"/>
  <c r="B120" i="1"/>
  <c r="AO168" i="1"/>
  <c r="AV165" i="1"/>
  <c r="K164" i="1"/>
  <c r="AC162" i="1"/>
  <c r="AU160" i="1"/>
  <c r="J159" i="1"/>
  <c r="AB157" i="1"/>
  <c r="AT155" i="1"/>
  <c r="I154" i="1"/>
  <c r="AA152" i="1"/>
  <c r="AS150" i="1"/>
  <c r="H149" i="1"/>
  <c r="Z147" i="1"/>
  <c r="AR145" i="1"/>
  <c r="S144" i="1"/>
  <c r="G120" i="1"/>
  <c r="T121" i="1"/>
  <c r="AG122" i="1"/>
  <c r="AT123" i="1"/>
  <c r="H125" i="1"/>
  <c r="U126" i="1"/>
  <c r="AH127" i="1"/>
  <c r="AU128" i="1"/>
  <c r="I130" i="1"/>
  <c r="V131" i="1"/>
  <c r="AI132" i="1"/>
  <c r="AV133" i="1"/>
  <c r="J135" i="1"/>
  <c r="W136" i="1"/>
  <c r="AJ137" i="1"/>
  <c r="AW138" i="1"/>
  <c r="K140" i="1"/>
  <c r="X141" i="1"/>
  <c r="AK142" i="1"/>
  <c r="AX143" i="1"/>
  <c r="K146" i="1"/>
  <c r="AK148" i="1"/>
  <c r="L151" i="1"/>
  <c r="AL153" i="1"/>
  <c r="M156" i="1"/>
  <c r="AM158" i="1"/>
  <c r="N161" i="1"/>
  <c r="AN163" i="1"/>
  <c r="O166" i="1"/>
  <c r="AE119" i="1"/>
  <c r="F122" i="1"/>
  <c r="AF124" i="1"/>
  <c r="AX132" i="1"/>
  <c r="AZ142" i="1"/>
  <c r="C153" i="1"/>
  <c r="AA168" i="1"/>
  <c r="AZ119" i="1"/>
  <c r="N121" i="1"/>
  <c r="AA122" i="1"/>
  <c r="AN123" i="1"/>
  <c r="B125" i="1"/>
  <c r="O126" i="1"/>
  <c r="AB127" i="1"/>
  <c r="AO128" i="1"/>
  <c r="C130" i="1"/>
  <c r="P131" i="1"/>
  <c r="AC132" i="1"/>
  <c r="AP133" i="1"/>
  <c r="D135" i="1"/>
  <c r="Q136" i="1"/>
  <c r="AD137" i="1"/>
  <c r="AQ138" i="1"/>
  <c r="E140" i="1"/>
  <c r="R141" i="1"/>
  <c r="AE142" i="1"/>
  <c r="AR143" i="1"/>
  <c r="AX145" i="1"/>
  <c r="Y148" i="1"/>
  <c r="AY150" i="1"/>
  <c r="Z153" i="1"/>
  <c r="AZ155" i="1"/>
  <c r="AA158" i="1"/>
  <c r="B161" i="1"/>
  <c r="AB163" i="1"/>
  <c r="C166" i="1"/>
  <c r="S119" i="1"/>
  <c r="AS121" i="1"/>
  <c r="T124" i="1"/>
  <c r="B132" i="1"/>
  <c r="D142" i="1"/>
  <c r="F152" i="1"/>
  <c r="AC165" i="1"/>
  <c r="AO129" i="1"/>
  <c r="AA163" i="1"/>
  <c r="AO147" i="1"/>
  <c r="P134" i="1"/>
  <c r="AX156" i="1"/>
  <c r="P130" i="1"/>
  <c r="AK119" i="1"/>
  <c r="M162" i="1"/>
  <c r="AD155" i="1"/>
  <c r="AQ148" i="1"/>
  <c r="S120" i="1"/>
  <c r="T125" i="1"/>
  <c r="U130" i="1"/>
  <c r="V135" i="1"/>
  <c r="W140" i="1"/>
  <c r="AI146" i="1"/>
  <c r="AK156" i="1"/>
  <c r="H167" i="1"/>
  <c r="AR134" i="1"/>
  <c r="M120" i="1"/>
  <c r="N125" i="1"/>
  <c r="O130" i="1"/>
  <c r="P135" i="1"/>
  <c r="Q140" i="1"/>
  <c r="W146" i="1"/>
  <c r="Y156" i="1"/>
  <c r="AI166" i="1"/>
  <c r="AU133" i="1"/>
  <c r="AS133" i="1"/>
  <c r="AT126" i="1"/>
  <c r="Q155" i="1"/>
  <c r="AQ141" i="1"/>
  <c r="Z128" i="1"/>
  <c r="S145" i="1"/>
  <c r="Y123" i="1"/>
  <c r="AZ165" i="1"/>
  <c r="R159" i="1"/>
  <c r="AE152" i="1"/>
  <c r="AV145" i="1"/>
  <c r="AC122" i="1"/>
  <c r="AD127" i="1"/>
  <c r="AE132" i="1"/>
  <c r="AF137" i="1"/>
  <c r="AG142" i="1"/>
  <c r="D151" i="1"/>
  <c r="F161" i="1"/>
  <c r="AW121" i="1"/>
  <c r="V152" i="1"/>
  <c r="W122" i="1"/>
  <c r="X127" i="1"/>
  <c r="Y132" i="1"/>
  <c r="Z137" i="1"/>
  <c r="AA142" i="1"/>
  <c r="AQ150" i="1"/>
  <c r="AS160" i="1"/>
  <c r="AK121" i="1"/>
  <c r="Y151" i="1"/>
  <c r="AZ128" i="1"/>
  <c r="D160" i="1"/>
  <c r="D146" i="1"/>
  <c r="AL132" i="1"/>
  <c r="AA153" i="1"/>
  <c r="AR126" i="1"/>
  <c r="AT169" i="1"/>
  <c r="T161" i="1"/>
  <c r="AK154" i="1"/>
  <c r="C148" i="1"/>
  <c r="AY120" i="1"/>
  <c r="AZ125" i="1"/>
  <c r="B131" i="1"/>
  <c r="C136" i="1"/>
  <c r="D141" i="1"/>
  <c r="AV147" i="1"/>
  <c r="AX157" i="1"/>
  <c r="AH169" i="1"/>
  <c r="AS139" i="1"/>
  <c r="AS120" i="1"/>
  <c r="AT125" i="1"/>
  <c r="AU130" i="1"/>
  <c r="AV135" i="1"/>
  <c r="AW140" i="1"/>
  <c r="AJ147" i="1"/>
  <c r="AL157" i="1"/>
  <c r="J169" i="1"/>
  <c r="AV138" i="1"/>
  <c r="C131" i="1"/>
  <c r="AL166" i="1"/>
  <c r="P150" i="1"/>
  <c r="AP136" i="1"/>
  <c r="M165" i="1"/>
  <c r="Q135" i="1"/>
  <c r="AX120" i="1"/>
  <c r="Z163" i="1"/>
  <c r="AQ156" i="1"/>
  <c r="E150" i="1"/>
  <c r="V119" i="1"/>
  <c r="W124" i="1"/>
  <c r="X129" i="1"/>
  <c r="Y134" i="1"/>
  <c r="Z139" i="1"/>
  <c r="AO144" i="1"/>
  <c r="AQ154" i="1"/>
  <c r="AS164" i="1"/>
  <c r="Q127" i="1"/>
  <c r="P119" i="1"/>
  <c r="Q124" i="1"/>
  <c r="R129" i="1"/>
  <c r="S134" i="1"/>
  <c r="T139" i="1"/>
  <c r="AC144" i="1"/>
  <c r="AE154" i="1"/>
  <c r="AG164" i="1"/>
  <c r="T126" i="1"/>
  <c r="AO163" i="1"/>
  <c r="AV169" i="1"/>
  <c r="AR156" i="1"/>
  <c r="N150" i="1"/>
  <c r="S143" i="1"/>
  <c r="AN136" i="1"/>
  <c r="G131" i="1"/>
  <c r="F126" i="1"/>
  <c r="C157" i="1"/>
  <c r="AZ146" i="1"/>
  <c r="AX136" i="1"/>
  <c r="AV126" i="1"/>
  <c r="AP148" i="1"/>
  <c r="AL128" i="1"/>
  <c r="C121" i="1"/>
  <c r="L165" i="1"/>
  <c r="K160" i="1"/>
  <c r="J155" i="1"/>
  <c r="I150" i="1"/>
  <c r="H145" i="1"/>
  <c r="AH167" i="1"/>
  <c r="AY161" i="1"/>
  <c r="Z166" i="1"/>
  <c r="Z158" i="1"/>
  <c r="Y153" i="1"/>
  <c r="X148" i="1"/>
  <c r="W143" i="1"/>
  <c r="V138" i="1"/>
  <c r="U133" i="1"/>
  <c r="X162" i="1"/>
  <c r="K159" i="1"/>
  <c r="AV148" i="1"/>
  <c r="AT138" i="1"/>
  <c r="AC166" i="1"/>
  <c r="C168" i="1"/>
  <c r="AV152" i="1"/>
  <c r="AT142" i="1"/>
  <c r="AR132" i="1"/>
  <c r="J126" i="1"/>
  <c r="AM153" i="1"/>
  <c r="V140" i="1"/>
  <c r="E127" i="1"/>
  <c r="L142" i="1"/>
  <c r="AN122" i="1"/>
  <c r="P165" i="1"/>
  <c r="AC158" i="1"/>
  <c r="AT151" i="1"/>
  <c r="L145" i="1"/>
  <c r="F123" i="1"/>
  <c r="G128" i="1"/>
  <c r="H133" i="1"/>
  <c r="I138" i="1"/>
  <c r="J143" i="1"/>
  <c r="I152" i="1"/>
  <c r="K162" i="1"/>
  <c r="C123" i="1"/>
  <c r="AP156" i="1"/>
  <c r="AY122" i="1"/>
  <c r="AZ127" i="1"/>
  <c r="B133" i="1"/>
  <c r="C138" i="1"/>
  <c r="D143" i="1"/>
  <c r="AV151" i="1"/>
  <c r="AX161" i="1"/>
  <c r="AP122" i="1"/>
  <c r="AS155" i="1"/>
  <c r="B164" i="1"/>
  <c r="R162" i="1"/>
  <c r="Z150" i="1"/>
  <c r="X140" i="1"/>
  <c r="O131" i="1"/>
  <c r="AI167" i="1"/>
  <c r="AF150" i="1"/>
  <c r="O137" i="1"/>
  <c r="AT167" i="1"/>
  <c r="AW135" i="1"/>
  <c r="K121" i="1"/>
  <c r="AL163" i="1"/>
  <c r="AY156" i="1"/>
  <c r="Q150" i="1"/>
  <c r="N119" i="1"/>
  <c r="O124" i="1"/>
  <c r="P129" i="1"/>
  <c r="Q134" i="1"/>
  <c r="R139" i="1"/>
  <c r="Y144" i="1"/>
  <c r="AA154" i="1"/>
  <c r="AC164" i="1"/>
  <c r="D126" i="1"/>
  <c r="H119" i="1"/>
  <c r="I124" i="1"/>
  <c r="J129" i="1"/>
  <c r="K134" i="1"/>
  <c r="L139" i="1"/>
  <c r="M144" i="1"/>
  <c r="O154" i="1"/>
  <c r="Q164" i="1"/>
  <c r="I125" i="1"/>
  <c r="AY169" i="1"/>
  <c r="AM161" i="1"/>
  <c r="N158" i="1"/>
  <c r="L148" i="1"/>
  <c r="J138" i="1"/>
  <c r="AK129" i="1"/>
  <c r="K163" i="1"/>
  <c r="Y147" i="1"/>
  <c r="H134" i="1"/>
  <c r="AH156" i="1"/>
  <c r="AI129" i="1"/>
  <c r="AG119" i="1"/>
  <c r="I162" i="1"/>
  <c r="V155" i="1"/>
  <c r="AM148" i="1"/>
  <c r="W120" i="1"/>
  <c r="X125" i="1"/>
  <c r="Y130" i="1"/>
  <c r="Z135" i="1"/>
  <c r="AA140" i="1"/>
  <c r="AQ146" i="1"/>
  <c r="AS156" i="1"/>
  <c r="X167" i="1"/>
  <c r="Y135" i="1"/>
  <c r="Q120" i="1"/>
  <c r="R125" i="1"/>
  <c r="S130" i="1"/>
  <c r="T135" i="1"/>
  <c r="U140" i="1"/>
  <c r="AE146" i="1"/>
  <c r="AG156" i="1"/>
  <c r="AY166" i="1"/>
  <c r="AB134" i="1"/>
  <c r="H128" i="1"/>
  <c r="T150" i="1"/>
  <c r="AR153" i="1"/>
  <c r="AH131" i="1"/>
  <c r="L159" i="1"/>
  <c r="AA126" i="1"/>
  <c r="AW148" i="1"/>
  <c r="AU131" i="1"/>
  <c r="K125" i="1"/>
  <c r="AF157" i="1"/>
  <c r="AQ128" i="1"/>
  <c r="AD153" i="1"/>
  <c r="AJ123" i="1"/>
  <c r="AN143" i="1"/>
  <c r="P164" i="1"/>
  <c r="S149" i="1"/>
  <c r="F162" i="1"/>
  <c r="AD120" i="1"/>
  <c r="S156" i="1"/>
  <c r="AL119" i="1"/>
  <c r="AN129" i="1"/>
  <c r="AP139" i="1"/>
  <c r="X155" i="1"/>
  <c r="AQ129" i="1"/>
  <c r="AG124" i="1"/>
  <c r="AI134" i="1"/>
  <c r="J145" i="1"/>
  <c r="N165" i="1"/>
  <c r="AN132" i="1"/>
  <c r="AE153" i="1"/>
  <c r="AN126" i="1"/>
  <c r="AJ122" i="1"/>
  <c r="Y158" i="1"/>
  <c r="D145" i="1"/>
  <c r="K128" i="1"/>
  <c r="M138" i="1"/>
  <c r="Q152" i="1"/>
  <c r="K123" i="1"/>
  <c r="D123" i="1"/>
  <c r="F133" i="1"/>
  <c r="H143" i="1"/>
  <c r="G162" i="1"/>
  <c r="Z156" i="1"/>
  <c r="N168" i="1"/>
  <c r="AU161" i="1"/>
  <c r="AZ164" i="1"/>
  <c r="O155" i="1"/>
  <c r="T148" i="1"/>
  <c r="AO141" i="1"/>
  <c r="K135" i="1"/>
  <c r="AS129" i="1"/>
  <c r="AF168" i="1"/>
  <c r="AB154" i="1"/>
  <c r="Z144" i="1"/>
  <c r="X134" i="1"/>
  <c r="K167" i="1"/>
  <c r="AO143" i="1"/>
  <c r="AP124" i="1"/>
  <c r="AO119" i="1"/>
  <c r="AX163" i="1"/>
  <c r="AW158" i="1"/>
  <c r="AV153" i="1"/>
  <c r="AU148" i="1"/>
  <c r="AX168" i="1"/>
  <c r="AM165" i="1"/>
  <c r="AL160" i="1"/>
  <c r="AO165" i="1"/>
  <c r="M157" i="1"/>
  <c r="L152" i="1"/>
  <c r="K147" i="1"/>
  <c r="J142" i="1"/>
  <c r="I137" i="1"/>
  <c r="J168" i="1"/>
  <c r="AW159" i="1"/>
  <c r="X156" i="1"/>
  <c r="V146" i="1"/>
  <c r="T136" i="1"/>
  <c r="AW163" i="1"/>
  <c r="J162" i="1"/>
  <c r="V150" i="1"/>
  <c r="T140" i="1"/>
  <c r="K131" i="1"/>
  <c r="C167" i="1"/>
  <c r="X150" i="1"/>
  <c r="G137" i="1"/>
  <c r="AS165" i="1"/>
  <c r="AG135" i="1"/>
  <c r="G121" i="1"/>
  <c r="AD163" i="1"/>
  <c r="AU156" i="1"/>
  <c r="M150" i="1"/>
  <c r="R119" i="1"/>
  <c r="S124" i="1"/>
  <c r="T129" i="1"/>
  <c r="U134" i="1"/>
  <c r="V139" i="1"/>
  <c r="AG144" i="1"/>
  <c r="AI154" i="1"/>
  <c r="AK164" i="1"/>
  <c r="AJ126" i="1"/>
  <c r="L119" i="1"/>
  <c r="M124" i="1"/>
  <c r="N129" i="1"/>
  <c r="O134" i="1"/>
  <c r="P139" i="1"/>
  <c r="U144" i="1"/>
  <c r="W154" i="1"/>
  <c r="Y164" i="1"/>
  <c r="AM125" i="1"/>
  <c r="AM169" i="1"/>
  <c r="AA161" i="1"/>
  <c r="B158" i="1"/>
  <c r="AY147" i="1"/>
  <c r="AW137" i="1"/>
  <c r="AG129" i="1"/>
  <c r="AD162" i="1"/>
  <c r="Q147" i="1"/>
  <c r="AY133" i="1"/>
  <c r="B156" i="1"/>
  <c r="S129" i="1"/>
  <c r="AC119" i="1"/>
  <c r="AZ161" i="1"/>
  <c r="R155" i="1"/>
  <c r="AI148" i="1"/>
  <c r="AA120" i="1"/>
  <c r="AB125" i="1"/>
  <c r="AC130" i="1"/>
  <c r="AD135" i="1"/>
  <c r="AE140" i="1"/>
  <c r="AY146" i="1"/>
  <c r="B157" i="1"/>
  <c r="AN167" i="1"/>
  <c r="F136" i="1"/>
  <c r="U120" i="1"/>
  <c r="V125" i="1"/>
  <c r="W130" i="1"/>
  <c r="X135" i="1"/>
  <c r="Y140" i="1"/>
  <c r="AM146" i="1"/>
  <c r="AO156" i="1"/>
  <c r="P167" i="1"/>
  <c r="I135" i="1"/>
  <c r="Y167" i="1"/>
  <c r="M159" i="1"/>
  <c r="AM155" i="1"/>
  <c r="AK145" i="1"/>
  <c r="AI135" i="1"/>
  <c r="D128" i="1"/>
  <c r="AA157" i="1"/>
  <c r="J144" i="1"/>
  <c r="AR130" i="1"/>
  <c r="AM149" i="1"/>
  <c r="AH124" i="1"/>
  <c r="AZ167" i="1"/>
  <c r="W160" i="1"/>
  <c r="AN153" i="1"/>
  <c r="F147" i="1"/>
  <c r="AJ121" i="1"/>
  <c r="AK126" i="1"/>
  <c r="AL131" i="1"/>
  <c r="AM136" i="1"/>
  <c r="AN141" i="1"/>
  <c r="R149" i="1"/>
  <c r="T159" i="1"/>
  <c r="L120" i="1"/>
  <c r="AA145" i="1"/>
  <c r="AD121" i="1"/>
  <c r="AE126" i="1"/>
  <c r="AF131" i="1"/>
  <c r="AG136" i="1"/>
  <c r="AH141" i="1"/>
  <c r="F149" i="1"/>
  <c r="H159" i="1"/>
  <c r="AY119" i="1"/>
  <c r="AD144" i="1"/>
  <c r="AQ157" i="1"/>
  <c r="AL124" i="1"/>
  <c r="J147" i="1"/>
  <c r="AI136" i="1"/>
  <c r="D120" i="1"/>
  <c r="AB131" i="1"/>
  <c r="AY158" i="1"/>
  <c r="M125" i="1"/>
  <c r="X138" i="1"/>
  <c r="AW150" i="1"/>
  <c r="AR133" i="1"/>
  <c r="AF163" i="1"/>
  <c r="AK128" i="1"/>
  <c r="R153" i="1"/>
  <c r="O127" i="1"/>
  <c r="AN142" i="1"/>
  <c r="AV146" i="1"/>
  <c r="W166" i="1"/>
  <c r="D153" i="1"/>
  <c r="M122" i="1"/>
  <c r="O132" i="1"/>
  <c r="Q142" i="1"/>
  <c r="Y160" i="1"/>
  <c r="AU149" i="1"/>
  <c r="H127" i="1"/>
  <c r="J137" i="1"/>
  <c r="K150" i="1"/>
  <c r="E121" i="1"/>
  <c r="U129" i="1"/>
  <c r="AR146" i="1"/>
  <c r="U155" i="1"/>
  <c r="Q119" i="1"/>
  <c r="F155" i="1"/>
  <c r="AI120" i="1"/>
  <c r="AK130" i="1"/>
  <c r="AM140" i="1"/>
  <c r="R157" i="1"/>
  <c r="S137" i="1"/>
  <c r="AD125" i="1"/>
  <c r="AF135" i="1"/>
  <c r="D147" i="1"/>
  <c r="AV167" i="1"/>
  <c r="AM168" i="1"/>
  <c r="R160" i="1"/>
  <c r="AS161" i="1"/>
  <c r="U153" i="1"/>
  <c r="AP146" i="1"/>
  <c r="L140" i="1"/>
  <c r="AG133" i="1"/>
  <c r="AF128" i="1"/>
  <c r="U165" i="1"/>
  <c r="B152" i="1"/>
  <c r="AY141" i="1"/>
  <c r="AW131" i="1"/>
  <c r="AX158" i="1"/>
  <c r="AN138" i="1"/>
  <c r="AC123" i="1"/>
  <c r="F169" i="1"/>
  <c r="AK162" i="1"/>
  <c r="AJ157" i="1"/>
  <c r="AI152" i="1"/>
  <c r="AH147" i="1"/>
  <c r="AK167" i="1"/>
  <c r="Z164" i="1"/>
  <c r="Y159" i="1"/>
  <c r="O163" i="1"/>
  <c r="AY155" i="1"/>
  <c r="AX150" i="1"/>
  <c r="AW145" i="1"/>
  <c r="AV140" i="1"/>
  <c r="AU135" i="1"/>
  <c r="AE168" i="1"/>
  <c r="W167" i="1"/>
  <c r="AW153" i="1"/>
  <c r="AU143" i="1"/>
  <c r="AI169" i="1"/>
  <c r="W161" i="1"/>
  <c r="AW157" i="1"/>
  <c r="AU147" i="1"/>
  <c r="AS137" i="1"/>
  <c r="Y129" i="1"/>
  <c r="N162" i="1"/>
  <c r="I147" i="1"/>
  <c r="AI133" i="1"/>
  <c r="AK155" i="1"/>
  <c r="C129" i="1"/>
  <c r="U119" i="1"/>
  <c r="AV161" i="1"/>
  <c r="N155" i="1"/>
  <c r="AA148" i="1"/>
  <c r="AE120" i="1"/>
  <c r="AF125" i="1"/>
  <c r="AG130" i="1"/>
  <c r="AH135" i="1"/>
  <c r="AI140" i="1"/>
  <c r="H147" i="1"/>
  <c r="J157" i="1"/>
  <c r="E168" i="1"/>
  <c r="AL136" i="1"/>
  <c r="Y120" i="1"/>
  <c r="Z125" i="1"/>
  <c r="AA130" i="1"/>
  <c r="AB135" i="1"/>
  <c r="AC140" i="1"/>
  <c r="AU146" i="1"/>
  <c r="AW156" i="1"/>
  <c r="AF167" i="1"/>
  <c r="AO135" i="1"/>
  <c r="M167" i="1"/>
  <c r="AZ158" i="1"/>
  <c r="AA155" i="1"/>
  <c r="Y145" i="1"/>
  <c r="W135" i="1"/>
  <c r="AU127" i="1"/>
  <c r="S157" i="1"/>
  <c r="B144" i="1"/>
  <c r="AB130" i="1"/>
  <c r="W149" i="1"/>
  <c r="AD124" i="1"/>
  <c r="AJ167" i="1"/>
  <c r="S160" i="1"/>
  <c r="AJ153" i="1"/>
  <c r="AW146" i="1"/>
  <c r="AN121" i="1"/>
  <c r="AO126" i="1"/>
  <c r="AP131" i="1"/>
  <c r="AQ136" i="1"/>
  <c r="AR141" i="1"/>
  <c r="Z149" i="1"/>
  <c r="AB159" i="1"/>
  <c r="T120" i="1"/>
  <c r="H146" i="1"/>
  <c r="AH121" i="1"/>
  <c r="AI126" i="1"/>
  <c r="AJ131" i="1"/>
  <c r="AK136" i="1"/>
  <c r="AL141" i="1"/>
  <c r="N149" i="1"/>
  <c r="P159" i="1"/>
  <c r="H120" i="1"/>
  <c r="K145" i="1"/>
  <c r="J167" i="1"/>
  <c r="P169" i="1"/>
  <c r="M153" i="1"/>
  <c r="K143" i="1"/>
  <c r="I133" i="1"/>
  <c r="R126" i="1"/>
  <c r="L154" i="1"/>
  <c r="AT140" i="1"/>
  <c r="U127" i="1"/>
  <c r="I143" i="1"/>
  <c r="AZ122" i="1"/>
  <c r="X165" i="1"/>
  <c r="AO158" i="1"/>
  <c r="G152" i="1"/>
  <c r="T145" i="1"/>
  <c r="AW122" i="1"/>
  <c r="AX127" i="1"/>
  <c r="AY132" i="1"/>
  <c r="AZ137" i="1"/>
  <c r="B143" i="1"/>
  <c r="AR151" i="1"/>
  <c r="AT161" i="1"/>
  <c r="AL122" i="1"/>
  <c r="AC155" i="1"/>
  <c r="AQ122" i="1"/>
  <c r="AR127" i="1"/>
  <c r="AS132" i="1"/>
  <c r="AT137" i="1"/>
  <c r="AU142" i="1"/>
  <c r="AF151" i="1"/>
  <c r="AH161" i="1"/>
  <c r="Z122" i="1"/>
  <c r="AF154" i="1"/>
  <c r="R144" i="1"/>
  <c r="I168" i="1"/>
  <c r="AF121" i="1"/>
  <c r="AJ141" i="1"/>
  <c r="AT144" i="1"/>
  <c r="AC136" i="1"/>
  <c r="AQ119" i="1"/>
  <c r="AS151" i="1"/>
  <c r="AQ121" i="1"/>
  <c r="W144" i="1"/>
  <c r="AS138" i="1"/>
  <c r="X124" i="1"/>
  <c r="AL133" i="1"/>
  <c r="T163" i="1"/>
  <c r="AD167" i="1"/>
  <c r="B136" i="1"/>
  <c r="W133" i="1"/>
  <c r="F163" i="1"/>
  <c r="AJ149" i="1"/>
  <c r="AM124" i="1"/>
  <c r="AO134" i="1"/>
  <c r="V145" i="1"/>
  <c r="Z165" i="1"/>
  <c r="AF119" i="1"/>
  <c r="AH129" i="1"/>
  <c r="AJ139" i="1"/>
  <c r="L155" i="1"/>
  <c r="AT128" i="1"/>
  <c r="B126" i="1"/>
  <c r="N140" i="1"/>
  <c r="AU141" i="1"/>
  <c r="H165" i="1"/>
  <c r="AP151" i="1"/>
  <c r="J123" i="1"/>
  <c r="L133" i="1"/>
  <c r="N143" i="1"/>
  <c r="S162" i="1"/>
  <c r="W157" i="1"/>
  <c r="E128" i="1"/>
  <c r="G138" i="1"/>
  <c r="E152" i="1"/>
  <c r="AX122" i="1"/>
  <c r="S165" i="1"/>
  <c r="AN158" i="1"/>
  <c r="V158" i="1"/>
  <c r="AQ151" i="1"/>
  <c r="M145" i="1"/>
  <c r="R138" i="1"/>
  <c r="T132" i="1"/>
  <c r="S127" i="1"/>
  <c r="T160" i="1"/>
  <c r="AA149" i="1"/>
  <c r="Y139" i="1"/>
  <c r="W129" i="1"/>
  <c r="AQ153" i="1"/>
  <c r="AM133" i="1"/>
  <c r="P122" i="1"/>
  <c r="AE166" i="1"/>
  <c r="X161" i="1"/>
  <c r="W156" i="1"/>
  <c r="V151" i="1"/>
  <c r="U146" i="1"/>
  <c r="X166" i="1"/>
  <c r="M163" i="1"/>
  <c r="AZ168" i="1"/>
  <c r="AN160" i="1"/>
  <c r="AL154" i="1"/>
  <c r="AK149" i="1"/>
  <c r="AJ144" i="1"/>
  <c r="AI139" i="1"/>
  <c r="AH134" i="1"/>
  <c r="AX164" i="1"/>
  <c r="L164" i="1"/>
  <c r="W151" i="1"/>
  <c r="U141" i="1"/>
  <c r="I167" i="1"/>
  <c r="AV158" i="1"/>
  <c r="W155" i="1"/>
  <c r="U145" i="1"/>
  <c r="S135" i="1"/>
  <c r="AQ127" i="1"/>
  <c r="K157" i="1"/>
  <c r="AK143" i="1"/>
  <c r="T130" i="1"/>
  <c r="G149" i="1"/>
  <c r="V124" i="1"/>
  <c r="AB167" i="1"/>
  <c r="O160" i="1"/>
  <c r="AB153" i="1"/>
  <c r="AS146" i="1"/>
  <c r="AR121" i="1"/>
  <c r="AS126" i="1"/>
  <c r="AT131" i="1"/>
  <c r="AU136" i="1"/>
  <c r="AV141" i="1"/>
  <c r="AH149" i="1"/>
  <c r="AJ159" i="1"/>
  <c r="AB120" i="1"/>
  <c r="AN146" i="1"/>
  <c r="AL121" i="1"/>
  <c r="AM126" i="1"/>
  <c r="AN131" i="1"/>
  <c r="AO136" i="1"/>
  <c r="AP141" i="1"/>
  <c r="V149" i="1"/>
  <c r="X159" i="1"/>
  <c r="P120" i="1"/>
  <c r="AQ145" i="1"/>
  <c r="AK166" i="1"/>
  <c r="S168" i="1"/>
  <c r="AZ152" i="1"/>
  <c r="AX142" i="1"/>
  <c r="AV132" i="1"/>
  <c r="N126" i="1"/>
  <c r="D154" i="1"/>
  <c r="AD140" i="1"/>
  <c r="M127" i="1"/>
  <c r="AR142" i="1"/>
  <c r="AR122" i="1"/>
  <c r="T165" i="1"/>
  <c r="AK158" i="1"/>
  <c r="AX151" i="1"/>
  <c r="P145" i="1"/>
  <c r="B123" i="1"/>
  <c r="C128" i="1"/>
  <c r="D133" i="1"/>
  <c r="E138" i="1"/>
  <c r="F143" i="1"/>
  <c r="AZ151" i="1"/>
  <c r="C162" i="1"/>
  <c r="AT122" i="1"/>
  <c r="J156" i="1"/>
  <c r="AU122" i="1"/>
  <c r="AV127" i="1"/>
  <c r="AW132" i="1"/>
  <c r="AX137" i="1"/>
  <c r="AY142" i="1"/>
  <c r="AN151" i="1"/>
  <c r="AP161" i="1"/>
  <c r="AH122" i="1"/>
  <c r="M155" i="1"/>
  <c r="N164" i="1"/>
  <c r="AP162" i="1"/>
  <c r="AL150" i="1"/>
  <c r="AJ140" i="1"/>
  <c r="S131" i="1"/>
  <c r="AY167" i="1"/>
  <c r="AV150" i="1"/>
  <c r="W137" i="1"/>
  <c r="H169" i="1"/>
  <c r="AD136" i="1"/>
  <c r="O121" i="1"/>
  <c r="AP163" i="1"/>
  <c r="H157" i="1"/>
  <c r="U150" i="1"/>
  <c r="J119" i="1"/>
  <c r="K124" i="1"/>
  <c r="L129" i="1"/>
  <c r="M134" i="1"/>
  <c r="N139" i="1"/>
  <c r="Q144" i="1"/>
  <c r="S154" i="1"/>
  <c r="U164" i="1"/>
  <c r="W125" i="1"/>
  <c r="D119" i="1"/>
  <c r="E124" i="1"/>
  <c r="F129" i="1"/>
  <c r="G134" i="1"/>
  <c r="H139" i="1"/>
  <c r="I144" i="1"/>
  <c r="G154" i="1"/>
  <c r="I164" i="1"/>
  <c r="AZ124" i="1"/>
  <c r="AN168" i="1"/>
  <c r="AZ130" i="1"/>
  <c r="AE160" i="1"/>
  <c r="AG126" i="1"/>
  <c r="J149" i="1"/>
  <c r="Z121" i="1"/>
  <c r="AD141" i="1"/>
  <c r="AW143" i="1"/>
  <c r="AB138" i="1"/>
  <c r="S164" i="1"/>
  <c r="AP123" i="1"/>
  <c r="AT143" i="1"/>
  <c r="J166" i="1"/>
  <c r="AM138" i="1"/>
  <c r="L124" i="1"/>
  <c r="F156" i="1"/>
  <c r="O129" i="1"/>
  <c r="AW123" i="1"/>
  <c r="AL159" i="1"/>
  <c r="Q146" i="1"/>
  <c r="N127" i="1"/>
  <c r="P137" i="1"/>
  <c r="W150" i="1"/>
  <c r="Q121" i="1"/>
  <c r="G122" i="1"/>
  <c r="I132" i="1"/>
  <c r="K142" i="1"/>
  <c r="M160" i="1"/>
  <c r="AX148" i="1"/>
  <c r="AW161" i="1"/>
  <c r="AA133" i="1"/>
  <c r="V128" i="1"/>
  <c r="AR161" i="1"/>
  <c r="W148" i="1"/>
  <c r="AJ125" i="1"/>
  <c r="AL135" i="1"/>
  <c r="P147" i="1"/>
  <c r="U168" i="1"/>
  <c r="AC120" i="1"/>
  <c r="AE130" i="1"/>
  <c r="AG140" i="1"/>
  <c r="F157" i="1"/>
  <c r="V136" i="1"/>
  <c r="FA62" i="1" a="1"/>
  <c r="FA62" i="1"/>
  <c r="FA60" i="1" a="1"/>
  <c r="FA60" i="1"/>
  <c r="FA56" i="1" a="1"/>
  <c r="FA56" i="1"/>
  <c r="FA54" i="1" a="1"/>
  <c r="FA54" i="1"/>
  <c r="FA58" i="1" a="1"/>
  <c r="FA58" i="1"/>
  <c r="FA52" i="1" a="1"/>
  <c r="FA52" i="1"/>
  <c r="FA50" i="1" a="1"/>
  <c r="FA50" i="1"/>
  <c r="FA48" i="1" a="1"/>
  <c r="FA48" i="1"/>
  <c r="FA46" i="1" a="1"/>
  <c r="FA46" i="1"/>
  <c r="FA44" i="1" a="1"/>
  <c r="FA44" i="1"/>
  <c r="FA42" i="1" a="1"/>
  <c r="FA42" i="1"/>
  <c r="FA40" i="1" a="1"/>
  <c r="FA40" i="1"/>
  <c r="FA38" i="1" a="1"/>
  <c r="FA38" i="1"/>
  <c r="FA36" i="1" a="1"/>
  <c r="FA36" i="1"/>
  <c r="FA34" i="1" a="1"/>
  <c r="FA34" i="1"/>
  <c r="FA32" i="1" a="1"/>
  <c r="FA32" i="1"/>
  <c r="FA27" i="1" a="1"/>
  <c r="FA27" i="1"/>
  <c r="FA25" i="1" a="1"/>
  <c r="FA25" i="1"/>
  <c r="FA30" i="1" a="1"/>
  <c r="FA30" i="1"/>
  <c r="FA28" i="1" a="1"/>
  <c r="FA28" i="1"/>
  <c r="FA22" i="1" a="1"/>
  <c r="FA22" i="1"/>
  <c r="FA20" i="1" a="1"/>
  <c r="FA20" i="1"/>
  <c r="FA18" i="1" a="1"/>
  <c r="FA18" i="1"/>
  <c r="FA16" i="1" a="1"/>
  <c r="FA16" i="1"/>
  <c r="FA14" i="1" a="1"/>
  <c r="FA14" i="1"/>
  <c r="FA12" i="1" a="1"/>
  <c r="FA12" i="1"/>
  <c r="FA61" i="1" a="1"/>
  <c r="FA61" i="1"/>
  <c r="FA59" i="1" a="1"/>
  <c r="FA59" i="1"/>
  <c r="FA55" i="1" a="1"/>
  <c r="FA55" i="1"/>
  <c r="FA57" i="1" a="1"/>
  <c r="FA57" i="1"/>
  <c r="FA53" i="1" a="1"/>
  <c r="FA53" i="1"/>
  <c r="FA51" i="1" a="1"/>
  <c r="FA51" i="1"/>
  <c r="FA49" i="1" a="1"/>
  <c r="FA49" i="1"/>
  <c r="FA47" i="1" a="1"/>
  <c r="FA47" i="1"/>
  <c r="FA45" i="1" a="1"/>
  <c r="FA45" i="1"/>
  <c r="FA43" i="1" a="1"/>
  <c r="FA43" i="1"/>
  <c r="FA41" i="1" a="1"/>
  <c r="FA41" i="1"/>
  <c r="FA39" i="1" a="1"/>
  <c r="FA39" i="1"/>
  <c r="FA37" i="1" a="1"/>
  <c r="FA37" i="1"/>
  <c r="FA35" i="1" a="1"/>
  <c r="FA35" i="1"/>
  <c r="FA33" i="1" a="1"/>
  <c r="FA33" i="1"/>
  <c r="FA31" i="1" a="1"/>
  <c r="FA31" i="1"/>
  <c r="FA26" i="1" a="1"/>
  <c r="FA26" i="1"/>
  <c r="FA24" i="1" a="1"/>
  <c r="FA24" i="1"/>
  <c r="FA29" i="1" a="1"/>
  <c r="FA29" i="1"/>
  <c r="FA23" i="1" a="1"/>
  <c r="FA23" i="1"/>
  <c r="FA21" i="1" a="1"/>
  <c r="FA21" i="1"/>
  <c r="FA19" i="1" a="1"/>
  <c r="FA19" i="1"/>
  <c r="FA17" i="1" a="1"/>
  <c r="FA17" i="1"/>
  <c r="FA15" i="1" a="1"/>
  <c r="FA15" i="1"/>
  <c r="FA13" i="1" a="1"/>
  <c r="FA13" i="1"/>
  <c r="FB11" i="1"/>
  <c r="E53" i="1" a="1"/>
  <c r="E53" i="1"/>
  <c r="E61" i="1" a="1"/>
  <c r="E61" i="1"/>
  <c r="E37" i="1" a="1"/>
  <c r="E37" i="1"/>
  <c r="E21" i="1" a="1"/>
  <c r="E21" i="1"/>
  <c r="E56" i="1" a="1"/>
  <c r="E56" i="1"/>
  <c r="E40" i="1" a="1"/>
  <c r="E40" i="1"/>
  <c r="E24" i="1" a="1"/>
  <c r="E24" i="1"/>
  <c r="E55" i="1" a="1"/>
  <c r="E55" i="1"/>
  <c r="E39" i="1" a="1"/>
  <c r="E39" i="1"/>
  <c r="E23" i="1" a="1"/>
  <c r="E23" i="1"/>
  <c r="E58" i="1" a="1"/>
  <c r="E58" i="1"/>
  <c r="E42" i="1" a="1"/>
  <c r="E42" i="1"/>
  <c r="E26" i="1" a="1"/>
  <c r="E26" i="1"/>
  <c r="E57" i="1" a="1"/>
  <c r="E57" i="1"/>
  <c r="E41" i="1" a="1"/>
  <c r="E41" i="1"/>
  <c r="E25" i="1" a="1"/>
  <c r="E25" i="1"/>
  <c r="E60" i="1" a="1"/>
  <c r="E60" i="1"/>
  <c r="E44" i="1" a="1"/>
  <c r="E44" i="1"/>
  <c r="E28" i="1" a="1"/>
  <c r="E28" i="1"/>
  <c r="E12" i="1" a="1"/>
  <c r="E12" i="1"/>
  <c r="F40" i="1" a="1"/>
  <c r="F40" i="1"/>
  <c r="E59" i="1" a="1"/>
  <c r="E59" i="1"/>
  <c r="E43" i="1" a="1"/>
  <c r="E43" i="1"/>
  <c r="E27" i="1" a="1"/>
  <c r="E27" i="1"/>
  <c r="E62" i="1" a="1"/>
  <c r="E62" i="1"/>
  <c r="E46" i="1" a="1"/>
  <c r="E46" i="1"/>
  <c r="E30" i="1" a="1"/>
  <c r="E30" i="1"/>
  <c r="E16" i="1" a="1"/>
  <c r="E16" i="1"/>
  <c r="E45" i="1" a="1"/>
  <c r="E45" i="1"/>
  <c r="E29" i="1" a="1"/>
  <c r="E29" i="1"/>
  <c r="E13" i="1" a="1"/>
  <c r="E13" i="1"/>
  <c r="F47" i="1" a="1"/>
  <c r="F47" i="1"/>
  <c r="E48" i="1" a="1"/>
  <c r="E48" i="1"/>
  <c r="E32" i="1" a="1"/>
  <c r="E32" i="1"/>
  <c r="E14" i="1" a="1"/>
  <c r="E14" i="1"/>
  <c r="E47" i="1" a="1"/>
  <c r="E47" i="1"/>
  <c r="E31" i="1" a="1"/>
  <c r="E31" i="1"/>
  <c r="E15" i="1" a="1"/>
  <c r="E15" i="1"/>
  <c r="E50" i="1" a="1"/>
  <c r="E50" i="1"/>
  <c r="E34" i="1" a="1"/>
  <c r="E34" i="1"/>
  <c r="E18" i="1" a="1"/>
  <c r="E18" i="1"/>
  <c r="E49" i="1" a="1"/>
  <c r="E49" i="1"/>
  <c r="E33" i="1" a="1"/>
  <c r="E33" i="1"/>
  <c r="E17" i="1" a="1"/>
  <c r="E17" i="1"/>
  <c r="E52" i="1" a="1"/>
  <c r="E52" i="1"/>
  <c r="E36" i="1" a="1"/>
  <c r="E36" i="1"/>
  <c r="E20" i="1" a="1"/>
  <c r="E20" i="1"/>
  <c r="E51" i="1" a="1"/>
  <c r="E51" i="1"/>
  <c r="E35" i="1" a="1"/>
  <c r="E35" i="1"/>
  <c r="E19" i="1" a="1"/>
  <c r="E19" i="1"/>
  <c r="F44" i="1" a="1"/>
  <c r="F44" i="1"/>
  <c r="E54" i="1" a="1"/>
  <c r="E54" i="1"/>
  <c r="E38" i="1" a="1"/>
  <c r="E38" i="1"/>
  <c r="E22" i="1" a="1"/>
  <c r="E22" i="1"/>
  <c r="F34" i="1" a="1"/>
  <c r="F34" i="1"/>
  <c r="F31" i="1" a="1"/>
  <c r="F31" i="1"/>
  <c r="F22" i="1" a="1"/>
  <c r="F22" i="1"/>
  <c r="F21" i="1" a="1"/>
  <c r="F21" i="1"/>
  <c r="F45" i="1" a="1"/>
  <c r="F45" i="1"/>
  <c r="F58" i="1" a="1"/>
  <c r="F58" i="1"/>
  <c r="F51" i="1" a="1"/>
  <c r="F51" i="1"/>
  <c r="F39" i="1" a="1"/>
  <c r="F39" i="1"/>
  <c r="F37" i="1" a="1"/>
  <c r="F37" i="1"/>
  <c r="F13" i="1" a="1"/>
  <c r="F13" i="1"/>
  <c r="F16" i="1" a="1"/>
  <c r="F16" i="1"/>
  <c r="F54" i="1" a="1"/>
  <c r="F54" i="1"/>
  <c r="F41" i="1" a="1"/>
  <c r="F41" i="1"/>
  <c r="F29" i="1" a="1"/>
  <c r="F29" i="1"/>
  <c r="F53" i="1" a="1"/>
  <c r="F53" i="1"/>
  <c r="F26" i="1" a="1"/>
  <c r="F26" i="1"/>
  <c r="F18" i="1" a="1"/>
  <c r="F18" i="1"/>
  <c r="F60" i="1" a="1"/>
  <c r="F60" i="1"/>
  <c r="FB62" i="1" a="1"/>
  <c r="FB62" i="1"/>
  <c r="FB60" i="1" a="1"/>
  <c r="FB60" i="1"/>
  <c r="FB58" i="1" a="1"/>
  <c r="FB58" i="1"/>
  <c r="FB55" i="1" a="1"/>
  <c r="FB55" i="1"/>
  <c r="FB53" i="1" a="1"/>
  <c r="FB53" i="1"/>
  <c r="FB52" i="1" a="1"/>
  <c r="FB52" i="1"/>
  <c r="FB50" i="1" a="1"/>
  <c r="FB50" i="1"/>
  <c r="FB48" i="1" a="1"/>
  <c r="FB48" i="1"/>
  <c r="FB46" i="1" a="1"/>
  <c r="FB46" i="1"/>
  <c r="FB44" i="1" a="1"/>
  <c r="FB44" i="1"/>
  <c r="FB42" i="1" a="1"/>
  <c r="FB42" i="1"/>
  <c r="FB40" i="1" a="1"/>
  <c r="FB40" i="1"/>
  <c r="FB38" i="1" a="1"/>
  <c r="FB38" i="1"/>
  <c r="FB36" i="1" a="1"/>
  <c r="FB36" i="1"/>
  <c r="FB34" i="1" a="1"/>
  <c r="FB34" i="1"/>
  <c r="FB32" i="1" a="1"/>
  <c r="FB32" i="1"/>
  <c r="FB30" i="1" a="1"/>
  <c r="FB30" i="1"/>
  <c r="FB28" i="1" a="1"/>
  <c r="FB28" i="1"/>
  <c r="FB26" i="1" a="1"/>
  <c r="FB26" i="1"/>
  <c r="FB24" i="1" a="1"/>
  <c r="FB24" i="1"/>
  <c r="FB22" i="1" a="1"/>
  <c r="FB22" i="1"/>
  <c r="FB16" i="1" a="1"/>
  <c r="FB16" i="1"/>
  <c r="FB14" i="1" a="1"/>
  <c r="FB14" i="1"/>
  <c r="FB12" i="1" a="1"/>
  <c r="FB12" i="1"/>
  <c r="FB20" i="1" a="1"/>
  <c r="FB20" i="1"/>
  <c r="FB18" i="1" a="1"/>
  <c r="FB18" i="1"/>
  <c r="FB61" i="1" a="1"/>
  <c r="FB61" i="1"/>
  <c r="FB59" i="1" a="1"/>
  <c r="FB59" i="1"/>
  <c r="FB56" i="1" a="1"/>
  <c r="FB56" i="1"/>
  <c r="FB54" i="1" a="1"/>
  <c r="FB54" i="1"/>
  <c r="FB57" i="1" a="1"/>
  <c r="FB57" i="1"/>
  <c r="FB51" i="1" a="1"/>
  <c r="FB51" i="1"/>
  <c r="FB49" i="1" a="1"/>
  <c r="FB49" i="1"/>
  <c r="FB47" i="1" a="1"/>
  <c r="FB47" i="1"/>
  <c r="FB45" i="1" a="1"/>
  <c r="FB45" i="1"/>
  <c r="FB43" i="1" a="1"/>
  <c r="FB43" i="1"/>
  <c r="FB41" i="1" a="1"/>
  <c r="FB41" i="1"/>
  <c r="FB39" i="1" a="1"/>
  <c r="FB39" i="1"/>
  <c r="FB37" i="1" a="1"/>
  <c r="FB37" i="1"/>
  <c r="FB35" i="1" a="1"/>
  <c r="FB35" i="1"/>
  <c r="FB33" i="1" a="1"/>
  <c r="FB33" i="1"/>
  <c r="FB31" i="1" a="1"/>
  <c r="FB31" i="1"/>
  <c r="FB29" i="1" a="1"/>
  <c r="FB29" i="1"/>
  <c r="FB27" i="1" a="1"/>
  <c r="FB27" i="1"/>
  <c r="FB25" i="1" a="1"/>
  <c r="FB25" i="1"/>
  <c r="FB23" i="1" a="1"/>
  <c r="FB23" i="1"/>
  <c r="FB17" i="1" a="1"/>
  <c r="FB17" i="1"/>
  <c r="FB15" i="1" a="1"/>
  <c r="FB15" i="1"/>
  <c r="FB13" i="1" a="1"/>
  <c r="FB13" i="1"/>
  <c r="FB21" i="1" a="1"/>
  <c r="FB21" i="1"/>
  <c r="FB19" i="1" a="1"/>
  <c r="FB19" i="1"/>
  <c r="FC11" i="1"/>
  <c r="F24" i="1" a="1"/>
  <c r="F24" i="1"/>
  <c r="F28" i="1" a="1"/>
  <c r="F28" i="1"/>
  <c r="F20" i="1" a="1"/>
  <c r="F20" i="1"/>
  <c r="F46" i="1" a="1"/>
  <c r="F46" i="1"/>
  <c r="F33" i="1" a="1"/>
  <c r="F33" i="1"/>
  <c r="F17" i="1" a="1"/>
  <c r="F17" i="1"/>
  <c r="F36" i="1" a="1"/>
  <c r="F36" i="1"/>
  <c r="F14" i="1" a="1"/>
  <c r="F14" i="1"/>
  <c r="F48" i="1" a="1"/>
  <c r="F48" i="1"/>
  <c r="F19" i="1" a="1"/>
  <c r="F19" i="1"/>
  <c r="F62" i="1" a="1"/>
  <c r="F62" i="1"/>
  <c r="F43" i="1" a="1"/>
  <c r="F43" i="1"/>
  <c r="F30" i="1" a="1"/>
  <c r="F30" i="1"/>
  <c r="F50" i="1" a="1"/>
  <c r="F50" i="1"/>
  <c r="F49" i="1" a="1"/>
  <c r="F49" i="1"/>
  <c r="F32" i="1" a="1"/>
  <c r="F32" i="1"/>
  <c r="F56" i="1" a="1"/>
  <c r="F56" i="1"/>
  <c r="F61" i="1" a="1"/>
  <c r="F61" i="1"/>
  <c r="F57" i="1" a="1"/>
  <c r="F57" i="1"/>
  <c r="F38" i="1" a="1"/>
  <c r="F38" i="1"/>
  <c r="F42" i="1" a="1"/>
  <c r="F42" i="1"/>
  <c r="F35" i="1" a="1"/>
  <c r="F35" i="1"/>
  <c r="F15" i="1" a="1"/>
  <c r="F15" i="1"/>
  <c r="F25" i="1" a="1"/>
  <c r="F25" i="1"/>
  <c r="F12" i="1" a="1"/>
  <c r="F12" i="1"/>
  <c r="F23" i="1" a="1"/>
  <c r="F23" i="1"/>
  <c r="F27" i="1" a="1"/>
  <c r="F27" i="1"/>
  <c r="F55" i="1" a="1"/>
  <c r="F55" i="1"/>
  <c r="F59" i="1" a="1"/>
  <c r="F59" i="1"/>
  <c r="F52" i="1" a="1"/>
  <c r="F52" i="1"/>
  <c r="G41" i="1" a="1"/>
  <c r="G41" i="1"/>
  <c r="G21" i="1" a="1"/>
  <c r="G21" i="1"/>
  <c r="G14" i="1" a="1"/>
  <c r="G14" i="1"/>
  <c r="G22" i="1" a="1"/>
  <c r="G22" i="1"/>
  <c r="G20" i="1" a="1"/>
  <c r="G20" i="1"/>
  <c r="G55" i="1" a="1"/>
  <c r="G55" i="1"/>
  <c r="G17" i="1" a="1"/>
  <c r="G17" i="1"/>
  <c r="G58" i="1" a="1"/>
  <c r="G58" i="1"/>
  <c r="G49" i="1" a="1"/>
  <c r="G49" i="1"/>
  <c r="G23" i="1" a="1"/>
  <c r="G23" i="1"/>
  <c r="G12" i="1" a="1"/>
  <c r="G12" i="1"/>
  <c r="G30" i="1" a="1"/>
  <c r="G30" i="1"/>
  <c r="G52" i="1" a="1"/>
  <c r="G52" i="1"/>
  <c r="G33" i="1" a="1"/>
  <c r="G33" i="1"/>
  <c r="G56" i="1" a="1"/>
  <c r="G56" i="1"/>
  <c r="G62" i="1" a="1"/>
  <c r="G62" i="1"/>
  <c r="G25" i="1" a="1"/>
  <c r="G25" i="1"/>
  <c r="G42" i="1" a="1"/>
  <c r="G42" i="1"/>
  <c r="G28" i="1" a="1"/>
  <c r="G28" i="1"/>
  <c r="G57" i="1" a="1"/>
  <c r="G57" i="1"/>
  <c r="G26" i="1" a="1"/>
  <c r="G26" i="1"/>
  <c r="G31" i="1" a="1"/>
  <c r="G31" i="1"/>
  <c r="G61" i="1" a="1"/>
  <c r="G61" i="1"/>
  <c r="G15" i="1" a="1"/>
  <c r="G15" i="1"/>
  <c r="G54" i="1" a="1"/>
  <c r="G54" i="1"/>
  <c r="G35" i="1" a="1"/>
  <c r="G35" i="1"/>
  <c r="G24" i="1" a="1"/>
  <c r="G24" i="1"/>
  <c r="G44" i="1" a="1"/>
  <c r="G44" i="1"/>
  <c r="G13" i="1" a="1"/>
  <c r="G13" i="1"/>
  <c r="G34" i="1" a="1"/>
  <c r="G34" i="1"/>
  <c r="G16" i="1" a="1"/>
  <c r="G16" i="1"/>
  <c r="G59" i="1" a="1"/>
  <c r="G59" i="1"/>
  <c r="G46" i="1" a="1"/>
  <c r="G46" i="1"/>
  <c r="G43" i="1" a="1"/>
  <c r="G43" i="1"/>
  <c r="G39" i="1" a="1"/>
  <c r="G39" i="1"/>
  <c r="G27" i="1" a="1"/>
  <c r="G27" i="1"/>
  <c r="G29" i="1" a="1"/>
  <c r="G29" i="1"/>
  <c r="G32" i="1" a="1"/>
  <c r="G32" i="1"/>
  <c r="G53" i="1" a="1"/>
  <c r="G53" i="1"/>
  <c r="G38" i="1" a="1"/>
  <c r="G38" i="1"/>
  <c r="G37" i="1" a="1"/>
  <c r="G37" i="1"/>
  <c r="G47" i="1" a="1"/>
  <c r="G47" i="1"/>
  <c r="G48" i="1" a="1"/>
  <c r="G48" i="1"/>
  <c r="G18" i="1" a="1"/>
  <c r="G18" i="1"/>
  <c r="G50" i="1" a="1"/>
  <c r="G50" i="1"/>
  <c r="G36" i="1" a="1"/>
  <c r="G36" i="1"/>
  <c r="G51" i="1" a="1"/>
  <c r="G51" i="1"/>
  <c r="G45" i="1" a="1"/>
  <c r="G45" i="1"/>
  <c r="G19" i="1" a="1"/>
  <c r="G19" i="1"/>
  <c r="G40" i="1" a="1"/>
  <c r="G40" i="1"/>
  <c r="G60" i="1" a="1"/>
  <c r="G60" i="1"/>
  <c r="FC62" i="1" a="1"/>
  <c r="FC62" i="1"/>
  <c r="FC60" i="1" a="1"/>
  <c r="FC60" i="1"/>
  <c r="FC56" i="1" a="1"/>
  <c r="FC56" i="1"/>
  <c r="FC54" i="1" a="1"/>
  <c r="FC54" i="1"/>
  <c r="FC57" i="1" a="1"/>
  <c r="FC57" i="1"/>
  <c r="FC52" i="1" a="1"/>
  <c r="FC52" i="1"/>
  <c r="FC50" i="1" a="1"/>
  <c r="FC50" i="1"/>
  <c r="FC48" i="1" a="1"/>
  <c r="FC48" i="1"/>
  <c r="FC46" i="1" a="1"/>
  <c r="FC46" i="1"/>
  <c r="FC44" i="1" a="1"/>
  <c r="FC44" i="1"/>
  <c r="FC42" i="1" a="1"/>
  <c r="FC42" i="1"/>
  <c r="FC40" i="1" a="1"/>
  <c r="FC40" i="1"/>
  <c r="FC38" i="1" a="1"/>
  <c r="FC38" i="1"/>
  <c r="FC36" i="1" a="1"/>
  <c r="FC36" i="1"/>
  <c r="FC34" i="1" a="1"/>
  <c r="FC34" i="1"/>
  <c r="FC32" i="1" a="1"/>
  <c r="FC32" i="1"/>
  <c r="FC27" i="1" a="1"/>
  <c r="FC27" i="1"/>
  <c r="FC25" i="1" a="1"/>
  <c r="FC25" i="1"/>
  <c r="FC30" i="1" a="1"/>
  <c r="FC30" i="1"/>
  <c r="FC28" i="1" a="1"/>
  <c r="FC28" i="1"/>
  <c r="FC20" i="1" a="1"/>
  <c r="FC20" i="1"/>
  <c r="FC18" i="1" a="1"/>
  <c r="FC18" i="1"/>
  <c r="FC22" i="1" a="1"/>
  <c r="FC22" i="1"/>
  <c r="FC16" i="1" a="1"/>
  <c r="FC16" i="1"/>
  <c r="FC14" i="1" a="1"/>
  <c r="FC14" i="1"/>
  <c r="FC12" i="1" a="1"/>
  <c r="FC12" i="1"/>
  <c r="FC61" i="1" a="1"/>
  <c r="FC61" i="1"/>
  <c r="FC59" i="1" a="1"/>
  <c r="FC59" i="1"/>
  <c r="FC55" i="1" a="1"/>
  <c r="FC55" i="1"/>
  <c r="FC58" i="1" a="1"/>
  <c r="FC58" i="1"/>
  <c r="FC53" i="1" a="1"/>
  <c r="FC53" i="1"/>
  <c r="FC51" i="1" a="1"/>
  <c r="FC51" i="1"/>
  <c r="FC49" i="1" a="1"/>
  <c r="FC49" i="1"/>
  <c r="FC47" i="1" a="1"/>
  <c r="FC47" i="1"/>
  <c r="FC45" i="1" a="1"/>
  <c r="FC45" i="1"/>
  <c r="FC43" i="1" a="1"/>
  <c r="FC43" i="1"/>
  <c r="FC41" i="1" a="1"/>
  <c r="FC41" i="1"/>
  <c r="FC39" i="1" a="1"/>
  <c r="FC39" i="1"/>
  <c r="FC37" i="1" a="1"/>
  <c r="FC37" i="1"/>
  <c r="FC35" i="1" a="1"/>
  <c r="FC35" i="1"/>
  <c r="FC33" i="1" a="1"/>
  <c r="FC33" i="1"/>
  <c r="FC31" i="1" a="1"/>
  <c r="FC31" i="1"/>
  <c r="FC26" i="1" a="1"/>
  <c r="FC26" i="1"/>
  <c r="FC24" i="1" a="1"/>
  <c r="FC24" i="1"/>
  <c r="FC29" i="1" a="1"/>
  <c r="FC29" i="1"/>
  <c r="FC21" i="1" a="1"/>
  <c r="FC21" i="1"/>
  <c r="FC19" i="1" a="1"/>
  <c r="FC19" i="1"/>
  <c r="FC23" i="1" a="1"/>
  <c r="FC23" i="1"/>
  <c r="FC17" i="1" a="1"/>
  <c r="FC17" i="1"/>
  <c r="FC15" i="1" a="1"/>
  <c r="FC15" i="1"/>
  <c r="FC13" i="1" a="1"/>
  <c r="FC13" i="1"/>
  <c r="FD11" i="1"/>
  <c r="H12" i="1" a="1"/>
  <c r="H12" i="1"/>
  <c r="H17" i="1" a="1"/>
  <c r="H17" i="1"/>
  <c r="H62" i="1" a="1"/>
  <c r="H62" i="1"/>
  <c r="H19" i="1" a="1"/>
  <c r="H19" i="1"/>
  <c r="H58" i="1" a="1"/>
  <c r="H58" i="1"/>
  <c r="H26" i="1" a="1"/>
  <c r="H26" i="1"/>
  <c r="H52" i="1" a="1"/>
  <c r="H52" i="1"/>
  <c r="H47" i="1" a="1"/>
  <c r="H47" i="1"/>
  <c r="H30" i="1" a="1"/>
  <c r="H30" i="1"/>
  <c r="H49" i="1" a="1"/>
  <c r="H49" i="1"/>
  <c r="H28" i="1" a="1"/>
  <c r="H28" i="1"/>
  <c r="H46" i="1" a="1"/>
  <c r="H46" i="1"/>
  <c r="H25" i="1" a="1"/>
  <c r="H25" i="1"/>
  <c r="H35" i="1" a="1"/>
  <c r="H35" i="1"/>
  <c r="H36" i="1" a="1"/>
  <c r="H36" i="1"/>
  <c r="H15" i="1" a="1"/>
  <c r="H15" i="1"/>
  <c r="H48" i="1" a="1"/>
  <c r="H48" i="1"/>
  <c r="H53" i="1" a="1"/>
  <c r="H53" i="1"/>
  <c r="H43" i="1" a="1"/>
  <c r="H43" i="1"/>
  <c r="H54" i="1" a="1"/>
  <c r="H54" i="1"/>
  <c r="H60" i="1" a="1"/>
  <c r="H60" i="1"/>
  <c r="H13" i="1" a="1"/>
  <c r="H13" i="1"/>
  <c r="H41" i="1" a="1"/>
  <c r="H41" i="1"/>
  <c r="H24" i="1" a="1"/>
  <c r="H24" i="1"/>
  <c r="H40" i="1" a="1"/>
  <c r="H40" i="1"/>
  <c r="H18" i="1" a="1"/>
  <c r="H18" i="1"/>
  <c r="H21" i="1" a="1"/>
  <c r="H21" i="1"/>
  <c r="H39" i="1" a="1"/>
  <c r="H39" i="1"/>
  <c r="H50" i="1" a="1"/>
  <c r="H50" i="1"/>
  <c r="H56" i="1" a="1"/>
  <c r="H56" i="1"/>
  <c r="H37" i="1" a="1"/>
  <c r="H37" i="1"/>
  <c r="H16" i="1" a="1"/>
  <c r="H16" i="1"/>
  <c r="H38" i="1" a="1"/>
  <c r="H38" i="1"/>
  <c r="H59" i="1" a="1"/>
  <c r="H59" i="1"/>
  <c r="H61" i="1" a="1"/>
  <c r="H61" i="1"/>
  <c r="H44" i="1" a="1"/>
  <c r="H44" i="1"/>
  <c r="H23" i="1" a="1"/>
  <c r="H23" i="1"/>
  <c r="H22" i="1" a="1"/>
  <c r="H22" i="1"/>
  <c r="H33" i="1" a="1"/>
  <c r="H33" i="1"/>
  <c r="H20" i="1" a="1"/>
  <c r="H20" i="1"/>
  <c r="H14" i="1" a="1"/>
  <c r="H14" i="1"/>
  <c r="H27" i="1" a="1"/>
  <c r="H27" i="1"/>
  <c r="H31" i="1" a="1"/>
  <c r="H31" i="1"/>
  <c r="H45" i="1" a="1"/>
  <c r="H45" i="1"/>
  <c r="H42" i="1" a="1"/>
  <c r="H42" i="1"/>
  <c r="H51" i="1" a="1"/>
  <c r="H51" i="1"/>
  <c r="H34" i="1" a="1"/>
  <c r="H34" i="1"/>
  <c r="H32" i="1" a="1"/>
  <c r="H32" i="1"/>
  <c r="H57" i="1" a="1"/>
  <c r="H57" i="1"/>
  <c r="H29" i="1" a="1"/>
  <c r="H29" i="1"/>
  <c r="H55" i="1" a="1"/>
  <c r="H55" i="1"/>
  <c r="FD62" i="1" a="1"/>
  <c r="FD62" i="1"/>
  <c r="FD60" i="1" a="1"/>
  <c r="FD60" i="1"/>
  <c r="FD58" i="1" a="1"/>
  <c r="FD58" i="1"/>
  <c r="FD56" i="1" a="1"/>
  <c r="FD56" i="1"/>
  <c r="FD54" i="1" a="1"/>
  <c r="FD54" i="1"/>
  <c r="FD52" i="1" a="1"/>
  <c r="FD52" i="1"/>
  <c r="FD50" i="1" a="1"/>
  <c r="FD50" i="1"/>
  <c r="FD47" i="1" a="1"/>
  <c r="FD47" i="1"/>
  <c r="FD45" i="1" a="1"/>
  <c r="FD45" i="1"/>
  <c r="FD43" i="1" a="1"/>
  <c r="FD43" i="1"/>
  <c r="FD48" i="1" a="1"/>
  <c r="FD48" i="1"/>
  <c r="FD39" i="1" a="1"/>
  <c r="FD39" i="1"/>
  <c r="FD37" i="1" a="1"/>
  <c r="FD37" i="1"/>
  <c r="FD35" i="1" a="1"/>
  <c r="FD35" i="1"/>
  <c r="FD33" i="1" a="1"/>
  <c r="FD33" i="1"/>
  <c r="FD30" i="1" a="1"/>
  <c r="FD30" i="1"/>
  <c r="FD28" i="1" a="1"/>
  <c r="FD28" i="1"/>
  <c r="FD31" i="1" a="1"/>
  <c r="FD31" i="1"/>
  <c r="FD26" i="1" a="1"/>
  <c r="FD26" i="1"/>
  <c r="FD24" i="1" a="1"/>
  <c r="FD24" i="1"/>
  <c r="FD22" i="1" a="1"/>
  <c r="FD22" i="1"/>
  <c r="FD20" i="1" a="1"/>
  <c r="FD20" i="1"/>
  <c r="FD18" i="1" a="1"/>
  <c r="FD18" i="1"/>
  <c r="FD16" i="1" a="1"/>
  <c r="FD16" i="1"/>
  <c r="FD14" i="1" a="1"/>
  <c r="FD14" i="1"/>
  <c r="FD12" i="1" a="1"/>
  <c r="FD12" i="1"/>
  <c r="FD61" i="1" a="1"/>
  <c r="FD61" i="1"/>
  <c r="FD59" i="1" a="1"/>
  <c r="FD59" i="1"/>
  <c r="FD57" i="1" a="1"/>
  <c r="FD57" i="1"/>
  <c r="FD55" i="1" a="1"/>
  <c r="FD55" i="1"/>
  <c r="FD53" i="1" a="1"/>
  <c r="FD53" i="1"/>
  <c r="FD51" i="1" a="1"/>
  <c r="FD51" i="1"/>
  <c r="FD49" i="1" a="1"/>
  <c r="FD49" i="1"/>
  <c r="FD46" i="1" a="1"/>
  <c r="FD46" i="1"/>
  <c r="FD44" i="1" a="1"/>
  <c r="FD44" i="1"/>
  <c r="FD42" i="1" a="1"/>
  <c r="FD42" i="1"/>
  <c r="FD40" i="1" a="1"/>
  <c r="FD40" i="1"/>
  <c r="FD38" i="1" a="1"/>
  <c r="FD38" i="1"/>
  <c r="FD36" i="1" a="1"/>
  <c r="FD36" i="1"/>
  <c r="FD34" i="1" a="1"/>
  <c r="FD34" i="1"/>
  <c r="FD41" i="1" a="1"/>
  <c r="FD41" i="1"/>
  <c r="FD29" i="1" a="1"/>
  <c r="FD29" i="1"/>
  <c r="FD32" i="1" a="1"/>
  <c r="FD32" i="1"/>
  <c r="FD27" i="1" a="1"/>
  <c r="FD27" i="1"/>
  <c r="FD25" i="1" a="1"/>
  <c r="FD25" i="1"/>
  <c r="FD23" i="1" a="1"/>
  <c r="FD23" i="1"/>
  <c r="FD21" i="1" a="1"/>
  <c r="FD21" i="1"/>
  <c r="FD19" i="1" a="1"/>
  <c r="FD19" i="1"/>
  <c r="FD17" i="1" a="1"/>
  <c r="FD17" i="1"/>
  <c r="FD15" i="1" a="1"/>
  <c r="FD15" i="1"/>
  <c r="FD13" i="1" a="1"/>
  <c r="FD13" i="1"/>
  <c r="FE11" i="1"/>
  <c r="FE61" i="1" a="1"/>
  <c r="FE61" i="1"/>
  <c r="FE59" i="1" a="1"/>
  <c r="FE59" i="1"/>
  <c r="FE56" i="1" a="1"/>
  <c r="FE56" i="1"/>
  <c r="FE54" i="1" a="1"/>
  <c r="FE54" i="1"/>
  <c r="FE53" i="1" a="1"/>
  <c r="FE53" i="1"/>
  <c r="FE51" i="1" a="1"/>
  <c r="FE51" i="1"/>
  <c r="FE49" i="1" a="1"/>
  <c r="FE49" i="1"/>
  <c r="FE47" i="1" a="1"/>
  <c r="FE47" i="1"/>
  <c r="FE45" i="1" a="1"/>
  <c r="FE45" i="1"/>
  <c r="FE43" i="1" a="1"/>
  <c r="FE43" i="1"/>
  <c r="FE41" i="1" a="1"/>
  <c r="FE41" i="1"/>
  <c r="FE39" i="1" a="1"/>
  <c r="FE39" i="1"/>
  <c r="FE37" i="1" a="1"/>
  <c r="FE37" i="1"/>
  <c r="FE35" i="1" a="1"/>
  <c r="FE35" i="1"/>
  <c r="FE33" i="1" a="1"/>
  <c r="FE33" i="1"/>
  <c r="FE31" i="1" a="1"/>
  <c r="FE31" i="1"/>
  <c r="FE29" i="1" a="1"/>
  <c r="FE29" i="1"/>
  <c r="FE27" i="1" a="1"/>
  <c r="FE27" i="1"/>
  <c r="FE25" i="1" a="1"/>
  <c r="FE25" i="1"/>
  <c r="FE23" i="1" a="1"/>
  <c r="FE23" i="1"/>
  <c r="FE21" i="1" a="1"/>
  <c r="FE21" i="1"/>
  <c r="FE19" i="1" a="1"/>
  <c r="FE19" i="1"/>
  <c r="FE17" i="1" a="1"/>
  <c r="FE17" i="1"/>
  <c r="FE15" i="1" a="1"/>
  <c r="FE15" i="1"/>
  <c r="FE13" i="1" a="1"/>
  <c r="FE13" i="1"/>
  <c r="FF11" i="1"/>
  <c r="FE62" i="1" a="1"/>
  <c r="FE62" i="1"/>
  <c r="FE60" i="1" a="1"/>
  <c r="FE60" i="1"/>
  <c r="FE57" i="1" a="1"/>
  <c r="FE57" i="1"/>
  <c r="FE55" i="1" a="1"/>
  <c r="FE55" i="1"/>
  <c r="FE58" i="1" a="1"/>
  <c r="FE58" i="1"/>
  <c r="FE52" i="1" a="1"/>
  <c r="FE52" i="1"/>
  <c r="FE50" i="1" a="1"/>
  <c r="FE50" i="1"/>
  <c r="FE48" i="1" a="1"/>
  <c r="FE48" i="1"/>
  <c r="FE46" i="1" a="1"/>
  <c r="FE46" i="1"/>
  <c r="FE44" i="1" a="1"/>
  <c r="FE44" i="1"/>
  <c r="FE42" i="1" a="1"/>
  <c r="FE42" i="1"/>
  <c r="FE40" i="1" a="1"/>
  <c r="FE40" i="1"/>
  <c r="FE38" i="1" a="1"/>
  <c r="FE38" i="1"/>
  <c r="FE36" i="1" a="1"/>
  <c r="FE36" i="1"/>
  <c r="FE34" i="1" a="1"/>
  <c r="FE34" i="1"/>
  <c r="FE32" i="1" a="1"/>
  <c r="FE32" i="1"/>
  <c r="FE30" i="1" a="1"/>
  <c r="FE30" i="1"/>
  <c r="FE28" i="1" a="1"/>
  <c r="FE28" i="1"/>
  <c r="FE26" i="1" a="1"/>
  <c r="FE26" i="1"/>
  <c r="FE24" i="1" a="1"/>
  <c r="FE24" i="1"/>
  <c r="FE22" i="1" a="1"/>
  <c r="FE22" i="1"/>
  <c r="FE20" i="1" a="1"/>
  <c r="FE20" i="1"/>
  <c r="FE18" i="1" a="1"/>
  <c r="FE18" i="1"/>
  <c r="FE16" i="1" a="1"/>
  <c r="FE16" i="1"/>
  <c r="FE14" i="1" a="1"/>
  <c r="FE14" i="1"/>
  <c r="FE12" i="1" a="1"/>
  <c r="FE12" i="1"/>
  <c r="I24" i="1" a="1"/>
  <c r="I24" i="1"/>
  <c r="I26" i="1" a="1"/>
  <c r="I26" i="1"/>
  <c r="I45" i="1" a="1"/>
  <c r="I45" i="1"/>
  <c r="I17" i="1" a="1"/>
  <c r="I17" i="1"/>
  <c r="I15" i="1" a="1"/>
  <c r="I15" i="1"/>
  <c r="I61" i="1" a="1"/>
  <c r="I61" i="1"/>
  <c r="I62" i="1" a="1"/>
  <c r="I62" i="1"/>
  <c r="I21" i="1" a="1"/>
  <c r="I21" i="1"/>
  <c r="I40" i="1" a="1"/>
  <c r="I40" i="1"/>
  <c r="I27" i="1" a="1"/>
  <c r="I27" i="1"/>
  <c r="I58" i="1" a="1"/>
  <c r="I58" i="1"/>
  <c r="I14" i="1" a="1"/>
  <c r="I14" i="1"/>
  <c r="I50" i="1" a="1"/>
  <c r="I50" i="1"/>
  <c r="I16" i="1" a="1"/>
  <c r="I16" i="1"/>
  <c r="I23" i="1" a="1"/>
  <c r="I23" i="1"/>
  <c r="I25" i="1" a="1"/>
  <c r="I25" i="1"/>
  <c r="I57" i="1" a="1"/>
  <c r="I57" i="1"/>
  <c r="I13" i="1" a="1"/>
  <c r="I13" i="1"/>
  <c r="I38" i="1" a="1"/>
  <c r="I38" i="1"/>
  <c r="I59" i="1" a="1"/>
  <c r="I59" i="1"/>
  <c r="I60" i="1" a="1"/>
  <c r="I60" i="1"/>
  <c r="I20" i="1" a="1"/>
  <c r="I20" i="1"/>
  <c r="I47" i="1" a="1"/>
  <c r="I47" i="1"/>
  <c r="I55" i="1" a="1"/>
  <c r="I55" i="1"/>
  <c r="I34" i="1" a="1"/>
  <c r="I34" i="1"/>
  <c r="I53" i="1" a="1"/>
  <c r="I53" i="1"/>
  <c r="I39" i="1" a="1"/>
  <c r="I39" i="1"/>
  <c r="I12" i="1" a="1"/>
  <c r="I12" i="1"/>
  <c r="I42" i="1" a="1"/>
  <c r="I42" i="1"/>
  <c r="I52" i="1" a="1"/>
  <c r="I52" i="1"/>
  <c r="I54" i="1" a="1"/>
  <c r="I54" i="1"/>
  <c r="I32" i="1" a="1"/>
  <c r="I32" i="1"/>
  <c r="I35" i="1" a="1"/>
  <c r="I35" i="1"/>
  <c r="I56" i="1" a="1"/>
  <c r="I56" i="1"/>
  <c r="I46" i="1" a="1"/>
  <c r="I46" i="1"/>
  <c r="I41" i="1" a="1"/>
  <c r="I41" i="1"/>
  <c r="I43" i="1" a="1"/>
  <c r="I43" i="1"/>
  <c r="I28" i="1" a="1"/>
  <c r="I28" i="1"/>
  <c r="I30" i="1" a="1"/>
  <c r="I30" i="1"/>
  <c r="I33" i="1" a="1"/>
  <c r="I33" i="1"/>
  <c r="I51" i="1" a="1"/>
  <c r="I51" i="1"/>
  <c r="I36" i="1" a="1"/>
  <c r="I36" i="1"/>
  <c r="I22" i="1" a="1"/>
  <c r="I22" i="1"/>
  <c r="I48" i="1" a="1"/>
  <c r="I48" i="1"/>
  <c r="I29" i="1" a="1"/>
  <c r="I29" i="1"/>
  <c r="I44" i="1" a="1"/>
  <c r="I44" i="1"/>
  <c r="I31" i="1" a="1"/>
  <c r="I31" i="1"/>
  <c r="I49" i="1" a="1"/>
  <c r="I49" i="1"/>
  <c r="I18" i="1" a="1"/>
  <c r="I18" i="1"/>
  <c r="I37" i="1" a="1"/>
  <c r="I37" i="1"/>
  <c r="I19" i="1" a="1"/>
  <c r="I19" i="1"/>
  <c r="J60" i="1" a="1"/>
  <c r="J60" i="1"/>
  <c r="J37" i="1" a="1"/>
  <c r="J37" i="1"/>
  <c r="J48" i="1" a="1"/>
  <c r="J48" i="1"/>
  <c r="J28" i="1" a="1"/>
  <c r="J28" i="1"/>
  <c r="J20" i="1" a="1"/>
  <c r="J20" i="1"/>
  <c r="J45" i="1" a="1"/>
  <c r="J45" i="1"/>
  <c r="J49" i="1" a="1"/>
  <c r="J49" i="1"/>
  <c r="J16" i="1" a="1"/>
  <c r="J16" i="1"/>
  <c r="J42" i="1" a="1"/>
  <c r="J42" i="1"/>
  <c r="J52" i="1" a="1"/>
  <c r="J52" i="1"/>
  <c r="J31" i="1" a="1"/>
  <c r="J31" i="1"/>
  <c r="J40" i="1" a="1"/>
  <c r="J40" i="1"/>
  <c r="J34" i="1" a="1"/>
  <c r="J34" i="1"/>
  <c r="J46" i="1" a="1"/>
  <c r="J46" i="1"/>
  <c r="J25" i="1" a="1"/>
  <c r="J25" i="1"/>
  <c r="J19" i="1" a="1"/>
  <c r="J19" i="1"/>
  <c r="J62" i="1" a="1"/>
  <c r="J62" i="1"/>
  <c r="J24" i="1" a="1"/>
  <c r="J24" i="1"/>
  <c r="J30" i="1" a="1"/>
  <c r="J30" i="1"/>
  <c r="J50" i="1" a="1"/>
  <c r="J50" i="1"/>
  <c r="J43" i="1" a="1"/>
  <c r="J43" i="1"/>
  <c r="J13" i="1" a="1"/>
  <c r="J13" i="1"/>
  <c r="J17" i="1" a="1"/>
  <c r="J17" i="1"/>
  <c r="J27" i="1" a="1"/>
  <c r="J27" i="1"/>
  <c r="J35" i="1" a="1"/>
  <c r="J35" i="1"/>
  <c r="J32" i="1" a="1"/>
  <c r="J32" i="1"/>
  <c r="J12" i="1" a="1"/>
  <c r="J12" i="1"/>
  <c r="J38" i="1" a="1"/>
  <c r="J38" i="1"/>
  <c r="J56" i="1" a="1"/>
  <c r="J56" i="1"/>
  <c r="J61" i="1" a="1"/>
  <c r="J61" i="1"/>
  <c r="J22" i="1" a="1"/>
  <c r="J22" i="1"/>
  <c r="J41" i="1" a="1"/>
  <c r="J41" i="1"/>
  <c r="J36" i="1" a="1"/>
  <c r="J36" i="1"/>
  <c r="J15" i="1" a="1"/>
  <c r="J15" i="1"/>
  <c r="J51" i="1" a="1"/>
  <c r="J51" i="1"/>
  <c r="J55" i="1" a="1"/>
  <c r="J55" i="1"/>
  <c r="J26" i="1" a="1"/>
  <c r="J26" i="1"/>
  <c r="J23" i="1" a="1"/>
  <c r="J23" i="1"/>
  <c r="J21" i="1" a="1"/>
  <c r="J21" i="1"/>
  <c r="J54" i="1" a="1"/>
  <c r="J54" i="1"/>
  <c r="J39" i="1" a="1"/>
  <c r="J39" i="1"/>
  <c r="J33" i="1" a="1"/>
  <c r="J33" i="1"/>
  <c r="J53" i="1" a="1"/>
  <c r="J53" i="1"/>
  <c r="J57" i="1" a="1"/>
  <c r="J57" i="1"/>
  <c r="J29" i="1" a="1"/>
  <c r="J29" i="1"/>
  <c r="J59" i="1" a="1"/>
  <c r="J59" i="1"/>
  <c r="J58" i="1" a="1"/>
  <c r="J58" i="1"/>
  <c r="J44" i="1" a="1"/>
  <c r="J44" i="1"/>
  <c r="J47" i="1" a="1"/>
  <c r="J47" i="1"/>
  <c r="J14" i="1" a="1"/>
  <c r="J14" i="1"/>
  <c r="J18" i="1" a="1"/>
  <c r="J18" i="1"/>
  <c r="FF61" i="1" a="1"/>
  <c r="FF61" i="1"/>
  <c r="FF59" i="1" a="1"/>
  <c r="FF59" i="1"/>
  <c r="FF57" i="1" a="1"/>
  <c r="FF57" i="1"/>
  <c r="FF55" i="1" a="1"/>
  <c r="FF55" i="1"/>
  <c r="FF53" i="1" a="1"/>
  <c r="FF53" i="1"/>
  <c r="FF49" i="1" a="1"/>
  <c r="FF49" i="1"/>
  <c r="FF51" i="1" a="1"/>
  <c r="FF51" i="1"/>
  <c r="FF46" i="1" a="1"/>
  <c r="FF46" i="1"/>
  <c r="FF44" i="1" a="1"/>
  <c r="FF44" i="1"/>
  <c r="FF42" i="1" a="1"/>
  <c r="FF42" i="1"/>
  <c r="FF41" i="1" a="1"/>
  <c r="FF41" i="1"/>
  <c r="FF35" i="1" a="1"/>
  <c r="FF35" i="1"/>
  <c r="FF33" i="1" a="1"/>
  <c r="FF33" i="1"/>
  <c r="FF39" i="1" a="1"/>
  <c r="FF39" i="1"/>
  <c r="FF37" i="1" a="1"/>
  <c r="FF37" i="1"/>
  <c r="FF31" i="1" a="1"/>
  <c r="FF31" i="1"/>
  <c r="FF29" i="1" a="1"/>
  <c r="FF29" i="1"/>
  <c r="FF27" i="1" a="1"/>
  <c r="FF27" i="1"/>
  <c r="FF25" i="1" a="1"/>
  <c r="FF25" i="1"/>
  <c r="FF23" i="1" a="1"/>
  <c r="FF23" i="1"/>
  <c r="FF21" i="1" a="1"/>
  <c r="FF21" i="1"/>
  <c r="FF19" i="1" a="1"/>
  <c r="FF19" i="1"/>
  <c r="FF17" i="1" a="1"/>
  <c r="FF17" i="1"/>
  <c r="FF15" i="1" a="1"/>
  <c r="FF15" i="1"/>
  <c r="FF13" i="1" a="1"/>
  <c r="FF13" i="1"/>
  <c r="FG11" i="1"/>
  <c r="FF62" i="1" a="1"/>
  <c r="FF62" i="1"/>
  <c r="FF60" i="1" a="1"/>
  <c r="FF60" i="1"/>
  <c r="FF58" i="1" a="1"/>
  <c r="FF58" i="1"/>
  <c r="FF56" i="1" a="1"/>
  <c r="FF56" i="1"/>
  <c r="FF54" i="1" a="1"/>
  <c r="FF54" i="1"/>
  <c r="FF50" i="1" a="1"/>
  <c r="FF50" i="1"/>
  <c r="FF52" i="1" a="1"/>
  <c r="FF52" i="1"/>
  <c r="FF48" i="1" a="1"/>
  <c r="FF48" i="1"/>
  <c r="FF45" i="1" a="1"/>
  <c r="FF45" i="1"/>
  <c r="FF43" i="1" a="1"/>
  <c r="FF43" i="1"/>
  <c r="FF47" i="1" a="1"/>
  <c r="FF47" i="1"/>
  <c r="FF36" i="1" a="1"/>
  <c r="FF36" i="1"/>
  <c r="FF34" i="1" a="1"/>
  <c r="FF34" i="1"/>
  <c r="FF40" i="1" a="1"/>
  <c r="FF40" i="1"/>
  <c r="FF38" i="1" a="1"/>
  <c r="FF38" i="1"/>
  <c r="FF32" i="1" a="1"/>
  <c r="FF32" i="1"/>
  <c r="FF30" i="1" a="1"/>
  <c r="FF30" i="1"/>
  <c r="FF28" i="1" a="1"/>
  <c r="FF28" i="1"/>
  <c r="FF26" i="1" a="1"/>
  <c r="FF26" i="1"/>
  <c r="FF24" i="1" a="1"/>
  <c r="FF24" i="1"/>
  <c r="FF22" i="1" a="1"/>
  <c r="FF22" i="1"/>
  <c r="FF20" i="1" a="1"/>
  <c r="FF20" i="1"/>
  <c r="FF18" i="1" a="1"/>
  <c r="FF18" i="1"/>
  <c r="FF16" i="1" a="1"/>
  <c r="FF16" i="1"/>
  <c r="FF14" i="1" a="1"/>
  <c r="FF14" i="1"/>
  <c r="FF12" i="1" a="1"/>
  <c r="FF12" i="1"/>
  <c r="K54" i="1" a="1"/>
  <c r="K54" i="1"/>
  <c r="K53" i="1" a="1"/>
  <c r="K53" i="1"/>
  <c r="K16" i="1" a="1"/>
  <c r="K16" i="1"/>
  <c r="K42" i="1" a="1"/>
  <c r="K42" i="1"/>
  <c r="K55" i="1" a="1"/>
  <c r="K55" i="1"/>
  <c r="K17" i="1" a="1"/>
  <c r="K17" i="1"/>
  <c r="K36" i="1" a="1"/>
  <c r="K36" i="1"/>
  <c r="K35" i="1" a="1"/>
  <c r="K35" i="1"/>
  <c r="K59" i="1" a="1"/>
  <c r="K59" i="1"/>
  <c r="K49" i="1" a="1"/>
  <c r="K49" i="1"/>
  <c r="K31" i="1" a="1"/>
  <c r="K31" i="1"/>
  <c r="K32" i="1" a="1"/>
  <c r="K32" i="1"/>
  <c r="K15" i="1" a="1"/>
  <c r="K15" i="1"/>
  <c r="K39" i="1" a="1"/>
  <c r="K39" i="1"/>
  <c r="K52" i="1" a="1"/>
  <c r="K52" i="1"/>
  <c r="K26" i="1" a="1"/>
  <c r="K26" i="1"/>
  <c r="K20" i="1" a="1"/>
  <c r="K20" i="1"/>
  <c r="K40" i="1" a="1"/>
  <c r="K40" i="1"/>
  <c r="K23" i="1" a="1"/>
  <c r="K23" i="1"/>
  <c r="K34" i="1" a="1"/>
  <c r="K34" i="1"/>
  <c r="K50" i="1" a="1"/>
  <c r="K50" i="1"/>
  <c r="K33" i="1" a="1"/>
  <c r="K33" i="1"/>
  <c r="K62" i="1" a="1"/>
  <c r="K62" i="1"/>
  <c r="K22" i="1" a="1"/>
  <c r="K22" i="1"/>
  <c r="K44" i="1" a="1"/>
  <c r="K44" i="1"/>
  <c r="K13" i="1" a="1"/>
  <c r="K13" i="1"/>
  <c r="K37" i="1" a="1"/>
  <c r="K37" i="1"/>
  <c r="K28" i="1" a="1"/>
  <c r="K28" i="1"/>
  <c r="K27" i="1" a="1"/>
  <c r="K27" i="1"/>
  <c r="K58" i="1" a="1"/>
  <c r="K58" i="1"/>
  <c r="K21" i="1" a="1"/>
  <c r="K21" i="1"/>
  <c r="K43" i="1" a="1"/>
  <c r="K43" i="1"/>
  <c r="K24" i="1" a="1"/>
  <c r="K24" i="1"/>
  <c r="K48" i="1" a="1"/>
  <c r="K48" i="1"/>
  <c r="K25" i="1" a="1"/>
  <c r="K25" i="1"/>
  <c r="K61" i="1" a="1"/>
  <c r="K61" i="1"/>
  <c r="K19" i="1" a="1"/>
  <c r="K19" i="1"/>
  <c r="K18" i="1" a="1"/>
  <c r="K18" i="1"/>
  <c r="K47" i="1" a="1"/>
  <c r="K47" i="1"/>
  <c r="K29" i="1" a="1"/>
  <c r="K29" i="1"/>
  <c r="K46" i="1" a="1"/>
  <c r="K46" i="1"/>
  <c r="K30" i="1" a="1"/>
  <c r="K30" i="1"/>
  <c r="K56" i="1" a="1"/>
  <c r="K56" i="1"/>
  <c r="K57" i="1" a="1"/>
  <c r="K57" i="1"/>
  <c r="K41" i="1" a="1"/>
  <c r="K41" i="1"/>
  <c r="K14" i="1" a="1"/>
  <c r="K14" i="1"/>
  <c r="K60" i="1" a="1"/>
  <c r="K60" i="1"/>
  <c r="K51" i="1" a="1"/>
  <c r="K51" i="1"/>
  <c r="K12" i="1" a="1"/>
  <c r="K12" i="1"/>
  <c r="K38" i="1" a="1"/>
  <c r="K38" i="1"/>
  <c r="K45" i="1" a="1"/>
  <c r="K45" i="1"/>
  <c r="FG61" i="1" a="1"/>
  <c r="FG61" i="1"/>
  <c r="FG55" i="1" a="1"/>
  <c r="FG55" i="1"/>
  <c r="FG52" i="1" a="1"/>
  <c r="FG52" i="1"/>
  <c r="FG49" i="1" a="1"/>
  <c r="FG49" i="1"/>
  <c r="FG45" i="1" a="1"/>
  <c r="FG45" i="1"/>
  <c r="FG41" i="1" a="1"/>
  <c r="FG41" i="1"/>
  <c r="FG37" i="1" a="1"/>
  <c r="FG37" i="1"/>
  <c r="FG33" i="1" a="1"/>
  <c r="FG33" i="1"/>
  <c r="FG29" i="1" a="1"/>
  <c r="FG29" i="1"/>
  <c r="FG25" i="1" a="1"/>
  <c r="FG25" i="1"/>
  <c r="FG21" i="1" a="1"/>
  <c r="FG21" i="1"/>
  <c r="FG17" i="1" a="1"/>
  <c r="FG17" i="1"/>
  <c r="FG13" i="1" a="1"/>
  <c r="FG13" i="1"/>
  <c r="FG60" i="1" a="1"/>
  <c r="FG60" i="1"/>
  <c r="FG54" i="1" a="1"/>
  <c r="FG54" i="1"/>
  <c r="FG51" i="1" a="1"/>
  <c r="FG51" i="1"/>
  <c r="FG48" i="1" a="1"/>
  <c r="FG48" i="1"/>
  <c r="FG44" i="1" a="1"/>
  <c r="FG44" i="1"/>
  <c r="FG40" i="1" a="1"/>
  <c r="FG40" i="1"/>
  <c r="FG36" i="1" a="1"/>
  <c r="FG36" i="1"/>
  <c r="FG32" i="1" a="1"/>
  <c r="FG32" i="1"/>
  <c r="FG28" i="1" a="1"/>
  <c r="FG28" i="1"/>
  <c r="FG24" i="1" a="1"/>
  <c r="FG24" i="1"/>
  <c r="FG20" i="1" a="1"/>
  <c r="FG20" i="1"/>
  <c r="FG16" i="1" a="1"/>
  <c r="FG16" i="1"/>
  <c r="FG12" i="1" a="1"/>
  <c r="FG12" i="1"/>
  <c r="FG59" i="1" a="1"/>
  <c r="FG59" i="1"/>
  <c r="FG58" i="1" a="1"/>
  <c r="FG58" i="1"/>
  <c r="FG53" i="1" a="1"/>
  <c r="FG53" i="1"/>
  <c r="FG47" i="1" a="1"/>
  <c r="FG47" i="1"/>
  <c r="FG43" i="1" a="1"/>
  <c r="FG43" i="1"/>
  <c r="FG39" i="1" a="1"/>
  <c r="FG39" i="1"/>
  <c r="FG35" i="1" a="1"/>
  <c r="FG35" i="1"/>
  <c r="FG31" i="1" a="1"/>
  <c r="FG31" i="1"/>
  <c r="FG27" i="1" a="1"/>
  <c r="FG27" i="1"/>
  <c r="FG23" i="1" a="1"/>
  <c r="FG23" i="1"/>
  <c r="FG19" i="1" a="1"/>
  <c r="FG19" i="1"/>
  <c r="FG15" i="1" a="1"/>
  <c r="FG15" i="1"/>
  <c r="FH11" i="1"/>
  <c r="FG62" i="1" a="1"/>
  <c r="FG62" i="1"/>
  <c r="FG56" i="1" a="1"/>
  <c r="FG56" i="1"/>
  <c r="FG57" i="1" a="1"/>
  <c r="FG57" i="1"/>
  <c r="FG50" i="1" a="1"/>
  <c r="FG50" i="1"/>
  <c r="FG46" i="1" a="1"/>
  <c r="FG46" i="1"/>
  <c r="FG42" i="1" a="1"/>
  <c r="FG42" i="1"/>
  <c r="FG38" i="1" a="1"/>
  <c r="FG38" i="1"/>
  <c r="FG34" i="1" a="1"/>
  <c r="FG34" i="1"/>
  <c r="FG30" i="1" a="1"/>
  <c r="FG30" i="1"/>
  <c r="FG26" i="1" a="1"/>
  <c r="FG26" i="1"/>
  <c r="FG22" i="1" a="1"/>
  <c r="FG22" i="1"/>
  <c r="FG18" i="1" a="1"/>
  <c r="FG18" i="1"/>
  <c r="FG14" i="1" a="1"/>
  <c r="FG14" i="1"/>
  <c r="FH61" i="1" a="1"/>
  <c r="FH61" i="1"/>
  <c r="FH59" i="1" a="1"/>
  <c r="FH59" i="1"/>
  <c r="FH57" i="1" a="1"/>
  <c r="FH57" i="1"/>
  <c r="FH55" i="1" a="1"/>
  <c r="FH55" i="1"/>
  <c r="FH53" i="1" a="1"/>
  <c r="FH53" i="1"/>
  <c r="FH49" i="1" a="1"/>
  <c r="FH49" i="1"/>
  <c r="FH51" i="1" a="1"/>
  <c r="FH51" i="1"/>
  <c r="FH45" i="1" a="1"/>
  <c r="FH45" i="1"/>
  <c r="FH43" i="1" a="1"/>
  <c r="FH43" i="1"/>
  <c r="FH48" i="1" a="1"/>
  <c r="FH48" i="1"/>
  <c r="FH36" i="1" a="1"/>
  <c r="FH36" i="1"/>
  <c r="FH34" i="1" a="1"/>
  <c r="FH34" i="1"/>
  <c r="FH41" i="1" a="1"/>
  <c r="FH41" i="1"/>
  <c r="FH39" i="1" a="1"/>
  <c r="FH39" i="1"/>
  <c r="FH37" i="1" a="1"/>
  <c r="FH37" i="1"/>
  <c r="FH31" i="1" a="1"/>
  <c r="FH31" i="1"/>
  <c r="FH29" i="1" a="1"/>
  <c r="FH29" i="1"/>
  <c r="FH27" i="1" a="1"/>
  <c r="FH27" i="1"/>
  <c r="FH25" i="1" a="1"/>
  <c r="FH25" i="1"/>
  <c r="FH23" i="1" a="1"/>
  <c r="FH23" i="1"/>
  <c r="FH17" i="1" a="1"/>
  <c r="FH17" i="1"/>
  <c r="FH15" i="1" a="1"/>
  <c r="FH15" i="1"/>
  <c r="FH13" i="1" a="1"/>
  <c r="FH13" i="1"/>
  <c r="FH21" i="1" a="1"/>
  <c r="FH21" i="1"/>
  <c r="FH19" i="1" a="1"/>
  <c r="FH19" i="1"/>
  <c r="FI11" i="1"/>
  <c r="FH62" i="1" a="1"/>
  <c r="FH62" i="1"/>
  <c r="FH60" i="1" a="1"/>
  <c r="FH60" i="1"/>
  <c r="FH58" i="1" a="1"/>
  <c r="FH58" i="1"/>
  <c r="FH56" i="1" a="1"/>
  <c r="FH56" i="1"/>
  <c r="FH54" i="1" a="1"/>
  <c r="FH54" i="1"/>
  <c r="FH50" i="1" a="1"/>
  <c r="FH50" i="1"/>
  <c r="FH52" i="1" a="1"/>
  <c r="FH52" i="1"/>
  <c r="FH46" i="1" a="1"/>
  <c r="FH46" i="1"/>
  <c r="FH44" i="1" a="1"/>
  <c r="FH44" i="1"/>
  <c r="FH42" i="1" a="1"/>
  <c r="FH42" i="1"/>
  <c r="FH47" i="1" a="1"/>
  <c r="FH47" i="1"/>
  <c r="FH35" i="1" a="1"/>
  <c r="FH35" i="1"/>
  <c r="FH33" i="1" a="1"/>
  <c r="FH33" i="1"/>
  <c r="FH40" i="1" a="1"/>
  <c r="FH40" i="1"/>
  <c r="FH38" i="1" a="1"/>
  <c r="FH38" i="1"/>
  <c r="FH32" i="1" a="1"/>
  <c r="FH32" i="1"/>
  <c r="FH30" i="1" a="1"/>
  <c r="FH30" i="1"/>
  <c r="FH28" i="1" a="1"/>
  <c r="FH28" i="1"/>
  <c r="FH26" i="1" a="1"/>
  <c r="FH26" i="1"/>
  <c r="FH24" i="1" a="1"/>
  <c r="FH24" i="1"/>
  <c r="FH22" i="1" a="1"/>
  <c r="FH22" i="1"/>
  <c r="FH16" i="1" a="1"/>
  <c r="FH16" i="1"/>
  <c r="FH14" i="1" a="1"/>
  <c r="FH14" i="1"/>
  <c r="FH12" i="1" a="1"/>
  <c r="FH12" i="1"/>
  <c r="FH20" i="1" a="1"/>
  <c r="FH20" i="1"/>
  <c r="FH18" i="1" a="1"/>
  <c r="FH18" i="1"/>
  <c r="L40" i="1" a="1"/>
  <c r="L40" i="1"/>
  <c r="L22" i="1" a="1"/>
  <c r="L22" i="1"/>
  <c r="L60" i="1" a="1"/>
  <c r="L60" i="1"/>
  <c r="L33" i="1" a="1"/>
  <c r="L33" i="1"/>
  <c r="L32" i="1" a="1"/>
  <c r="L32" i="1"/>
  <c r="L47" i="1" a="1"/>
  <c r="L47" i="1"/>
  <c r="L35" i="1" a="1"/>
  <c r="L35" i="1"/>
  <c r="L61" i="1" a="1"/>
  <c r="L61" i="1"/>
  <c r="L19" i="1" a="1"/>
  <c r="L19" i="1"/>
  <c r="L54" i="1" a="1"/>
  <c r="L54" i="1"/>
  <c r="L43" i="1" a="1"/>
  <c r="L43" i="1"/>
  <c r="L34" i="1" a="1"/>
  <c r="L34" i="1"/>
  <c r="L48" i="1" a="1"/>
  <c r="L48" i="1"/>
  <c r="L23" i="1" a="1"/>
  <c r="L23" i="1"/>
  <c r="L16" i="1" a="1"/>
  <c r="L16" i="1"/>
  <c r="L41" i="1" a="1"/>
  <c r="L41" i="1"/>
  <c r="L20" i="1" a="1"/>
  <c r="L20" i="1"/>
  <c r="L30" i="1" a="1"/>
  <c r="L30" i="1"/>
  <c r="L44" i="1" a="1"/>
  <c r="L44" i="1"/>
  <c r="L21" i="1" a="1"/>
  <c r="L21" i="1"/>
  <c r="L56" i="1" a="1"/>
  <c r="L56" i="1"/>
  <c r="L37" i="1" a="1"/>
  <c r="L37" i="1"/>
  <c r="L52" i="1" a="1"/>
  <c r="L52" i="1"/>
  <c r="L12" i="1" a="1"/>
  <c r="L12" i="1"/>
  <c r="L39" i="1" a="1"/>
  <c r="L39" i="1"/>
  <c r="L26" i="1" a="1"/>
  <c r="L26" i="1"/>
  <c r="L18" i="1" a="1"/>
  <c r="L18" i="1"/>
  <c r="L58" i="1" a="1"/>
  <c r="L58" i="1"/>
  <c r="L31" i="1" a="1"/>
  <c r="L31" i="1"/>
  <c r="L25" i="1" a="1"/>
  <c r="L25" i="1"/>
  <c r="L13" i="1" a="1"/>
  <c r="L13" i="1"/>
  <c r="L28" i="1" a="1"/>
  <c r="L28" i="1"/>
  <c r="L57" i="1" a="1"/>
  <c r="L57" i="1"/>
  <c r="L46" i="1" a="1"/>
  <c r="L46" i="1"/>
  <c r="L29" i="1" a="1"/>
  <c r="L29" i="1"/>
  <c r="L59" i="1" a="1"/>
  <c r="L59" i="1"/>
  <c r="L62" i="1" a="1"/>
  <c r="L62" i="1"/>
  <c r="L24" i="1" a="1"/>
  <c r="L24" i="1"/>
  <c r="L50" i="1" a="1"/>
  <c r="L50" i="1"/>
  <c r="L27" i="1" a="1"/>
  <c r="L27" i="1"/>
  <c r="L49" i="1" a="1"/>
  <c r="L49" i="1"/>
  <c r="L15" i="1" a="1"/>
  <c r="L15" i="1"/>
  <c r="L42" i="1" a="1"/>
  <c r="L42" i="1"/>
  <c r="L17" i="1" a="1"/>
  <c r="L17" i="1"/>
  <c r="L45" i="1" a="1"/>
  <c r="L45" i="1"/>
  <c r="L53" i="1" a="1"/>
  <c r="L53" i="1"/>
  <c r="L36" i="1" a="1"/>
  <c r="L36" i="1"/>
  <c r="L14" i="1" a="1"/>
  <c r="L14" i="1"/>
  <c r="L38" i="1" a="1"/>
  <c r="L38" i="1"/>
  <c r="L55" i="1" a="1"/>
  <c r="L55" i="1"/>
  <c r="L51" i="1" a="1"/>
  <c r="L51" i="1"/>
  <c r="M52" i="1" a="1"/>
  <c r="M52" i="1"/>
  <c r="M23" i="1" a="1"/>
  <c r="M23" i="1"/>
  <c r="M26" i="1" a="1"/>
  <c r="M26" i="1"/>
  <c r="M48" i="1" a="1"/>
  <c r="M48" i="1"/>
  <c r="M62" i="1" a="1"/>
  <c r="M62" i="1"/>
  <c r="M61" i="1" a="1"/>
  <c r="M61" i="1"/>
  <c r="M21" i="1" a="1"/>
  <c r="M21" i="1"/>
  <c r="M55" i="1" a="1"/>
  <c r="M55" i="1"/>
  <c r="M58" i="1" a="1"/>
  <c r="M58" i="1"/>
  <c r="M57" i="1" a="1"/>
  <c r="M57" i="1"/>
  <c r="M13" i="1" a="1"/>
  <c r="M13" i="1"/>
  <c r="M51" i="1" a="1"/>
  <c r="M51" i="1"/>
  <c r="M15" i="1" a="1"/>
  <c r="M15" i="1"/>
  <c r="M14" i="1" a="1"/>
  <c r="M14" i="1"/>
  <c r="M50" i="1" a="1"/>
  <c r="M50" i="1"/>
  <c r="M59" i="1" a="1"/>
  <c r="M59" i="1"/>
  <c r="M38" i="1" a="1"/>
  <c r="M38" i="1"/>
  <c r="M53" i="1" a="1"/>
  <c r="M53" i="1"/>
  <c r="M60" i="1" a="1"/>
  <c r="M60" i="1"/>
  <c r="M20" i="1" a="1"/>
  <c r="M20" i="1"/>
  <c r="M47" i="1" a="1"/>
  <c r="M47" i="1"/>
  <c r="M45" i="1" a="1"/>
  <c r="M45" i="1"/>
  <c r="M43" i="1" a="1"/>
  <c r="M43" i="1"/>
  <c r="M56" i="1" a="1"/>
  <c r="M56" i="1"/>
  <c r="M16" i="1" a="1"/>
  <c r="M16" i="1"/>
  <c r="M34" i="1" a="1"/>
  <c r="M34" i="1"/>
  <c r="M33" i="1" a="1"/>
  <c r="M33" i="1"/>
  <c r="M39" i="1" a="1"/>
  <c r="M39" i="1"/>
  <c r="M54" i="1" a="1"/>
  <c r="M54" i="1"/>
  <c r="M12" i="1" a="1"/>
  <c r="M12" i="1"/>
  <c r="M35" i="1" a="1"/>
  <c r="M35" i="1"/>
  <c r="M49" i="1" a="1"/>
  <c r="M49" i="1"/>
  <c r="M46" i="1" a="1"/>
  <c r="M46" i="1"/>
  <c r="M36" i="1" a="1"/>
  <c r="M36" i="1"/>
  <c r="M19" i="1" a="1"/>
  <c r="M19" i="1"/>
  <c r="M42" i="1" a="1"/>
  <c r="M42" i="1"/>
  <c r="M22" i="1" a="1"/>
  <c r="M22" i="1"/>
  <c r="M40" i="1" a="1"/>
  <c r="M40" i="1"/>
  <c r="M27" i="1" a="1"/>
  <c r="M27" i="1"/>
  <c r="M30" i="1" a="1"/>
  <c r="M30" i="1"/>
  <c r="M28" i="1" a="1"/>
  <c r="M28" i="1"/>
  <c r="M37" i="1" a="1"/>
  <c r="M37" i="1"/>
  <c r="M29" i="1" a="1"/>
  <c r="M29" i="1"/>
  <c r="M24" i="1" a="1"/>
  <c r="M24" i="1"/>
  <c r="M31" i="1" a="1"/>
  <c r="M31" i="1"/>
  <c r="M44" i="1" a="1"/>
  <c r="M44" i="1"/>
  <c r="M18" i="1" a="1"/>
  <c r="M18" i="1"/>
  <c r="M25" i="1" a="1"/>
  <c r="M25" i="1"/>
  <c r="M41" i="1" a="1"/>
  <c r="M41" i="1"/>
  <c r="M32" i="1" a="1"/>
  <c r="M32" i="1"/>
  <c r="M17" i="1" a="1"/>
  <c r="M17" i="1"/>
  <c r="FI62" i="1" a="1"/>
  <c r="FI62" i="1"/>
  <c r="FI56" i="1" a="1"/>
  <c r="FI56" i="1"/>
  <c r="FI58" i="1" a="1"/>
  <c r="FI58" i="1"/>
  <c r="FI50" i="1" a="1"/>
  <c r="FI50" i="1"/>
  <c r="FI46" i="1" a="1"/>
  <c r="FI46" i="1"/>
  <c r="FI42" i="1" a="1"/>
  <c r="FI42" i="1"/>
  <c r="FI38" i="1" a="1"/>
  <c r="FI38" i="1"/>
  <c r="FI34" i="1" a="1"/>
  <c r="FI34" i="1"/>
  <c r="FI27" i="1" a="1"/>
  <c r="FI27" i="1"/>
  <c r="FI30" i="1" a="1"/>
  <c r="FI30" i="1"/>
  <c r="FI22" i="1" a="1"/>
  <c r="FI22" i="1"/>
  <c r="FI18" i="1" a="1"/>
  <c r="FI18" i="1"/>
  <c r="FI14" i="1" a="1"/>
  <c r="FI14" i="1"/>
  <c r="FI61" i="1" a="1"/>
  <c r="FI61" i="1"/>
  <c r="FI55" i="1" a="1"/>
  <c r="FI55" i="1"/>
  <c r="FI53" i="1" a="1"/>
  <c r="FI53" i="1"/>
  <c r="FI49" i="1" a="1"/>
  <c r="FI49" i="1"/>
  <c r="FI45" i="1" a="1"/>
  <c r="FI45" i="1"/>
  <c r="FI41" i="1" a="1"/>
  <c r="FI41" i="1"/>
  <c r="FI37" i="1" a="1"/>
  <c r="FI37" i="1"/>
  <c r="FI33" i="1" a="1"/>
  <c r="FI33" i="1"/>
  <c r="FI26" i="1" a="1"/>
  <c r="FI26" i="1"/>
  <c r="FI29" i="1" a="1"/>
  <c r="FI29" i="1"/>
  <c r="FI21" i="1" a="1"/>
  <c r="FI21" i="1"/>
  <c r="FI17" i="1" a="1"/>
  <c r="FI17" i="1"/>
  <c r="FI13" i="1" a="1"/>
  <c r="FI13" i="1"/>
  <c r="FI60" i="1" a="1"/>
  <c r="FI60" i="1"/>
  <c r="FI54" i="1" a="1"/>
  <c r="FI54" i="1"/>
  <c r="FI52" i="1" a="1"/>
  <c r="FI52" i="1"/>
  <c r="FI48" i="1" a="1"/>
  <c r="FI48" i="1"/>
  <c r="FI44" i="1" a="1"/>
  <c r="FI44" i="1"/>
  <c r="FI40" i="1" a="1"/>
  <c r="FI40" i="1"/>
  <c r="FI36" i="1" a="1"/>
  <c r="FI36" i="1"/>
  <c r="FI32" i="1" a="1"/>
  <c r="FI32" i="1"/>
  <c r="FI25" i="1" a="1"/>
  <c r="FI25" i="1"/>
  <c r="FI28" i="1" a="1"/>
  <c r="FI28" i="1"/>
  <c r="FI20" i="1" a="1"/>
  <c r="FI20" i="1"/>
  <c r="FI16" i="1" a="1"/>
  <c r="FI16" i="1"/>
  <c r="FI12" i="1" a="1"/>
  <c r="FI12" i="1"/>
  <c r="FI59" i="1" a="1"/>
  <c r="FI59" i="1"/>
  <c r="FI57" i="1" a="1"/>
  <c r="FI57" i="1"/>
  <c r="FI51" i="1" a="1"/>
  <c r="FI51" i="1"/>
  <c r="FI47" i="1" a="1"/>
  <c r="FI47" i="1"/>
  <c r="FI43" i="1" a="1"/>
  <c r="FI43" i="1"/>
  <c r="FI39" i="1" a="1"/>
  <c r="FI39" i="1"/>
  <c r="FI35" i="1" a="1"/>
  <c r="FI35" i="1"/>
  <c r="FI31" i="1" a="1"/>
  <c r="FI31" i="1"/>
  <c r="FI24" i="1" a="1"/>
  <c r="FI24" i="1"/>
  <c r="FI23" i="1" a="1"/>
  <c r="FI23" i="1"/>
  <c r="FI19" i="1" a="1"/>
  <c r="FI19" i="1"/>
  <c r="FI15" i="1" a="1"/>
  <c r="FI15" i="1"/>
  <c r="FJ11" i="1"/>
  <c r="FJ61" i="1" a="1"/>
  <c r="FJ61" i="1"/>
  <c r="FJ59" i="1" a="1"/>
  <c r="FJ59" i="1"/>
  <c r="FJ56" i="1" a="1"/>
  <c r="FJ56" i="1"/>
  <c r="FJ54" i="1" a="1"/>
  <c r="FJ54" i="1"/>
  <c r="FJ57" i="1" a="1"/>
  <c r="FJ57" i="1"/>
  <c r="FJ51" i="1" a="1"/>
  <c r="FJ51" i="1"/>
  <c r="FJ49" i="1" a="1"/>
  <c r="FJ49" i="1"/>
  <c r="FJ47" i="1" a="1"/>
  <c r="FJ47" i="1"/>
  <c r="FJ45" i="1" a="1"/>
  <c r="FJ45" i="1"/>
  <c r="FJ43" i="1" a="1"/>
  <c r="FJ43" i="1"/>
  <c r="FJ41" i="1" a="1"/>
  <c r="FJ41" i="1"/>
  <c r="FJ39" i="1" a="1"/>
  <c r="FJ39" i="1"/>
  <c r="FJ37" i="1" a="1"/>
  <c r="FJ37" i="1"/>
  <c r="FJ35" i="1" a="1"/>
  <c r="FJ35" i="1"/>
  <c r="FJ33" i="1" a="1"/>
  <c r="FJ33" i="1"/>
  <c r="FJ31" i="1" a="1"/>
  <c r="FJ31" i="1"/>
  <c r="FJ29" i="1" a="1"/>
  <c r="FJ29" i="1"/>
  <c r="FJ27" i="1" a="1"/>
  <c r="FJ27" i="1"/>
  <c r="FJ25" i="1" a="1"/>
  <c r="FJ25" i="1"/>
  <c r="FJ23" i="1" a="1"/>
  <c r="FJ23" i="1"/>
  <c r="FJ17" i="1" a="1"/>
  <c r="FJ17" i="1"/>
  <c r="FJ15" i="1" a="1"/>
  <c r="FJ15" i="1"/>
  <c r="FJ13" i="1" a="1"/>
  <c r="FJ13" i="1"/>
  <c r="FJ21" i="1" a="1"/>
  <c r="FJ21" i="1"/>
  <c r="FJ19" i="1" a="1"/>
  <c r="FJ19" i="1"/>
  <c r="FK11" i="1"/>
  <c r="FJ62" i="1" a="1"/>
  <c r="FJ62" i="1"/>
  <c r="FJ60" i="1" a="1"/>
  <c r="FJ60" i="1"/>
  <c r="FJ58" i="1" a="1"/>
  <c r="FJ58" i="1"/>
  <c r="FJ55" i="1" a="1"/>
  <c r="FJ55" i="1"/>
  <c r="FJ53" i="1" a="1"/>
  <c r="FJ53" i="1"/>
  <c r="FJ52" i="1" a="1"/>
  <c r="FJ52" i="1"/>
  <c r="FJ50" i="1" a="1"/>
  <c r="FJ50" i="1"/>
  <c r="FJ48" i="1" a="1"/>
  <c r="FJ48" i="1"/>
  <c r="FJ46" i="1" a="1"/>
  <c r="FJ46" i="1"/>
  <c r="FJ44" i="1" a="1"/>
  <c r="FJ44" i="1"/>
  <c r="FJ42" i="1" a="1"/>
  <c r="FJ42" i="1"/>
  <c r="FJ40" i="1" a="1"/>
  <c r="FJ40" i="1"/>
  <c r="FJ38" i="1" a="1"/>
  <c r="FJ38" i="1"/>
  <c r="FJ36" i="1" a="1"/>
  <c r="FJ36" i="1"/>
  <c r="FJ34" i="1" a="1"/>
  <c r="FJ34" i="1"/>
  <c r="FJ32" i="1" a="1"/>
  <c r="FJ32" i="1"/>
  <c r="FJ30" i="1" a="1"/>
  <c r="FJ30" i="1"/>
  <c r="FJ28" i="1" a="1"/>
  <c r="FJ28" i="1"/>
  <c r="FJ26" i="1" a="1"/>
  <c r="FJ26" i="1"/>
  <c r="FJ24" i="1" a="1"/>
  <c r="FJ24" i="1"/>
  <c r="FJ22" i="1" a="1"/>
  <c r="FJ22" i="1"/>
  <c r="FJ16" i="1" a="1"/>
  <c r="FJ16" i="1"/>
  <c r="FJ14" i="1" a="1"/>
  <c r="FJ14" i="1"/>
  <c r="FJ12" i="1" a="1"/>
  <c r="FJ12" i="1"/>
  <c r="FJ20" i="1" a="1"/>
  <c r="FJ20" i="1"/>
  <c r="FJ18" i="1" a="1"/>
  <c r="FJ18" i="1"/>
  <c r="N43" i="1" a="1"/>
  <c r="N43" i="1"/>
  <c r="N57" i="1" a="1"/>
  <c r="N57" i="1"/>
  <c r="N56" i="1" a="1"/>
  <c r="N56" i="1"/>
  <c r="N42" i="1" a="1"/>
  <c r="N42" i="1"/>
  <c r="N35" i="1" a="1"/>
  <c r="N35" i="1"/>
  <c r="N31" i="1" a="1"/>
  <c r="N31" i="1"/>
  <c r="N25" i="1" a="1"/>
  <c r="N25" i="1"/>
  <c r="N21" i="1" a="1"/>
  <c r="N21" i="1"/>
  <c r="N15" i="1" a="1"/>
  <c r="N15" i="1"/>
  <c r="N17" i="1" a="1"/>
  <c r="N17" i="1"/>
  <c r="N53" i="1" a="1"/>
  <c r="N53" i="1"/>
  <c r="N38" i="1" a="1"/>
  <c r="N38" i="1"/>
  <c r="N32" i="1" a="1"/>
  <c r="N32" i="1"/>
  <c r="N45" i="1" a="1"/>
  <c r="N45" i="1"/>
  <c r="N39" i="1" a="1"/>
  <c r="N39" i="1"/>
  <c r="N50" i="1" a="1"/>
  <c r="N50" i="1"/>
  <c r="N13" i="1" a="1"/>
  <c r="N13" i="1"/>
  <c r="N49" i="1" a="1"/>
  <c r="N49" i="1"/>
  <c r="N28" i="1" a="1"/>
  <c r="N28" i="1"/>
  <c r="N48" i="1" a="1"/>
  <c r="N48" i="1"/>
  <c r="N12" i="1" a="1"/>
  <c r="N12" i="1"/>
  <c r="N55" i="1" a="1"/>
  <c r="N55" i="1"/>
  <c r="N54" i="1" a="1"/>
  <c r="N54" i="1"/>
  <c r="N26" i="1" a="1"/>
  <c r="N26" i="1"/>
  <c r="N33" i="1" a="1"/>
  <c r="N33" i="1"/>
  <c r="N18" i="1" a="1"/>
  <c r="N18" i="1"/>
  <c r="N41" i="1" a="1"/>
  <c r="N41" i="1"/>
  <c r="N20" i="1" a="1"/>
  <c r="N20" i="1"/>
  <c r="N16" i="1" a="1"/>
  <c r="N16" i="1"/>
  <c r="N51" i="1" a="1"/>
  <c r="N51" i="1"/>
  <c r="N36" i="1" a="1"/>
  <c r="N36" i="1"/>
  <c r="N34" i="1" a="1"/>
  <c r="N34" i="1"/>
  <c r="N44" i="1" a="1"/>
  <c r="N44" i="1"/>
  <c r="N37" i="1" a="1"/>
  <c r="N37" i="1"/>
  <c r="N30" i="1" a="1"/>
  <c r="N30" i="1"/>
  <c r="N60" i="1" a="1"/>
  <c r="N60" i="1"/>
  <c r="N19" i="1" a="1"/>
  <c r="N19" i="1"/>
  <c r="N61" i="1" a="1"/>
  <c r="N61" i="1"/>
  <c r="N52" i="1" a="1"/>
  <c r="N52" i="1"/>
  <c r="N14" i="1" a="1"/>
  <c r="N14" i="1"/>
  <c r="N40" i="1" a="1"/>
  <c r="N40" i="1"/>
  <c r="N58" i="1" a="1"/>
  <c r="N58" i="1"/>
  <c r="N29" i="1" a="1"/>
  <c r="N29" i="1"/>
  <c r="N47" i="1" a="1"/>
  <c r="N47" i="1"/>
  <c r="N23" i="1" a="1"/>
  <c r="N23" i="1"/>
  <c r="N22" i="1" a="1"/>
  <c r="N22" i="1"/>
  <c r="N46" i="1" a="1"/>
  <c r="N46" i="1"/>
  <c r="N27" i="1" a="1"/>
  <c r="N27" i="1"/>
  <c r="N24" i="1" a="1"/>
  <c r="N24" i="1"/>
  <c r="N62" i="1" a="1"/>
  <c r="N62" i="1"/>
  <c r="N59" i="1" a="1"/>
  <c r="N59" i="1"/>
  <c r="FK59" i="1" a="1"/>
  <c r="FK59" i="1"/>
  <c r="FK58" i="1" a="1"/>
  <c r="FK58" i="1"/>
  <c r="FK51" i="1" a="1"/>
  <c r="FK51" i="1"/>
  <c r="FK47" i="1" a="1"/>
  <c r="FK47" i="1"/>
  <c r="FK43" i="1" a="1"/>
  <c r="FK43" i="1"/>
  <c r="FK39" i="1" a="1"/>
  <c r="FK39" i="1"/>
  <c r="FK35" i="1" a="1"/>
  <c r="FK35" i="1"/>
  <c r="FK31" i="1" a="1"/>
  <c r="FK31" i="1"/>
  <c r="FK24" i="1" a="1"/>
  <c r="FK24" i="1"/>
  <c r="FK21" i="1" a="1"/>
  <c r="FK21" i="1"/>
  <c r="FK23" i="1" a="1"/>
  <c r="FK23" i="1"/>
  <c r="FK15" i="1" a="1"/>
  <c r="FK15" i="1"/>
  <c r="FL11" i="1"/>
  <c r="FK62" i="1" a="1"/>
  <c r="FK62" i="1"/>
  <c r="FK56" i="1" a="1"/>
  <c r="FK56" i="1"/>
  <c r="FK57" i="1" a="1"/>
  <c r="FK57" i="1"/>
  <c r="FK50" i="1" a="1"/>
  <c r="FK50" i="1"/>
  <c r="FK46" i="1" a="1"/>
  <c r="FK46" i="1"/>
  <c r="FK42" i="1" a="1"/>
  <c r="FK42" i="1"/>
  <c r="FK38" i="1" a="1"/>
  <c r="FK38" i="1"/>
  <c r="FK34" i="1" a="1"/>
  <c r="FK34" i="1"/>
  <c r="FK27" i="1" a="1"/>
  <c r="FK27" i="1"/>
  <c r="FK30" i="1" a="1"/>
  <c r="FK30" i="1"/>
  <c r="FK20" i="1" a="1"/>
  <c r="FK20" i="1"/>
  <c r="FK22" i="1" a="1"/>
  <c r="FK22" i="1"/>
  <c r="FK14" i="1" a="1"/>
  <c r="FK14" i="1"/>
  <c r="FK61" i="1" a="1"/>
  <c r="FK61" i="1"/>
  <c r="FK55" i="1" a="1"/>
  <c r="FK55" i="1"/>
  <c r="FK53" i="1" a="1"/>
  <c r="FK53" i="1"/>
  <c r="FK49" i="1" a="1"/>
  <c r="FK49" i="1"/>
  <c r="FK45" i="1" a="1"/>
  <c r="FK45" i="1"/>
  <c r="FK41" i="1" a="1"/>
  <c r="FK41" i="1"/>
  <c r="FK37" i="1" a="1"/>
  <c r="FK37" i="1"/>
  <c r="FK33" i="1" a="1"/>
  <c r="FK33" i="1"/>
  <c r="FK26" i="1" a="1"/>
  <c r="FK26" i="1"/>
  <c r="FK29" i="1" a="1"/>
  <c r="FK29" i="1"/>
  <c r="FK19" i="1" a="1"/>
  <c r="FK19" i="1"/>
  <c r="FK17" i="1" a="1"/>
  <c r="FK17" i="1"/>
  <c r="FK13" i="1" a="1"/>
  <c r="FK13" i="1"/>
  <c r="FK60" i="1" a="1"/>
  <c r="FK60" i="1"/>
  <c r="FK54" i="1" a="1"/>
  <c r="FK54" i="1"/>
  <c r="FK52" i="1" a="1"/>
  <c r="FK52" i="1"/>
  <c r="FK48" i="1" a="1"/>
  <c r="FK48" i="1"/>
  <c r="FK44" i="1" a="1"/>
  <c r="FK44" i="1"/>
  <c r="FK40" i="1" a="1"/>
  <c r="FK40" i="1"/>
  <c r="FK36" i="1" a="1"/>
  <c r="FK36" i="1"/>
  <c r="FK32" i="1" a="1"/>
  <c r="FK32" i="1"/>
  <c r="FK25" i="1" a="1"/>
  <c r="FK25" i="1"/>
  <c r="FK28" i="1" a="1"/>
  <c r="FK28" i="1"/>
  <c r="FK18" i="1" a="1"/>
  <c r="FK18" i="1"/>
  <c r="FK16" i="1" a="1"/>
  <c r="FK16" i="1"/>
  <c r="FK12" i="1" a="1"/>
  <c r="FK12" i="1"/>
  <c r="O12" i="1" a="1"/>
  <c r="O12" i="1"/>
  <c r="O60" i="1" a="1"/>
  <c r="O60" i="1"/>
  <c r="O56" i="1" a="1"/>
  <c r="O56" i="1"/>
  <c r="O39" i="1" a="1"/>
  <c r="O39" i="1"/>
  <c r="O26" i="1" a="1"/>
  <c r="O26" i="1"/>
  <c r="O21" i="1" a="1"/>
  <c r="O21" i="1"/>
  <c r="O55" i="1" a="1"/>
  <c r="O55" i="1"/>
  <c r="O37" i="1" a="1"/>
  <c r="O37" i="1"/>
  <c r="O48" i="1" a="1"/>
  <c r="O48" i="1"/>
  <c r="O18" i="1" a="1"/>
  <c r="O18" i="1"/>
  <c r="O32" i="1" a="1"/>
  <c r="O32" i="1"/>
  <c r="O23" i="1" a="1"/>
  <c r="O23" i="1"/>
  <c r="O59" i="1" a="1"/>
  <c r="O59" i="1"/>
  <c r="O50" i="1" a="1"/>
  <c r="O50" i="1"/>
  <c r="O62" i="1" a="1"/>
  <c r="O62" i="1"/>
  <c r="O24" i="1" a="1"/>
  <c r="O24" i="1"/>
  <c r="O38" i="1" a="1"/>
  <c r="O38" i="1"/>
  <c r="O29" i="1" a="1"/>
  <c r="O29" i="1"/>
  <c r="O30" i="1" a="1"/>
  <c r="O30" i="1"/>
  <c r="O57" i="1" a="1"/>
  <c r="O57" i="1"/>
  <c r="O36" i="1" a="1"/>
  <c r="O36" i="1"/>
  <c r="O35" i="1" a="1"/>
  <c r="O35" i="1"/>
  <c r="O44" i="1" a="1"/>
  <c r="O44" i="1"/>
  <c r="O16" i="1" a="1"/>
  <c r="O16" i="1"/>
  <c r="O54" i="1" a="1"/>
  <c r="O54" i="1"/>
  <c r="O27" i="1" a="1"/>
  <c r="O27" i="1"/>
  <c r="O45" i="1" a="1"/>
  <c r="O45" i="1"/>
  <c r="O43" i="1" a="1"/>
  <c r="O43" i="1"/>
  <c r="O14" i="1" a="1"/>
  <c r="O14" i="1"/>
  <c r="O51" i="1" a="1"/>
  <c r="O51" i="1"/>
  <c r="O13" i="1" a="1"/>
  <c r="O13" i="1"/>
  <c r="O41" i="1" a="1"/>
  <c r="O41" i="1"/>
  <c r="O20" i="1" a="1"/>
  <c r="O20" i="1"/>
  <c r="O34" i="1" a="1"/>
  <c r="O34" i="1"/>
  <c r="O25" i="1" a="1"/>
  <c r="O25" i="1"/>
  <c r="O19" i="1" a="1"/>
  <c r="O19" i="1"/>
  <c r="O47" i="1" a="1"/>
  <c r="O47" i="1"/>
  <c r="O61" i="1" a="1"/>
  <c r="O61" i="1"/>
  <c r="O58" i="1" a="1"/>
  <c r="O58" i="1"/>
  <c r="O17" i="1" a="1"/>
  <c r="O17" i="1"/>
  <c r="O28" i="1" a="1"/>
  <c r="O28" i="1"/>
  <c r="O22" i="1" a="1"/>
  <c r="O22" i="1"/>
  <c r="O40" i="1" a="1"/>
  <c r="O40" i="1"/>
  <c r="O46" i="1" a="1"/>
  <c r="O46" i="1"/>
  <c r="O49" i="1" a="1"/>
  <c r="O49" i="1"/>
  <c r="O15" i="1" a="1"/>
  <c r="O15" i="1"/>
  <c r="O53" i="1" a="1"/>
  <c r="O53" i="1"/>
  <c r="O31" i="1" a="1"/>
  <c r="O31" i="1"/>
  <c r="O52" i="1" a="1"/>
  <c r="O52" i="1"/>
  <c r="O33" i="1" a="1"/>
  <c r="O33" i="1"/>
  <c r="O42" i="1" a="1"/>
  <c r="O42" i="1"/>
  <c r="P45" i="1" a="1"/>
  <c r="P45" i="1"/>
  <c r="P20" i="1" a="1"/>
  <c r="P20" i="1"/>
  <c r="P38" i="1" a="1"/>
  <c r="P38" i="1"/>
  <c r="P52" i="1" a="1"/>
  <c r="P52" i="1"/>
  <c r="P58" i="1" a="1"/>
  <c r="P58" i="1"/>
  <c r="P53" i="1" a="1"/>
  <c r="P53" i="1"/>
  <c r="P57" i="1" a="1"/>
  <c r="P57" i="1"/>
  <c r="P14" i="1" a="1"/>
  <c r="P14" i="1"/>
  <c r="P62" i="1" a="1"/>
  <c r="P62" i="1"/>
  <c r="P31" i="1" a="1"/>
  <c r="P31" i="1"/>
  <c r="P55" i="1" a="1"/>
  <c r="P55" i="1"/>
  <c r="P19" i="1" a="1"/>
  <c r="P19" i="1"/>
  <c r="P59" i="1" a="1"/>
  <c r="P59" i="1"/>
  <c r="P37" i="1" a="1"/>
  <c r="P37" i="1"/>
  <c r="P56" i="1" a="1"/>
  <c r="P56" i="1"/>
  <c r="P25" i="1" a="1"/>
  <c r="P25" i="1"/>
  <c r="P44" i="1" a="1"/>
  <c r="P44" i="1"/>
  <c r="P17" i="1" a="1"/>
  <c r="P17" i="1"/>
  <c r="P47" i="1" a="1"/>
  <c r="P47" i="1"/>
  <c r="P61" i="1" a="1"/>
  <c r="P61" i="1"/>
  <c r="P54" i="1" a="1"/>
  <c r="P54" i="1"/>
  <c r="P50" i="1" a="1"/>
  <c r="P50" i="1"/>
  <c r="P39" i="1" a="1"/>
  <c r="P39" i="1"/>
  <c r="P42" i="1" a="1"/>
  <c r="P42" i="1"/>
  <c r="P49" i="1" a="1"/>
  <c r="P49" i="1"/>
  <c r="P43" i="1" a="1"/>
  <c r="P43" i="1"/>
  <c r="P48" i="1" a="1"/>
  <c r="P48" i="1"/>
  <c r="P36" i="1" a="1"/>
  <c r="P36" i="1"/>
  <c r="P26" i="1" a="1"/>
  <c r="P26" i="1"/>
  <c r="P12" i="1" a="1"/>
  <c r="P12" i="1"/>
  <c r="P18" i="1" a="1"/>
  <c r="P18" i="1"/>
  <c r="P28" i="1" a="1"/>
  <c r="P28" i="1"/>
  <c r="P16" i="1" a="1"/>
  <c r="P16" i="1"/>
  <c r="P46" i="1" a="1"/>
  <c r="P46" i="1"/>
  <c r="P40" i="1" a="1"/>
  <c r="P40" i="1"/>
  <c r="P34" i="1" a="1"/>
  <c r="P34" i="1"/>
  <c r="P23" i="1" a="1"/>
  <c r="P23" i="1"/>
  <c r="P41" i="1" a="1"/>
  <c r="P41" i="1"/>
  <c r="P30" i="1" a="1"/>
  <c r="P30" i="1"/>
  <c r="P29" i="1" a="1"/>
  <c r="P29" i="1"/>
  <c r="P32" i="1" a="1"/>
  <c r="P32" i="1"/>
  <c r="P35" i="1" a="1"/>
  <c r="P35" i="1"/>
  <c r="P51" i="1" a="1"/>
  <c r="P51" i="1"/>
  <c r="P21" i="1" a="1"/>
  <c r="P21" i="1"/>
  <c r="P33" i="1" a="1"/>
  <c r="P33" i="1"/>
  <c r="P22" i="1" a="1"/>
  <c r="P22" i="1"/>
  <c r="P15" i="1" a="1"/>
  <c r="P15" i="1"/>
  <c r="P13" i="1" a="1"/>
  <c r="P13" i="1"/>
  <c r="P60" i="1" a="1"/>
  <c r="P60" i="1"/>
  <c r="P27" i="1" a="1"/>
  <c r="P27" i="1"/>
  <c r="P24" i="1" a="1"/>
  <c r="P24" i="1"/>
  <c r="FL61" i="1" a="1"/>
  <c r="FL61" i="1"/>
  <c r="FL59" i="1" a="1"/>
  <c r="FL59" i="1"/>
  <c r="FL57" i="1" a="1"/>
  <c r="FL57" i="1"/>
  <c r="FL55" i="1" a="1"/>
  <c r="FL55" i="1"/>
  <c r="FL53" i="1" a="1"/>
  <c r="FL53" i="1"/>
  <c r="FL51" i="1" a="1"/>
  <c r="FL51" i="1"/>
  <c r="FL49" i="1" a="1"/>
  <c r="FL49" i="1"/>
  <c r="FL46" i="1" a="1"/>
  <c r="FL46" i="1"/>
  <c r="FL44" i="1" a="1"/>
  <c r="FL44" i="1"/>
  <c r="FL42" i="1" a="1"/>
  <c r="FL42" i="1"/>
  <c r="FL40" i="1" a="1"/>
  <c r="FL40" i="1"/>
  <c r="FL38" i="1" a="1"/>
  <c r="FL38" i="1"/>
  <c r="FL36" i="1" a="1"/>
  <c r="FL36" i="1"/>
  <c r="FL34" i="1" a="1"/>
  <c r="FL34" i="1"/>
  <c r="FL41" i="1" a="1"/>
  <c r="FL41" i="1"/>
  <c r="FL29" i="1" a="1"/>
  <c r="FL29" i="1"/>
  <c r="FL32" i="1" a="1"/>
  <c r="FL32" i="1"/>
  <c r="FL27" i="1" a="1"/>
  <c r="FL27" i="1"/>
  <c r="FL25" i="1" a="1"/>
  <c r="FL25" i="1"/>
  <c r="FL23" i="1" a="1"/>
  <c r="FL23" i="1"/>
  <c r="FL21" i="1" a="1"/>
  <c r="FL21" i="1"/>
  <c r="FL19" i="1" a="1"/>
  <c r="FL19" i="1"/>
  <c r="FL17" i="1" a="1"/>
  <c r="FL17" i="1"/>
  <c r="FL15" i="1" a="1"/>
  <c r="FL15" i="1"/>
  <c r="FL13" i="1" a="1"/>
  <c r="FL13" i="1"/>
  <c r="FM11" i="1"/>
  <c r="FL62" i="1" a="1"/>
  <c r="FL62" i="1"/>
  <c r="FL60" i="1" a="1"/>
  <c r="FL60" i="1"/>
  <c r="FL58" i="1" a="1"/>
  <c r="FL58" i="1"/>
  <c r="FL56" i="1" a="1"/>
  <c r="FL56" i="1"/>
  <c r="FL54" i="1" a="1"/>
  <c r="FL54" i="1"/>
  <c r="FL52" i="1" a="1"/>
  <c r="FL52" i="1"/>
  <c r="FL50" i="1" a="1"/>
  <c r="FL50" i="1"/>
  <c r="FL47" i="1" a="1"/>
  <c r="FL47" i="1"/>
  <c r="FL45" i="1" a="1"/>
  <c r="FL45" i="1"/>
  <c r="FL43" i="1" a="1"/>
  <c r="FL43" i="1"/>
  <c r="FL48" i="1" a="1"/>
  <c r="FL48" i="1"/>
  <c r="FL39" i="1" a="1"/>
  <c r="FL39" i="1"/>
  <c r="FL37" i="1" a="1"/>
  <c r="FL37" i="1"/>
  <c r="FL35" i="1" a="1"/>
  <c r="FL35" i="1"/>
  <c r="FL33" i="1" a="1"/>
  <c r="FL33" i="1"/>
  <c r="FL30" i="1" a="1"/>
  <c r="FL30" i="1"/>
  <c r="FL28" i="1" a="1"/>
  <c r="FL28" i="1"/>
  <c r="FL31" i="1" a="1"/>
  <c r="FL31" i="1"/>
  <c r="FL26" i="1" a="1"/>
  <c r="FL26" i="1"/>
  <c r="FL24" i="1" a="1"/>
  <c r="FL24" i="1"/>
  <c r="FL22" i="1" a="1"/>
  <c r="FL22" i="1"/>
  <c r="FL20" i="1" a="1"/>
  <c r="FL20" i="1"/>
  <c r="FL18" i="1" a="1"/>
  <c r="FL18" i="1"/>
  <c r="FL16" i="1" a="1"/>
  <c r="FL16" i="1"/>
  <c r="FL14" i="1" a="1"/>
  <c r="FL14" i="1"/>
  <c r="FL12" i="1" a="1"/>
  <c r="FL12" i="1"/>
  <c r="Q58" i="1" a="1"/>
  <c r="Q58" i="1"/>
  <c r="Q50" i="1" a="1"/>
  <c r="Q50" i="1"/>
  <c r="Q19" i="1" a="1"/>
  <c r="Q19" i="1"/>
  <c r="Q22" i="1" a="1"/>
  <c r="Q22" i="1"/>
  <c r="Q29" i="1" a="1"/>
  <c r="Q29" i="1"/>
  <c r="Q31" i="1" a="1"/>
  <c r="Q31" i="1"/>
  <c r="Q32" i="1" a="1"/>
  <c r="Q32" i="1"/>
  <c r="Q23" i="1" a="1"/>
  <c r="Q23" i="1"/>
  <c r="Q40" i="1" a="1"/>
  <c r="Q40" i="1"/>
  <c r="Q41" i="1" a="1"/>
  <c r="Q41" i="1"/>
  <c r="Q12" i="1" a="1"/>
  <c r="Q12" i="1"/>
  <c r="Q49" i="1" a="1"/>
  <c r="Q49" i="1"/>
  <c r="Q43" i="1" a="1"/>
  <c r="Q43" i="1"/>
  <c r="Q30" i="1" a="1"/>
  <c r="Q30" i="1"/>
  <c r="Q51" i="1" a="1"/>
  <c r="Q51" i="1"/>
  <c r="Q13" i="1" a="1"/>
  <c r="Q13" i="1"/>
  <c r="Q53" i="1" a="1"/>
  <c r="Q53" i="1"/>
  <c r="Q20" i="1" a="1"/>
  <c r="Q20" i="1"/>
  <c r="Q47" i="1" a="1"/>
  <c r="Q47" i="1"/>
  <c r="Q34" i="1" a="1"/>
  <c r="Q34" i="1"/>
  <c r="Q39" i="1" a="1"/>
  <c r="Q39" i="1"/>
  <c r="Q42" i="1" a="1"/>
  <c r="Q42" i="1"/>
  <c r="Q15" i="1" a="1"/>
  <c r="Q15" i="1"/>
  <c r="Q62" i="1" a="1"/>
  <c r="Q62" i="1"/>
  <c r="Q21" i="1" a="1"/>
  <c r="Q21" i="1"/>
  <c r="Q14" i="1" a="1"/>
  <c r="Q14" i="1"/>
  <c r="Q59" i="1" a="1"/>
  <c r="Q59" i="1"/>
  <c r="Q25" i="1" a="1"/>
  <c r="Q25" i="1"/>
  <c r="Q37" i="1" a="1"/>
  <c r="Q37" i="1"/>
  <c r="Q24" i="1" a="1"/>
  <c r="Q24" i="1"/>
  <c r="Q44" i="1" a="1"/>
  <c r="Q44" i="1"/>
  <c r="Q18" i="1" a="1"/>
  <c r="Q18" i="1"/>
  <c r="Q52" i="1" a="1"/>
  <c r="Q52" i="1"/>
  <c r="Q26" i="1" a="1"/>
  <c r="Q26" i="1"/>
  <c r="Q54" i="1" a="1"/>
  <c r="Q54" i="1"/>
  <c r="Q35" i="1" a="1"/>
  <c r="Q35" i="1"/>
  <c r="Q46" i="1" a="1"/>
  <c r="Q46" i="1"/>
  <c r="Q36" i="1" a="1"/>
  <c r="Q36" i="1"/>
  <c r="Q27" i="1" a="1"/>
  <c r="Q27" i="1"/>
  <c r="Q28" i="1" a="1"/>
  <c r="Q28" i="1"/>
  <c r="Q16" i="1" a="1"/>
  <c r="Q16" i="1"/>
  <c r="Q57" i="1" a="1"/>
  <c r="Q57" i="1"/>
  <c r="Q38" i="1" a="1"/>
  <c r="Q38" i="1"/>
  <c r="Q60" i="1" a="1"/>
  <c r="Q60" i="1"/>
  <c r="Q45" i="1" a="1"/>
  <c r="Q45" i="1"/>
  <c r="Q33" i="1" a="1"/>
  <c r="Q33" i="1"/>
  <c r="Q56" i="1" a="1"/>
  <c r="Q56" i="1"/>
  <c r="Q17" i="1" a="1"/>
  <c r="Q17" i="1"/>
  <c r="Q48" i="1" a="1"/>
  <c r="Q48" i="1"/>
  <c r="Q61" i="1" a="1"/>
  <c r="Q61" i="1"/>
  <c r="Q55" i="1" a="1"/>
  <c r="Q55" i="1"/>
  <c r="FM60" i="1" a="1"/>
  <c r="FM60" i="1"/>
  <c r="FM55" i="1" a="1"/>
  <c r="FM55" i="1"/>
  <c r="FM52" i="1" a="1"/>
  <c r="FM52" i="1"/>
  <c r="FM48" i="1" a="1"/>
  <c r="FM48" i="1"/>
  <c r="FM44" i="1" a="1"/>
  <c r="FM44" i="1"/>
  <c r="FM40" i="1" a="1"/>
  <c r="FM40" i="1"/>
  <c r="FM36" i="1" a="1"/>
  <c r="FM36" i="1"/>
  <c r="FM32" i="1" a="1"/>
  <c r="FM32" i="1"/>
  <c r="FM28" i="1" a="1"/>
  <c r="FM28" i="1"/>
  <c r="FM24" i="1" a="1"/>
  <c r="FM24" i="1"/>
  <c r="FM20" i="1" a="1"/>
  <c r="FM20" i="1"/>
  <c r="FM16" i="1" a="1"/>
  <c r="FM16" i="1"/>
  <c r="FM12" i="1" a="1"/>
  <c r="FM12" i="1"/>
  <c r="FM59" i="1" a="1"/>
  <c r="FM59" i="1"/>
  <c r="FM54" i="1" a="1"/>
  <c r="FM54" i="1"/>
  <c r="FM51" i="1" a="1"/>
  <c r="FM51" i="1"/>
  <c r="FM47" i="1" a="1"/>
  <c r="FM47" i="1"/>
  <c r="FM43" i="1" a="1"/>
  <c r="FM43" i="1"/>
  <c r="FM39" i="1" a="1"/>
  <c r="FM39" i="1"/>
  <c r="FM35" i="1" a="1"/>
  <c r="FM35" i="1"/>
  <c r="FM31" i="1" a="1"/>
  <c r="FM31" i="1"/>
  <c r="FM27" i="1" a="1"/>
  <c r="FM27" i="1"/>
  <c r="FM23" i="1" a="1"/>
  <c r="FM23" i="1"/>
  <c r="FM19" i="1" a="1"/>
  <c r="FM19" i="1"/>
  <c r="FM15" i="1" a="1"/>
  <c r="FM15" i="1"/>
  <c r="FN11" i="1"/>
  <c r="FM62" i="1" a="1"/>
  <c r="FM62" i="1"/>
  <c r="FM57" i="1" a="1"/>
  <c r="FM57" i="1"/>
  <c r="FM58" i="1" a="1"/>
  <c r="FM58" i="1"/>
  <c r="FM50" i="1" a="1"/>
  <c r="FM50" i="1"/>
  <c r="FM46" i="1" a="1"/>
  <c r="FM46" i="1"/>
  <c r="FM42" i="1" a="1"/>
  <c r="FM42" i="1"/>
  <c r="FM38" i="1" a="1"/>
  <c r="FM38" i="1"/>
  <c r="FM34" i="1" a="1"/>
  <c r="FM34" i="1"/>
  <c r="FM30" i="1" a="1"/>
  <c r="FM30" i="1"/>
  <c r="FM26" i="1" a="1"/>
  <c r="FM26" i="1"/>
  <c r="FM22" i="1" a="1"/>
  <c r="FM22" i="1"/>
  <c r="FM18" i="1" a="1"/>
  <c r="FM18" i="1"/>
  <c r="FM14" i="1" a="1"/>
  <c r="FM14" i="1"/>
  <c r="FM61" i="1" a="1"/>
  <c r="FM61" i="1"/>
  <c r="FM56" i="1" a="1"/>
  <c r="FM56" i="1"/>
  <c r="FM53" i="1" a="1"/>
  <c r="FM53" i="1"/>
  <c r="FM49" i="1" a="1"/>
  <c r="FM49" i="1"/>
  <c r="FM45" i="1" a="1"/>
  <c r="FM45" i="1"/>
  <c r="FM41" i="1" a="1"/>
  <c r="FM41" i="1"/>
  <c r="FM37" i="1" a="1"/>
  <c r="FM37" i="1"/>
  <c r="FM33" i="1" a="1"/>
  <c r="FM33" i="1"/>
  <c r="FM29" i="1" a="1"/>
  <c r="FM29" i="1"/>
  <c r="FM25" i="1" a="1"/>
  <c r="FM25" i="1"/>
  <c r="FM21" i="1" a="1"/>
  <c r="FM21" i="1"/>
  <c r="FM17" i="1" a="1"/>
  <c r="FM17" i="1"/>
  <c r="FM13" i="1" a="1"/>
  <c r="FM13" i="1"/>
  <c r="R26" i="1" a="1"/>
  <c r="R26" i="1"/>
  <c r="R23" i="1" a="1"/>
  <c r="R23" i="1"/>
  <c r="R21" i="1" a="1"/>
  <c r="R21" i="1"/>
  <c r="R46" i="1" a="1"/>
  <c r="R46" i="1"/>
  <c r="R27" i="1" a="1"/>
  <c r="R27" i="1"/>
  <c r="R22" i="1" a="1"/>
  <c r="R22" i="1"/>
  <c r="R60" i="1" a="1"/>
  <c r="R60" i="1"/>
  <c r="R17" i="1" a="1"/>
  <c r="R17" i="1"/>
  <c r="R45" i="1" a="1"/>
  <c r="R45" i="1"/>
  <c r="R39" i="1" a="1"/>
  <c r="R39" i="1"/>
  <c r="R50" i="1" a="1"/>
  <c r="R50" i="1"/>
  <c r="R28" i="1" a="1"/>
  <c r="R28" i="1"/>
  <c r="R49" i="1" a="1"/>
  <c r="R49" i="1"/>
  <c r="R51" i="1" a="1"/>
  <c r="R51" i="1"/>
  <c r="R36" i="1" a="1"/>
  <c r="R36" i="1"/>
  <c r="R20" i="1" a="1"/>
  <c r="R20" i="1"/>
  <c r="R13" i="1" a="1"/>
  <c r="R13" i="1"/>
  <c r="R15" i="1" a="1"/>
  <c r="R15" i="1"/>
  <c r="R53" i="1" a="1"/>
  <c r="R53" i="1"/>
  <c r="R38" i="1" a="1"/>
  <c r="R38" i="1"/>
  <c r="R62" i="1" a="1"/>
  <c r="R62" i="1"/>
  <c r="R59" i="1" a="1"/>
  <c r="R59" i="1"/>
  <c r="R18" i="1" a="1"/>
  <c r="R18" i="1"/>
  <c r="R41" i="1" a="1"/>
  <c r="R41" i="1"/>
  <c r="R19" i="1" a="1"/>
  <c r="R19" i="1"/>
  <c r="R16" i="1" a="1"/>
  <c r="R16" i="1"/>
  <c r="R29" i="1" a="1"/>
  <c r="R29" i="1"/>
  <c r="R47" i="1" a="1"/>
  <c r="R47" i="1"/>
  <c r="R48" i="1" a="1"/>
  <c r="R48" i="1"/>
  <c r="R12" i="1" a="1"/>
  <c r="R12" i="1"/>
  <c r="R55" i="1" a="1"/>
  <c r="R55" i="1"/>
  <c r="R54" i="1" a="1"/>
  <c r="R54" i="1"/>
  <c r="R24" i="1" a="1"/>
  <c r="R24" i="1"/>
  <c r="R32" i="1" a="1"/>
  <c r="R32" i="1"/>
  <c r="R61" i="1" a="1"/>
  <c r="R61" i="1"/>
  <c r="R52" i="1" a="1"/>
  <c r="R52" i="1"/>
  <c r="R14" i="1" a="1"/>
  <c r="R14" i="1"/>
  <c r="R40" i="1" a="1"/>
  <c r="R40" i="1"/>
  <c r="R58" i="1" a="1"/>
  <c r="R58" i="1"/>
  <c r="R31" i="1" a="1"/>
  <c r="R31" i="1"/>
  <c r="R25" i="1" a="1"/>
  <c r="R25" i="1"/>
  <c r="R34" i="1" a="1"/>
  <c r="R34" i="1"/>
  <c r="R44" i="1" a="1"/>
  <c r="R44" i="1"/>
  <c r="R37" i="1" a="1"/>
  <c r="R37" i="1"/>
  <c r="R30" i="1" a="1"/>
  <c r="R30" i="1"/>
  <c r="R33" i="1" a="1"/>
  <c r="R33" i="1"/>
  <c r="R43" i="1" a="1"/>
  <c r="R43" i="1"/>
  <c r="R57" i="1" a="1"/>
  <c r="R57" i="1"/>
  <c r="R56" i="1" a="1"/>
  <c r="R56" i="1"/>
  <c r="R42" i="1" a="1"/>
  <c r="R42" i="1"/>
  <c r="R35" i="1" a="1"/>
  <c r="R35" i="1"/>
  <c r="FN61" i="1" a="1"/>
  <c r="FN61" i="1"/>
  <c r="FN59" i="1" a="1"/>
  <c r="FN59" i="1"/>
  <c r="FN57" i="1" a="1"/>
  <c r="FN57" i="1"/>
  <c r="FN55" i="1" a="1"/>
  <c r="FN55" i="1"/>
  <c r="FN53" i="1" a="1"/>
  <c r="FN53" i="1"/>
  <c r="FN49" i="1" a="1"/>
  <c r="FN49" i="1"/>
  <c r="FN51" i="1" a="1"/>
  <c r="FN51" i="1"/>
  <c r="FN45" i="1" a="1"/>
  <c r="FN45" i="1"/>
  <c r="FN43" i="1" a="1"/>
  <c r="FN43" i="1"/>
  <c r="FN47" i="1" a="1"/>
  <c r="FN47" i="1"/>
  <c r="FN41" i="1" a="1"/>
  <c r="FN41" i="1"/>
  <c r="FN35" i="1" a="1"/>
  <c r="FN35" i="1"/>
  <c r="FN33" i="1" a="1"/>
  <c r="FN33" i="1"/>
  <c r="FN39" i="1" a="1"/>
  <c r="FN39" i="1"/>
  <c r="FN37" i="1" a="1"/>
  <c r="FN37" i="1"/>
  <c r="FN31" i="1" a="1"/>
  <c r="FN31" i="1"/>
  <c r="FN29" i="1" a="1"/>
  <c r="FN29" i="1"/>
  <c r="FN27" i="1" a="1"/>
  <c r="FN27" i="1"/>
  <c r="FN25" i="1" a="1"/>
  <c r="FN25" i="1"/>
  <c r="FN23" i="1" a="1"/>
  <c r="FN23" i="1"/>
  <c r="FN21" i="1" a="1"/>
  <c r="FN21" i="1"/>
  <c r="FN19" i="1" a="1"/>
  <c r="FN19" i="1"/>
  <c r="FN17" i="1" a="1"/>
  <c r="FN17" i="1"/>
  <c r="FN15" i="1" a="1"/>
  <c r="FN15" i="1"/>
  <c r="FN13" i="1" a="1"/>
  <c r="FN13" i="1"/>
  <c r="FO11" i="1"/>
  <c r="FN60" i="1" a="1"/>
  <c r="FN60" i="1"/>
  <c r="FN50" i="1" a="1"/>
  <c r="FN50" i="1"/>
  <c r="FN42" i="1" a="1"/>
  <c r="FN42" i="1"/>
  <c r="FN40" i="1" a="1"/>
  <c r="FN40" i="1"/>
  <c r="FN28" i="1" a="1"/>
  <c r="FN28" i="1"/>
  <c r="FN20" i="1" a="1"/>
  <c r="FN20" i="1"/>
  <c r="FN12" i="1" a="1"/>
  <c r="FN12" i="1"/>
  <c r="FN62" i="1" a="1"/>
  <c r="FN62" i="1"/>
  <c r="FN54" i="1" a="1"/>
  <c r="FN54" i="1"/>
  <c r="FN44" i="1" a="1"/>
  <c r="FN44" i="1"/>
  <c r="FN34" i="1" a="1"/>
  <c r="FN34" i="1"/>
  <c r="FN30" i="1" a="1"/>
  <c r="FN30" i="1"/>
  <c r="FN22" i="1" a="1"/>
  <c r="FN22" i="1"/>
  <c r="FN14" i="1" a="1"/>
  <c r="FN14" i="1"/>
  <c r="FN56" i="1" a="1"/>
  <c r="FN56" i="1"/>
  <c r="FN48" i="1" a="1"/>
  <c r="FN48" i="1"/>
  <c r="FN36" i="1" a="1"/>
  <c r="FN36" i="1"/>
  <c r="FN32" i="1" a="1"/>
  <c r="FN32" i="1"/>
  <c r="FN24" i="1" a="1"/>
  <c r="FN24" i="1"/>
  <c r="FN16" i="1" a="1"/>
  <c r="FN16" i="1"/>
  <c r="FN58" i="1" a="1"/>
  <c r="FN58" i="1"/>
  <c r="FN52" i="1" a="1"/>
  <c r="FN52" i="1"/>
  <c r="FN46" i="1" a="1"/>
  <c r="FN46" i="1"/>
  <c r="FN38" i="1" a="1"/>
  <c r="FN38" i="1"/>
  <c r="FN26" i="1" a="1"/>
  <c r="FN26" i="1"/>
  <c r="FN18" i="1" a="1"/>
  <c r="FN18" i="1"/>
  <c r="S22" i="1" a="1"/>
  <c r="S22" i="1"/>
  <c r="S13" i="1" a="1"/>
  <c r="S13" i="1"/>
  <c r="S49" i="1" a="1"/>
  <c r="S49" i="1"/>
  <c r="S23" i="1" a="1"/>
  <c r="S23" i="1"/>
  <c r="S28" i="1" a="1"/>
  <c r="S28" i="1"/>
  <c r="S34" i="1" a="1"/>
  <c r="S34" i="1"/>
  <c r="S27" i="1" a="1"/>
  <c r="S27" i="1"/>
  <c r="S20" i="1" a="1"/>
  <c r="S20" i="1"/>
  <c r="S40" i="1" a="1"/>
  <c r="S40" i="1"/>
  <c r="S14" i="1" a="1"/>
  <c r="S14" i="1"/>
  <c r="S58" i="1" a="1"/>
  <c r="S58" i="1"/>
  <c r="S43" i="1" a="1"/>
  <c r="S43" i="1"/>
  <c r="S16" i="1" a="1"/>
  <c r="S16" i="1"/>
  <c r="S51" i="1" a="1"/>
  <c r="S51" i="1"/>
  <c r="S61" i="1" a="1"/>
  <c r="S61" i="1"/>
  <c r="S33" i="1" a="1"/>
  <c r="S33" i="1"/>
  <c r="S46" i="1" a="1"/>
  <c r="S46" i="1"/>
  <c r="S57" i="1" a="1"/>
  <c r="S57" i="1"/>
  <c r="S29" i="1" a="1"/>
  <c r="S29" i="1"/>
  <c r="S52" i="1" a="1"/>
  <c r="S52" i="1"/>
  <c r="S24" i="1" a="1"/>
  <c r="S24" i="1"/>
  <c r="S54" i="1" a="1"/>
  <c r="S54" i="1"/>
  <c r="S18" i="1" a="1"/>
  <c r="S18" i="1"/>
  <c r="S42" i="1" a="1"/>
  <c r="S42" i="1"/>
  <c r="S17" i="1" a="1"/>
  <c r="S17" i="1"/>
  <c r="S36" i="1" a="1"/>
  <c r="S36" i="1"/>
  <c r="S32" i="1" a="1"/>
  <c r="S32" i="1"/>
  <c r="S39" i="1" a="1"/>
  <c r="S39" i="1"/>
  <c r="S26" i="1" a="1"/>
  <c r="S26" i="1"/>
  <c r="S59" i="1" a="1"/>
  <c r="S59" i="1"/>
  <c r="S45" i="1" a="1"/>
  <c r="S45" i="1"/>
  <c r="S55" i="1" a="1"/>
  <c r="S55" i="1"/>
  <c r="S15" i="1" a="1"/>
  <c r="S15" i="1"/>
  <c r="S47" i="1" a="1"/>
  <c r="S47" i="1"/>
  <c r="S25" i="1" a="1"/>
  <c r="S25" i="1"/>
  <c r="S19" i="1" a="1"/>
  <c r="S19" i="1"/>
  <c r="S21" i="1" a="1"/>
  <c r="S21" i="1"/>
  <c r="S60" i="1" a="1"/>
  <c r="S60" i="1"/>
  <c r="S38" i="1" a="1"/>
  <c r="S38" i="1"/>
  <c r="S12" i="1" a="1"/>
  <c r="S12" i="1"/>
  <c r="S30" i="1" a="1"/>
  <c r="S30" i="1"/>
  <c r="S48" i="1" a="1"/>
  <c r="S48" i="1"/>
  <c r="S44" i="1" a="1"/>
  <c r="S44" i="1"/>
  <c r="S35" i="1" a="1"/>
  <c r="S35" i="1"/>
  <c r="S37" i="1" a="1"/>
  <c r="S37" i="1"/>
  <c r="S31" i="1" a="1"/>
  <c r="S31" i="1"/>
  <c r="S56" i="1" a="1"/>
  <c r="S56" i="1"/>
  <c r="S41" i="1" a="1"/>
  <c r="S41" i="1"/>
  <c r="S53" i="1" a="1"/>
  <c r="S53" i="1"/>
  <c r="S50" i="1" a="1"/>
  <c r="S50" i="1"/>
  <c r="S62" i="1" a="1"/>
  <c r="S62" i="1"/>
  <c r="FO61" i="1" a="1"/>
  <c r="FO61" i="1"/>
  <c r="FO54" i="1" a="1"/>
  <c r="FO54" i="1"/>
  <c r="FO52" i="1" a="1"/>
  <c r="FO52" i="1"/>
  <c r="FO48" i="1" a="1"/>
  <c r="FO48" i="1"/>
  <c r="FO45" i="1" a="1"/>
  <c r="FO45" i="1"/>
  <c r="FO40" i="1" a="1"/>
  <c r="FO40" i="1"/>
  <c r="FO37" i="1" a="1"/>
  <c r="FO37" i="1"/>
  <c r="FO32" i="1" a="1"/>
  <c r="FO32" i="1"/>
  <c r="FO29" i="1" a="1"/>
  <c r="FO29" i="1"/>
  <c r="FO24" i="1" a="1"/>
  <c r="FO24" i="1"/>
  <c r="FO21" i="1" a="1"/>
  <c r="FO21" i="1"/>
  <c r="FO16" i="1" a="1"/>
  <c r="FO16" i="1"/>
  <c r="FO13" i="1" a="1"/>
  <c r="FO13" i="1"/>
  <c r="FO56" i="1" a="1"/>
  <c r="FO56" i="1"/>
  <c r="FO58" i="1" a="1"/>
  <c r="FO58" i="1"/>
  <c r="FO50" i="1" a="1"/>
  <c r="FO50" i="1"/>
  <c r="FO47" i="1" a="1"/>
  <c r="FO47" i="1"/>
  <c r="FO42" i="1" a="1"/>
  <c r="FO42" i="1"/>
  <c r="FO39" i="1" a="1"/>
  <c r="FO39" i="1"/>
  <c r="FO34" i="1" a="1"/>
  <c r="FO34" i="1"/>
  <c r="FO31" i="1" a="1"/>
  <c r="FO31" i="1"/>
  <c r="FO26" i="1" a="1"/>
  <c r="FO26" i="1"/>
  <c r="FO23" i="1" a="1"/>
  <c r="FO23" i="1"/>
  <c r="FO18" i="1" a="1"/>
  <c r="FO18" i="1"/>
  <c r="FO15" i="1" a="1"/>
  <c r="FO15" i="1"/>
  <c r="FO60" i="1" a="1"/>
  <c r="FO60" i="1"/>
  <c r="FO55" i="1" a="1"/>
  <c r="FO55" i="1"/>
  <c r="FO51" i="1" a="1"/>
  <c r="FO51" i="1"/>
  <c r="FO49" i="1" a="1"/>
  <c r="FO49" i="1"/>
  <c r="FO44" i="1" a="1"/>
  <c r="FO44" i="1"/>
  <c r="FO41" i="1" a="1"/>
  <c r="FO41" i="1"/>
  <c r="FO36" i="1" a="1"/>
  <c r="FO36" i="1"/>
  <c r="FO33" i="1" a="1"/>
  <c r="FO33" i="1"/>
  <c r="FO28" i="1" a="1"/>
  <c r="FO28" i="1"/>
  <c r="FO25" i="1" a="1"/>
  <c r="FO25" i="1"/>
  <c r="FO20" i="1" a="1"/>
  <c r="FO20" i="1"/>
  <c r="FO17" i="1" a="1"/>
  <c r="FO17" i="1"/>
  <c r="FO12" i="1" a="1"/>
  <c r="FO12" i="1"/>
  <c r="FO62" i="1" a="1"/>
  <c r="FO62" i="1"/>
  <c r="FO59" i="1" a="1"/>
  <c r="FO59" i="1"/>
  <c r="FO57" i="1" a="1"/>
  <c r="FO57" i="1"/>
  <c r="FO53" i="1" a="1"/>
  <c r="FO53" i="1"/>
  <c r="FO46" i="1" a="1"/>
  <c r="FO46" i="1"/>
  <c r="FO43" i="1" a="1"/>
  <c r="FO43" i="1"/>
  <c r="FO38" i="1" a="1"/>
  <c r="FO38" i="1"/>
  <c r="FO35" i="1" a="1"/>
  <c r="FO35" i="1"/>
  <c r="FO30" i="1" a="1"/>
  <c r="FO30" i="1"/>
  <c r="FO27" i="1" a="1"/>
  <c r="FO27" i="1"/>
  <c r="FO22" i="1" a="1"/>
  <c r="FO22" i="1"/>
  <c r="FO19" i="1" a="1"/>
  <c r="FO19" i="1"/>
  <c r="FO14" i="1" a="1"/>
  <c r="FO14" i="1"/>
  <c r="FP11" i="1"/>
  <c r="T38" i="1" a="1"/>
  <c r="T38" i="1"/>
  <c r="T48" i="1" a="1"/>
  <c r="T48" i="1"/>
  <c r="T51" i="1" a="1"/>
  <c r="T51" i="1"/>
  <c r="T42" i="1" a="1"/>
  <c r="T42" i="1"/>
  <c r="T55" i="1" a="1"/>
  <c r="T55" i="1"/>
  <c r="T45" i="1" a="1"/>
  <c r="T45" i="1"/>
  <c r="T40" i="1" a="1"/>
  <c r="T40" i="1"/>
  <c r="T31" i="1" a="1"/>
  <c r="T31" i="1"/>
  <c r="T53" i="1" a="1"/>
  <c r="T53" i="1"/>
  <c r="T35" i="1" a="1"/>
  <c r="T35" i="1"/>
  <c r="T13" i="1" a="1"/>
  <c r="T13" i="1"/>
  <c r="T25" i="1" a="1"/>
  <c r="T25" i="1"/>
  <c r="T34" i="1" a="1"/>
  <c r="T34" i="1"/>
  <c r="T43" i="1" a="1"/>
  <c r="T43" i="1"/>
  <c r="T33" i="1" a="1"/>
  <c r="T33" i="1"/>
  <c r="T29" i="1" a="1"/>
  <c r="T29" i="1"/>
  <c r="T47" i="1" a="1"/>
  <c r="T47" i="1"/>
  <c r="T15" i="1" a="1"/>
  <c r="T15" i="1"/>
  <c r="T61" i="1" a="1"/>
  <c r="T61" i="1"/>
  <c r="T17" i="1" a="1"/>
  <c r="T17" i="1"/>
  <c r="T54" i="1" a="1"/>
  <c r="T54" i="1"/>
  <c r="T23" i="1" a="1"/>
  <c r="T23" i="1"/>
  <c r="T14" i="1" a="1"/>
  <c r="T14" i="1"/>
  <c r="T16" i="1" a="1"/>
  <c r="T16" i="1"/>
  <c r="T60" i="1" a="1"/>
  <c r="T60" i="1"/>
  <c r="T19" i="1" a="1"/>
  <c r="T19" i="1"/>
  <c r="T56" i="1" a="1"/>
  <c r="T56" i="1"/>
  <c r="T21" i="1" a="1"/>
  <c r="T21" i="1"/>
  <c r="T30" i="1" a="1"/>
  <c r="T30" i="1"/>
  <c r="T39" i="1" a="1"/>
  <c r="T39" i="1"/>
  <c r="T20" i="1" a="1"/>
  <c r="T20" i="1"/>
  <c r="T44" i="1" a="1"/>
  <c r="T44" i="1"/>
  <c r="T37" i="1" a="1"/>
  <c r="T37" i="1"/>
  <c r="T32" i="1" a="1"/>
  <c r="T32" i="1"/>
  <c r="T12" i="1" a="1"/>
  <c r="T12" i="1"/>
  <c r="T49" i="1" a="1"/>
  <c r="T49" i="1"/>
  <c r="T27" i="1" a="1"/>
  <c r="T27" i="1"/>
  <c r="T58" i="1" a="1"/>
  <c r="T58" i="1"/>
  <c r="T52" i="1" a="1"/>
  <c r="T52" i="1"/>
  <c r="T62" i="1" a="1"/>
  <c r="T62" i="1"/>
  <c r="T22" i="1" a="1"/>
  <c r="T22" i="1"/>
  <c r="T50" i="1" a="1"/>
  <c r="T50" i="1"/>
  <c r="T59" i="1" a="1"/>
  <c r="T59" i="1"/>
  <c r="T18" i="1" a="1"/>
  <c r="T18" i="1"/>
  <c r="T26" i="1" a="1"/>
  <c r="T26" i="1"/>
  <c r="T57" i="1" a="1"/>
  <c r="T57" i="1"/>
  <c r="T46" i="1" a="1"/>
  <c r="T46" i="1"/>
  <c r="T24" i="1" a="1"/>
  <c r="T24" i="1"/>
  <c r="T41" i="1" a="1"/>
  <c r="T41" i="1"/>
  <c r="T36" i="1" a="1"/>
  <c r="T36" i="1"/>
  <c r="T28" i="1" a="1"/>
  <c r="T28" i="1"/>
  <c r="FP61" i="1" a="1"/>
  <c r="FP61" i="1"/>
  <c r="FP59" i="1" a="1"/>
  <c r="FP59" i="1"/>
  <c r="FP57" i="1" a="1"/>
  <c r="FP57" i="1"/>
  <c r="FP55" i="1" a="1"/>
  <c r="FP55" i="1"/>
  <c r="FP53" i="1" a="1"/>
  <c r="FP53" i="1"/>
  <c r="FP49" i="1" a="1"/>
  <c r="FP49" i="1"/>
  <c r="FP51" i="1" a="1"/>
  <c r="FP51" i="1"/>
  <c r="FP44" i="1" a="1"/>
  <c r="FP44" i="1"/>
  <c r="FP42" i="1" a="1"/>
  <c r="FP42" i="1"/>
  <c r="FP47" i="1" a="1"/>
  <c r="FP47" i="1"/>
  <c r="FP36" i="1" a="1"/>
  <c r="FP36" i="1"/>
  <c r="FP34" i="1" a="1"/>
  <c r="FP34" i="1"/>
  <c r="FP41" i="1" a="1"/>
  <c r="FP41" i="1"/>
  <c r="FP39" i="1" a="1"/>
  <c r="FP39" i="1"/>
  <c r="FP37" i="1" a="1"/>
  <c r="FP37" i="1"/>
  <c r="FP31" i="1" a="1"/>
  <c r="FP31" i="1"/>
  <c r="FP29" i="1" a="1"/>
  <c r="FP29" i="1"/>
  <c r="FP27" i="1" a="1"/>
  <c r="FP27" i="1"/>
  <c r="FP25" i="1" a="1"/>
  <c r="FP25" i="1"/>
  <c r="FP23" i="1" a="1"/>
  <c r="FP23" i="1"/>
  <c r="FP17" i="1" a="1"/>
  <c r="FP17" i="1"/>
  <c r="FP15" i="1" a="1"/>
  <c r="FP15" i="1"/>
  <c r="FP13" i="1" a="1"/>
  <c r="FP13" i="1"/>
  <c r="FP21" i="1" a="1"/>
  <c r="FP21" i="1"/>
  <c r="FP19" i="1" a="1"/>
  <c r="FP19" i="1"/>
  <c r="FQ11" i="1"/>
  <c r="FP62" i="1" a="1"/>
  <c r="FP62" i="1"/>
  <c r="FP54" i="1" a="1"/>
  <c r="FP54" i="1"/>
  <c r="FP43" i="1" a="1"/>
  <c r="FP43" i="1"/>
  <c r="FP33" i="1" a="1"/>
  <c r="FP33" i="1"/>
  <c r="FP30" i="1" a="1"/>
  <c r="FP30" i="1"/>
  <c r="FP22" i="1" a="1"/>
  <c r="FP22" i="1"/>
  <c r="FP20" i="1" a="1"/>
  <c r="FP20" i="1"/>
  <c r="FP56" i="1" a="1"/>
  <c r="FP56" i="1"/>
  <c r="FP45" i="1" a="1"/>
  <c r="FP45" i="1"/>
  <c r="FP35" i="1" a="1"/>
  <c r="FP35" i="1"/>
  <c r="FP32" i="1" a="1"/>
  <c r="FP32" i="1"/>
  <c r="FP24" i="1" a="1"/>
  <c r="FP24" i="1"/>
  <c r="FP12" i="1" a="1"/>
  <c r="FP12" i="1"/>
  <c r="FP58" i="1" a="1"/>
  <c r="FP58" i="1"/>
  <c r="FP52" i="1" a="1"/>
  <c r="FP52" i="1"/>
  <c r="FP46" i="1" a="1"/>
  <c r="FP46" i="1"/>
  <c r="FP38" i="1" a="1"/>
  <c r="FP38" i="1"/>
  <c r="FP26" i="1" a="1"/>
  <c r="FP26" i="1"/>
  <c r="FP14" i="1" a="1"/>
  <c r="FP14" i="1"/>
  <c r="FP60" i="1" a="1"/>
  <c r="FP60" i="1"/>
  <c r="FP50" i="1" a="1"/>
  <c r="FP50" i="1"/>
  <c r="FP48" i="1" a="1"/>
  <c r="FP48" i="1"/>
  <c r="FP40" i="1" a="1"/>
  <c r="FP40" i="1"/>
  <c r="FP28" i="1" a="1"/>
  <c r="FP28" i="1"/>
  <c r="FP16" i="1" a="1"/>
  <c r="FP16" i="1"/>
  <c r="FP18" i="1" a="1"/>
  <c r="FP18" i="1"/>
  <c r="U56" i="1" a="1"/>
  <c r="U56" i="1"/>
  <c r="U41" i="1" a="1"/>
  <c r="U41" i="1"/>
  <c r="U15" i="1" a="1"/>
  <c r="U15" i="1"/>
  <c r="U49" i="1" a="1"/>
  <c r="U49" i="1"/>
  <c r="U29" i="1" a="1"/>
  <c r="U29" i="1"/>
  <c r="U13" i="1" a="1"/>
  <c r="U13" i="1"/>
  <c r="U53" i="1" a="1"/>
  <c r="U53" i="1"/>
  <c r="U19" i="1" a="1"/>
  <c r="U19" i="1"/>
  <c r="U48" i="1" a="1"/>
  <c r="U48" i="1"/>
  <c r="U61" i="1" a="1"/>
  <c r="U61" i="1"/>
  <c r="U51" i="1" a="1"/>
  <c r="U51" i="1"/>
  <c r="U22" i="1" a="1"/>
  <c r="U22" i="1"/>
  <c r="U14" i="1" a="1"/>
  <c r="U14" i="1"/>
  <c r="U25" i="1" a="1"/>
  <c r="U25" i="1"/>
  <c r="U45" i="1" a="1"/>
  <c r="U45" i="1"/>
  <c r="U33" i="1" a="1"/>
  <c r="U33" i="1"/>
  <c r="U55" i="1" a="1"/>
  <c r="U55" i="1"/>
  <c r="U16" i="1" a="1"/>
  <c r="U16" i="1"/>
  <c r="U59" i="1" a="1"/>
  <c r="U59" i="1"/>
  <c r="U31" i="1" a="1"/>
  <c r="U31" i="1"/>
  <c r="U20" i="1" a="1"/>
  <c r="U20" i="1"/>
  <c r="U52" i="1" a="1"/>
  <c r="U52" i="1"/>
  <c r="U26" i="1" a="1"/>
  <c r="U26" i="1"/>
  <c r="U46" i="1" a="1"/>
  <c r="U46" i="1"/>
  <c r="U43" i="1" a="1"/>
  <c r="U43" i="1"/>
  <c r="U30" i="1" a="1"/>
  <c r="U30" i="1"/>
  <c r="U42" i="1" a="1"/>
  <c r="U42" i="1"/>
  <c r="U54" i="1" a="1"/>
  <c r="U54" i="1"/>
  <c r="U35" i="1" a="1"/>
  <c r="U35" i="1"/>
  <c r="U57" i="1" a="1"/>
  <c r="U57" i="1"/>
  <c r="U38" i="1" a="1"/>
  <c r="U38" i="1"/>
  <c r="U60" i="1" a="1"/>
  <c r="U60" i="1"/>
  <c r="U40" i="1" a="1"/>
  <c r="U40" i="1"/>
  <c r="U17" i="1" a="1"/>
  <c r="U17" i="1"/>
  <c r="U62" i="1" a="1"/>
  <c r="U62" i="1"/>
  <c r="U18" i="1" a="1"/>
  <c r="U18" i="1"/>
  <c r="U37" i="1" a="1"/>
  <c r="U37" i="1"/>
  <c r="U24" i="1" a="1"/>
  <c r="U24" i="1"/>
  <c r="U47" i="1" a="1"/>
  <c r="U47" i="1"/>
  <c r="U34" i="1" a="1"/>
  <c r="U34" i="1"/>
  <c r="U39" i="1" a="1"/>
  <c r="U39" i="1"/>
  <c r="U21" i="1" a="1"/>
  <c r="U21" i="1"/>
  <c r="U58" i="1" a="1"/>
  <c r="U58" i="1"/>
  <c r="U50" i="1" a="1"/>
  <c r="U50" i="1"/>
  <c r="U23" i="1" a="1"/>
  <c r="U23" i="1"/>
  <c r="U44" i="1" a="1"/>
  <c r="U44" i="1"/>
  <c r="U32" i="1" a="1"/>
  <c r="U32" i="1"/>
  <c r="U27" i="1" a="1"/>
  <c r="U27" i="1"/>
  <c r="U36" i="1" a="1"/>
  <c r="U36" i="1"/>
  <c r="U12" i="1" a="1"/>
  <c r="U12" i="1"/>
  <c r="U28" i="1" a="1"/>
  <c r="U28" i="1"/>
  <c r="FQ61" i="1" a="1"/>
  <c r="FQ61" i="1"/>
  <c r="FQ56" i="1" a="1"/>
  <c r="FQ56" i="1"/>
  <c r="FQ53" i="1" a="1"/>
  <c r="FQ53" i="1"/>
  <c r="FQ50" i="1" a="1"/>
  <c r="FQ50" i="1"/>
  <c r="FQ45" i="1" a="1"/>
  <c r="FQ45" i="1"/>
  <c r="FQ42" i="1" a="1"/>
  <c r="FQ42" i="1"/>
  <c r="FQ37" i="1" a="1"/>
  <c r="FQ37" i="1"/>
  <c r="FQ34" i="1" a="1"/>
  <c r="FQ34" i="1"/>
  <c r="FQ26" i="1" a="1"/>
  <c r="FQ26" i="1"/>
  <c r="FQ30" i="1" a="1"/>
  <c r="FQ30" i="1"/>
  <c r="FQ21" i="1" a="1"/>
  <c r="FQ21" i="1"/>
  <c r="FQ18" i="1" a="1"/>
  <c r="FQ18" i="1"/>
  <c r="FQ13" i="1" a="1"/>
  <c r="FQ13" i="1"/>
  <c r="FQ60" i="1" a="1"/>
  <c r="FQ60" i="1"/>
  <c r="FQ57" i="1" a="1"/>
  <c r="FQ57" i="1"/>
  <c r="FQ52" i="1" a="1"/>
  <c r="FQ52" i="1"/>
  <c r="FQ47" i="1" a="1"/>
  <c r="FQ47" i="1"/>
  <c r="FQ44" i="1" a="1"/>
  <c r="FQ44" i="1"/>
  <c r="FQ39" i="1" a="1"/>
  <c r="FQ39" i="1"/>
  <c r="FQ36" i="1" a="1"/>
  <c r="FQ36" i="1"/>
  <c r="FQ31" i="1" a="1"/>
  <c r="FQ31" i="1"/>
  <c r="FQ25" i="1" a="1"/>
  <c r="FQ25" i="1"/>
  <c r="FQ23" i="1" a="1"/>
  <c r="FQ23" i="1"/>
  <c r="FQ20" i="1" a="1"/>
  <c r="FQ20" i="1"/>
  <c r="FQ15" i="1" a="1"/>
  <c r="FQ15" i="1"/>
  <c r="FQ12" i="1" a="1"/>
  <c r="FQ12" i="1"/>
  <c r="FQ62" i="1" a="1"/>
  <c r="FQ62" i="1"/>
  <c r="FQ55" i="1" a="1"/>
  <c r="FQ55" i="1"/>
  <c r="FQ58" i="1" a="1"/>
  <c r="FQ58" i="1"/>
  <c r="FQ49" i="1" a="1"/>
  <c r="FQ49" i="1"/>
  <c r="FQ46" i="1" a="1"/>
  <c r="FQ46" i="1"/>
  <c r="FQ41" i="1" a="1"/>
  <c r="FQ41" i="1"/>
  <c r="FQ38" i="1" a="1"/>
  <c r="FQ38" i="1"/>
  <c r="FQ33" i="1" a="1"/>
  <c r="FQ33" i="1"/>
  <c r="FQ27" i="1" a="1"/>
  <c r="FQ27" i="1"/>
  <c r="FQ29" i="1" a="1"/>
  <c r="FQ29" i="1"/>
  <c r="FQ22" i="1" a="1"/>
  <c r="FQ22" i="1"/>
  <c r="FQ17" i="1" a="1"/>
  <c r="FQ17" i="1"/>
  <c r="FQ14" i="1" a="1"/>
  <c r="FQ14" i="1"/>
  <c r="FQ59" i="1" a="1"/>
  <c r="FQ59" i="1"/>
  <c r="FQ54" i="1" a="1"/>
  <c r="FQ54" i="1"/>
  <c r="FQ51" i="1" a="1"/>
  <c r="FQ51" i="1"/>
  <c r="FQ48" i="1" a="1"/>
  <c r="FQ48" i="1"/>
  <c r="FQ43" i="1" a="1"/>
  <c r="FQ43" i="1"/>
  <c r="FQ40" i="1" a="1"/>
  <c r="FQ40" i="1"/>
  <c r="FQ35" i="1" a="1"/>
  <c r="FQ35" i="1"/>
  <c r="FQ32" i="1" a="1"/>
  <c r="FQ32" i="1"/>
  <c r="FQ24" i="1" a="1"/>
  <c r="FQ24" i="1"/>
  <c r="FQ28" i="1" a="1"/>
  <c r="FQ28" i="1"/>
  <c r="FQ19" i="1" a="1"/>
  <c r="FQ19" i="1"/>
  <c r="FQ16" i="1" a="1"/>
  <c r="FQ16" i="1"/>
  <c r="FR11" i="1"/>
  <c r="FR62" i="1" a="1"/>
  <c r="FR62" i="1"/>
  <c r="FR60" i="1" a="1"/>
  <c r="FR60" i="1"/>
  <c r="FR58" i="1" a="1"/>
  <c r="FR58" i="1"/>
  <c r="FR55" i="1" a="1"/>
  <c r="FR55" i="1"/>
  <c r="FR53" i="1" a="1"/>
  <c r="FR53" i="1"/>
  <c r="FR52" i="1" a="1"/>
  <c r="FR52" i="1"/>
  <c r="FR50" i="1" a="1"/>
  <c r="FR50" i="1"/>
  <c r="FR48" i="1" a="1"/>
  <c r="FR48" i="1"/>
  <c r="FR46" i="1" a="1"/>
  <c r="FR46" i="1"/>
  <c r="FR44" i="1" a="1"/>
  <c r="FR44" i="1"/>
  <c r="FR42" i="1" a="1"/>
  <c r="FR42" i="1"/>
  <c r="FR40" i="1" a="1"/>
  <c r="FR40" i="1"/>
  <c r="FR38" i="1" a="1"/>
  <c r="FR38" i="1"/>
  <c r="FR36" i="1" a="1"/>
  <c r="FR36" i="1"/>
  <c r="FR34" i="1" a="1"/>
  <c r="FR34" i="1"/>
  <c r="FR32" i="1" a="1"/>
  <c r="FR32" i="1"/>
  <c r="FR30" i="1" a="1"/>
  <c r="FR30" i="1"/>
  <c r="FR28" i="1" a="1"/>
  <c r="FR28" i="1"/>
  <c r="FR26" i="1" a="1"/>
  <c r="FR26" i="1"/>
  <c r="FR24" i="1" a="1"/>
  <c r="FR24" i="1"/>
  <c r="FR22" i="1" a="1"/>
  <c r="FR22" i="1"/>
  <c r="FR16" i="1" a="1"/>
  <c r="FR16" i="1"/>
  <c r="FR14" i="1" a="1"/>
  <c r="FR14" i="1"/>
  <c r="FR12" i="1" a="1"/>
  <c r="FR12" i="1"/>
  <c r="FR20" i="1" a="1"/>
  <c r="FR20" i="1"/>
  <c r="FR18" i="1" a="1"/>
  <c r="FR18" i="1"/>
  <c r="FR59" i="1" a="1"/>
  <c r="FR59" i="1"/>
  <c r="FR51" i="1" a="1"/>
  <c r="FR51" i="1"/>
  <c r="FR43" i="1" a="1"/>
  <c r="FR43" i="1"/>
  <c r="FR35" i="1" a="1"/>
  <c r="FR35" i="1"/>
  <c r="FR27" i="1" a="1"/>
  <c r="FR27" i="1"/>
  <c r="FR15" i="1" a="1"/>
  <c r="FR15" i="1"/>
  <c r="FS11" i="1"/>
  <c r="FR61" i="1" a="1"/>
  <c r="FR61" i="1"/>
  <c r="FR57" i="1" a="1"/>
  <c r="FR57" i="1"/>
  <c r="FR45" i="1" a="1"/>
  <c r="FR45" i="1"/>
  <c r="FR37" i="1" a="1"/>
  <c r="FR37" i="1"/>
  <c r="FR29" i="1" a="1"/>
  <c r="FR29" i="1"/>
  <c r="FR17" i="1" a="1"/>
  <c r="FR17" i="1"/>
  <c r="FR19" i="1" a="1"/>
  <c r="FR19" i="1"/>
  <c r="FR54" i="1" a="1"/>
  <c r="FR54" i="1"/>
  <c r="FR47" i="1" a="1"/>
  <c r="FR47" i="1"/>
  <c r="FR39" i="1" a="1"/>
  <c r="FR39" i="1"/>
  <c r="FR31" i="1" a="1"/>
  <c r="FR31" i="1"/>
  <c r="FR23" i="1" a="1"/>
  <c r="FR23" i="1"/>
  <c r="FR21" i="1" a="1"/>
  <c r="FR21" i="1"/>
  <c r="FR56" i="1" a="1"/>
  <c r="FR56" i="1"/>
  <c r="FR49" i="1" a="1"/>
  <c r="FR49" i="1"/>
  <c r="FR41" i="1" a="1"/>
  <c r="FR41" i="1"/>
  <c r="FR33" i="1" a="1"/>
  <c r="FR33" i="1"/>
  <c r="FR25" i="1" a="1"/>
  <c r="FR25" i="1"/>
  <c r="FR13" i="1" a="1"/>
  <c r="FR13" i="1"/>
  <c r="V32" i="1" a="1"/>
  <c r="V32" i="1"/>
  <c r="V55" i="1" a="1"/>
  <c r="V55" i="1"/>
  <c r="V43" i="1" a="1"/>
  <c r="V43" i="1"/>
  <c r="V42" i="1" a="1"/>
  <c r="V42" i="1"/>
  <c r="V62" i="1" a="1"/>
  <c r="V62" i="1"/>
  <c r="V19" i="1" a="1"/>
  <c r="V19" i="1"/>
  <c r="V31" i="1" a="1"/>
  <c r="V31" i="1"/>
  <c r="V59" i="1" a="1"/>
  <c r="V59" i="1"/>
  <c r="V23" i="1" a="1"/>
  <c r="V23" i="1"/>
  <c r="V18" i="1" a="1"/>
  <c r="V18" i="1"/>
  <c r="V60" i="1" a="1"/>
  <c r="V60" i="1"/>
  <c r="V33" i="1" a="1"/>
  <c r="V33" i="1"/>
  <c r="V34" i="1" a="1"/>
  <c r="V34" i="1"/>
  <c r="V52" i="1" a="1"/>
  <c r="V52" i="1"/>
  <c r="V29" i="1" a="1"/>
  <c r="V29" i="1"/>
  <c r="V49" i="1" a="1"/>
  <c r="V49" i="1"/>
  <c r="V12" i="1" a="1"/>
  <c r="V12" i="1"/>
  <c r="V20" i="1" a="1"/>
  <c r="V20" i="1"/>
  <c r="V36" i="1" a="1"/>
  <c r="V36" i="1"/>
  <c r="V53" i="1" a="1"/>
  <c r="V53" i="1"/>
  <c r="V17" i="1" a="1"/>
  <c r="V17" i="1"/>
  <c r="V24" i="1" a="1"/>
  <c r="V24" i="1"/>
  <c r="V45" i="1" a="1"/>
  <c r="V45" i="1"/>
  <c r="V21" i="1" a="1"/>
  <c r="V21" i="1"/>
  <c r="V28" i="1" a="1"/>
  <c r="V28" i="1"/>
  <c r="V37" i="1" a="1"/>
  <c r="V37" i="1"/>
  <c r="V57" i="1" a="1"/>
  <c r="V57" i="1"/>
  <c r="V27" i="1" a="1"/>
  <c r="V27" i="1"/>
  <c r="V47" i="1" a="1"/>
  <c r="V47" i="1"/>
  <c r="V41" i="1" a="1"/>
  <c r="V41" i="1"/>
  <c r="V48" i="1" a="1"/>
  <c r="V48" i="1"/>
  <c r="V15" i="1" a="1"/>
  <c r="V15" i="1"/>
  <c r="V56" i="1" a="1"/>
  <c r="V56" i="1"/>
  <c r="V54" i="1" a="1"/>
  <c r="V54" i="1"/>
  <c r="V22" i="1" a="1"/>
  <c r="V22" i="1"/>
  <c r="V30" i="1" a="1"/>
  <c r="V30" i="1"/>
  <c r="V16" i="1" a="1"/>
  <c r="V16" i="1"/>
  <c r="V35" i="1" a="1"/>
  <c r="V35" i="1"/>
  <c r="V13" i="1" a="1"/>
  <c r="V13" i="1"/>
  <c r="V38" i="1" a="1"/>
  <c r="V38" i="1"/>
  <c r="V61" i="1" a="1"/>
  <c r="V61" i="1"/>
  <c r="V46" i="1" a="1"/>
  <c r="V46" i="1"/>
  <c r="V51" i="1" a="1"/>
  <c r="V51" i="1"/>
  <c r="V14" i="1" a="1"/>
  <c r="V14" i="1"/>
  <c r="V50" i="1" a="1"/>
  <c r="V50" i="1"/>
  <c r="V58" i="1" a="1"/>
  <c r="V58" i="1"/>
  <c r="V26" i="1" a="1"/>
  <c r="V26" i="1"/>
  <c r="V40" i="1" a="1"/>
  <c r="V40" i="1"/>
  <c r="V25" i="1" a="1"/>
  <c r="V25" i="1"/>
  <c r="V44" i="1" a="1"/>
  <c r="V44" i="1"/>
  <c r="V39" i="1" a="1"/>
  <c r="V39" i="1"/>
  <c r="W28" i="1" a="1"/>
  <c r="W28" i="1"/>
  <c r="W23" i="1" a="1"/>
  <c r="W23" i="1"/>
  <c r="W44" i="1" a="1"/>
  <c r="W44" i="1"/>
  <c r="W58" i="1" a="1"/>
  <c r="W58" i="1"/>
  <c r="W43" i="1" a="1"/>
  <c r="W43" i="1"/>
  <c r="W57" i="1" a="1"/>
  <c r="W57" i="1"/>
  <c r="W53" i="1" a="1"/>
  <c r="W53" i="1"/>
  <c r="W14" i="1" a="1"/>
  <c r="W14" i="1"/>
  <c r="W56" i="1" a="1"/>
  <c r="W56" i="1"/>
  <c r="W22" i="1" a="1"/>
  <c r="W22" i="1"/>
  <c r="W59" i="1" a="1"/>
  <c r="W59" i="1"/>
  <c r="W20" i="1" a="1"/>
  <c r="W20" i="1"/>
  <c r="W37" i="1" a="1"/>
  <c r="W37" i="1"/>
  <c r="W24" i="1" a="1"/>
  <c r="W24" i="1"/>
  <c r="W33" i="1" a="1"/>
  <c r="W33" i="1"/>
  <c r="W32" i="1" a="1"/>
  <c r="W32" i="1"/>
  <c r="W52" i="1" a="1"/>
  <c r="W52" i="1"/>
  <c r="W36" i="1" a="1"/>
  <c r="W36" i="1"/>
  <c r="W12" i="1" a="1"/>
  <c r="W12" i="1"/>
  <c r="W61" i="1" a="1"/>
  <c r="W61" i="1"/>
  <c r="W49" i="1" a="1"/>
  <c r="W49" i="1"/>
  <c r="W16" i="1" a="1"/>
  <c r="W16" i="1"/>
  <c r="W13" i="1" a="1"/>
  <c r="W13" i="1"/>
  <c r="W31" i="1" a="1"/>
  <c r="W31" i="1"/>
  <c r="W25" i="1" a="1"/>
  <c r="W25" i="1"/>
  <c r="W48" i="1" a="1"/>
  <c r="W48" i="1"/>
  <c r="W26" i="1" a="1"/>
  <c r="W26" i="1"/>
  <c r="W35" i="1" a="1"/>
  <c r="W35" i="1"/>
  <c r="W30" i="1" a="1"/>
  <c r="W30" i="1"/>
  <c r="W41" i="1" a="1"/>
  <c r="W41" i="1"/>
  <c r="W55" i="1" a="1"/>
  <c r="W55" i="1"/>
  <c r="W45" i="1" a="1"/>
  <c r="W45" i="1"/>
  <c r="W51" i="1" a="1"/>
  <c r="W51" i="1"/>
  <c r="W19" i="1" a="1"/>
  <c r="W19" i="1"/>
  <c r="W46" i="1" a="1"/>
  <c r="W46" i="1"/>
  <c r="W42" i="1" a="1"/>
  <c r="W42" i="1"/>
  <c r="W29" i="1" a="1"/>
  <c r="W29" i="1"/>
  <c r="W18" i="1" a="1"/>
  <c r="W18" i="1"/>
  <c r="W17" i="1" a="1"/>
  <c r="W17" i="1"/>
  <c r="W38" i="1" a="1"/>
  <c r="W38" i="1"/>
  <c r="W50" i="1" a="1"/>
  <c r="W50" i="1"/>
  <c r="W39" i="1" a="1"/>
  <c r="W39" i="1"/>
  <c r="W47" i="1" a="1"/>
  <c r="W47" i="1"/>
  <c r="W34" i="1" a="1"/>
  <c r="W34" i="1"/>
  <c r="W54" i="1" a="1"/>
  <c r="W54" i="1"/>
  <c r="W60" i="1" a="1"/>
  <c r="W60" i="1"/>
  <c r="W15" i="1" a="1"/>
  <c r="W15" i="1"/>
  <c r="W62" i="1" a="1"/>
  <c r="W62" i="1"/>
  <c r="W27" i="1" a="1"/>
  <c r="W27" i="1"/>
  <c r="W40" i="1" a="1"/>
  <c r="W40" i="1"/>
  <c r="W21" i="1" a="1"/>
  <c r="W21" i="1"/>
  <c r="FS56" i="1" a="1"/>
  <c r="FS56" i="1"/>
  <c r="FS58" i="1" a="1"/>
  <c r="FS58" i="1"/>
  <c r="FS50" i="1" a="1"/>
  <c r="FS50" i="1"/>
  <c r="FS47" i="1" a="1"/>
  <c r="FS47" i="1"/>
  <c r="FS42" i="1" a="1"/>
  <c r="FS42" i="1"/>
  <c r="FS39" i="1" a="1"/>
  <c r="FS39" i="1"/>
  <c r="FS34" i="1" a="1"/>
  <c r="FS34" i="1"/>
  <c r="FS31" i="1" a="1"/>
  <c r="FS31" i="1"/>
  <c r="FS30" i="1" a="1"/>
  <c r="FS30" i="1"/>
  <c r="FS21" i="1" a="1"/>
  <c r="FS21" i="1"/>
  <c r="FS22" i="1" a="1"/>
  <c r="FS22" i="1"/>
  <c r="FS15" i="1" a="1"/>
  <c r="FS15" i="1"/>
  <c r="FS60" i="1" a="1"/>
  <c r="FS60" i="1"/>
  <c r="FS55" i="1" a="1"/>
  <c r="FS55" i="1"/>
  <c r="FS52" i="1" a="1"/>
  <c r="FS52" i="1"/>
  <c r="FS49" i="1" a="1"/>
  <c r="FS49" i="1"/>
  <c r="FS44" i="1" a="1"/>
  <c r="FS44" i="1"/>
  <c r="FS41" i="1" a="1"/>
  <c r="FS41" i="1"/>
  <c r="FS36" i="1" a="1"/>
  <c r="FS36" i="1"/>
  <c r="FS33" i="1" a="1"/>
  <c r="FS33" i="1"/>
  <c r="FS25" i="1" a="1"/>
  <c r="FS25" i="1"/>
  <c r="FS29" i="1" a="1"/>
  <c r="FS29" i="1"/>
  <c r="FS18" i="1" a="1"/>
  <c r="FS18" i="1"/>
  <c r="FS17" i="1" a="1"/>
  <c r="FS17" i="1"/>
  <c r="FS12" i="1" a="1"/>
  <c r="FS12" i="1"/>
  <c r="FS62" i="1" a="1"/>
  <c r="FS62" i="1"/>
  <c r="FS59" i="1" a="1"/>
  <c r="FS59" i="1"/>
  <c r="FS57" i="1" a="1"/>
  <c r="FS57" i="1"/>
  <c r="FS51" i="1" a="1"/>
  <c r="FS51" i="1"/>
  <c r="FS46" i="1" a="1"/>
  <c r="FS46" i="1"/>
  <c r="FS43" i="1" a="1"/>
  <c r="FS43" i="1"/>
  <c r="FS38" i="1" a="1"/>
  <c r="FS38" i="1"/>
  <c r="FS35" i="1" a="1"/>
  <c r="FS35" i="1"/>
  <c r="FS27" i="1" a="1"/>
  <c r="FS27" i="1"/>
  <c r="FS24" i="1" a="1"/>
  <c r="FS24" i="1"/>
  <c r="FS20" i="1" a="1"/>
  <c r="FS20" i="1"/>
  <c r="FS23" i="1" a="1"/>
  <c r="FS23" i="1"/>
  <c r="FS14" i="1" a="1"/>
  <c r="FS14" i="1"/>
  <c r="FT11" i="1"/>
  <c r="FS61" i="1" a="1"/>
  <c r="FS61" i="1"/>
  <c r="FS54" i="1" a="1"/>
  <c r="FS54" i="1"/>
  <c r="FS53" i="1" a="1"/>
  <c r="FS53" i="1"/>
  <c r="FS48" i="1" a="1"/>
  <c r="FS48" i="1"/>
  <c r="FS45" i="1" a="1"/>
  <c r="FS45" i="1"/>
  <c r="FS40" i="1" a="1"/>
  <c r="FS40" i="1"/>
  <c r="FS37" i="1" a="1"/>
  <c r="FS37" i="1"/>
  <c r="FS32" i="1" a="1"/>
  <c r="FS32" i="1"/>
  <c r="FS26" i="1" a="1"/>
  <c r="FS26" i="1"/>
  <c r="FS28" i="1" a="1"/>
  <c r="FS28" i="1"/>
  <c r="FS19" i="1" a="1"/>
  <c r="FS19" i="1"/>
  <c r="FS16" i="1" a="1"/>
  <c r="FS16" i="1"/>
  <c r="FS13" i="1" a="1"/>
  <c r="FS13" i="1"/>
  <c r="FT62" i="1" a="1"/>
  <c r="FT62" i="1"/>
  <c r="FT60" i="1" a="1"/>
  <c r="FT60" i="1"/>
  <c r="FT58" i="1" a="1"/>
  <c r="FT58" i="1"/>
  <c r="FT56" i="1" a="1"/>
  <c r="FT56" i="1"/>
  <c r="FT54" i="1" a="1"/>
  <c r="FT54" i="1"/>
  <c r="FT52" i="1" a="1"/>
  <c r="FT52" i="1"/>
  <c r="FT50" i="1" a="1"/>
  <c r="FT50" i="1"/>
  <c r="FT47" i="1" a="1"/>
  <c r="FT47" i="1"/>
  <c r="FT45" i="1" a="1"/>
  <c r="FT45" i="1"/>
  <c r="FT43" i="1" a="1"/>
  <c r="FT43" i="1"/>
  <c r="FT48" i="1" a="1"/>
  <c r="FT48" i="1"/>
  <c r="FT38" i="1" a="1"/>
  <c r="FT38" i="1"/>
  <c r="FT36" i="1" a="1"/>
  <c r="FT36" i="1"/>
  <c r="FT34" i="1" a="1"/>
  <c r="FT34" i="1"/>
  <c r="FT41" i="1" a="1"/>
  <c r="FT41" i="1"/>
  <c r="FT30" i="1" a="1"/>
  <c r="FT30" i="1"/>
  <c r="FT28" i="1" a="1"/>
  <c r="FT28" i="1"/>
  <c r="FT31" i="1" a="1"/>
  <c r="FT31" i="1"/>
  <c r="FT26" i="1" a="1"/>
  <c r="FT26" i="1"/>
  <c r="FT24" i="1" a="1"/>
  <c r="FT24" i="1"/>
  <c r="FT22" i="1" a="1"/>
  <c r="FT22" i="1"/>
  <c r="FT20" i="1" a="1"/>
  <c r="FT20" i="1"/>
  <c r="FT18" i="1" a="1"/>
  <c r="FT18" i="1"/>
  <c r="FT16" i="1" a="1"/>
  <c r="FT16" i="1"/>
  <c r="FT14" i="1" a="1"/>
  <c r="FT14" i="1"/>
  <c r="FT12" i="1" a="1"/>
  <c r="FT12" i="1"/>
  <c r="FT59" i="1" a="1"/>
  <c r="FT59" i="1"/>
  <c r="FT51" i="1" a="1"/>
  <c r="FT51" i="1"/>
  <c r="FT42" i="1" a="1"/>
  <c r="FT42" i="1"/>
  <c r="FT33" i="1" a="1"/>
  <c r="FT33" i="1"/>
  <c r="FT27" i="1" a="1"/>
  <c r="FT27" i="1"/>
  <c r="FT19" i="1" a="1"/>
  <c r="FT19" i="1"/>
  <c r="FU11" i="1"/>
  <c r="FT61" i="1" a="1"/>
  <c r="FT61" i="1"/>
  <c r="FT53" i="1" a="1"/>
  <c r="FT53" i="1"/>
  <c r="FT44" i="1" a="1"/>
  <c r="FT44" i="1"/>
  <c r="FT35" i="1" a="1"/>
  <c r="FT35" i="1"/>
  <c r="FT32" i="1" a="1"/>
  <c r="FT32" i="1"/>
  <c r="FT21" i="1" a="1"/>
  <c r="FT21" i="1"/>
  <c r="FT13" i="1" a="1"/>
  <c r="FT13" i="1"/>
  <c r="FT55" i="1" a="1"/>
  <c r="FT55" i="1"/>
  <c r="FT46" i="1" a="1"/>
  <c r="FT46" i="1"/>
  <c r="FT37" i="1" a="1"/>
  <c r="FT37" i="1"/>
  <c r="FT29" i="1" a="1"/>
  <c r="FT29" i="1"/>
  <c r="FT23" i="1" a="1"/>
  <c r="FT23" i="1"/>
  <c r="FT15" i="1" a="1"/>
  <c r="FT15" i="1"/>
  <c r="FT57" i="1" a="1"/>
  <c r="FT57" i="1"/>
  <c r="FT49" i="1" a="1"/>
  <c r="FT49" i="1"/>
  <c r="FT39" i="1" a="1"/>
  <c r="FT39" i="1"/>
  <c r="FT40" i="1" a="1"/>
  <c r="FT40" i="1"/>
  <c r="FT25" i="1" a="1"/>
  <c r="FT25" i="1"/>
  <c r="FT17" i="1" a="1"/>
  <c r="FT17" i="1"/>
  <c r="X24" i="1" a="1"/>
  <c r="X24" i="1"/>
  <c r="X53" i="1" a="1"/>
  <c r="X53" i="1"/>
  <c r="X40" i="1" a="1"/>
  <c r="X40" i="1"/>
  <c r="X13" i="1" a="1"/>
  <c r="X13" i="1"/>
  <c r="X12" i="1" a="1"/>
  <c r="X12" i="1"/>
  <c r="X61" i="1" a="1"/>
  <c r="X61" i="1"/>
  <c r="X34" i="1" a="1"/>
  <c r="X34" i="1"/>
  <c r="X23" i="1" a="1"/>
  <c r="X23" i="1"/>
  <c r="X15" i="1" a="1"/>
  <c r="X15" i="1"/>
  <c r="X33" i="1" a="1"/>
  <c r="X33" i="1"/>
  <c r="X47" i="1" a="1"/>
  <c r="X47" i="1"/>
  <c r="X62" i="1" a="1"/>
  <c r="X62" i="1"/>
  <c r="X48" i="1" a="1"/>
  <c r="X48" i="1"/>
  <c r="X21" i="1" a="1"/>
  <c r="X21" i="1"/>
  <c r="X30" i="1" a="1"/>
  <c r="X30" i="1"/>
  <c r="X39" i="1" a="1"/>
  <c r="X39" i="1"/>
  <c r="X26" i="1" a="1"/>
  <c r="X26" i="1"/>
  <c r="X18" i="1" a="1"/>
  <c r="X18" i="1"/>
  <c r="X51" i="1" a="1"/>
  <c r="X51" i="1"/>
  <c r="X45" i="1" a="1"/>
  <c r="X45" i="1"/>
  <c r="X27" i="1" a="1"/>
  <c r="X27" i="1"/>
  <c r="X42" i="1" a="1"/>
  <c r="X42" i="1"/>
  <c r="X58" i="1" a="1"/>
  <c r="X58" i="1"/>
  <c r="X14" i="1" a="1"/>
  <c r="X14" i="1"/>
  <c r="X43" i="1" a="1"/>
  <c r="X43" i="1"/>
  <c r="X46" i="1" a="1"/>
  <c r="X46" i="1"/>
  <c r="X41" i="1" a="1"/>
  <c r="X41" i="1"/>
  <c r="X19" i="1" a="1"/>
  <c r="X19" i="1"/>
  <c r="X54" i="1" a="1"/>
  <c r="X54" i="1"/>
  <c r="X59" i="1" a="1"/>
  <c r="X59" i="1"/>
  <c r="X17" i="1" a="1"/>
  <c r="X17" i="1"/>
  <c r="X38" i="1" a="1"/>
  <c r="X38" i="1"/>
  <c r="X16" i="1" a="1"/>
  <c r="X16" i="1"/>
  <c r="X35" i="1" a="1"/>
  <c r="X35" i="1"/>
  <c r="X44" i="1" a="1"/>
  <c r="X44" i="1"/>
  <c r="X52" i="1" a="1"/>
  <c r="X52" i="1"/>
  <c r="X29" i="1" a="1"/>
  <c r="X29" i="1"/>
  <c r="X22" i="1" a="1"/>
  <c r="X22" i="1"/>
  <c r="X20" i="1" a="1"/>
  <c r="X20" i="1"/>
  <c r="X57" i="1" a="1"/>
  <c r="X57" i="1"/>
  <c r="X50" i="1" a="1"/>
  <c r="X50" i="1"/>
  <c r="X37" i="1" a="1"/>
  <c r="X37" i="1"/>
  <c r="X60" i="1" a="1"/>
  <c r="X60" i="1"/>
  <c r="X49" i="1" a="1"/>
  <c r="X49" i="1"/>
  <c r="X28" i="1" a="1"/>
  <c r="X28" i="1"/>
  <c r="X25" i="1" a="1"/>
  <c r="X25" i="1"/>
  <c r="X32" i="1" a="1"/>
  <c r="X32" i="1"/>
  <c r="X55" i="1" a="1"/>
  <c r="X55" i="1"/>
  <c r="X56" i="1" a="1"/>
  <c r="X56" i="1"/>
  <c r="X36" i="1" a="1"/>
  <c r="X36" i="1"/>
  <c r="X31" i="1" a="1"/>
  <c r="X31" i="1"/>
  <c r="Y47" i="1" a="1"/>
  <c r="Y47" i="1"/>
  <c r="Y34" i="1" a="1"/>
  <c r="Y34" i="1"/>
  <c r="Y54" i="1" a="1"/>
  <c r="Y54" i="1"/>
  <c r="Y59" i="1" a="1"/>
  <c r="Y59" i="1"/>
  <c r="Y14" i="1" a="1"/>
  <c r="Y14" i="1"/>
  <c r="Y61" i="1" a="1"/>
  <c r="Y61" i="1"/>
  <c r="Y25" i="1" a="1"/>
  <c r="Y25" i="1"/>
  <c r="Y44" i="1" a="1"/>
  <c r="Y44" i="1"/>
  <c r="Y29" i="1" a="1"/>
  <c r="Y29" i="1"/>
  <c r="Y36" i="1" a="1"/>
  <c r="Y36" i="1"/>
  <c r="Y13" i="1" a="1"/>
  <c r="Y13" i="1"/>
  <c r="Y37" i="1" a="1"/>
  <c r="Y37" i="1"/>
  <c r="Y58" i="1" a="1"/>
  <c r="Y58" i="1"/>
  <c r="Y43" i="1" a="1"/>
  <c r="Y43" i="1"/>
  <c r="Y38" i="1" a="1"/>
  <c r="Y38" i="1"/>
  <c r="Y23" i="1" a="1"/>
  <c r="Y23" i="1"/>
  <c r="Y48" i="1" a="1"/>
  <c r="Y48" i="1"/>
  <c r="Y16" i="1" a="1"/>
  <c r="Y16" i="1"/>
  <c r="Y24" i="1" a="1"/>
  <c r="Y24" i="1"/>
  <c r="Y33" i="1" a="1"/>
  <c r="Y33" i="1"/>
  <c r="Y28" i="1" a="1"/>
  <c r="Y28" i="1"/>
  <c r="Y45" i="1" a="1"/>
  <c r="Y45" i="1"/>
  <c r="Y32" i="1" a="1"/>
  <c r="Y32" i="1"/>
  <c r="Y15" i="1" a="1"/>
  <c r="Y15" i="1"/>
  <c r="Y56" i="1" a="1"/>
  <c r="Y56" i="1"/>
  <c r="Y41" i="1" a="1"/>
  <c r="Y41" i="1"/>
  <c r="Y18" i="1" a="1"/>
  <c r="Y18" i="1"/>
  <c r="Y19" i="1" a="1"/>
  <c r="Y19" i="1"/>
  <c r="Y57" i="1" a="1"/>
  <c r="Y57" i="1"/>
  <c r="Y42" i="1" a="1"/>
  <c r="Y42" i="1"/>
  <c r="Y22" i="1" a="1"/>
  <c r="Y22" i="1"/>
  <c r="Y17" i="1" a="1"/>
  <c r="Y17" i="1"/>
  <c r="Y52" i="1" a="1"/>
  <c r="Y52" i="1"/>
  <c r="Y26" i="1" a="1"/>
  <c r="Y26" i="1"/>
  <c r="Y46" i="1" a="1"/>
  <c r="Y46" i="1"/>
  <c r="Y30" i="1" a="1"/>
  <c r="Y30" i="1"/>
  <c r="Y27" i="1" a="1"/>
  <c r="Y27" i="1"/>
  <c r="Y49" i="1" a="1"/>
  <c r="Y49" i="1"/>
  <c r="Y12" i="1" a="1"/>
  <c r="Y12" i="1"/>
  <c r="Y53" i="1" a="1"/>
  <c r="Y53" i="1"/>
  <c r="Y40" i="1" a="1"/>
  <c r="Y40" i="1"/>
  <c r="Y60" i="1" a="1"/>
  <c r="Y60" i="1"/>
  <c r="Y21" i="1" a="1"/>
  <c r="Y21" i="1"/>
  <c r="Y62" i="1" a="1"/>
  <c r="Y62" i="1"/>
  <c r="Y51" i="1" a="1"/>
  <c r="Y51" i="1"/>
  <c r="Y31" i="1" a="1"/>
  <c r="Y31" i="1"/>
  <c r="Y20" i="1" a="1"/>
  <c r="Y20" i="1"/>
  <c r="Y55" i="1" a="1"/>
  <c r="Y55" i="1"/>
  <c r="Y35" i="1" a="1"/>
  <c r="Y35" i="1"/>
  <c r="Y50" i="1" a="1"/>
  <c r="Y50" i="1"/>
  <c r="Y39" i="1" a="1"/>
  <c r="Y39" i="1"/>
  <c r="FU59" i="1" a="1"/>
  <c r="FU59" i="1"/>
  <c r="FU54" i="1" a="1"/>
  <c r="FU54" i="1"/>
  <c r="FU52" i="1" a="1"/>
  <c r="FU52" i="1"/>
  <c r="FU47" i="1" a="1"/>
  <c r="FU47" i="1"/>
  <c r="FU44" i="1" a="1"/>
  <c r="FU44" i="1"/>
  <c r="FU39" i="1" a="1"/>
  <c r="FU39" i="1"/>
  <c r="FU36" i="1" a="1"/>
  <c r="FU36" i="1"/>
  <c r="FU62" i="1" a="1"/>
  <c r="FU62" i="1"/>
  <c r="FU56" i="1" a="1"/>
  <c r="FU56" i="1"/>
  <c r="FU58" i="1" a="1"/>
  <c r="FU58" i="1"/>
  <c r="FU49" i="1" a="1"/>
  <c r="FU49" i="1"/>
  <c r="FU46" i="1" a="1"/>
  <c r="FU46" i="1"/>
  <c r="FU41" i="1" a="1"/>
  <c r="FU41" i="1"/>
  <c r="FU38" i="1" a="1"/>
  <c r="FU38" i="1"/>
  <c r="FU33" i="1" a="1"/>
  <c r="FU33" i="1"/>
  <c r="FU31" i="1" a="1"/>
  <c r="FU31" i="1"/>
  <c r="FU29" i="1" a="1"/>
  <c r="FU29" i="1"/>
  <c r="FU27" i="1" a="1"/>
  <c r="FU27" i="1"/>
  <c r="FU25" i="1" a="1"/>
  <c r="FU25" i="1"/>
  <c r="FU23" i="1" a="1"/>
  <c r="FU23" i="1"/>
  <c r="FU21" i="1" a="1"/>
  <c r="FU21" i="1"/>
  <c r="FU19" i="1" a="1"/>
  <c r="FU19" i="1"/>
  <c r="FU17" i="1" a="1"/>
  <c r="FU17" i="1"/>
  <c r="FU15" i="1" a="1"/>
  <c r="FU15" i="1"/>
  <c r="FU13" i="1" a="1"/>
  <c r="FU13" i="1"/>
  <c r="FV11" i="1"/>
  <c r="FU61" i="1" a="1"/>
  <c r="FU61" i="1"/>
  <c r="FU55" i="1" a="1"/>
  <c r="FU55" i="1"/>
  <c r="FU51" i="1" a="1"/>
  <c r="FU51" i="1"/>
  <c r="FU48" i="1" a="1"/>
  <c r="FU48" i="1"/>
  <c r="FU43" i="1" a="1"/>
  <c r="FU43" i="1"/>
  <c r="FU40" i="1" a="1"/>
  <c r="FU40" i="1"/>
  <c r="FU35" i="1" a="1"/>
  <c r="FU35" i="1"/>
  <c r="FU60" i="1" a="1"/>
  <c r="FU60" i="1"/>
  <c r="FU57" i="1" a="1"/>
  <c r="FU57" i="1"/>
  <c r="FU53" i="1" a="1"/>
  <c r="FU53" i="1"/>
  <c r="FU50" i="1" a="1"/>
  <c r="FU50" i="1"/>
  <c r="FU45" i="1" a="1"/>
  <c r="FU45" i="1"/>
  <c r="FU42" i="1" a="1"/>
  <c r="FU42" i="1"/>
  <c r="FU37" i="1" a="1"/>
  <c r="FU37" i="1"/>
  <c r="FU34" i="1" a="1"/>
  <c r="FU34" i="1"/>
  <c r="FU32" i="1" a="1"/>
  <c r="FU32" i="1"/>
  <c r="FU30" i="1" a="1"/>
  <c r="FU30" i="1"/>
  <c r="FU28" i="1" a="1"/>
  <c r="FU28" i="1"/>
  <c r="FU26" i="1" a="1"/>
  <c r="FU26" i="1"/>
  <c r="FU24" i="1" a="1"/>
  <c r="FU24" i="1"/>
  <c r="FU22" i="1" a="1"/>
  <c r="FU22" i="1"/>
  <c r="FU20" i="1" a="1"/>
  <c r="FU20" i="1"/>
  <c r="FU18" i="1" a="1"/>
  <c r="FU18" i="1"/>
  <c r="FU16" i="1" a="1"/>
  <c r="FU16" i="1"/>
  <c r="FU14" i="1" a="1"/>
  <c r="FU14" i="1"/>
  <c r="FU12" i="1" a="1"/>
  <c r="FU12" i="1"/>
  <c r="FV61" i="1" a="1"/>
  <c r="FV61" i="1"/>
  <c r="FV59" i="1" a="1"/>
  <c r="FV59" i="1"/>
  <c r="FV57" i="1" a="1"/>
  <c r="FV57" i="1"/>
  <c r="FV55" i="1" a="1"/>
  <c r="FV55" i="1"/>
  <c r="FV53" i="1" a="1"/>
  <c r="FV53" i="1"/>
  <c r="FV49" i="1" a="1"/>
  <c r="FV49" i="1"/>
  <c r="FV51" i="1" a="1"/>
  <c r="FV51" i="1"/>
  <c r="FV45" i="1" a="1"/>
  <c r="FV45" i="1"/>
  <c r="FV43" i="1" a="1"/>
  <c r="FV43" i="1"/>
  <c r="FV47" i="1" a="1"/>
  <c r="FV47" i="1"/>
  <c r="FV41" i="1" a="1"/>
  <c r="FV41" i="1"/>
  <c r="FV36" i="1" a="1"/>
  <c r="FV36" i="1"/>
  <c r="FV34" i="1" a="1"/>
  <c r="FV34" i="1"/>
  <c r="FV39" i="1" a="1"/>
  <c r="FV39" i="1"/>
  <c r="FV37" i="1" a="1"/>
  <c r="FV37" i="1"/>
  <c r="FV31" i="1" a="1"/>
  <c r="FV31" i="1"/>
  <c r="FV29" i="1" a="1"/>
  <c r="FV29" i="1"/>
  <c r="FV27" i="1" a="1"/>
  <c r="FV27" i="1"/>
  <c r="FV25" i="1" a="1"/>
  <c r="FV25" i="1"/>
  <c r="FV23" i="1" a="1"/>
  <c r="FV23" i="1"/>
  <c r="FV21" i="1" a="1"/>
  <c r="FV21" i="1"/>
  <c r="FV19" i="1" a="1"/>
  <c r="FV19" i="1"/>
  <c r="FV17" i="1" a="1"/>
  <c r="FV17" i="1"/>
  <c r="FV15" i="1" a="1"/>
  <c r="FV15" i="1"/>
  <c r="FV13" i="1" a="1"/>
  <c r="FV13" i="1"/>
  <c r="FW11" i="1"/>
  <c r="FV62" i="1" a="1"/>
  <c r="FV62" i="1"/>
  <c r="FV60" i="1" a="1"/>
  <c r="FV60" i="1"/>
  <c r="FV58" i="1" a="1"/>
  <c r="FV58" i="1"/>
  <c r="FV56" i="1" a="1"/>
  <c r="FV56" i="1"/>
  <c r="FV54" i="1" a="1"/>
  <c r="FV54" i="1"/>
  <c r="FV50" i="1" a="1"/>
  <c r="FV50" i="1"/>
  <c r="FV52" i="1" a="1"/>
  <c r="FV52" i="1"/>
  <c r="FV48" i="1" a="1"/>
  <c r="FV48" i="1"/>
  <c r="FV44" i="1" a="1"/>
  <c r="FV44" i="1"/>
  <c r="FV42" i="1" a="1"/>
  <c r="FV42" i="1"/>
  <c r="FV46" i="1" a="1"/>
  <c r="FV46" i="1"/>
  <c r="FV40" i="1" a="1"/>
  <c r="FV40" i="1"/>
  <c r="FV35" i="1" a="1"/>
  <c r="FV35" i="1"/>
  <c r="FV33" i="1" a="1"/>
  <c r="FV33" i="1"/>
  <c r="FV38" i="1" a="1"/>
  <c r="FV38" i="1"/>
  <c r="FV32" i="1" a="1"/>
  <c r="FV32" i="1"/>
  <c r="FV30" i="1" a="1"/>
  <c r="FV30" i="1"/>
  <c r="FV28" i="1" a="1"/>
  <c r="FV28" i="1"/>
  <c r="FV26" i="1" a="1"/>
  <c r="FV26" i="1"/>
  <c r="FV24" i="1" a="1"/>
  <c r="FV24" i="1"/>
  <c r="FV22" i="1" a="1"/>
  <c r="FV22" i="1"/>
  <c r="FV20" i="1" a="1"/>
  <c r="FV20" i="1"/>
  <c r="FV18" i="1" a="1"/>
  <c r="FV18" i="1"/>
  <c r="FV16" i="1" a="1"/>
  <c r="FV16" i="1"/>
  <c r="FV14" i="1" a="1"/>
  <c r="FV14" i="1"/>
  <c r="FV12" i="1" a="1"/>
  <c r="FV12" i="1"/>
  <c r="Z46" i="1" a="1"/>
  <c r="Z46" i="1"/>
  <c r="Z21" i="1" a="1"/>
  <c r="Z21" i="1"/>
  <c r="Z23" i="1" a="1"/>
  <c r="Z23" i="1"/>
  <c r="Z43" i="1" a="1"/>
  <c r="Z43" i="1"/>
  <c r="Z50" i="1" a="1"/>
  <c r="Z50" i="1"/>
  <c r="Z59" i="1" a="1"/>
  <c r="Z59" i="1"/>
  <c r="Z51" i="1" a="1"/>
  <c r="Z51" i="1"/>
  <c r="Z61" i="1" a="1"/>
  <c r="Z61" i="1"/>
  <c r="Z14" i="1" a="1"/>
  <c r="Z14" i="1"/>
  <c r="Z16" i="1" a="1"/>
  <c r="Z16" i="1"/>
  <c r="Z24" i="1" a="1"/>
  <c r="Z24" i="1"/>
  <c r="Z28" i="1" a="1"/>
  <c r="Z28" i="1"/>
  <c r="Z32" i="1" a="1"/>
  <c r="Z32" i="1"/>
  <c r="Z48" i="1" a="1"/>
  <c r="Z48" i="1"/>
  <c r="Z35" i="1" a="1"/>
  <c r="Z35" i="1"/>
  <c r="Z12" i="1" a="1"/>
  <c r="Z12" i="1"/>
  <c r="Z13" i="1" a="1"/>
  <c r="Z13" i="1"/>
  <c r="Z31" i="1" a="1"/>
  <c r="Z31" i="1"/>
  <c r="Z39" i="1" a="1"/>
  <c r="Z39" i="1"/>
  <c r="Z38" i="1" a="1"/>
  <c r="Z38" i="1"/>
  <c r="Z30" i="1" a="1"/>
  <c r="Z30" i="1"/>
  <c r="Z60" i="1" a="1"/>
  <c r="Z60" i="1"/>
  <c r="Z42" i="1" a="1"/>
  <c r="Z42" i="1"/>
  <c r="Z25" i="1" a="1"/>
  <c r="Z25" i="1"/>
  <c r="Z49" i="1" a="1"/>
  <c r="Z49" i="1"/>
  <c r="Z34" i="1" a="1"/>
  <c r="Z34" i="1"/>
  <c r="Z17" i="1" a="1"/>
  <c r="Z17" i="1"/>
  <c r="Z54" i="1" a="1"/>
  <c r="Z54" i="1"/>
  <c r="Z22" i="1" a="1"/>
  <c r="Z22" i="1"/>
  <c r="Z58" i="1" a="1"/>
  <c r="Z58" i="1"/>
  <c r="Z55" i="1" a="1"/>
  <c r="Z55" i="1"/>
  <c r="Z18" i="1" a="1"/>
  <c r="Z18" i="1"/>
  <c r="Z27" i="1" a="1"/>
  <c r="Z27" i="1"/>
  <c r="Z29" i="1" a="1"/>
  <c r="Z29" i="1"/>
  <c r="Z45" i="1" a="1"/>
  <c r="Z45" i="1"/>
  <c r="Z44" i="1" a="1"/>
  <c r="Z44" i="1"/>
  <c r="Z57" i="1" a="1"/>
  <c r="Z57" i="1"/>
  <c r="Z36" i="1" a="1"/>
  <c r="Z36" i="1"/>
  <c r="Z19" i="1" a="1"/>
  <c r="Z19" i="1"/>
  <c r="Z53" i="1" a="1"/>
  <c r="Z53" i="1"/>
  <c r="Z33" i="1" a="1"/>
  <c r="Z33" i="1"/>
  <c r="Z40" i="1" a="1"/>
  <c r="Z40" i="1"/>
  <c r="Z47" i="1" a="1"/>
  <c r="Z47" i="1"/>
  <c r="Z56" i="1" a="1"/>
  <c r="Z56" i="1"/>
  <c r="Z15" i="1" a="1"/>
  <c r="Z15" i="1"/>
  <c r="Z26" i="1" a="1"/>
  <c r="Z26" i="1"/>
  <c r="Z52" i="1" a="1"/>
  <c r="Z52" i="1"/>
  <c r="Z62" i="1" a="1"/>
  <c r="Z62" i="1"/>
  <c r="Z20" i="1" a="1"/>
  <c r="Z20" i="1"/>
  <c r="Z37" i="1" a="1"/>
  <c r="Z37" i="1"/>
  <c r="Z41" i="1" a="1"/>
  <c r="Z41" i="1"/>
  <c r="AA31" i="1" a="1"/>
  <c r="AA31" i="1"/>
  <c r="AA57" i="1" a="1"/>
  <c r="AA57" i="1"/>
  <c r="AA23" i="1" a="1"/>
  <c r="AA23" i="1"/>
  <c r="AA45" i="1" a="1"/>
  <c r="AA45" i="1"/>
  <c r="AA17" i="1" a="1"/>
  <c r="AA17" i="1"/>
  <c r="AA15" i="1" a="1"/>
  <c r="AA15" i="1"/>
  <c r="AA58" i="1" a="1"/>
  <c r="AA58" i="1"/>
  <c r="AA13" i="1" a="1"/>
  <c r="AA13" i="1"/>
  <c r="AA38" i="1" a="1"/>
  <c r="AA38" i="1"/>
  <c r="AA21" i="1" a="1"/>
  <c r="AA21" i="1"/>
  <c r="AA41" i="1" a="1"/>
  <c r="AA41" i="1"/>
  <c r="AA51" i="1" a="1"/>
  <c r="AA51" i="1"/>
  <c r="AA46" i="1" a="1"/>
  <c r="AA46" i="1"/>
  <c r="AA42" i="1" a="1"/>
  <c r="AA42" i="1"/>
  <c r="AA27" i="1" a="1"/>
  <c r="AA27" i="1"/>
  <c r="AA56" i="1" a="1"/>
  <c r="AA56" i="1"/>
  <c r="AA20" i="1" a="1"/>
  <c r="AA20" i="1"/>
  <c r="AA36" i="1" a="1"/>
  <c r="AA36" i="1"/>
  <c r="AA19" i="1" a="1"/>
  <c r="AA19" i="1"/>
  <c r="AA32" i="1" a="1"/>
  <c r="AA32" i="1"/>
  <c r="AA47" i="1" a="1"/>
  <c r="AA47" i="1"/>
  <c r="AA44" i="1" a="1"/>
  <c r="AA44" i="1"/>
  <c r="AA18" i="1" a="1"/>
  <c r="AA18" i="1"/>
  <c r="AA60" i="1" a="1"/>
  <c r="AA60" i="1"/>
  <c r="AA24" i="1" a="1"/>
  <c r="AA24" i="1"/>
  <c r="AA53" i="1" a="1"/>
  <c r="AA53" i="1"/>
  <c r="AA28" i="1" a="1"/>
  <c r="AA28" i="1"/>
  <c r="AA25" i="1" a="1"/>
  <c r="AA25" i="1"/>
  <c r="AA35" i="1" a="1"/>
  <c r="AA35" i="1"/>
  <c r="AA62" i="1" a="1"/>
  <c r="AA62" i="1"/>
  <c r="AA39" i="1" a="1"/>
  <c r="AA39" i="1"/>
  <c r="AA26" i="1" a="1"/>
  <c r="AA26" i="1"/>
  <c r="AA12" i="1" a="1"/>
  <c r="AA12" i="1"/>
  <c r="AA55" i="1" a="1"/>
  <c r="AA55" i="1"/>
  <c r="AA40" i="1" a="1"/>
  <c r="AA40" i="1"/>
  <c r="AA14" i="1" a="1"/>
  <c r="AA14" i="1"/>
  <c r="AA34" i="1" a="1"/>
  <c r="AA34" i="1"/>
  <c r="AA16" i="1" a="1"/>
  <c r="AA16" i="1"/>
  <c r="AA33" i="1" a="1"/>
  <c r="AA33" i="1"/>
  <c r="AA48" i="1" a="1"/>
  <c r="AA48" i="1"/>
  <c r="AA37" i="1" a="1"/>
  <c r="AA37" i="1"/>
  <c r="AA50" i="1" a="1"/>
  <c r="AA50" i="1"/>
  <c r="AA29" i="1" a="1"/>
  <c r="AA29" i="1"/>
  <c r="AA54" i="1" a="1"/>
  <c r="AA54" i="1"/>
  <c r="AA59" i="1" a="1"/>
  <c r="AA59" i="1"/>
  <c r="AA30" i="1" a="1"/>
  <c r="AA30" i="1"/>
  <c r="AA61" i="1" a="1"/>
  <c r="AA61" i="1"/>
  <c r="AA49" i="1" a="1"/>
  <c r="AA49" i="1"/>
  <c r="AA22" i="1" a="1"/>
  <c r="AA22" i="1"/>
  <c r="AA43" i="1" a="1"/>
  <c r="AA43" i="1"/>
  <c r="AA52" i="1" a="1"/>
  <c r="AA52" i="1"/>
  <c r="FW62" i="1" a="1"/>
  <c r="FW62" i="1"/>
  <c r="FW59" i="1" a="1"/>
  <c r="FW59" i="1"/>
  <c r="FW56" i="1" a="1"/>
  <c r="FW56" i="1"/>
  <c r="FW54" i="1" a="1"/>
  <c r="FW54" i="1"/>
  <c r="FW57" i="1" a="1"/>
  <c r="FW57" i="1"/>
  <c r="FW51" i="1" a="1"/>
  <c r="FW51" i="1"/>
  <c r="FW50" i="1" a="1"/>
  <c r="FW50" i="1"/>
  <c r="FW48" i="1" a="1"/>
  <c r="FW48" i="1"/>
  <c r="FW46" i="1" a="1"/>
  <c r="FW46" i="1"/>
  <c r="FW44" i="1" a="1"/>
  <c r="FW44" i="1"/>
  <c r="FW42" i="1" a="1"/>
  <c r="FW42" i="1"/>
  <c r="FW40" i="1" a="1"/>
  <c r="FW40" i="1"/>
  <c r="FW38" i="1" a="1"/>
  <c r="FW38" i="1"/>
  <c r="FW36" i="1" a="1"/>
  <c r="FW36" i="1"/>
  <c r="FW34" i="1" a="1"/>
  <c r="FW34" i="1"/>
  <c r="FW32" i="1" a="1"/>
  <c r="FW32" i="1"/>
  <c r="FW30" i="1" a="1"/>
  <c r="FW30" i="1"/>
  <c r="FW28" i="1" a="1"/>
  <c r="FW28" i="1"/>
  <c r="FW26" i="1" a="1"/>
  <c r="FW26" i="1"/>
  <c r="FW24" i="1" a="1"/>
  <c r="FW24" i="1"/>
  <c r="FW22" i="1" a="1"/>
  <c r="FW22" i="1"/>
  <c r="FW20" i="1" a="1"/>
  <c r="FW20" i="1"/>
  <c r="FW18" i="1" a="1"/>
  <c r="FW18" i="1"/>
  <c r="FW16" i="1" a="1"/>
  <c r="FW16" i="1"/>
  <c r="FW14" i="1" a="1"/>
  <c r="FW14" i="1"/>
  <c r="FW12" i="1" a="1"/>
  <c r="FW12" i="1"/>
  <c r="FW60" i="1" a="1"/>
  <c r="FW60" i="1"/>
  <c r="FW61" i="1" a="1"/>
  <c r="FW61" i="1"/>
  <c r="FW55" i="1" a="1"/>
  <c r="FW55" i="1"/>
  <c r="FW58" i="1" a="1"/>
  <c r="FW58" i="1"/>
  <c r="FW52" i="1" a="1"/>
  <c r="FW52" i="1"/>
  <c r="FW53" i="1" a="1"/>
  <c r="FW53" i="1"/>
  <c r="FW49" i="1" a="1"/>
  <c r="FW49" i="1"/>
  <c r="FW47" i="1" a="1"/>
  <c r="FW47" i="1"/>
  <c r="FW45" i="1" a="1"/>
  <c r="FW45" i="1"/>
  <c r="FW43" i="1" a="1"/>
  <c r="FW43" i="1"/>
  <c r="FW41" i="1" a="1"/>
  <c r="FW41" i="1"/>
  <c r="FW39" i="1" a="1"/>
  <c r="FW39" i="1"/>
  <c r="FW37" i="1" a="1"/>
  <c r="FW37" i="1"/>
  <c r="FW35" i="1" a="1"/>
  <c r="FW35" i="1"/>
  <c r="FW33" i="1" a="1"/>
  <c r="FW33" i="1"/>
  <c r="FW31" i="1" a="1"/>
  <c r="FW31" i="1"/>
  <c r="FW29" i="1" a="1"/>
  <c r="FW29" i="1"/>
  <c r="FW27" i="1" a="1"/>
  <c r="FW27" i="1"/>
  <c r="FW25" i="1" a="1"/>
  <c r="FW25" i="1"/>
  <c r="FW23" i="1" a="1"/>
  <c r="FW23" i="1"/>
  <c r="FW21" i="1" a="1"/>
  <c r="FW21" i="1"/>
  <c r="FW19" i="1" a="1"/>
  <c r="FW19" i="1"/>
  <c r="FW17" i="1" a="1"/>
  <c r="FW17" i="1"/>
  <c r="FW15" i="1" a="1"/>
  <c r="FW15" i="1"/>
  <c r="FW13" i="1" a="1"/>
  <c r="FW13" i="1"/>
  <c r="FX11" i="1"/>
  <c r="FX61" i="1" a="1"/>
  <c r="FX61" i="1"/>
  <c r="FX59" i="1" a="1"/>
  <c r="FX59" i="1"/>
  <c r="FX57" i="1" a="1"/>
  <c r="FX57" i="1"/>
  <c r="FX55" i="1" a="1"/>
  <c r="FX55" i="1"/>
  <c r="FX53" i="1" a="1"/>
  <c r="FX53" i="1"/>
  <c r="FX49" i="1" a="1"/>
  <c r="FX49" i="1"/>
  <c r="FX51" i="1" a="1"/>
  <c r="FX51" i="1"/>
  <c r="FX44" i="1" a="1"/>
  <c r="FX44" i="1"/>
  <c r="FX42" i="1" a="1"/>
  <c r="FX42" i="1"/>
  <c r="FX47" i="1" a="1"/>
  <c r="FX47" i="1"/>
  <c r="FX36" i="1" a="1"/>
  <c r="FX36" i="1"/>
  <c r="FX34" i="1" a="1"/>
  <c r="FX34" i="1"/>
  <c r="FX41" i="1" a="1"/>
  <c r="FX41" i="1"/>
  <c r="FX39" i="1" a="1"/>
  <c r="FX39" i="1"/>
  <c r="FX37" i="1" a="1"/>
  <c r="FX37" i="1"/>
  <c r="FX31" i="1" a="1"/>
  <c r="FX31" i="1"/>
  <c r="FX29" i="1" a="1"/>
  <c r="FX29" i="1"/>
  <c r="FX27" i="1" a="1"/>
  <c r="FX27" i="1"/>
  <c r="FX25" i="1" a="1"/>
  <c r="FX25" i="1"/>
  <c r="FX23" i="1" a="1"/>
  <c r="FX23" i="1"/>
  <c r="FX17" i="1" a="1"/>
  <c r="FX17" i="1"/>
  <c r="FX15" i="1" a="1"/>
  <c r="FX15" i="1"/>
  <c r="FX13" i="1" a="1"/>
  <c r="FX13" i="1"/>
  <c r="FX21" i="1" a="1"/>
  <c r="FX21" i="1"/>
  <c r="FX19" i="1" a="1"/>
  <c r="FX19" i="1"/>
  <c r="FY11" i="1"/>
  <c r="FX62" i="1" a="1"/>
  <c r="FX62" i="1"/>
  <c r="FX60" i="1" a="1"/>
  <c r="FX60" i="1"/>
  <c r="FX58" i="1" a="1"/>
  <c r="FX58" i="1"/>
  <c r="FX56" i="1" a="1"/>
  <c r="FX56" i="1"/>
  <c r="FX54" i="1" a="1"/>
  <c r="FX54" i="1"/>
  <c r="FX50" i="1" a="1"/>
  <c r="FX50" i="1"/>
  <c r="FX52" i="1" a="1"/>
  <c r="FX52" i="1"/>
  <c r="FX45" i="1" a="1"/>
  <c r="FX45" i="1"/>
  <c r="FX43" i="1" a="1"/>
  <c r="FX43" i="1"/>
  <c r="FX48" i="1" a="1"/>
  <c r="FX48" i="1"/>
  <c r="FX46" i="1" a="1"/>
  <c r="FX46" i="1"/>
  <c r="FX35" i="1" a="1"/>
  <c r="FX35" i="1"/>
  <c r="FX33" i="1" a="1"/>
  <c r="FX33" i="1"/>
  <c r="FX40" i="1" a="1"/>
  <c r="FX40" i="1"/>
  <c r="FX38" i="1" a="1"/>
  <c r="FX38" i="1"/>
  <c r="FX32" i="1" a="1"/>
  <c r="FX32" i="1"/>
  <c r="FX30" i="1" a="1"/>
  <c r="FX30" i="1"/>
  <c r="FX28" i="1" a="1"/>
  <c r="FX28" i="1"/>
  <c r="FX26" i="1" a="1"/>
  <c r="FX26" i="1"/>
  <c r="FX24" i="1" a="1"/>
  <c r="FX24" i="1"/>
  <c r="FX22" i="1" a="1"/>
  <c r="FX22" i="1"/>
  <c r="FX16" i="1" a="1"/>
  <c r="FX16" i="1"/>
  <c r="FX14" i="1" a="1"/>
  <c r="FX14" i="1"/>
  <c r="FX12" i="1" a="1"/>
  <c r="FX12" i="1"/>
  <c r="FX20" i="1" a="1"/>
  <c r="FX20" i="1"/>
  <c r="FX18" i="1" a="1"/>
  <c r="FX18" i="1"/>
  <c r="AB25" i="1" a="1"/>
  <c r="AB25" i="1"/>
  <c r="AB42" i="1" a="1"/>
  <c r="AB42" i="1"/>
  <c r="AB18" i="1" a="1"/>
  <c r="AB18" i="1"/>
  <c r="AB30" i="1" a="1"/>
  <c r="AB30" i="1"/>
  <c r="AB29" i="1" a="1"/>
  <c r="AB29" i="1"/>
  <c r="AB51" i="1" a="1"/>
  <c r="AB51" i="1"/>
  <c r="AB15" i="1" a="1"/>
  <c r="AB15" i="1"/>
  <c r="AB32" i="1" a="1"/>
  <c r="AB32" i="1"/>
  <c r="AB58" i="1" a="1"/>
  <c r="AB58" i="1"/>
  <c r="AB21" i="1" a="1"/>
  <c r="AB21" i="1"/>
  <c r="AB38" i="1" a="1"/>
  <c r="AB38" i="1"/>
  <c r="AB36" i="1" a="1"/>
  <c r="AB36" i="1"/>
  <c r="AB54" i="1" a="1"/>
  <c r="AB54" i="1"/>
  <c r="AB23" i="1" a="1"/>
  <c r="AB23" i="1"/>
  <c r="AB19" i="1" a="1"/>
  <c r="AB19" i="1"/>
  <c r="AB49" i="1" a="1"/>
  <c r="AB49" i="1"/>
  <c r="AB26" i="1" a="1"/>
  <c r="AB26" i="1"/>
  <c r="AB27" i="1" a="1"/>
  <c r="AB27" i="1"/>
  <c r="AB35" i="1" a="1"/>
  <c r="AB35" i="1"/>
  <c r="AB33" i="1" a="1"/>
  <c r="AB33" i="1"/>
  <c r="AB43" i="1" a="1"/>
  <c r="AB43" i="1"/>
  <c r="AB14" i="1" a="1"/>
  <c r="AB14" i="1"/>
  <c r="AB28" i="1" a="1"/>
  <c r="AB28" i="1"/>
  <c r="AB34" i="1" a="1"/>
  <c r="AB34" i="1"/>
  <c r="AB39" i="1" a="1"/>
  <c r="AB39" i="1"/>
  <c r="AB12" i="1" a="1"/>
  <c r="AB12" i="1"/>
  <c r="AB17" i="1" a="1"/>
  <c r="AB17" i="1"/>
  <c r="AB47" i="1" a="1"/>
  <c r="AB47" i="1"/>
  <c r="AB56" i="1" a="1"/>
  <c r="AB56" i="1"/>
  <c r="AB16" i="1" a="1"/>
  <c r="AB16" i="1"/>
  <c r="AB22" i="1" a="1"/>
  <c r="AB22" i="1"/>
  <c r="AB59" i="1" a="1"/>
  <c r="AB59" i="1"/>
  <c r="AB13" i="1" a="1"/>
  <c r="AB13" i="1"/>
  <c r="AB52" i="1" a="1"/>
  <c r="AB52" i="1"/>
  <c r="AB62" i="1" a="1"/>
  <c r="AB62" i="1"/>
  <c r="AB60" i="1" a="1"/>
  <c r="AB60" i="1"/>
  <c r="AB24" i="1" a="1"/>
  <c r="AB24" i="1"/>
  <c r="AB48" i="1" a="1"/>
  <c r="AB48" i="1"/>
  <c r="AB46" i="1" a="1"/>
  <c r="AB46" i="1"/>
  <c r="AB44" i="1" a="1"/>
  <c r="AB44" i="1"/>
  <c r="AB41" i="1" a="1"/>
  <c r="AB41" i="1"/>
  <c r="AB31" i="1" a="1"/>
  <c r="AB31" i="1"/>
  <c r="AB50" i="1" a="1"/>
  <c r="AB50" i="1"/>
  <c r="AB53" i="1" a="1"/>
  <c r="AB53" i="1"/>
  <c r="AB37" i="1" a="1"/>
  <c r="AB37" i="1"/>
  <c r="AB57" i="1" a="1"/>
  <c r="AB57" i="1"/>
  <c r="AB55" i="1" a="1"/>
  <c r="AB55" i="1"/>
  <c r="AB45" i="1" a="1"/>
  <c r="AB45" i="1"/>
  <c r="AB40" i="1" a="1"/>
  <c r="AB40" i="1"/>
  <c r="AB61" i="1" a="1"/>
  <c r="AB61" i="1"/>
  <c r="AB20" i="1" a="1"/>
  <c r="AB20" i="1"/>
  <c r="AC56" i="1" a="1"/>
  <c r="AC56" i="1"/>
  <c r="AC29" i="1" a="1"/>
  <c r="AC29" i="1"/>
  <c r="AC20" i="1" a="1"/>
  <c r="AC20" i="1"/>
  <c r="AC54" i="1" a="1"/>
  <c r="AC54" i="1"/>
  <c r="AC36" i="1" a="1"/>
  <c r="AC36" i="1"/>
  <c r="AC25" i="1" a="1"/>
  <c r="AC25" i="1"/>
  <c r="AC33" i="1" a="1"/>
  <c r="AC33" i="1"/>
  <c r="AC12" i="1" a="1"/>
  <c r="AC12" i="1"/>
  <c r="AC28" i="1" a="1"/>
  <c r="AC28" i="1"/>
  <c r="AC55" i="1" a="1"/>
  <c r="AC55" i="1"/>
  <c r="AC38" i="1" a="1"/>
  <c r="AC38" i="1"/>
  <c r="AC45" i="1" a="1"/>
  <c r="AC45" i="1"/>
  <c r="AC24" i="1" a="1"/>
  <c r="AC24" i="1"/>
  <c r="AC14" i="1" a="1"/>
  <c r="AC14" i="1"/>
  <c r="AC46" i="1" a="1"/>
  <c r="AC46" i="1"/>
  <c r="AC61" i="1" a="1"/>
  <c r="AC61" i="1"/>
  <c r="AC42" i="1" a="1"/>
  <c r="AC42" i="1"/>
  <c r="AC37" i="1" a="1"/>
  <c r="AC37" i="1"/>
  <c r="AC22" i="1" a="1"/>
  <c r="AC22" i="1"/>
  <c r="AC59" i="1" a="1"/>
  <c r="AC59" i="1"/>
  <c r="AC48" i="1" a="1"/>
  <c r="AC48" i="1"/>
  <c r="AC62" i="1" a="1"/>
  <c r="AC62" i="1"/>
  <c r="AC17" i="1" a="1"/>
  <c r="AC17" i="1"/>
  <c r="AC51" i="1" a="1"/>
  <c r="AC51" i="1"/>
  <c r="AC15" i="1" a="1"/>
  <c r="AC15" i="1"/>
  <c r="AC60" i="1" a="1"/>
  <c r="AC60" i="1"/>
  <c r="AC34" i="1" a="1"/>
  <c r="AC34" i="1"/>
  <c r="AC44" i="1" a="1"/>
  <c r="AC44" i="1"/>
  <c r="AC43" i="1" a="1"/>
  <c r="AC43" i="1"/>
  <c r="AC18" i="1" a="1"/>
  <c r="AC18" i="1"/>
  <c r="AC52" i="1" a="1"/>
  <c r="AC52" i="1"/>
  <c r="AC19" i="1" a="1"/>
  <c r="AC19" i="1"/>
  <c r="AC31" i="1" a="1"/>
  <c r="AC31" i="1"/>
  <c r="AC53" i="1" a="1"/>
  <c r="AC53" i="1"/>
  <c r="AC57" i="1" a="1"/>
  <c r="AC57" i="1"/>
  <c r="AC40" i="1" a="1"/>
  <c r="AC40" i="1"/>
  <c r="AC23" i="1" a="1"/>
  <c r="AC23" i="1"/>
  <c r="AC49" i="1" a="1"/>
  <c r="AC49" i="1"/>
  <c r="AC13" i="1" a="1"/>
  <c r="AC13" i="1"/>
  <c r="AC30" i="1" a="1"/>
  <c r="AC30" i="1"/>
  <c r="AC32" i="1" a="1"/>
  <c r="AC32" i="1"/>
  <c r="AC27" i="1" a="1"/>
  <c r="AC27" i="1"/>
  <c r="AC47" i="1" a="1"/>
  <c r="AC47" i="1"/>
  <c r="AC26" i="1" a="1"/>
  <c r="AC26" i="1"/>
  <c r="AC50" i="1" a="1"/>
  <c r="AC50" i="1"/>
  <c r="AC21" i="1" a="1"/>
  <c r="AC21" i="1"/>
  <c r="AC39" i="1" a="1"/>
  <c r="AC39" i="1"/>
  <c r="AC41" i="1" a="1"/>
  <c r="AC41" i="1"/>
  <c r="AC16" i="1" a="1"/>
  <c r="AC16" i="1"/>
  <c r="AC58" i="1" a="1"/>
  <c r="AC58" i="1"/>
  <c r="AC35" i="1" a="1"/>
  <c r="AC35" i="1"/>
  <c r="FY62" i="1" a="1"/>
  <c r="FY62" i="1"/>
  <c r="FY60" i="1" a="1"/>
  <c r="FY60" i="1"/>
  <c r="FY56" i="1" a="1"/>
  <c r="FY56" i="1"/>
  <c r="FY54" i="1" a="1"/>
  <c r="FY54" i="1"/>
  <c r="FY58" i="1" a="1"/>
  <c r="FY58" i="1"/>
  <c r="FY52" i="1" a="1"/>
  <c r="FY52" i="1"/>
  <c r="FY50" i="1" a="1"/>
  <c r="FY50" i="1"/>
  <c r="FY48" i="1" a="1"/>
  <c r="FY48" i="1"/>
  <c r="FY46" i="1" a="1"/>
  <c r="FY46" i="1"/>
  <c r="FY44" i="1" a="1"/>
  <c r="FY44" i="1"/>
  <c r="FY42" i="1" a="1"/>
  <c r="FY42" i="1"/>
  <c r="FY40" i="1" a="1"/>
  <c r="FY40" i="1"/>
  <c r="FY38" i="1" a="1"/>
  <c r="FY38" i="1"/>
  <c r="FY36" i="1" a="1"/>
  <c r="FY36" i="1"/>
  <c r="FY34" i="1" a="1"/>
  <c r="FY34" i="1"/>
  <c r="FY32" i="1" a="1"/>
  <c r="FY32" i="1"/>
  <c r="FY27" i="1" a="1"/>
  <c r="FY27" i="1"/>
  <c r="FY25" i="1" a="1"/>
  <c r="FY25" i="1"/>
  <c r="FY30" i="1" a="1"/>
  <c r="FY30" i="1"/>
  <c r="FY28" i="1" a="1"/>
  <c r="FY28" i="1"/>
  <c r="FY22" i="1" a="1"/>
  <c r="FY22" i="1"/>
  <c r="FY20" i="1" a="1"/>
  <c r="FY20" i="1"/>
  <c r="FY18" i="1" a="1"/>
  <c r="FY18" i="1"/>
  <c r="FY16" i="1" a="1"/>
  <c r="FY16" i="1"/>
  <c r="FY14" i="1" a="1"/>
  <c r="FY14" i="1"/>
  <c r="FY12" i="1" a="1"/>
  <c r="FY12" i="1"/>
  <c r="FY61" i="1" a="1"/>
  <c r="FY61" i="1"/>
  <c r="FY53" i="1" a="1"/>
  <c r="FY53" i="1"/>
  <c r="FY45" i="1" a="1"/>
  <c r="FY45" i="1"/>
  <c r="FY37" i="1" a="1"/>
  <c r="FY37" i="1"/>
  <c r="FY26" i="1" a="1"/>
  <c r="FY26" i="1"/>
  <c r="FY21" i="1" a="1"/>
  <c r="FY21" i="1"/>
  <c r="FY13" i="1" a="1"/>
  <c r="FY13" i="1"/>
  <c r="FY59" i="1" a="1"/>
  <c r="FY59" i="1"/>
  <c r="FY51" i="1" a="1"/>
  <c r="FY51" i="1"/>
  <c r="FY43" i="1" a="1"/>
  <c r="FY43" i="1"/>
  <c r="FY35" i="1" a="1"/>
  <c r="FY35" i="1"/>
  <c r="FY24" i="1" a="1"/>
  <c r="FY24" i="1"/>
  <c r="FY19" i="1" a="1"/>
  <c r="FY19" i="1"/>
  <c r="FZ11" i="1"/>
  <c r="FY55" i="1" a="1"/>
  <c r="FY55" i="1"/>
  <c r="FY49" i="1" a="1"/>
  <c r="FY49" i="1"/>
  <c r="FY41" i="1" a="1"/>
  <c r="FY41" i="1"/>
  <c r="FY33" i="1" a="1"/>
  <c r="FY33" i="1"/>
  <c r="FY29" i="1" a="1"/>
  <c r="FY29" i="1"/>
  <c r="FY17" i="1" a="1"/>
  <c r="FY17" i="1"/>
  <c r="FY57" i="1" a="1"/>
  <c r="FY57" i="1"/>
  <c r="FY47" i="1" a="1"/>
  <c r="FY47" i="1"/>
  <c r="FY39" i="1" a="1"/>
  <c r="FY39" i="1"/>
  <c r="FY31" i="1" a="1"/>
  <c r="FY31" i="1"/>
  <c r="FY23" i="1" a="1"/>
  <c r="FY23" i="1"/>
  <c r="FY15" i="1" a="1"/>
  <c r="FY15" i="1"/>
  <c r="FZ62" i="1" a="1"/>
  <c r="FZ62" i="1"/>
  <c r="FZ60" i="1" a="1"/>
  <c r="FZ60" i="1"/>
  <c r="FZ58" i="1" a="1"/>
  <c r="FZ58" i="1"/>
  <c r="FZ55" i="1" a="1"/>
  <c r="FZ55" i="1"/>
  <c r="FZ53" i="1" a="1"/>
  <c r="FZ53" i="1"/>
  <c r="FZ52" i="1" a="1"/>
  <c r="FZ52" i="1"/>
  <c r="FZ50" i="1" a="1"/>
  <c r="FZ50" i="1"/>
  <c r="FZ48" i="1" a="1"/>
  <c r="FZ48" i="1"/>
  <c r="FZ46" i="1" a="1"/>
  <c r="FZ46" i="1"/>
  <c r="FZ44" i="1" a="1"/>
  <c r="FZ44" i="1"/>
  <c r="FZ42" i="1" a="1"/>
  <c r="FZ42" i="1"/>
  <c r="FZ40" i="1" a="1"/>
  <c r="FZ40" i="1"/>
  <c r="FZ38" i="1" a="1"/>
  <c r="FZ38" i="1"/>
  <c r="FZ36" i="1" a="1"/>
  <c r="FZ36" i="1"/>
  <c r="FZ34" i="1" a="1"/>
  <c r="FZ34" i="1"/>
  <c r="FZ32" i="1" a="1"/>
  <c r="FZ32" i="1"/>
  <c r="FZ30" i="1" a="1"/>
  <c r="FZ30" i="1"/>
  <c r="FZ28" i="1" a="1"/>
  <c r="FZ28" i="1"/>
  <c r="FZ26" i="1" a="1"/>
  <c r="FZ26" i="1"/>
  <c r="FZ24" i="1" a="1"/>
  <c r="FZ24" i="1"/>
  <c r="FZ22" i="1" a="1"/>
  <c r="FZ22" i="1"/>
  <c r="FZ16" i="1" a="1"/>
  <c r="FZ16" i="1"/>
  <c r="FZ14" i="1" a="1"/>
  <c r="FZ14" i="1"/>
  <c r="FZ12" i="1" a="1"/>
  <c r="FZ12" i="1"/>
  <c r="FZ20" i="1" a="1"/>
  <c r="FZ20" i="1"/>
  <c r="FZ18" i="1" a="1"/>
  <c r="FZ18" i="1"/>
  <c r="FZ54" i="1" a="1"/>
  <c r="FZ54" i="1"/>
  <c r="FZ47" i="1" a="1"/>
  <c r="FZ47" i="1"/>
  <c r="FZ39" i="1" a="1"/>
  <c r="FZ39" i="1"/>
  <c r="FZ31" i="1" a="1"/>
  <c r="FZ31" i="1"/>
  <c r="FZ23" i="1" a="1"/>
  <c r="FZ23" i="1"/>
  <c r="FZ21" i="1" a="1"/>
  <c r="FZ21" i="1"/>
  <c r="FZ56" i="1" a="1"/>
  <c r="FZ56" i="1"/>
  <c r="FZ49" i="1" a="1"/>
  <c r="FZ49" i="1"/>
  <c r="FZ41" i="1" a="1"/>
  <c r="FZ41" i="1"/>
  <c r="FZ33" i="1" a="1"/>
  <c r="FZ33" i="1"/>
  <c r="FZ25" i="1" a="1"/>
  <c r="FZ25" i="1"/>
  <c r="FZ13" i="1" a="1"/>
  <c r="FZ13" i="1"/>
  <c r="FZ59" i="1" a="1"/>
  <c r="FZ59" i="1"/>
  <c r="FZ51" i="1" a="1"/>
  <c r="FZ51" i="1"/>
  <c r="FZ43" i="1" a="1"/>
  <c r="FZ43" i="1"/>
  <c r="FZ35" i="1" a="1"/>
  <c r="FZ35" i="1"/>
  <c r="FZ27" i="1" a="1"/>
  <c r="FZ27" i="1"/>
  <c r="FZ15" i="1" a="1"/>
  <c r="FZ15" i="1"/>
  <c r="GA11" i="1"/>
  <c r="FZ61" i="1" a="1"/>
  <c r="FZ61" i="1"/>
  <c r="FZ57" i="1" a="1"/>
  <c r="FZ57" i="1"/>
  <c r="FZ45" i="1" a="1"/>
  <c r="FZ45" i="1"/>
  <c r="FZ37" i="1" a="1"/>
  <c r="FZ37" i="1"/>
  <c r="FZ29" i="1" a="1"/>
  <c r="FZ29" i="1"/>
  <c r="FZ17" i="1" a="1"/>
  <c r="FZ17" i="1"/>
  <c r="FZ19" i="1" a="1"/>
  <c r="FZ19" i="1"/>
  <c r="AD44" i="1" a="1"/>
  <c r="AD44" i="1"/>
  <c r="AD58" i="1" a="1"/>
  <c r="AD58" i="1"/>
  <c r="AD39" i="1" a="1"/>
  <c r="AD39" i="1"/>
  <c r="AD38" i="1" a="1"/>
  <c r="AD38" i="1"/>
  <c r="AD48" i="1" a="1"/>
  <c r="AD48" i="1"/>
  <c r="AD33" i="1" a="1"/>
  <c r="AD33" i="1"/>
  <c r="AD35" i="1" a="1"/>
  <c r="AD35" i="1"/>
  <c r="AD23" i="1" a="1"/>
  <c r="AD23" i="1"/>
  <c r="AD30" i="1" a="1"/>
  <c r="AD30" i="1"/>
  <c r="AD16" i="1" a="1"/>
  <c r="AD16" i="1"/>
  <c r="AD18" i="1" a="1"/>
  <c r="AD18" i="1"/>
  <c r="AD27" i="1" a="1"/>
  <c r="AD27" i="1"/>
  <c r="AD32" i="1" a="1"/>
  <c r="AD32" i="1"/>
  <c r="AD14" i="1" a="1"/>
  <c r="AD14" i="1"/>
  <c r="AD45" i="1" a="1"/>
  <c r="AD45" i="1"/>
  <c r="AD40" i="1" a="1"/>
  <c r="AD40" i="1"/>
  <c r="AD20" i="1" a="1"/>
  <c r="AD20" i="1"/>
  <c r="AD29" i="1" a="1"/>
  <c r="AD29" i="1"/>
  <c r="AD34" i="1" a="1"/>
  <c r="AD34" i="1"/>
  <c r="AD21" i="1" a="1"/>
  <c r="AD21" i="1"/>
  <c r="AD13" i="1" a="1"/>
  <c r="AD13" i="1"/>
  <c r="AD17" i="1" a="1"/>
  <c r="AD17" i="1"/>
  <c r="AD47" i="1" a="1"/>
  <c r="AD47" i="1"/>
  <c r="AD60" i="1" a="1"/>
  <c r="AD60" i="1"/>
  <c r="AD15" i="1" a="1"/>
  <c r="AD15" i="1"/>
  <c r="AD49" i="1" a="1"/>
  <c r="AD49" i="1"/>
  <c r="AD19" i="1" a="1"/>
  <c r="AD19" i="1"/>
  <c r="AD56" i="1" a="1"/>
  <c r="AD56" i="1"/>
  <c r="AD62" i="1" a="1"/>
  <c r="AD62" i="1"/>
  <c r="AD26" i="1" a="1"/>
  <c r="AD26" i="1"/>
  <c r="AD25" i="1" a="1"/>
  <c r="AD25" i="1"/>
  <c r="AD53" i="1" a="1"/>
  <c r="AD53" i="1"/>
  <c r="AD55" i="1" a="1"/>
  <c r="AD55" i="1"/>
  <c r="AD41" i="1" a="1"/>
  <c r="AD41" i="1"/>
  <c r="AD43" i="1" a="1"/>
  <c r="AD43" i="1"/>
  <c r="AD54" i="1" a="1"/>
  <c r="AD54" i="1"/>
  <c r="AD59" i="1" a="1"/>
  <c r="AD59" i="1"/>
  <c r="AD37" i="1" a="1"/>
  <c r="AD37" i="1"/>
  <c r="AD57" i="1" a="1"/>
  <c r="AD57" i="1"/>
  <c r="AD12" i="1" a="1"/>
  <c r="AD12" i="1"/>
  <c r="AD50" i="1" a="1"/>
  <c r="AD50" i="1"/>
  <c r="AD52" i="1" a="1"/>
  <c r="AD52" i="1"/>
  <c r="AD61" i="1" a="1"/>
  <c r="AD61" i="1"/>
  <c r="AD22" i="1" a="1"/>
  <c r="AD22" i="1"/>
  <c r="AD46" i="1" a="1"/>
  <c r="AD46" i="1"/>
  <c r="AD42" i="1" a="1"/>
  <c r="AD42" i="1"/>
  <c r="AD28" i="1" a="1"/>
  <c r="AD28" i="1"/>
  <c r="AD31" i="1" a="1"/>
  <c r="AD31" i="1"/>
  <c r="AD36" i="1" a="1"/>
  <c r="AD36" i="1"/>
  <c r="AD51" i="1" a="1"/>
  <c r="AD51" i="1"/>
  <c r="AD24" i="1" a="1"/>
  <c r="AD24" i="1"/>
  <c r="AE59" i="1" a="1"/>
  <c r="AE59" i="1"/>
  <c r="AE17" i="1" a="1"/>
  <c r="AE17" i="1"/>
  <c r="AE20" i="1" a="1"/>
  <c r="AE20" i="1"/>
  <c r="AE60" i="1" a="1"/>
  <c r="AE60" i="1"/>
  <c r="AE61" i="1" a="1"/>
  <c r="AE61" i="1"/>
  <c r="AE25" i="1" a="1"/>
  <c r="AE25" i="1"/>
  <c r="AE21" i="1" a="1"/>
  <c r="AE21" i="1"/>
  <c r="AE48" i="1" a="1"/>
  <c r="AE48" i="1"/>
  <c r="AE29" i="1" a="1"/>
  <c r="AE29" i="1"/>
  <c r="AE22" i="1" a="1"/>
  <c r="AE22" i="1"/>
  <c r="AE18" i="1" a="1"/>
  <c r="AE18" i="1"/>
  <c r="AE46" i="1" a="1"/>
  <c r="AE46" i="1"/>
  <c r="AE56" i="1" a="1"/>
  <c r="AE56" i="1"/>
  <c r="AE42" i="1" a="1"/>
  <c r="AE42" i="1"/>
  <c r="AE41" i="1" a="1"/>
  <c r="AE41" i="1"/>
  <c r="AE58" i="1" a="1"/>
  <c r="AE58" i="1"/>
  <c r="AE49" i="1" a="1"/>
  <c r="AE49" i="1"/>
  <c r="AE62" i="1" a="1"/>
  <c r="AE62" i="1"/>
  <c r="AE16" i="1" a="1"/>
  <c r="AE16" i="1"/>
  <c r="AE51" i="1" a="1"/>
  <c r="AE51" i="1"/>
  <c r="AE53" i="1" a="1"/>
  <c r="AE53" i="1"/>
  <c r="AE19" i="1" a="1"/>
  <c r="AE19" i="1"/>
  <c r="AE13" i="1" a="1"/>
  <c r="AE13" i="1"/>
  <c r="AE50" i="1" a="1"/>
  <c r="AE50" i="1"/>
  <c r="AE34" i="1" a="1"/>
  <c r="AE34" i="1"/>
  <c r="AE36" i="1" a="1"/>
  <c r="AE36" i="1"/>
  <c r="AE54" i="1" a="1"/>
  <c r="AE54" i="1"/>
  <c r="AE12" i="1" a="1"/>
  <c r="AE12" i="1"/>
  <c r="AE38" i="1" a="1"/>
  <c r="AE38" i="1"/>
  <c r="AE37" i="1" a="1"/>
  <c r="AE37" i="1"/>
  <c r="AE43" i="1" a="1"/>
  <c r="AE43" i="1"/>
  <c r="AE45" i="1" a="1"/>
  <c r="AE45" i="1"/>
  <c r="AE57" i="1" a="1"/>
  <c r="AE57" i="1"/>
  <c r="AE32" i="1" a="1"/>
  <c r="AE32" i="1"/>
  <c r="AE47" i="1" a="1"/>
  <c r="AE47" i="1"/>
  <c r="AE52" i="1" a="1"/>
  <c r="AE52" i="1"/>
  <c r="AE14" i="1" a="1"/>
  <c r="AE14" i="1"/>
  <c r="AE23" i="1" a="1"/>
  <c r="AE23" i="1"/>
  <c r="AE30" i="1" a="1"/>
  <c r="AE30" i="1"/>
  <c r="AE44" i="1" a="1"/>
  <c r="AE44" i="1"/>
  <c r="AE15" i="1" a="1"/>
  <c r="AE15" i="1"/>
  <c r="AE27" i="1" a="1"/>
  <c r="AE27" i="1"/>
  <c r="AE31" i="1" a="1"/>
  <c r="AE31" i="1"/>
  <c r="AE24" i="1" a="1"/>
  <c r="AE24" i="1"/>
  <c r="AE39" i="1" a="1"/>
  <c r="AE39" i="1"/>
  <c r="AE33" i="1" a="1"/>
  <c r="AE33" i="1"/>
  <c r="AE26" i="1" a="1"/>
  <c r="AE26" i="1"/>
  <c r="AE28" i="1" a="1"/>
  <c r="AE28" i="1"/>
  <c r="AE35" i="1" a="1"/>
  <c r="AE35" i="1"/>
  <c r="AE55" i="1" a="1"/>
  <c r="AE55" i="1"/>
  <c r="AE40" i="1" a="1"/>
  <c r="AE40" i="1"/>
  <c r="GA61" i="1" a="1"/>
  <c r="GA61" i="1"/>
  <c r="GA54" i="1" a="1"/>
  <c r="GA54" i="1"/>
  <c r="GA53" i="1" a="1"/>
  <c r="GA53" i="1"/>
  <c r="GA48" i="1" a="1"/>
  <c r="GA48" i="1"/>
  <c r="GA45" i="1" a="1"/>
  <c r="GA45" i="1"/>
  <c r="GA40" i="1" a="1"/>
  <c r="GA40" i="1"/>
  <c r="GA37" i="1" a="1"/>
  <c r="GA37" i="1"/>
  <c r="GA32" i="1" a="1"/>
  <c r="GA32" i="1"/>
  <c r="GA26" i="1" a="1"/>
  <c r="GA26" i="1"/>
  <c r="GA28" i="1" a="1"/>
  <c r="GA28" i="1"/>
  <c r="GA19" i="1" a="1"/>
  <c r="GA19" i="1"/>
  <c r="GA16" i="1" a="1"/>
  <c r="GA16" i="1"/>
  <c r="GA13" i="1" a="1"/>
  <c r="GA13" i="1"/>
  <c r="GA56" i="1" a="1"/>
  <c r="GA56" i="1"/>
  <c r="GA58" i="1" a="1"/>
  <c r="GA58" i="1"/>
  <c r="GA50" i="1" a="1"/>
  <c r="GA50" i="1"/>
  <c r="GA47" i="1" a="1"/>
  <c r="GA47" i="1"/>
  <c r="GA42" i="1" a="1"/>
  <c r="GA42" i="1"/>
  <c r="GA39" i="1" a="1"/>
  <c r="GA39" i="1"/>
  <c r="GA34" i="1" a="1"/>
  <c r="GA34" i="1"/>
  <c r="GA31" i="1" a="1"/>
  <c r="GA31" i="1"/>
  <c r="GA30" i="1" a="1"/>
  <c r="GA30" i="1"/>
  <c r="GA21" i="1" a="1"/>
  <c r="GA21" i="1"/>
  <c r="GA22" i="1" a="1"/>
  <c r="GA22" i="1"/>
  <c r="GA15" i="1" a="1"/>
  <c r="GA15" i="1"/>
  <c r="GA60" i="1" a="1"/>
  <c r="GA60" i="1"/>
  <c r="GA55" i="1" a="1"/>
  <c r="GA55" i="1"/>
  <c r="GA52" i="1" a="1"/>
  <c r="GA52" i="1"/>
  <c r="GA49" i="1" a="1"/>
  <c r="GA49" i="1"/>
  <c r="GA44" i="1" a="1"/>
  <c r="GA44" i="1"/>
  <c r="GA41" i="1" a="1"/>
  <c r="GA41" i="1"/>
  <c r="GA36" i="1" a="1"/>
  <c r="GA36" i="1"/>
  <c r="GA33" i="1" a="1"/>
  <c r="GA33" i="1"/>
  <c r="GA25" i="1" a="1"/>
  <c r="GA25" i="1"/>
  <c r="GA29" i="1" a="1"/>
  <c r="GA29" i="1"/>
  <c r="GA18" i="1" a="1"/>
  <c r="GA18" i="1"/>
  <c r="GA17" i="1" a="1"/>
  <c r="GA17" i="1"/>
  <c r="GA12" i="1" a="1"/>
  <c r="GA12" i="1"/>
  <c r="GA62" i="1" a="1"/>
  <c r="GA62" i="1"/>
  <c r="GA59" i="1" a="1"/>
  <c r="GA59" i="1"/>
  <c r="GA57" i="1" a="1"/>
  <c r="GA57" i="1"/>
  <c r="GA51" i="1" a="1"/>
  <c r="GA51" i="1"/>
  <c r="GA46" i="1" a="1"/>
  <c r="GA46" i="1"/>
  <c r="GA43" i="1" a="1"/>
  <c r="GA43" i="1"/>
  <c r="GA38" i="1" a="1"/>
  <c r="GA38" i="1"/>
  <c r="GA35" i="1" a="1"/>
  <c r="GA35" i="1"/>
  <c r="GA27" i="1" a="1"/>
  <c r="GA27" i="1"/>
  <c r="GA24" i="1" a="1"/>
  <c r="GA24" i="1"/>
  <c r="GA20" i="1" a="1"/>
  <c r="GA20" i="1"/>
  <c r="GA23" i="1" a="1"/>
  <c r="GA23" i="1"/>
  <c r="GA14" i="1" a="1"/>
  <c r="GA14" i="1"/>
  <c r="GB11" i="1"/>
  <c r="GB61" i="1" a="1"/>
  <c r="GB61" i="1"/>
  <c r="GB59" i="1" a="1"/>
  <c r="GB59" i="1"/>
  <c r="GB57" i="1" a="1"/>
  <c r="GB57" i="1"/>
  <c r="GB55" i="1" a="1"/>
  <c r="GB55" i="1"/>
  <c r="GB53" i="1" a="1"/>
  <c r="GB53" i="1"/>
  <c r="GB51" i="1" a="1"/>
  <c r="GB51" i="1"/>
  <c r="GB49" i="1" a="1"/>
  <c r="GB49" i="1"/>
  <c r="GB46" i="1" a="1"/>
  <c r="GB46" i="1"/>
  <c r="GB44" i="1" a="1"/>
  <c r="GB44" i="1"/>
  <c r="GB42" i="1" a="1"/>
  <c r="GB42" i="1"/>
  <c r="GB39" i="1" a="1"/>
  <c r="GB39" i="1"/>
  <c r="GB37" i="1" a="1"/>
  <c r="GB37" i="1"/>
  <c r="GB35" i="1" a="1"/>
  <c r="GB35" i="1"/>
  <c r="GB33" i="1" a="1"/>
  <c r="GB33" i="1"/>
  <c r="GB40" i="1" a="1"/>
  <c r="GB40" i="1"/>
  <c r="GB29" i="1" a="1"/>
  <c r="GB29" i="1"/>
  <c r="GB32" i="1" a="1"/>
  <c r="GB32" i="1"/>
  <c r="GB27" i="1" a="1"/>
  <c r="GB27" i="1"/>
  <c r="GB25" i="1" a="1"/>
  <c r="GB25" i="1"/>
  <c r="GB23" i="1" a="1"/>
  <c r="GB23" i="1"/>
  <c r="GB21" i="1" a="1"/>
  <c r="GB21" i="1"/>
  <c r="GB19" i="1" a="1"/>
  <c r="GB19" i="1"/>
  <c r="GB17" i="1" a="1"/>
  <c r="GB17" i="1"/>
  <c r="GB15" i="1" a="1"/>
  <c r="GB15" i="1"/>
  <c r="GB13" i="1" a="1"/>
  <c r="GB13" i="1"/>
  <c r="GC11" i="1"/>
  <c r="GB60" i="1" a="1"/>
  <c r="GB60" i="1"/>
  <c r="GB52" i="1" a="1"/>
  <c r="GB52" i="1"/>
  <c r="GB43" i="1" a="1"/>
  <c r="GB43" i="1"/>
  <c r="GB34" i="1" a="1"/>
  <c r="GB34" i="1"/>
  <c r="GB31" i="1" a="1"/>
  <c r="GB31" i="1"/>
  <c r="GB20" i="1" a="1"/>
  <c r="GB20" i="1"/>
  <c r="GB12" i="1" a="1"/>
  <c r="GB12" i="1"/>
  <c r="GB62" i="1" a="1"/>
  <c r="GB62" i="1"/>
  <c r="GB54" i="1" a="1"/>
  <c r="GB54" i="1"/>
  <c r="GB45" i="1" a="1"/>
  <c r="GB45" i="1"/>
  <c r="GB36" i="1" a="1"/>
  <c r="GB36" i="1"/>
  <c r="GB28" i="1" a="1"/>
  <c r="GB28" i="1"/>
  <c r="GB22" i="1" a="1"/>
  <c r="GB22" i="1"/>
  <c r="GB14" i="1" a="1"/>
  <c r="GB14" i="1"/>
  <c r="GB56" i="1" a="1"/>
  <c r="GB56" i="1"/>
  <c r="GB47" i="1" a="1"/>
  <c r="GB47" i="1"/>
  <c r="GB38" i="1" a="1"/>
  <c r="GB38" i="1"/>
  <c r="GB30" i="1" a="1"/>
  <c r="GB30" i="1"/>
  <c r="GB24" i="1" a="1"/>
  <c r="GB24" i="1"/>
  <c r="GB16" i="1" a="1"/>
  <c r="GB16" i="1"/>
  <c r="GB58" i="1" a="1"/>
  <c r="GB58" i="1"/>
  <c r="GB50" i="1" a="1"/>
  <c r="GB50" i="1"/>
  <c r="GB48" i="1" a="1"/>
  <c r="GB48" i="1"/>
  <c r="GB41" i="1" a="1"/>
  <c r="GB41" i="1"/>
  <c r="GB26" i="1" a="1"/>
  <c r="GB26" i="1"/>
  <c r="GB18" i="1" a="1"/>
  <c r="GB18" i="1"/>
  <c r="AF19" i="1" a="1"/>
  <c r="AF19" i="1"/>
  <c r="AF61" i="1" a="1"/>
  <c r="AF61" i="1"/>
  <c r="AF38" i="1" a="1"/>
  <c r="AF38" i="1"/>
  <c r="AF28" i="1" a="1"/>
  <c r="AF28" i="1"/>
  <c r="AF49" i="1" a="1"/>
  <c r="AF49" i="1"/>
  <c r="AF57" i="1" a="1"/>
  <c r="AF57" i="1"/>
  <c r="AF58" i="1" a="1"/>
  <c r="AF58" i="1"/>
  <c r="AF39" i="1" a="1"/>
  <c r="AF39" i="1"/>
  <c r="AF21" i="1" a="1"/>
  <c r="AF21" i="1"/>
  <c r="AF53" i="1" a="1"/>
  <c r="AF53" i="1"/>
  <c r="AF33" i="1" a="1"/>
  <c r="AF33" i="1"/>
  <c r="AF13" i="1" a="1"/>
  <c r="AF13" i="1"/>
  <c r="AF23" i="1" a="1"/>
  <c r="AF23" i="1"/>
  <c r="AF46" i="1" a="1"/>
  <c r="AF46" i="1"/>
  <c r="AF55" i="1" a="1"/>
  <c r="AF55" i="1"/>
  <c r="AF41" i="1" a="1"/>
  <c r="AF41" i="1"/>
  <c r="AF48" i="1" a="1"/>
  <c r="AF48" i="1"/>
  <c r="AF29" i="1" a="1"/>
  <c r="AF29" i="1"/>
  <c r="AF59" i="1" a="1"/>
  <c r="AF59" i="1"/>
  <c r="AF42" i="1" a="1"/>
  <c r="AF42" i="1"/>
  <c r="AF44" i="1" a="1"/>
  <c r="AF44" i="1"/>
  <c r="AF45" i="1" a="1"/>
  <c r="AF45" i="1"/>
  <c r="AF40" i="1" a="1"/>
  <c r="AF40" i="1"/>
  <c r="AF27" i="1" a="1"/>
  <c r="AF27" i="1"/>
  <c r="AF60" i="1" a="1"/>
  <c r="AF60" i="1"/>
  <c r="AF34" i="1" a="1"/>
  <c r="AF34" i="1"/>
  <c r="AF24" i="1" a="1"/>
  <c r="AF24" i="1"/>
  <c r="AF47" i="1" a="1"/>
  <c r="AF47" i="1"/>
  <c r="AF17" i="1" a="1"/>
  <c r="AF17" i="1"/>
  <c r="AF62" i="1" a="1"/>
  <c r="AF62" i="1"/>
  <c r="AF15" i="1" a="1"/>
  <c r="AF15" i="1"/>
  <c r="AF51" i="1" a="1"/>
  <c r="AF51" i="1"/>
  <c r="AF31" i="1" a="1"/>
  <c r="AF31" i="1"/>
  <c r="AF20" i="1" a="1"/>
  <c r="AF20" i="1"/>
  <c r="AF56" i="1" a="1"/>
  <c r="AF56" i="1"/>
  <c r="AF16" i="1" a="1"/>
  <c r="AF16" i="1"/>
  <c r="AF54" i="1" a="1"/>
  <c r="AF54" i="1"/>
  <c r="AF25" i="1" a="1"/>
  <c r="AF25" i="1"/>
  <c r="AF35" i="1" a="1"/>
  <c r="AF35" i="1"/>
  <c r="AF43" i="1" a="1"/>
  <c r="AF43" i="1"/>
  <c r="AF18" i="1" a="1"/>
  <c r="AF18" i="1"/>
  <c r="AF52" i="1" a="1"/>
  <c r="AF52" i="1"/>
  <c r="AF37" i="1" a="1"/>
  <c r="AF37" i="1"/>
  <c r="AF32" i="1" a="1"/>
  <c r="AF32" i="1"/>
  <c r="AF14" i="1" a="1"/>
  <c r="AF14" i="1"/>
  <c r="AF22" i="1" a="1"/>
  <c r="AF22" i="1"/>
  <c r="AF50" i="1" a="1"/>
  <c r="AF50" i="1"/>
  <c r="AF30" i="1" a="1"/>
  <c r="AF30" i="1"/>
  <c r="AF36" i="1" a="1"/>
  <c r="AF36" i="1"/>
  <c r="AF26" i="1" a="1"/>
  <c r="AF26" i="1"/>
  <c r="AF12" i="1" a="1"/>
  <c r="AF12" i="1"/>
  <c r="AG41" i="1" a="1"/>
  <c r="AG41" i="1"/>
  <c r="AG54" i="1" a="1"/>
  <c r="AG54" i="1"/>
  <c r="AG16" i="1" a="1"/>
  <c r="AG16" i="1"/>
  <c r="AG35" i="1" a="1"/>
  <c r="AG35" i="1"/>
  <c r="AG45" i="1" a="1"/>
  <c r="AG45" i="1"/>
  <c r="AG50" i="1" a="1"/>
  <c r="AG50" i="1"/>
  <c r="AG40" i="1" a="1"/>
  <c r="AG40" i="1"/>
  <c r="AG59" i="1" a="1"/>
  <c r="AG59" i="1"/>
  <c r="AG28" i="1" a="1"/>
  <c r="AG28" i="1"/>
  <c r="AG44" i="1" a="1"/>
  <c r="AG44" i="1"/>
  <c r="AG26" i="1" a="1"/>
  <c r="AG26" i="1"/>
  <c r="AG30" i="1" a="1"/>
  <c r="AG30" i="1"/>
  <c r="AG37" i="1" a="1"/>
  <c r="AG37" i="1"/>
  <c r="AG23" i="1" a="1"/>
  <c r="AG23" i="1"/>
  <c r="AG24" i="1" a="1"/>
  <c r="AG24" i="1"/>
  <c r="AG31" i="1" a="1"/>
  <c r="AG31" i="1"/>
  <c r="AG33" i="1" a="1"/>
  <c r="AG33" i="1"/>
  <c r="AG43" i="1" a="1"/>
  <c r="AG43" i="1"/>
  <c r="AG47" i="1" a="1"/>
  <c r="AG47" i="1"/>
  <c r="AG62" i="1" a="1"/>
  <c r="AG62" i="1"/>
  <c r="AG17" i="1" a="1"/>
  <c r="AG17" i="1"/>
  <c r="AG55" i="1" a="1"/>
  <c r="AG55" i="1"/>
  <c r="AG32" i="1" a="1"/>
  <c r="AG32" i="1"/>
  <c r="AG36" i="1" a="1"/>
  <c r="AG36" i="1"/>
  <c r="AG15" i="1" a="1"/>
  <c r="AG15" i="1"/>
  <c r="AG25" i="1" a="1"/>
  <c r="AG25" i="1"/>
  <c r="AG52" i="1" a="1"/>
  <c r="AG52" i="1"/>
  <c r="AG60" i="1" a="1"/>
  <c r="AG60" i="1"/>
  <c r="AG19" i="1" a="1"/>
  <c r="AG19" i="1"/>
  <c r="AG21" i="1" a="1"/>
  <c r="AG21" i="1"/>
  <c r="AG48" i="1" a="1"/>
  <c r="AG48" i="1"/>
  <c r="AG53" i="1" a="1"/>
  <c r="AG53" i="1"/>
  <c r="AG56" i="1" a="1"/>
  <c r="AG56" i="1"/>
  <c r="AG14" i="1" a="1"/>
  <c r="AG14" i="1"/>
  <c r="AG12" i="1" a="1"/>
  <c r="AG12" i="1"/>
  <c r="AG20" i="1" a="1"/>
  <c r="AG20" i="1"/>
  <c r="AG39" i="1" a="1"/>
  <c r="AG39" i="1"/>
  <c r="AG46" i="1" a="1"/>
  <c r="AG46" i="1"/>
  <c r="AG57" i="1" a="1"/>
  <c r="AG57" i="1"/>
  <c r="AG61" i="1" a="1"/>
  <c r="AG61" i="1"/>
  <c r="AG42" i="1" a="1"/>
  <c r="AG42" i="1"/>
  <c r="AG49" i="1" a="1"/>
  <c r="AG49" i="1"/>
  <c r="AG58" i="1" a="1"/>
  <c r="AG58" i="1"/>
  <c r="AG27" i="1" a="1"/>
  <c r="AG27" i="1"/>
  <c r="AG38" i="1" a="1"/>
  <c r="AG38" i="1"/>
  <c r="AG34" i="1" a="1"/>
  <c r="AG34" i="1"/>
  <c r="AG51" i="1" a="1"/>
  <c r="AG51" i="1"/>
  <c r="AG18" i="1" a="1"/>
  <c r="AG18" i="1"/>
  <c r="AG22" i="1" a="1"/>
  <c r="AG22" i="1"/>
  <c r="AG13" i="1" a="1"/>
  <c r="AG13" i="1"/>
  <c r="AG29" i="1" a="1"/>
  <c r="AG29" i="1"/>
  <c r="GC60" i="1" a="1"/>
  <c r="GC60" i="1"/>
  <c r="GC57" i="1" a="1"/>
  <c r="GC57" i="1"/>
  <c r="GC53" i="1" a="1"/>
  <c r="GC53" i="1"/>
  <c r="GC50" i="1" a="1"/>
  <c r="GC50" i="1"/>
  <c r="GC45" i="1" a="1"/>
  <c r="GC45" i="1"/>
  <c r="GC42" i="1" a="1"/>
  <c r="GC42" i="1"/>
  <c r="GC37" i="1" a="1"/>
  <c r="GC37" i="1"/>
  <c r="GC34" i="1" a="1"/>
  <c r="GC34" i="1"/>
  <c r="GC29" i="1" a="1"/>
  <c r="GC29" i="1"/>
  <c r="GC26" i="1" a="1"/>
  <c r="GC26" i="1"/>
  <c r="GC21" i="1" a="1"/>
  <c r="GC21" i="1"/>
  <c r="GC18" i="1" a="1"/>
  <c r="GC18" i="1"/>
  <c r="GC13" i="1" a="1"/>
  <c r="GC13" i="1"/>
  <c r="GC59" i="1" a="1"/>
  <c r="GC59" i="1"/>
  <c r="GC54" i="1" a="1"/>
  <c r="GC54" i="1"/>
  <c r="GC52" i="1" a="1"/>
  <c r="GC52" i="1"/>
  <c r="GC47" i="1" a="1"/>
  <c r="GC47" i="1"/>
  <c r="GC44" i="1" a="1"/>
  <c r="GC44" i="1"/>
  <c r="GC39" i="1" a="1"/>
  <c r="GC39" i="1"/>
  <c r="GC36" i="1" a="1"/>
  <c r="GC36" i="1"/>
  <c r="GC31" i="1" a="1"/>
  <c r="GC31" i="1"/>
  <c r="GC28" i="1" a="1"/>
  <c r="GC28" i="1"/>
  <c r="GC23" i="1" a="1"/>
  <c r="GC23" i="1"/>
  <c r="GC20" i="1" a="1"/>
  <c r="GC20" i="1"/>
  <c r="GC15" i="1" a="1"/>
  <c r="GC15" i="1"/>
  <c r="GC12" i="1" a="1"/>
  <c r="GC12" i="1"/>
  <c r="GC62" i="1" a="1"/>
  <c r="GC62" i="1"/>
  <c r="GC56" i="1" a="1"/>
  <c r="GC56" i="1"/>
  <c r="GC58" i="1" a="1"/>
  <c r="GC58" i="1"/>
  <c r="GC49" i="1" a="1"/>
  <c r="GC49" i="1"/>
  <c r="GC46" i="1" a="1"/>
  <c r="GC46" i="1"/>
  <c r="GC41" i="1" a="1"/>
  <c r="GC41" i="1"/>
  <c r="GC38" i="1" a="1"/>
  <c r="GC38" i="1"/>
  <c r="GC33" i="1" a="1"/>
  <c r="GC33" i="1"/>
  <c r="GC30" i="1" a="1"/>
  <c r="GC30" i="1"/>
  <c r="GC25" i="1" a="1"/>
  <c r="GC25" i="1"/>
  <c r="GC22" i="1" a="1"/>
  <c r="GC22" i="1"/>
  <c r="GC17" i="1" a="1"/>
  <c r="GC17" i="1"/>
  <c r="GC14" i="1" a="1"/>
  <c r="GC14" i="1"/>
  <c r="GC61" i="1" a="1"/>
  <c r="GC61" i="1"/>
  <c r="GC55" i="1" a="1"/>
  <c r="GC55" i="1"/>
  <c r="GC51" i="1" a="1"/>
  <c r="GC51" i="1"/>
  <c r="GC48" i="1" a="1"/>
  <c r="GC48" i="1"/>
  <c r="GC43" i="1" a="1"/>
  <c r="GC43" i="1"/>
  <c r="GC40" i="1" a="1"/>
  <c r="GC40" i="1"/>
  <c r="GC35" i="1" a="1"/>
  <c r="GC35" i="1"/>
  <c r="GC32" i="1" a="1"/>
  <c r="GC32" i="1"/>
  <c r="GC27" i="1" a="1"/>
  <c r="GC27" i="1"/>
  <c r="GC24" i="1" a="1"/>
  <c r="GC24" i="1"/>
  <c r="GC19" i="1" a="1"/>
  <c r="GC19" i="1"/>
  <c r="GC16" i="1" a="1"/>
  <c r="GC16" i="1"/>
  <c r="GD11" i="1"/>
  <c r="GD62" i="1" a="1"/>
  <c r="GD62" i="1"/>
  <c r="GD60" i="1" a="1"/>
  <c r="GD60" i="1"/>
  <c r="GD58" i="1" a="1"/>
  <c r="GD58" i="1"/>
  <c r="GD56" i="1" a="1"/>
  <c r="GD56" i="1"/>
  <c r="GD54" i="1" a="1"/>
  <c r="GD54" i="1"/>
  <c r="GD50" i="1" a="1"/>
  <c r="GD50" i="1"/>
  <c r="GD52" i="1" a="1"/>
  <c r="GD52" i="1"/>
  <c r="GD48" i="1" a="1"/>
  <c r="GD48" i="1"/>
  <c r="GD44" i="1" a="1"/>
  <c r="GD44" i="1"/>
  <c r="GD42" i="1" a="1"/>
  <c r="GD42" i="1"/>
  <c r="GD46" i="1" a="1"/>
  <c r="GD46" i="1"/>
  <c r="GD40" i="1" a="1"/>
  <c r="GD40" i="1"/>
  <c r="GD35" i="1" a="1"/>
  <c r="GD35" i="1"/>
  <c r="GD33" i="1" a="1"/>
  <c r="GD33" i="1"/>
  <c r="GD38" i="1" a="1"/>
  <c r="GD38" i="1"/>
  <c r="GD32" i="1" a="1"/>
  <c r="GD32" i="1"/>
  <c r="GD30" i="1" a="1"/>
  <c r="GD30" i="1"/>
  <c r="GD28" i="1" a="1"/>
  <c r="GD28" i="1"/>
  <c r="GD26" i="1" a="1"/>
  <c r="GD26" i="1"/>
  <c r="GD24" i="1" a="1"/>
  <c r="GD24" i="1"/>
  <c r="GD22" i="1" a="1"/>
  <c r="GD22" i="1"/>
  <c r="GD20" i="1" a="1"/>
  <c r="GD20" i="1"/>
  <c r="GD18" i="1" a="1"/>
  <c r="GD18" i="1"/>
  <c r="GD16" i="1" a="1"/>
  <c r="GD16" i="1"/>
  <c r="GD14" i="1" a="1"/>
  <c r="GD14" i="1"/>
  <c r="GD12" i="1" a="1"/>
  <c r="GD12" i="1"/>
  <c r="GD61" i="1" a="1"/>
  <c r="GD61" i="1"/>
  <c r="GD59" i="1" a="1"/>
  <c r="GD59" i="1"/>
  <c r="GD57" i="1" a="1"/>
  <c r="GD57" i="1"/>
  <c r="GD55" i="1" a="1"/>
  <c r="GD55" i="1"/>
  <c r="GD53" i="1" a="1"/>
  <c r="GD53" i="1"/>
  <c r="GD49" i="1" a="1"/>
  <c r="GD49" i="1"/>
  <c r="GD51" i="1" a="1"/>
  <c r="GD51" i="1"/>
  <c r="GD45" i="1" a="1"/>
  <c r="GD45" i="1"/>
  <c r="GD43" i="1" a="1"/>
  <c r="GD43" i="1"/>
  <c r="GD47" i="1" a="1"/>
  <c r="GD47" i="1"/>
  <c r="GD41" i="1" a="1"/>
  <c r="GD41" i="1"/>
  <c r="GD36" i="1" a="1"/>
  <c r="GD36" i="1"/>
  <c r="GD34" i="1" a="1"/>
  <c r="GD34" i="1"/>
  <c r="GD39" i="1" a="1"/>
  <c r="GD39" i="1"/>
  <c r="GD37" i="1" a="1"/>
  <c r="GD37" i="1"/>
  <c r="GD31" i="1" a="1"/>
  <c r="GD31" i="1"/>
  <c r="GD29" i="1" a="1"/>
  <c r="GD29" i="1"/>
  <c r="GD27" i="1" a="1"/>
  <c r="GD27" i="1"/>
  <c r="GD25" i="1" a="1"/>
  <c r="GD25" i="1"/>
  <c r="GD23" i="1" a="1"/>
  <c r="GD23" i="1"/>
  <c r="GD21" i="1" a="1"/>
  <c r="GD21" i="1"/>
  <c r="GD19" i="1" a="1"/>
  <c r="GD19" i="1"/>
  <c r="GD17" i="1" a="1"/>
  <c r="GD17" i="1"/>
  <c r="GD15" i="1" a="1"/>
  <c r="GD15" i="1"/>
  <c r="GD13" i="1" a="1"/>
  <c r="GD13" i="1"/>
  <c r="GE11" i="1"/>
  <c r="AH43" i="1" a="1"/>
  <c r="AH43" i="1"/>
  <c r="AH50" i="1" a="1"/>
  <c r="AH50" i="1"/>
  <c r="AH59" i="1" a="1"/>
  <c r="AH59" i="1"/>
  <c r="AH37" i="1" a="1"/>
  <c r="AH37" i="1"/>
  <c r="AH32" i="1" a="1"/>
  <c r="AH32" i="1"/>
  <c r="AH19" i="1" a="1"/>
  <c r="AH19" i="1"/>
  <c r="AH20" i="1" a="1"/>
  <c r="AH20" i="1"/>
  <c r="AH52" i="1" a="1"/>
  <c r="AH52" i="1"/>
  <c r="AH24" i="1" a="1"/>
  <c r="AH24" i="1"/>
  <c r="AH18" i="1" a="1"/>
  <c r="AH18" i="1"/>
  <c r="AH40" i="1" a="1"/>
  <c r="AH40" i="1"/>
  <c r="AH36" i="1" a="1"/>
  <c r="AH36" i="1"/>
  <c r="AH41" i="1" a="1"/>
  <c r="AH41" i="1"/>
  <c r="AH12" i="1" a="1"/>
  <c r="AH12" i="1"/>
  <c r="AH31" i="1" a="1"/>
  <c r="AH31" i="1"/>
  <c r="AH39" i="1" a="1"/>
  <c r="AH39" i="1"/>
  <c r="AH38" i="1" a="1"/>
  <c r="AH38" i="1"/>
  <c r="AH28" i="1" a="1"/>
  <c r="AH28" i="1"/>
  <c r="AH49" i="1" a="1"/>
  <c r="AH49" i="1"/>
  <c r="AH57" i="1" a="1"/>
  <c r="AH57" i="1"/>
  <c r="AH61" i="1" a="1"/>
  <c r="AH61" i="1"/>
  <c r="AH23" i="1" a="1"/>
  <c r="AH23" i="1"/>
  <c r="AH25" i="1" a="1"/>
  <c r="AH25" i="1"/>
  <c r="AH22" i="1" a="1"/>
  <c r="AH22" i="1"/>
  <c r="AH26" i="1" a="1"/>
  <c r="AH26" i="1"/>
  <c r="AH48" i="1" a="1"/>
  <c r="AH48" i="1"/>
  <c r="AH13" i="1" a="1"/>
  <c r="AH13" i="1"/>
  <c r="AH21" i="1" a="1"/>
  <c r="AH21" i="1"/>
  <c r="AH27" i="1" a="1"/>
  <c r="AH27" i="1"/>
  <c r="AH29" i="1" a="1"/>
  <c r="AH29" i="1"/>
  <c r="AH14" i="1" a="1"/>
  <c r="AH14" i="1"/>
  <c r="AH42" i="1" a="1"/>
  <c r="AH42" i="1"/>
  <c r="AH44" i="1" a="1"/>
  <c r="AH44" i="1"/>
  <c r="AH60" i="1" a="1"/>
  <c r="AH60" i="1"/>
  <c r="AH53" i="1" a="1"/>
  <c r="AH53" i="1"/>
  <c r="AH17" i="1" a="1"/>
  <c r="AH17" i="1"/>
  <c r="AH58" i="1" a="1"/>
  <c r="AH58" i="1"/>
  <c r="AH54" i="1" a="1"/>
  <c r="AH54" i="1"/>
  <c r="AH47" i="1" a="1"/>
  <c r="AH47" i="1"/>
  <c r="AH56" i="1" a="1"/>
  <c r="AH56" i="1"/>
  <c r="AH16" i="1" a="1"/>
  <c r="AH16" i="1"/>
  <c r="AH15" i="1" a="1"/>
  <c r="AH15" i="1"/>
  <c r="AH51" i="1" a="1"/>
  <c r="AH51" i="1"/>
  <c r="AH30" i="1" a="1"/>
  <c r="AH30" i="1"/>
  <c r="AH45" i="1" a="1"/>
  <c r="AH45" i="1"/>
  <c r="AH46" i="1" a="1"/>
  <c r="AH46" i="1"/>
  <c r="AH62" i="1" a="1"/>
  <c r="AH62" i="1"/>
  <c r="AH33" i="1" a="1"/>
  <c r="AH33" i="1"/>
  <c r="AH34" i="1" a="1"/>
  <c r="AH34" i="1"/>
  <c r="AH55" i="1" a="1"/>
  <c r="AH55" i="1"/>
  <c r="AH35" i="1" a="1"/>
  <c r="AH35" i="1"/>
  <c r="GE62" i="1" a="1"/>
  <c r="GE62" i="1"/>
  <c r="GE59" i="1" a="1"/>
  <c r="GE59" i="1"/>
  <c r="GE56" i="1" a="1"/>
  <c r="GE56" i="1"/>
  <c r="GE54" i="1" a="1"/>
  <c r="GE54" i="1"/>
  <c r="GE57" i="1" a="1"/>
  <c r="GE57" i="1"/>
  <c r="GE51" i="1" a="1"/>
  <c r="GE51" i="1"/>
  <c r="GE50" i="1" a="1"/>
  <c r="GE50" i="1"/>
  <c r="GE48" i="1" a="1"/>
  <c r="GE48" i="1"/>
  <c r="GE46" i="1" a="1"/>
  <c r="GE46" i="1"/>
  <c r="GE44" i="1" a="1"/>
  <c r="GE44" i="1"/>
  <c r="GE42" i="1" a="1"/>
  <c r="GE42" i="1"/>
  <c r="GE40" i="1" a="1"/>
  <c r="GE40" i="1"/>
  <c r="GE38" i="1" a="1"/>
  <c r="GE38" i="1"/>
  <c r="GE36" i="1" a="1"/>
  <c r="GE36" i="1"/>
  <c r="GE34" i="1" a="1"/>
  <c r="GE34" i="1"/>
  <c r="GE32" i="1" a="1"/>
  <c r="GE32" i="1"/>
  <c r="GE30" i="1" a="1"/>
  <c r="GE30" i="1"/>
  <c r="GE28" i="1" a="1"/>
  <c r="GE28" i="1"/>
  <c r="GE26" i="1" a="1"/>
  <c r="GE26" i="1"/>
  <c r="GE24" i="1" a="1"/>
  <c r="GE24" i="1"/>
  <c r="GE22" i="1" a="1"/>
  <c r="GE22" i="1"/>
  <c r="GE20" i="1" a="1"/>
  <c r="GE20" i="1"/>
  <c r="GE18" i="1" a="1"/>
  <c r="GE18" i="1"/>
  <c r="GE16" i="1" a="1"/>
  <c r="GE16" i="1"/>
  <c r="GE14" i="1" a="1"/>
  <c r="GE14" i="1"/>
  <c r="GE12" i="1" a="1"/>
  <c r="GE12" i="1"/>
  <c r="GE60" i="1" a="1"/>
  <c r="GE60" i="1"/>
  <c r="GE61" i="1" a="1"/>
  <c r="GE61" i="1"/>
  <c r="GE55" i="1" a="1"/>
  <c r="GE55" i="1"/>
  <c r="GE58" i="1" a="1"/>
  <c r="GE58" i="1"/>
  <c r="GE52" i="1" a="1"/>
  <c r="GE52" i="1"/>
  <c r="GE53" i="1" a="1"/>
  <c r="GE53" i="1"/>
  <c r="GE49" i="1" a="1"/>
  <c r="GE49" i="1"/>
  <c r="GE47" i="1" a="1"/>
  <c r="GE47" i="1"/>
  <c r="GE45" i="1" a="1"/>
  <c r="GE45" i="1"/>
  <c r="GE43" i="1" a="1"/>
  <c r="GE43" i="1"/>
  <c r="GE41" i="1" a="1"/>
  <c r="GE41" i="1"/>
  <c r="GE39" i="1" a="1"/>
  <c r="GE39" i="1"/>
  <c r="GE37" i="1" a="1"/>
  <c r="GE37" i="1"/>
  <c r="GE35" i="1" a="1"/>
  <c r="GE35" i="1"/>
  <c r="GE33" i="1" a="1"/>
  <c r="GE33" i="1"/>
  <c r="GE31" i="1" a="1"/>
  <c r="GE31" i="1"/>
  <c r="GE29" i="1" a="1"/>
  <c r="GE29" i="1"/>
  <c r="GE27" i="1" a="1"/>
  <c r="GE27" i="1"/>
  <c r="GE25" i="1" a="1"/>
  <c r="GE25" i="1"/>
  <c r="GE23" i="1" a="1"/>
  <c r="GE23" i="1"/>
  <c r="GE21" i="1" a="1"/>
  <c r="GE21" i="1"/>
  <c r="GE19" i="1" a="1"/>
  <c r="GE19" i="1"/>
  <c r="GE17" i="1" a="1"/>
  <c r="GE17" i="1"/>
  <c r="GE15" i="1" a="1"/>
  <c r="GE15" i="1"/>
  <c r="GE13" i="1" a="1"/>
  <c r="GE13" i="1"/>
  <c r="GF11" i="1"/>
  <c r="AI39" i="1" a="1"/>
  <c r="AI39" i="1"/>
  <c r="AI29" i="1" a="1"/>
  <c r="AI29" i="1"/>
  <c r="AI15" i="1" a="1"/>
  <c r="AI15" i="1"/>
  <c r="AI17" i="1" a="1"/>
  <c r="AI17" i="1"/>
  <c r="AI22" i="1" a="1"/>
  <c r="AI22" i="1"/>
  <c r="AI40" i="1" a="1"/>
  <c r="AI40" i="1"/>
  <c r="AI43" i="1" a="1"/>
  <c r="AI43" i="1"/>
  <c r="AI59" i="1" a="1"/>
  <c r="AI59" i="1"/>
  <c r="AI60" i="1" a="1"/>
  <c r="AI60" i="1"/>
  <c r="AI12" i="1" a="1"/>
  <c r="AI12" i="1"/>
  <c r="AI16" i="1" a="1"/>
  <c r="AI16" i="1"/>
  <c r="AI34" i="1" a="1"/>
  <c r="AI34" i="1"/>
  <c r="AI57" i="1" a="1"/>
  <c r="AI57" i="1"/>
  <c r="AI24" i="1" a="1"/>
  <c r="AI24" i="1"/>
  <c r="AI51" i="1" a="1"/>
  <c r="AI51" i="1"/>
  <c r="AI56" i="1" a="1"/>
  <c r="AI56" i="1"/>
  <c r="AI19" i="1" a="1"/>
  <c r="AI19" i="1"/>
  <c r="AI30" i="1" a="1"/>
  <c r="AI30" i="1"/>
  <c r="AI28" i="1" a="1"/>
  <c r="AI28" i="1"/>
  <c r="AI18" i="1" a="1"/>
  <c r="AI18" i="1"/>
  <c r="AI47" i="1" a="1"/>
  <c r="AI47" i="1"/>
  <c r="AI45" i="1" a="1"/>
  <c r="AI45" i="1"/>
  <c r="AI58" i="1" a="1"/>
  <c r="AI58" i="1"/>
  <c r="AI27" i="1" a="1"/>
  <c r="AI27" i="1"/>
  <c r="AI25" i="1" a="1"/>
  <c r="AI25" i="1"/>
  <c r="AI37" i="1" a="1"/>
  <c r="AI37" i="1"/>
  <c r="AI14" i="1" a="1"/>
  <c r="AI14" i="1"/>
  <c r="AI42" i="1" a="1"/>
  <c r="AI42" i="1"/>
  <c r="AI36" i="1" a="1"/>
  <c r="AI36" i="1"/>
  <c r="AI50" i="1" a="1"/>
  <c r="AI50" i="1"/>
  <c r="AI55" i="1" a="1"/>
  <c r="AI55" i="1"/>
  <c r="AI20" i="1" a="1"/>
  <c r="AI20" i="1"/>
  <c r="AI54" i="1" a="1"/>
  <c r="AI54" i="1"/>
  <c r="AI32" i="1" a="1"/>
  <c r="AI32" i="1"/>
  <c r="AI35" i="1" a="1"/>
  <c r="AI35" i="1"/>
  <c r="AI41" i="1" a="1"/>
  <c r="AI41" i="1"/>
  <c r="AI62" i="1" a="1"/>
  <c r="AI62" i="1"/>
  <c r="AI61" i="1" a="1"/>
  <c r="AI61" i="1"/>
  <c r="AI13" i="1" a="1"/>
  <c r="AI13" i="1"/>
  <c r="AI52" i="1" a="1"/>
  <c r="AI52" i="1"/>
  <c r="AI38" i="1" a="1"/>
  <c r="AI38" i="1"/>
  <c r="AI33" i="1" a="1"/>
  <c r="AI33" i="1"/>
  <c r="AI26" i="1" a="1"/>
  <c r="AI26" i="1"/>
  <c r="AI44" i="1" a="1"/>
  <c r="AI44" i="1"/>
  <c r="AI46" i="1" a="1"/>
  <c r="AI46" i="1"/>
  <c r="AI53" i="1" a="1"/>
  <c r="AI53" i="1"/>
  <c r="AI23" i="1" a="1"/>
  <c r="AI23" i="1"/>
  <c r="AI21" i="1" a="1"/>
  <c r="AI21" i="1"/>
  <c r="AI31" i="1" a="1"/>
  <c r="AI31" i="1"/>
  <c r="AI49" i="1" a="1"/>
  <c r="AI49" i="1"/>
  <c r="AI48" i="1" a="1"/>
  <c r="AI48" i="1"/>
  <c r="GF62" i="1" a="1"/>
  <c r="GF62" i="1"/>
  <c r="GF60" i="1" a="1"/>
  <c r="GF60" i="1"/>
  <c r="GF58" i="1" a="1"/>
  <c r="GF58" i="1"/>
  <c r="GF56" i="1" a="1"/>
  <c r="GF56" i="1"/>
  <c r="GF54" i="1" a="1"/>
  <c r="GF54" i="1"/>
  <c r="GF50" i="1" a="1"/>
  <c r="GF50" i="1"/>
  <c r="GF52" i="1" a="1"/>
  <c r="GF52" i="1"/>
  <c r="GF45" i="1" a="1"/>
  <c r="GF45" i="1"/>
  <c r="GF43" i="1" a="1"/>
  <c r="GF43" i="1"/>
  <c r="GF48" i="1" a="1"/>
  <c r="GF48" i="1"/>
  <c r="GF46" i="1" a="1"/>
  <c r="GF46" i="1"/>
  <c r="GF36" i="1" a="1"/>
  <c r="GF36" i="1"/>
  <c r="GF34" i="1" a="1"/>
  <c r="GF34" i="1"/>
  <c r="GF40" i="1" a="1"/>
  <c r="GF40" i="1"/>
  <c r="GF38" i="1" a="1"/>
  <c r="GF38" i="1"/>
  <c r="GF32" i="1" a="1"/>
  <c r="GF32" i="1"/>
  <c r="GF30" i="1" a="1"/>
  <c r="GF30" i="1"/>
  <c r="GF28" i="1" a="1"/>
  <c r="GF28" i="1"/>
  <c r="GF26" i="1" a="1"/>
  <c r="GF26" i="1"/>
  <c r="GF24" i="1" a="1"/>
  <c r="GF24" i="1"/>
  <c r="GF22" i="1" a="1"/>
  <c r="GF22" i="1"/>
  <c r="GF16" i="1" a="1"/>
  <c r="GF16" i="1"/>
  <c r="GF14" i="1" a="1"/>
  <c r="GF14" i="1"/>
  <c r="GF12" i="1" a="1"/>
  <c r="GF12" i="1"/>
  <c r="GF20" i="1" a="1"/>
  <c r="GF20" i="1"/>
  <c r="GF18" i="1" a="1"/>
  <c r="GF18" i="1"/>
  <c r="GF61" i="1" a="1"/>
  <c r="GF61" i="1"/>
  <c r="GF59" i="1" a="1"/>
  <c r="GF59" i="1"/>
  <c r="GF57" i="1" a="1"/>
  <c r="GF57" i="1"/>
  <c r="GF55" i="1" a="1"/>
  <c r="GF55" i="1"/>
  <c r="GF53" i="1" a="1"/>
  <c r="GF53" i="1"/>
  <c r="GF49" i="1" a="1"/>
  <c r="GF49" i="1"/>
  <c r="GF51" i="1" a="1"/>
  <c r="GF51" i="1"/>
  <c r="GF44" i="1" a="1"/>
  <c r="GF44" i="1"/>
  <c r="GF42" i="1" a="1"/>
  <c r="GF42" i="1"/>
  <c r="GF47" i="1" a="1"/>
  <c r="GF47" i="1"/>
  <c r="GF41" i="1" a="1"/>
  <c r="GF41" i="1"/>
  <c r="GF35" i="1" a="1"/>
  <c r="GF35" i="1"/>
  <c r="GF33" i="1" a="1"/>
  <c r="GF33" i="1"/>
  <c r="GF39" i="1" a="1"/>
  <c r="GF39" i="1"/>
  <c r="GF37" i="1" a="1"/>
  <c r="GF37" i="1"/>
  <c r="GF31" i="1" a="1"/>
  <c r="GF31" i="1"/>
  <c r="GF29" i="1" a="1"/>
  <c r="GF29" i="1"/>
  <c r="GF27" i="1" a="1"/>
  <c r="GF27" i="1"/>
  <c r="GF25" i="1" a="1"/>
  <c r="GF25" i="1"/>
  <c r="GF23" i="1" a="1"/>
  <c r="GF23" i="1"/>
  <c r="GF17" i="1" a="1"/>
  <c r="GF17" i="1"/>
  <c r="GF15" i="1" a="1"/>
  <c r="GF15" i="1"/>
  <c r="GF13" i="1" a="1"/>
  <c r="GF13" i="1"/>
  <c r="GF21" i="1" a="1"/>
  <c r="GF21" i="1"/>
  <c r="GF19" i="1" a="1"/>
  <c r="GF19" i="1"/>
  <c r="GG11" i="1"/>
  <c r="AJ60" i="1" a="1"/>
  <c r="AJ60" i="1"/>
  <c r="AJ16" i="1" a="1"/>
  <c r="AJ16" i="1"/>
  <c r="AJ15" i="1" a="1"/>
  <c r="AJ15" i="1"/>
  <c r="AJ57" i="1" a="1"/>
  <c r="AJ57" i="1"/>
  <c r="AJ12" i="1" a="1"/>
  <c r="AJ12" i="1"/>
  <c r="AJ45" i="1" a="1"/>
  <c r="AJ45" i="1"/>
  <c r="AJ52" i="1" a="1"/>
  <c r="AJ52" i="1"/>
  <c r="AJ61" i="1" a="1"/>
  <c r="AJ61" i="1"/>
  <c r="AJ26" i="1" a="1"/>
  <c r="AJ26" i="1"/>
  <c r="AJ46" i="1" a="1"/>
  <c r="AJ46" i="1"/>
  <c r="AJ49" i="1" a="1"/>
  <c r="AJ49" i="1"/>
  <c r="AJ41" i="1" a="1"/>
  <c r="AJ41" i="1"/>
  <c r="AJ43" i="1" a="1"/>
  <c r="AJ43" i="1"/>
  <c r="AJ50" i="1" a="1"/>
  <c r="AJ50" i="1"/>
  <c r="AJ59" i="1" a="1"/>
  <c r="AJ59" i="1"/>
  <c r="AJ37" i="1" a="1"/>
  <c r="AJ37" i="1"/>
  <c r="AJ44" i="1" a="1"/>
  <c r="AJ44" i="1"/>
  <c r="AJ58" i="1" a="1"/>
  <c r="AJ58" i="1"/>
  <c r="AJ20" i="1" a="1"/>
  <c r="AJ20" i="1"/>
  <c r="AJ38" i="1" a="1"/>
  <c r="AJ38" i="1"/>
  <c r="AJ48" i="1" a="1"/>
  <c r="AJ48" i="1"/>
  <c r="AJ54" i="1" a="1"/>
  <c r="AJ54" i="1"/>
  <c r="AJ35" i="1" a="1"/>
  <c r="AJ35" i="1"/>
  <c r="AJ42" i="1" a="1"/>
  <c r="AJ42" i="1"/>
  <c r="AJ17" i="1" a="1"/>
  <c r="AJ17" i="1"/>
  <c r="AJ30" i="1" a="1"/>
  <c r="AJ30" i="1"/>
  <c r="AJ39" i="1" a="1"/>
  <c r="AJ39" i="1"/>
  <c r="AJ51" i="1" a="1"/>
  <c r="AJ51" i="1"/>
  <c r="AJ28" i="1" a="1"/>
  <c r="AJ28" i="1"/>
  <c r="AJ33" i="1" a="1"/>
  <c r="AJ33" i="1"/>
  <c r="AJ40" i="1" a="1"/>
  <c r="AJ40" i="1"/>
  <c r="AJ22" i="1" a="1"/>
  <c r="AJ22" i="1"/>
  <c r="AJ29" i="1" a="1"/>
  <c r="AJ29" i="1"/>
  <c r="AJ34" i="1" a="1"/>
  <c r="AJ34" i="1"/>
  <c r="AJ36" i="1" a="1"/>
  <c r="AJ36" i="1"/>
  <c r="AJ23" i="1" a="1"/>
  <c r="AJ23" i="1"/>
  <c r="AJ31" i="1" a="1"/>
  <c r="AJ31" i="1"/>
  <c r="AJ55" i="1" a="1"/>
  <c r="AJ55" i="1"/>
  <c r="AJ21" i="1" a="1"/>
  <c r="AJ21" i="1"/>
  <c r="AJ27" i="1" a="1"/>
  <c r="AJ27" i="1"/>
  <c r="AJ32" i="1" a="1"/>
  <c r="AJ32" i="1"/>
  <c r="AJ14" i="1" a="1"/>
  <c r="AJ14" i="1"/>
  <c r="AJ24" i="1" a="1"/>
  <c r="AJ24" i="1"/>
  <c r="AJ56" i="1" a="1"/>
  <c r="AJ56" i="1"/>
  <c r="AJ62" i="1" a="1"/>
  <c r="AJ62" i="1"/>
  <c r="AJ18" i="1" a="1"/>
  <c r="AJ18" i="1"/>
  <c r="AJ25" i="1" a="1"/>
  <c r="AJ25" i="1"/>
  <c r="AJ53" i="1" a="1"/>
  <c r="AJ53" i="1"/>
  <c r="AJ13" i="1" a="1"/>
  <c r="AJ13" i="1"/>
  <c r="AJ19" i="1" a="1"/>
  <c r="AJ19" i="1"/>
  <c r="AJ47" i="1" a="1"/>
  <c r="AJ47" i="1"/>
  <c r="GG61" i="1" a="1"/>
  <c r="GG61" i="1"/>
  <c r="GG59" i="1" a="1"/>
  <c r="GG59" i="1"/>
  <c r="GG55" i="1" a="1"/>
  <c r="GG55" i="1"/>
  <c r="GG57" i="1" a="1"/>
  <c r="GG57" i="1"/>
  <c r="GG53" i="1" a="1"/>
  <c r="GG53" i="1"/>
  <c r="GG51" i="1" a="1"/>
  <c r="GG51" i="1"/>
  <c r="GG49" i="1" a="1"/>
  <c r="GG49" i="1"/>
  <c r="GG47" i="1" a="1"/>
  <c r="GG47" i="1"/>
  <c r="GG45" i="1" a="1"/>
  <c r="GG45" i="1"/>
  <c r="GG43" i="1" a="1"/>
  <c r="GG43" i="1"/>
  <c r="GG41" i="1" a="1"/>
  <c r="GG41" i="1"/>
  <c r="GG39" i="1" a="1"/>
  <c r="GG39" i="1"/>
  <c r="GG37" i="1" a="1"/>
  <c r="GG37" i="1"/>
  <c r="GG35" i="1" a="1"/>
  <c r="GG35" i="1"/>
  <c r="GG33" i="1" a="1"/>
  <c r="GG33" i="1"/>
  <c r="GG31" i="1" a="1"/>
  <c r="GG31" i="1"/>
  <c r="GG26" i="1" a="1"/>
  <c r="GG26" i="1"/>
  <c r="GG24" i="1" a="1"/>
  <c r="GG24" i="1"/>
  <c r="GG29" i="1" a="1"/>
  <c r="GG29" i="1"/>
  <c r="GG23" i="1" a="1"/>
  <c r="GG23" i="1"/>
  <c r="GG21" i="1" a="1"/>
  <c r="GG21" i="1"/>
  <c r="GG19" i="1" a="1"/>
  <c r="GG19" i="1"/>
  <c r="GG17" i="1" a="1"/>
  <c r="GG17" i="1"/>
  <c r="GG15" i="1" a="1"/>
  <c r="GG15" i="1"/>
  <c r="GG13" i="1" a="1"/>
  <c r="GG13" i="1"/>
  <c r="GH11" i="1"/>
  <c r="GG62" i="1" a="1"/>
  <c r="GG62" i="1"/>
  <c r="GG60" i="1" a="1"/>
  <c r="GG60" i="1"/>
  <c r="GG56" i="1" a="1"/>
  <c r="GG56" i="1"/>
  <c r="GG54" i="1" a="1"/>
  <c r="GG54" i="1"/>
  <c r="GG58" i="1" a="1"/>
  <c r="GG58" i="1"/>
  <c r="GG52" i="1" a="1"/>
  <c r="GG52" i="1"/>
  <c r="GG50" i="1" a="1"/>
  <c r="GG50" i="1"/>
  <c r="GG48" i="1" a="1"/>
  <c r="GG48" i="1"/>
  <c r="GG46" i="1" a="1"/>
  <c r="GG46" i="1"/>
  <c r="GG44" i="1" a="1"/>
  <c r="GG44" i="1"/>
  <c r="GG42" i="1" a="1"/>
  <c r="GG42" i="1"/>
  <c r="GG40" i="1" a="1"/>
  <c r="GG40" i="1"/>
  <c r="GG38" i="1" a="1"/>
  <c r="GG38" i="1"/>
  <c r="GG36" i="1" a="1"/>
  <c r="GG36" i="1"/>
  <c r="GG34" i="1" a="1"/>
  <c r="GG34" i="1"/>
  <c r="GG32" i="1" a="1"/>
  <c r="GG32" i="1"/>
  <c r="GG27" i="1" a="1"/>
  <c r="GG27" i="1"/>
  <c r="GG25" i="1" a="1"/>
  <c r="GG25" i="1"/>
  <c r="GG30" i="1" a="1"/>
  <c r="GG30" i="1"/>
  <c r="GG28" i="1" a="1"/>
  <c r="GG28" i="1"/>
  <c r="GG22" i="1" a="1"/>
  <c r="GG22" i="1"/>
  <c r="GG20" i="1" a="1"/>
  <c r="GG20" i="1"/>
  <c r="GG18" i="1" a="1"/>
  <c r="GG18" i="1"/>
  <c r="GG16" i="1" a="1"/>
  <c r="GG16" i="1"/>
  <c r="GG14" i="1" a="1"/>
  <c r="GG14" i="1"/>
  <c r="GG12" i="1" a="1"/>
  <c r="GG12" i="1"/>
  <c r="AK51" i="1" a="1"/>
  <c r="AK51" i="1"/>
  <c r="AK13" i="1" a="1"/>
  <c r="AK13" i="1"/>
  <c r="AK60" i="1" a="1"/>
  <c r="AK60" i="1"/>
  <c r="AK12" i="1" a="1"/>
  <c r="AK12" i="1"/>
  <c r="AK46" i="1" a="1"/>
  <c r="AK46" i="1"/>
  <c r="AK61" i="1" a="1"/>
  <c r="AK61" i="1"/>
  <c r="AK42" i="1" a="1"/>
  <c r="AK42" i="1"/>
  <c r="AK37" i="1" a="1"/>
  <c r="AK37" i="1"/>
  <c r="AK22" i="1" a="1"/>
  <c r="AK22" i="1"/>
  <c r="AK59" i="1" a="1"/>
  <c r="AK59" i="1"/>
  <c r="AK31" i="1" a="1"/>
  <c r="AK31" i="1"/>
  <c r="AK53" i="1" a="1"/>
  <c r="AK53" i="1"/>
  <c r="AK57" i="1" a="1"/>
  <c r="AK57" i="1"/>
  <c r="AK40" i="1" a="1"/>
  <c r="AK40" i="1"/>
  <c r="AK19" i="1" a="1"/>
  <c r="AK19" i="1"/>
  <c r="AK49" i="1" a="1"/>
  <c r="AK49" i="1"/>
  <c r="AK34" i="1" a="1"/>
  <c r="AK34" i="1"/>
  <c r="AK44" i="1" a="1"/>
  <c r="AK44" i="1"/>
  <c r="AK43" i="1" a="1"/>
  <c r="AK43" i="1"/>
  <c r="AK16" i="1" a="1"/>
  <c r="AK16" i="1"/>
  <c r="AK52" i="1" a="1"/>
  <c r="AK52" i="1"/>
  <c r="AK17" i="1" a="1"/>
  <c r="AK17" i="1"/>
  <c r="AK50" i="1" a="1"/>
  <c r="AK50" i="1"/>
  <c r="AK21" i="1" a="1"/>
  <c r="AK21" i="1"/>
  <c r="AK39" i="1" a="1"/>
  <c r="AK39" i="1"/>
  <c r="AK41" i="1" a="1"/>
  <c r="AK41" i="1"/>
  <c r="AK14" i="1" a="1"/>
  <c r="AK14" i="1"/>
  <c r="AK58" i="1" a="1"/>
  <c r="AK58" i="1"/>
  <c r="AK35" i="1" a="1"/>
  <c r="AK35" i="1"/>
  <c r="AK29" i="1" a="1"/>
  <c r="AK29" i="1"/>
  <c r="AK30" i="1" a="1"/>
  <c r="AK30" i="1"/>
  <c r="AK32" i="1" a="1"/>
  <c r="AK32" i="1"/>
  <c r="AK23" i="1" a="1"/>
  <c r="AK23" i="1"/>
  <c r="AK47" i="1" a="1"/>
  <c r="AK47" i="1"/>
  <c r="AK26" i="1" a="1"/>
  <c r="AK26" i="1"/>
  <c r="AK33" i="1" a="1"/>
  <c r="AK33" i="1"/>
  <c r="AK27" i="1" a="1"/>
  <c r="AK27" i="1"/>
  <c r="AK28" i="1" a="1"/>
  <c r="AK28" i="1"/>
  <c r="AK55" i="1" a="1"/>
  <c r="AK55" i="1"/>
  <c r="AK38" i="1" a="1"/>
  <c r="AK38" i="1"/>
  <c r="AK45" i="1" a="1"/>
  <c r="AK45" i="1"/>
  <c r="AK24" i="1" a="1"/>
  <c r="AK24" i="1"/>
  <c r="AK56" i="1" a="1"/>
  <c r="AK56" i="1"/>
  <c r="AK25" i="1" a="1"/>
  <c r="AK25" i="1"/>
  <c r="AK18" i="1" a="1"/>
  <c r="AK18" i="1"/>
  <c r="AK54" i="1" a="1"/>
  <c r="AK54" i="1"/>
  <c r="AK36" i="1" a="1"/>
  <c r="AK36" i="1"/>
  <c r="AK20" i="1" a="1"/>
  <c r="AK20" i="1"/>
  <c r="AK48" i="1" a="1"/>
  <c r="AK48" i="1"/>
  <c r="AK62" i="1" a="1"/>
  <c r="AK62" i="1"/>
  <c r="AK15" i="1" a="1"/>
  <c r="AK15" i="1"/>
  <c r="AL60" i="1" a="1"/>
  <c r="AL60" i="1"/>
  <c r="AL16" i="1" a="1"/>
  <c r="AL16" i="1"/>
  <c r="AL49" i="1" a="1"/>
  <c r="AL49" i="1"/>
  <c r="AL57" i="1" a="1"/>
  <c r="AL57" i="1"/>
  <c r="AL12" i="1" a="1"/>
  <c r="AL12" i="1"/>
  <c r="AL50" i="1" a="1"/>
  <c r="AL50" i="1"/>
  <c r="AL52" i="1" a="1"/>
  <c r="AL52" i="1"/>
  <c r="AL15" i="1" a="1"/>
  <c r="AL15" i="1"/>
  <c r="AL25" i="1" a="1"/>
  <c r="AL25" i="1"/>
  <c r="AL53" i="1" a="1"/>
  <c r="AL53" i="1"/>
  <c r="AL13" i="1" a="1"/>
  <c r="AL13" i="1"/>
  <c r="AL19" i="1" a="1"/>
  <c r="AL19" i="1"/>
  <c r="AL47" i="1" a="1"/>
  <c r="AL47" i="1"/>
  <c r="AL54" i="1" a="1"/>
  <c r="AL54" i="1"/>
  <c r="AL59" i="1" a="1"/>
  <c r="AL59" i="1"/>
  <c r="AL37" i="1" a="1"/>
  <c r="AL37" i="1"/>
  <c r="AL44" i="1" a="1"/>
  <c r="AL44" i="1"/>
  <c r="AL58" i="1" a="1"/>
  <c r="AL58" i="1"/>
  <c r="AL39" i="1" a="1"/>
  <c r="AL39" i="1"/>
  <c r="AL61" i="1" a="1"/>
  <c r="AL61" i="1"/>
  <c r="AL26" i="1" a="1"/>
  <c r="AL26" i="1"/>
  <c r="AL46" i="1" a="1"/>
  <c r="AL46" i="1"/>
  <c r="AL55" i="1" a="1"/>
  <c r="AL55" i="1"/>
  <c r="AL41" i="1" a="1"/>
  <c r="AL41" i="1"/>
  <c r="AL43" i="1" a="1"/>
  <c r="AL43" i="1"/>
  <c r="AL36" i="1" a="1"/>
  <c r="AL36" i="1"/>
  <c r="AL51" i="1" a="1"/>
  <c r="AL51" i="1"/>
  <c r="AL28" i="1" a="1"/>
  <c r="AL28" i="1"/>
  <c r="AL45" i="1" a="1"/>
  <c r="AL45" i="1"/>
  <c r="AL40" i="1" a="1"/>
  <c r="AL40" i="1"/>
  <c r="AL22" i="1" a="1"/>
  <c r="AL22" i="1"/>
  <c r="AL38" i="1" a="1"/>
  <c r="AL38" i="1"/>
  <c r="AL48" i="1" a="1"/>
  <c r="AL48" i="1"/>
  <c r="AL33" i="1" a="1"/>
  <c r="AL33" i="1"/>
  <c r="AL35" i="1" a="1"/>
  <c r="AL35" i="1"/>
  <c r="AL42" i="1" a="1"/>
  <c r="AL42" i="1"/>
  <c r="AL17" i="1" a="1"/>
  <c r="AL17" i="1"/>
  <c r="AL31" i="1" a="1"/>
  <c r="AL31" i="1"/>
  <c r="AL27" i="1" a="1"/>
  <c r="AL27" i="1"/>
  <c r="AL32" i="1" a="1"/>
  <c r="AL32" i="1"/>
  <c r="AL14" i="1" a="1"/>
  <c r="AL14" i="1"/>
  <c r="AL20" i="1" a="1"/>
  <c r="AL20" i="1"/>
  <c r="AL56" i="1" a="1"/>
  <c r="AL56" i="1"/>
  <c r="AL62" i="1" a="1"/>
  <c r="AL62" i="1"/>
  <c r="AL29" i="1" a="1"/>
  <c r="AL29" i="1"/>
  <c r="AL34" i="1" a="1"/>
  <c r="AL34" i="1"/>
  <c r="AL24" i="1" a="1"/>
  <c r="AL24" i="1"/>
  <c r="AL23" i="1" a="1"/>
  <c r="AL23" i="1"/>
  <c r="AL30" i="1" a="1"/>
  <c r="AL30" i="1"/>
  <c r="AL18" i="1" a="1"/>
  <c r="AL18" i="1"/>
  <c r="AL21" i="1" a="1"/>
  <c r="AL21" i="1"/>
  <c r="GH62" i="1" a="1"/>
  <c r="GH62" i="1"/>
  <c r="GH60" i="1" a="1"/>
  <c r="GH60" i="1"/>
  <c r="GH58" i="1" a="1"/>
  <c r="GH58" i="1"/>
  <c r="GH55" i="1" a="1"/>
  <c r="GH55" i="1"/>
  <c r="GH53" i="1" a="1"/>
  <c r="GH53" i="1"/>
  <c r="GH52" i="1" a="1"/>
  <c r="GH52" i="1"/>
  <c r="GH50" i="1" a="1"/>
  <c r="GH50" i="1"/>
  <c r="GH48" i="1" a="1"/>
  <c r="GH48" i="1"/>
  <c r="GH46" i="1" a="1"/>
  <c r="GH46" i="1"/>
  <c r="GH44" i="1" a="1"/>
  <c r="GH44" i="1"/>
  <c r="GH42" i="1" a="1"/>
  <c r="GH42" i="1"/>
  <c r="GH39" i="1" a="1"/>
  <c r="GH39" i="1"/>
  <c r="GH37" i="1" a="1"/>
  <c r="GH37" i="1"/>
  <c r="GH35" i="1" a="1"/>
  <c r="GH35" i="1"/>
  <c r="GH33" i="1" a="1"/>
  <c r="GH33" i="1"/>
  <c r="GH32" i="1" a="1"/>
  <c r="GH32" i="1"/>
  <c r="GH30" i="1" a="1"/>
  <c r="GH30" i="1"/>
  <c r="GH28" i="1" a="1"/>
  <c r="GH28" i="1"/>
  <c r="GH26" i="1" a="1"/>
  <c r="GH26" i="1"/>
  <c r="GH24" i="1" a="1"/>
  <c r="GH24" i="1"/>
  <c r="GH22" i="1" a="1"/>
  <c r="GH22" i="1"/>
  <c r="GH16" i="1" a="1"/>
  <c r="GH16" i="1"/>
  <c r="GH14" i="1" a="1"/>
  <c r="GH14" i="1"/>
  <c r="GH12" i="1" a="1"/>
  <c r="GH12" i="1"/>
  <c r="GH20" i="1" a="1"/>
  <c r="GH20" i="1"/>
  <c r="GH18" i="1" a="1"/>
  <c r="GH18" i="1"/>
  <c r="GH61" i="1" a="1"/>
  <c r="GH61" i="1"/>
  <c r="GH59" i="1" a="1"/>
  <c r="GH59" i="1"/>
  <c r="GH56" i="1" a="1"/>
  <c r="GH56" i="1"/>
  <c r="GH54" i="1" a="1"/>
  <c r="GH54" i="1"/>
  <c r="GH57" i="1" a="1"/>
  <c r="GH57" i="1"/>
  <c r="GH51" i="1" a="1"/>
  <c r="GH51" i="1"/>
  <c r="GH49" i="1" a="1"/>
  <c r="GH49" i="1"/>
  <c r="GH47" i="1" a="1"/>
  <c r="GH47" i="1"/>
  <c r="GH45" i="1" a="1"/>
  <c r="GH45" i="1"/>
  <c r="GH43" i="1" a="1"/>
  <c r="GH43" i="1"/>
  <c r="GH40" i="1" a="1"/>
  <c r="GH40" i="1"/>
  <c r="GH38" i="1" a="1"/>
  <c r="GH38" i="1"/>
  <c r="GH36" i="1" a="1"/>
  <c r="GH36" i="1"/>
  <c r="GH34" i="1" a="1"/>
  <c r="GH34" i="1"/>
  <c r="GH41" i="1" a="1"/>
  <c r="GH41" i="1"/>
  <c r="GH31" i="1" a="1"/>
  <c r="GH31" i="1"/>
  <c r="GH29" i="1" a="1"/>
  <c r="GH29" i="1"/>
  <c r="GH27" i="1" a="1"/>
  <c r="GH27" i="1"/>
  <c r="GH25" i="1" a="1"/>
  <c r="GH25" i="1"/>
  <c r="GH23" i="1" a="1"/>
  <c r="GH23" i="1"/>
  <c r="GH17" i="1" a="1"/>
  <c r="GH17" i="1"/>
  <c r="GH15" i="1" a="1"/>
  <c r="GH15" i="1"/>
  <c r="GH13" i="1" a="1"/>
  <c r="GH13" i="1"/>
  <c r="GH21" i="1" a="1"/>
  <c r="GH21" i="1"/>
  <c r="GH19" i="1" a="1"/>
  <c r="GH19" i="1"/>
  <c r="GI11" i="1"/>
  <c r="GI62" i="1" a="1"/>
  <c r="GI62" i="1"/>
  <c r="GI60" i="1" a="1"/>
  <c r="GI60" i="1"/>
  <c r="GI58" i="1" a="1"/>
  <c r="GI58" i="1"/>
  <c r="GI55" i="1" a="1"/>
  <c r="GI55" i="1"/>
  <c r="GI57" i="1" a="1"/>
  <c r="GI57" i="1"/>
  <c r="GI52" i="1" a="1"/>
  <c r="GI52" i="1"/>
  <c r="GI50" i="1" a="1"/>
  <c r="GI50" i="1"/>
  <c r="GI48" i="1" a="1"/>
  <c r="GI48" i="1"/>
  <c r="GI46" i="1" a="1"/>
  <c r="GI46" i="1"/>
  <c r="GI44" i="1" a="1"/>
  <c r="GI44" i="1"/>
  <c r="GI42" i="1" a="1"/>
  <c r="GI42" i="1"/>
  <c r="GI40" i="1" a="1"/>
  <c r="GI40" i="1"/>
  <c r="GI38" i="1" a="1"/>
  <c r="GI38" i="1"/>
  <c r="GI36" i="1" a="1"/>
  <c r="GI36" i="1"/>
  <c r="GI34" i="1" a="1"/>
  <c r="GI34" i="1"/>
  <c r="GI32" i="1" a="1"/>
  <c r="GI32" i="1"/>
  <c r="GI27" i="1" a="1"/>
  <c r="GI27" i="1"/>
  <c r="GI25" i="1" a="1"/>
  <c r="GI25" i="1"/>
  <c r="GI30" i="1" a="1"/>
  <c r="GI30" i="1"/>
  <c r="GI28" i="1" a="1"/>
  <c r="GI28" i="1"/>
  <c r="GI20" i="1" a="1"/>
  <c r="GI20" i="1"/>
  <c r="GI18" i="1" a="1"/>
  <c r="GI18" i="1"/>
  <c r="GI22" i="1" a="1"/>
  <c r="GI22" i="1"/>
  <c r="GI16" i="1" a="1"/>
  <c r="GI16" i="1"/>
  <c r="GI14" i="1" a="1"/>
  <c r="GI14" i="1"/>
  <c r="GI12" i="1" a="1"/>
  <c r="GI12" i="1"/>
  <c r="GI61" i="1" a="1"/>
  <c r="GI61" i="1"/>
  <c r="GI59" i="1" a="1"/>
  <c r="GI59" i="1"/>
  <c r="GI56" i="1" a="1"/>
  <c r="GI56" i="1"/>
  <c r="GI54" i="1" a="1"/>
  <c r="GI54" i="1"/>
  <c r="GI53" i="1" a="1"/>
  <c r="GI53" i="1"/>
  <c r="GI51" i="1" a="1"/>
  <c r="GI51" i="1"/>
  <c r="GI49" i="1" a="1"/>
  <c r="GI49" i="1"/>
  <c r="GI47" i="1" a="1"/>
  <c r="GI47" i="1"/>
  <c r="GI45" i="1" a="1"/>
  <c r="GI45" i="1"/>
  <c r="GI43" i="1" a="1"/>
  <c r="GI43" i="1"/>
  <c r="GI41" i="1" a="1"/>
  <c r="GI41" i="1"/>
  <c r="GI39" i="1" a="1"/>
  <c r="GI39" i="1"/>
  <c r="GI37" i="1" a="1"/>
  <c r="GI37" i="1"/>
  <c r="GI35" i="1" a="1"/>
  <c r="GI35" i="1"/>
  <c r="GI33" i="1" a="1"/>
  <c r="GI33" i="1"/>
  <c r="GI31" i="1" a="1"/>
  <c r="GI31" i="1"/>
  <c r="GI26" i="1" a="1"/>
  <c r="GI26" i="1"/>
  <c r="GI24" i="1" a="1"/>
  <c r="GI24" i="1"/>
  <c r="GI29" i="1" a="1"/>
  <c r="GI29" i="1"/>
  <c r="GI21" i="1" a="1"/>
  <c r="GI21" i="1"/>
  <c r="GI19" i="1" a="1"/>
  <c r="GI19" i="1"/>
  <c r="GI23" i="1" a="1"/>
  <c r="GI23" i="1"/>
  <c r="GI17" i="1" a="1"/>
  <c r="GI17" i="1"/>
  <c r="GI15" i="1" a="1"/>
  <c r="GI15" i="1"/>
  <c r="GI13" i="1" a="1"/>
  <c r="GI13" i="1"/>
  <c r="GJ11" i="1"/>
  <c r="AM27" i="1" a="1"/>
  <c r="AM27" i="1"/>
  <c r="AM22" i="1" a="1"/>
  <c r="AM22" i="1"/>
  <c r="AM16" i="1" a="1"/>
  <c r="AM16" i="1"/>
  <c r="AM59" i="1" a="1"/>
  <c r="AM59" i="1"/>
  <c r="AM17" i="1" a="1"/>
  <c r="AM17" i="1"/>
  <c r="AM18" i="1" a="1"/>
  <c r="AM18" i="1"/>
  <c r="AM15" i="1" a="1"/>
  <c r="AM15" i="1"/>
  <c r="AM25" i="1" a="1"/>
  <c r="AM25" i="1"/>
  <c r="AM31" i="1" a="1"/>
  <c r="AM31" i="1"/>
  <c r="AM40" i="1" a="1"/>
  <c r="AM40" i="1"/>
  <c r="AM23" i="1" a="1"/>
  <c r="AM23" i="1"/>
  <c r="AM21" i="1" a="1"/>
  <c r="AM21" i="1"/>
  <c r="AM48" i="1" a="1"/>
  <c r="AM48" i="1"/>
  <c r="AM51" i="1" a="1"/>
  <c r="AM51" i="1"/>
  <c r="AM53" i="1" a="1"/>
  <c r="AM53" i="1"/>
  <c r="AM19" i="1" a="1"/>
  <c r="AM19" i="1"/>
  <c r="AM12" i="1" a="1"/>
  <c r="AM12" i="1"/>
  <c r="AM46" i="1" a="1"/>
  <c r="AM46" i="1"/>
  <c r="AM56" i="1" a="1"/>
  <c r="AM56" i="1"/>
  <c r="AM42" i="1" a="1"/>
  <c r="AM42" i="1"/>
  <c r="AM60" i="1" a="1"/>
  <c r="AM60" i="1"/>
  <c r="AM61" i="1" a="1"/>
  <c r="AM61" i="1"/>
  <c r="AM13" i="1" a="1"/>
  <c r="AM13" i="1"/>
  <c r="AM49" i="1" a="1"/>
  <c r="AM49" i="1"/>
  <c r="AM62" i="1" a="1"/>
  <c r="AM62" i="1"/>
  <c r="AM14" i="1" a="1"/>
  <c r="AM14" i="1"/>
  <c r="AM32" i="1" a="1"/>
  <c r="AM32" i="1"/>
  <c r="AM47" i="1" a="1"/>
  <c r="AM47" i="1"/>
  <c r="AM52" i="1" a="1"/>
  <c r="AM52" i="1"/>
  <c r="AM34" i="1" a="1"/>
  <c r="AM34" i="1"/>
  <c r="AM36" i="1" a="1"/>
  <c r="AM36" i="1"/>
  <c r="AM54" i="1" a="1"/>
  <c r="AM54" i="1"/>
  <c r="AM29" i="1" a="1"/>
  <c r="AM29" i="1"/>
  <c r="AM41" i="1" a="1"/>
  <c r="AM41" i="1"/>
  <c r="AM58" i="1" a="1"/>
  <c r="AM58" i="1"/>
  <c r="AM55" i="1" a="1"/>
  <c r="AM55" i="1"/>
  <c r="AM43" i="1" a="1"/>
  <c r="AM43" i="1"/>
  <c r="AM45" i="1" a="1"/>
  <c r="AM45" i="1"/>
  <c r="AM57" i="1" a="1"/>
  <c r="AM57" i="1"/>
  <c r="AM26" i="1" a="1"/>
  <c r="AM26" i="1"/>
  <c r="AM28" i="1" a="1"/>
  <c r="AM28" i="1"/>
  <c r="AM35" i="1" a="1"/>
  <c r="AM35" i="1"/>
  <c r="AM20" i="1" a="1"/>
  <c r="AM20" i="1"/>
  <c r="AM30" i="1" a="1"/>
  <c r="AM30" i="1"/>
  <c r="AM44" i="1" a="1"/>
  <c r="AM44" i="1"/>
  <c r="AM38" i="1" a="1"/>
  <c r="AM38" i="1"/>
  <c r="AM37" i="1" a="1"/>
  <c r="AM37" i="1"/>
  <c r="AM50" i="1" a="1"/>
  <c r="AM50" i="1"/>
  <c r="AM24" i="1" a="1"/>
  <c r="AM24" i="1"/>
  <c r="AM39" i="1" a="1"/>
  <c r="AM39" i="1"/>
  <c r="AM33" i="1" a="1"/>
  <c r="AM33" i="1"/>
  <c r="GJ61" i="1" a="1"/>
  <c r="GJ61" i="1"/>
  <c r="GJ59" i="1" a="1"/>
  <c r="GJ59" i="1"/>
  <c r="GJ57" i="1" a="1"/>
  <c r="GJ57" i="1"/>
  <c r="GJ55" i="1" a="1"/>
  <c r="GJ55" i="1"/>
  <c r="GJ53" i="1" a="1"/>
  <c r="GJ53" i="1"/>
  <c r="GJ51" i="1" a="1"/>
  <c r="GJ51" i="1"/>
  <c r="GJ49" i="1" a="1"/>
  <c r="GJ49" i="1"/>
  <c r="GJ46" i="1" a="1"/>
  <c r="GJ46" i="1"/>
  <c r="GJ44" i="1" a="1"/>
  <c r="GJ44" i="1"/>
  <c r="GJ42" i="1" a="1"/>
  <c r="GJ42" i="1"/>
  <c r="GJ39" i="1" a="1"/>
  <c r="GJ39" i="1"/>
  <c r="GJ37" i="1" a="1"/>
  <c r="GJ37" i="1"/>
  <c r="GJ35" i="1" a="1"/>
  <c r="GJ35" i="1"/>
  <c r="GJ33" i="1" a="1"/>
  <c r="GJ33" i="1"/>
  <c r="GJ41" i="1" a="1"/>
  <c r="GJ41" i="1"/>
  <c r="GJ29" i="1" a="1"/>
  <c r="GJ29" i="1"/>
  <c r="GJ32" i="1" a="1"/>
  <c r="GJ32" i="1"/>
  <c r="GJ27" i="1" a="1"/>
  <c r="GJ27" i="1"/>
  <c r="GJ25" i="1" a="1"/>
  <c r="GJ25" i="1"/>
  <c r="GJ23" i="1" a="1"/>
  <c r="GJ23" i="1"/>
  <c r="GJ21" i="1" a="1"/>
  <c r="GJ21" i="1"/>
  <c r="GJ19" i="1" a="1"/>
  <c r="GJ19" i="1"/>
  <c r="GJ17" i="1" a="1"/>
  <c r="GJ17" i="1"/>
  <c r="GJ15" i="1" a="1"/>
  <c r="GJ15" i="1"/>
  <c r="GJ13" i="1" a="1"/>
  <c r="GJ13" i="1"/>
  <c r="GK11" i="1"/>
  <c r="GJ62" i="1" a="1"/>
  <c r="GJ62" i="1"/>
  <c r="GJ60" i="1" a="1"/>
  <c r="GJ60" i="1"/>
  <c r="GJ58" i="1" a="1"/>
  <c r="GJ58" i="1"/>
  <c r="GJ56" i="1" a="1"/>
  <c r="GJ56" i="1"/>
  <c r="GJ54" i="1" a="1"/>
  <c r="GJ54" i="1"/>
  <c r="GJ52" i="1" a="1"/>
  <c r="GJ52" i="1"/>
  <c r="GJ50" i="1" a="1"/>
  <c r="GJ50" i="1"/>
  <c r="GJ47" i="1" a="1"/>
  <c r="GJ47" i="1"/>
  <c r="GJ45" i="1" a="1"/>
  <c r="GJ45" i="1"/>
  <c r="GJ43" i="1" a="1"/>
  <c r="GJ43" i="1"/>
  <c r="GJ48" i="1" a="1"/>
  <c r="GJ48" i="1"/>
  <c r="GJ38" i="1" a="1"/>
  <c r="GJ38" i="1"/>
  <c r="GJ36" i="1" a="1"/>
  <c r="GJ36" i="1"/>
  <c r="GJ34" i="1" a="1"/>
  <c r="GJ34" i="1"/>
  <c r="GJ40" i="1" a="1"/>
  <c r="GJ40" i="1"/>
  <c r="GJ30" i="1" a="1"/>
  <c r="GJ30" i="1"/>
  <c r="GJ28" i="1" a="1"/>
  <c r="GJ28" i="1"/>
  <c r="GJ31" i="1" a="1"/>
  <c r="GJ31" i="1"/>
  <c r="GJ26" i="1" a="1"/>
  <c r="GJ26" i="1"/>
  <c r="GJ24" i="1" a="1"/>
  <c r="GJ24" i="1"/>
  <c r="GJ22" i="1" a="1"/>
  <c r="GJ22" i="1"/>
  <c r="GJ20" i="1" a="1"/>
  <c r="GJ20" i="1"/>
  <c r="GJ18" i="1" a="1"/>
  <c r="GJ18" i="1"/>
  <c r="GJ16" i="1" a="1"/>
  <c r="GJ16" i="1"/>
  <c r="GJ14" i="1" a="1"/>
  <c r="GJ14" i="1"/>
  <c r="GJ12" i="1" a="1"/>
  <c r="GJ12" i="1"/>
  <c r="AN37" i="1" a="1"/>
  <c r="AN37" i="1"/>
  <c r="AN32" i="1" a="1"/>
  <c r="AN32" i="1"/>
  <c r="AN14" i="1" a="1"/>
  <c r="AN14" i="1"/>
  <c r="AN20" i="1" a="1"/>
  <c r="AN20" i="1"/>
  <c r="AN56" i="1" a="1"/>
  <c r="AN56" i="1"/>
  <c r="AN16" i="1" a="1"/>
  <c r="AN16" i="1"/>
  <c r="AN34" i="1" a="1"/>
  <c r="AN34" i="1"/>
  <c r="AN24" i="1" a="1"/>
  <c r="AN24" i="1"/>
  <c r="AN23" i="1" a="1"/>
  <c r="AN23" i="1"/>
  <c r="AN43" i="1" a="1"/>
  <c r="AN43" i="1"/>
  <c r="AN18" i="1" a="1"/>
  <c r="AN18" i="1"/>
  <c r="AN52" i="1" a="1"/>
  <c r="AN52" i="1"/>
  <c r="AN28" i="1" a="1"/>
  <c r="AN28" i="1"/>
  <c r="AN49" i="1" a="1"/>
  <c r="AN49" i="1"/>
  <c r="AN57" i="1" a="1"/>
  <c r="AN57" i="1"/>
  <c r="AN22" i="1" a="1"/>
  <c r="AN22" i="1"/>
  <c r="AN50" i="1" a="1"/>
  <c r="AN50" i="1"/>
  <c r="AN30" i="1" a="1"/>
  <c r="AN30" i="1"/>
  <c r="AN54" i="1" a="1"/>
  <c r="AN54" i="1"/>
  <c r="AN25" i="1" a="1"/>
  <c r="AN25" i="1"/>
  <c r="AN12" i="1" a="1"/>
  <c r="AN12" i="1"/>
  <c r="AN13" i="1" a="1"/>
  <c r="AN13" i="1"/>
  <c r="AN19" i="1" a="1"/>
  <c r="AN19" i="1"/>
  <c r="AN61" i="1" a="1"/>
  <c r="AN61" i="1"/>
  <c r="AN38" i="1" a="1"/>
  <c r="AN38" i="1"/>
  <c r="AN59" i="1" a="1"/>
  <c r="AN59" i="1"/>
  <c r="AN42" i="1" a="1"/>
  <c r="AN42" i="1"/>
  <c r="AN44" i="1" a="1"/>
  <c r="AN44" i="1"/>
  <c r="AN58" i="1" a="1"/>
  <c r="AN58" i="1"/>
  <c r="AN39" i="1" a="1"/>
  <c r="AN39" i="1"/>
  <c r="AN21" i="1" a="1"/>
  <c r="AN21" i="1"/>
  <c r="AN36" i="1" a="1"/>
  <c r="AN36" i="1"/>
  <c r="AN26" i="1" a="1"/>
  <c r="AN26" i="1"/>
  <c r="AN46" i="1" a="1"/>
  <c r="AN46" i="1"/>
  <c r="AN55" i="1" a="1"/>
  <c r="AN55" i="1"/>
  <c r="AN41" i="1" a="1"/>
  <c r="AN41" i="1"/>
  <c r="AN48" i="1" a="1"/>
  <c r="AN48" i="1"/>
  <c r="AN29" i="1" a="1"/>
  <c r="AN29" i="1"/>
  <c r="AN15" i="1" a="1"/>
  <c r="AN15" i="1"/>
  <c r="AN51" i="1" a="1"/>
  <c r="AN51" i="1"/>
  <c r="AN31" i="1" a="1"/>
  <c r="AN31" i="1"/>
  <c r="AN45" i="1" a="1"/>
  <c r="AN45" i="1"/>
  <c r="AN40" i="1" a="1"/>
  <c r="AN40" i="1"/>
  <c r="AN27" i="1" a="1"/>
  <c r="AN27" i="1"/>
  <c r="AN60" i="1" a="1"/>
  <c r="AN60" i="1"/>
  <c r="AN53" i="1" a="1"/>
  <c r="AN53" i="1"/>
  <c r="AN33" i="1" a="1"/>
  <c r="AN33" i="1"/>
  <c r="AN35" i="1" a="1"/>
  <c r="AN35" i="1"/>
  <c r="AN47" i="1" a="1"/>
  <c r="AN47" i="1"/>
  <c r="AN17" i="1" a="1"/>
  <c r="AN17" i="1"/>
  <c r="AN62" i="1" a="1"/>
  <c r="AN62" i="1"/>
  <c r="GK60" i="1" a="1"/>
  <c r="GK60" i="1"/>
  <c r="GK58" i="1" a="1"/>
  <c r="GK58" i="1"/>
  <c r="GK57" i="1" a="1"/>
  <c r="GK57" i="1"/>
  <c r="GK55" i="1" a="1"/>
  <c r="GK55" i="1"/>
  <c r="GK53" i="1" a="1"/>
  <c r="GK53" i="1"/>
  <c r="GK51" i="1" a="1"/>
  <c r="GK51" i="1"/>
  <c r="GK49" i="1" a="1"/>
  <c r="GK49" i="1"/>
  <c r="GK47" i="1" a="1"/>
  <c r="GK47" i="1"/>
  <c r="GK45" i="1" a="1"/>
  <c r="GK45" i="1"/>
  <c r="GK43" i="1" a="1"/>
  <c r="GK43" i="1"/>
  <c r="GK41" i="1" a="1"/>
  <c r="GK41" i="1"/>
  <c r="GK39" i="1" a="1"/>
  <c r="GK39" i="1"/>
  <c r="GK37" i="1" a="1"/>
  <c r="GK37" i="1"/>
  <c r="GK35" i="1" a="1"/>
  <c r="GK35" i="1"/>
  <c r="GK33" i="1" a="1"/>
  <c r="GK33" i="1"/>
  <c r="GK31" i="1" a="1"/>
  <c r="GK31" i="1"/>
  <c r="GK29" i="1" a="1"/>
  <c r="GK29" i="1"/>
  <c r="GK27" i="1" a="1"/>
  <c r="GK27" i="1"/>
  <c r="GK25" i="1" a="1"/>
  <c r="GK25" i="1"/>
  <c r="GK23" i="1" a="1"/>
  <c r="GK23" i="1"/>
  <c r="GK21" i="1" a="1"/>
  <c r="GK21" i="1"/>
  <c r="GK19" i="1" a="1"/>
  <c r="GK19" i="1"/>
  <c r="GK17" i="1" a="1"/>
  <c r="GK17" i="1"/>
  <c r="GK15" i="1" a="1"/>
  <c r="GK15" i="1"/>
  <c r="GK13" i="1" a="1"/>
  <c r="GK13" i="1"/>
  <c r="GL11" i="1"/>
  <c r="GK62" i="1" a="1"/>
  <c r="GK62" i="1"/>
  <c r="GK59" i="1" a="1"/>
  <c r="GK59" i="1"/>
  <c r="GK61" i="1" a="1"/>
  <c r="GK61" i="1"/>
  <c r="GK56" i="1" a="1"/>
  <c r="GK56" i="1"/>
  <c r="GK54" i="1" a="1"/>
  <c r="GK54" i="1"/>
  <c r="GK52" i="1" a="1"/>
  <c r="GK52" i="1"/>
  <c r="GK50" i="1" a="1"/>
  <c r="GK50" i="1"/>
  <c r="GK48" i="1" a="1"/>
  <c r="GK48" i="1"/>
  <c r="GK46" i="1" a="1"/>
  <c r="GK46" i="1"/>
  <c r="GK44" i="1" a="1"/>
  <c r="GK44" i="1"/>
  <c r="GK42" i="1" a="1"/>
  <c r="GK42" i="1"/>
  <c r="GK40" i="1" a="1"/>
  <c r="GK40" i="1"/>
  <c r="GK38" i="1" a="1"/>
  <c r="GK38" i="1"/>
  <c r="GK36" i="1" a="1"/>
  <c r="GK36" i="1"/>
  <c r="GK34" i="1" a="1"/>
  <c r="GK34" i="1"/>
  <c r="GK32" i="1" a="1"/>
  <c r="GK32" i="1"/>
  <c r="GK30" i="1" a="1"/>
  <c r="GK30" i="1"/>
  <c r="GK28" i="1" a="1"/>
  <c r="GK28" i="1"/>
  <c r="GK26" i="1" a="1"/>
  <c r="GK26" i="1"/>
  <c r="GK24" i="1" a="1"/>
  <c r="GK24" i="1"/>
  <c r="GK22" i="1" a="1"/>
  <c r="GK22" i="1"/>
  <c r="GK20" i="1" a="1"/>
  <c r="GK20" i="1"/>
  <c r="GK18" i="1" a="1"/>
  <c r="GK18" i="1"/>
  <c r="GK16" i="1" a="1"/>
  <c r="GK16" i="1"/>
  <c r="GK14" i="1" a="1"/>
  <c r="GK14" i="1"/>
  <c r="GK12" i="1" a="1"/>
  <c r="GK12" i="1"/>
  <c r="AO20" i="1" a="1"/>
  <c r="AO20" i="1"/>
  <c r="AO22" i="1" a="1"/>
  <c r="AO22" i="1"/>
  <c r="AO44" i="1" a="1"/>
  <c r="AO44" i="1"/>
  <c r="AO15" i="1" a="1"/>
  <c r="AO15" i="1"/>
  <c r="AO25" i="1" a="1"/>
  <c r="AO25" i="1"/>
  <c r="AO52" i="1" a="1"/>
  <c r="AO52" i="1"/>
  <c r="AO24" i="1" a="1"/>
  <c r="AO24" i="1"/>
  <c r="AO31" i="1" a="1"/>
  <c r="AO31" i="1"/>
  <c r="AO33" i="1" a="1"/>
  <c r="AO33" i="1"/>
  <c r="AO18" i="1" a="1"/>
  <c r="AO18" i="1"/>
  <c r="AO28" i="1" a="1"/>
  <c r="AO28" i="1"/>
  <c r="AO55" i="1" a="1"/>
  <c r="AO55" i="1"/>
  <c r="AO59" i="1" a="1"/>
  <c r="AO59" i="1"/>
  <c r="AO17" i="1" a="1"/>
  <c r="AO17" i="1"/>
  <c r="AO12" i="1" a="1"/>
  <c r="AO12" i="1"/>
  <c r="AO57" i="1" a="1"/>
  <c r="AO57" i="1"/>
  <c r="AO61" i="1" a="1"/>
  <c r="AO61" i="1"/>
  <c r="AO42" i="1" a="1"/>
  <c r="AO42" i="1"/>
  <c r="AO60" i="1" a="1"/>
  <c r="AO60" i="1"/>
  <c r="AO19" i="1" a="1"/>
  <c r="AO19" i="1"/>
  <c r="AO21" i="1" a="1"/>
  <c r="AO21" i="1"/>
  <c r="AO48" i="1" a="1"/>
  <c r="AO48" i="1"/>
  <c r="AO62" i="1" a="1"/>
  <c r="AO62" i="1"/>
  <c r="AO14" i="1" a="1"/>
  <c r="AO14" i="1"/>
  <c r="AO51" i="1" a="1"/>
  <c r="AO51" i="1"/>
  <c r="AO47" i="1" a="1"/>
  <c r="AO47" i="1"/>
  <c r="AO56" i="1" a="1"/>
  <c r="AO56" i="1"/>
  <c r="AO34" i="1" a="1"/>
  <c r="AO34" i="1"/>
  <c r="AO41" i="1" a="1"/>
  <c r="AO41" i="1"/>
  <c r="AO54" i="1" a="1"/>
  <c r="AO54" i="1"/>
  <c r="AO16" i="1" a="1"/>
  <c r="AO16" i="1"/>
  <c r="AO49" i="1" a="1"/>
  <c r="AO49" i="1"/>
  <c r="AO58" i="1" a="1"/>
  <c r="AO58" i="1"/>
  <c r="AO27" i="1" a="1"/>
  <c r="AO27" i="1"/>
  <c r="AO43" i="1" a="1"/>
  <c r="AO43" i="1"/>
  <c r="AO53" i="1" a="1"/>
  <c r="AO53" i="1"/>
  <c r="AO38" i="1" a="1"/>
  <c r="AO38" i="1"/>
  <c r="AO40" i="1" a="1"/>
  <c r="AO40" i="1"/>
  <c r="AO26" i="1" a="1"/>
  <c r="AO26" i="1"/>
  <c r="AO36" i="1" a="1"/>
  <c r="AO36" i="1"/>
  <c r="AO46" i="1" a="1"/>
  <c r="AO46" i="1"/>
  <c r="AO29" i="1" a="1"/>
  <c r="AO29" i="1"/>
  <c r="AO30" i="1" a="1"/>
  <c r="AO30" i="1"/>
  <c r="AO37" i="1" a="1"/>
  <c r="AO37" i="1"/>
  <c r="AO23" i="1" a="1"/>
  <c r="AO23" i="1"/>
  <c r="AO35" i="1" a="1"/>
  <c r="AO35" i="1"/>
  <c r="AO45" i="1" a="1"/>
  <c r="AO45" i="1"/>
  <c r="AO50" i="1" a="1"/>
  <c r="AO50" i="1"/>
  <c r="AO32" i="1" a="1"/>
  <c r="AO32" i="1"/>
  <c r="AO39" i="1" a="1"/>
  <c r="AO39" i="1"/>
  <c r="AO13" i="1" a="1"/>
  <c r="AO13" i="1"/>
  <c r="AP37" i="1" a="1"/>
  <c r="AP37" i="1"/>
  <c r="AP32" i="1" a="1"/>
  <c r="AP32" i="1"/>
  <c r="AP19" i="1" a="1"/>
  <c r="AP19" i="1"/>
  <c r="AP20" i="1" a="1"/>
  <c r="AP20" i="1"/>
  <c r="AP41" i="1" a="1"/>
  <c r="AP41" i="1"/>
  <c r="AP48" i="1" a="1"/>
  <c r="AP48" i="1"/>
  <c r="AP54" i="1" a="1"/>
  <c r="AP54" i="1"/>
  <c r="AP46" i="1" a="1"/>
  <c r="AP46" i="1"/>
  <c r="AP24" i="1" a="1"/>
  <c r="AP24" i="1"/>
  <c r="AP23" i="1" a="1"/>
  <c r="AP23" i="1"/>
  <c r="AP43" i="1" a="1"/>
  <c r="AP43" i="1"/>
  <c r="AP50" i="1" a="1"/>
  <c r="AP50" i="1"/>
  <c r="AP59" i="1" a="1"/>
  <c r="AP59" i="1"/>
  <c r="AP28" i="1" a="1"/>
  <c r="AP28" i="1"/>
  <c r="AP49" i="1" a="1"/>
  <c r="AP49" i="1"/>
  <c r="AP57" i="1" a="1"/>
  <c r="AP57" i="1"/>
  <c r="AP22" i="1" a="1"/>
  <c r="AP22" i="1"/>
  <c r="AP17" i="1" a="1"/>
  <c r="AP17" i="1"/>
  <c r="AP34" i="1" a="1"/>
  <c r="AP34" i="1"/>
  <c r="AP36" i="1" a="1"/>
  <c r="AP36" i="1"/>
  <c r="AP35" i="1" a="1"/>
  <c r="AP35" i="1"/>
  <c r="AP12" i="1" a="1"/>
  <c r="AP12" i="1"/>
  <c r="AP13" i="1" a="1"/>
  <c r="AP13" i="1"/>
  <c r="AP31" i="1" a="1"/>
  <c r="AP31" i="1"/>
  <c r="AP39" i="1" a="1"/>
  <c r="AP39" i="1"/>
  <c r="AP38" i="1" a="1"/>
  <c r="AP38" i="1"/>
  <c r="AP14" i="1" a="1"/>
  <c r="AP14" i="1"/>
  <c r="AP42" i="1" a="1"/>
  <c r="AP42" i="1"/>
  <c r="AP44" i="1" a="1"/>
  <c r="AP44" i="1"/>
  <c r="AP62" i="1" a="1"/>
  <c r="AP62" i="1"/>
  <c r="AP18" i="1" a="1"/>
  <c r="AP18" i="1"/>
  <c r="AP25" i="1" a="1"/>
  <c r="AP25" i="1"/>
  <c r="AP26" i="1" a="1"/>
  <c r="AP26" i="1"/>
  <c r="AP58" i="1" a="1"/>
  <c r="AP58" i="1"/>
  <c r="AP55" i="1" a="1"/>
  <c r="AP55" i="1"/>
  <c r="AP21" i="1" a="1"/>
  <c r="AP21" i="1"/>
  <c r="AP27" i="1" a="1"/>
  <c r="AP27" i="1"/>
  <c r="AP29" i="1" a="1"/>
  <c r="AP29" i="1"/>
  <c r="AP51" i="1" a="1"/>
  <c r="AP51" i="1"/>
  <c r="AP30" i="1" a="1"/>
  <c r="AP30" i="1"/>
  <c r="AP45" i="1" a="1"/>
  <c r="AP45" i="1"/>
  <c r="AP52" i="1" a="1"/>
  <c r="AP52" i="1"/>
  <c r="AP61" i="1" a="1"/>
  <c r="AP61" i="1"/>
  <c r="AP60" i="1" a="1"/>
  <c r="AP60" i="1"/>
  <c r="AP53" i="1" a="1"/>
  <c r="AP53" i="1"/>
  <c r="AP33" i="1" a="1"/>
  <c r="AP33" i="1"/>
  <c r="AP40" i="1" a="1"/>
  <c r="AP40" i="1"/>
  <c r="AP47" i="1" a="1"/>
  <c r="AP47" i="1"/>
  <c r="AP56" i="1" a="1"/>
  <c r="AP56" i="1"/>
  <c r="AP16" i="1" a="1"/>
  <c r="AP16" i="1"/>
  <c r="AP15" i="1" a="1"/>
  <c r="AP15" i="1"/>
  <c r="GL62" i="1" a="1"/>
  <c r="GL62" i="1"/>
  <c r="GL60" i="1" a="1"/>
  <c r="GL60" i="1"/>
  <c r="GL58" i="1" a="1"/>
  <c r="GL58" i="1"/>
  <c r="GL56" i="1" a="1"/>
  <c r="GL56" i="1"/>
  <c r="GL54" i="1" a="1"/>
  <c r="GL54" i="1"/>
  <c r="GL50" i="1" a="1"/>
  <c r="GL50" i="1"/>
  <c r="GL52" i="1" a="1"/>
  <c r="GL52" i="1"/>
  <c r="GL48" i="1" a="1"/>
  <c r="GL48" i="1"/>
  <c r="GL44" i="1" a="1"/>
  <c r="GL44" i="1"/>
  <c r="GL42" i="1" a="1"/>
  <c r="GL42" i="1"/>
  <c r="GL47" i="1" a="1"/>
  <c r="GL47" i="1"/>
  <c r="GL40" i="1" a="1"/>
  <c r="GL40" i="1"/>
  <c r="GL35" i="1" a="1"/>
  <c r="GL35" i="1"/>
  <c r="GL33" i="1" a="1"/>
  <c r="GL33" i="1"/>
  <c r="GL38" i="1" a="1"/>
  <c r="GL38" i="1"/>
  <c r="GL32" i="1" a="1"/>
  <c r="GL32" i="1"/>
  <c r="GL30" i="1" a="1"/>
  <c r="GL30" i="1"/>
  <c r="GL28" i="1" a="1"/>
  <c r="GL28" i="1"/>
  <c r="GL26" i="1" a="1"/>
  <c r="GL26" i="1"/>
  <c r="GL24" i="1" a="1"/>
  <c r="GL24" i="1"/>
  <c r="GL22" i="1" a="1"/>
  <c r="GL22" i="1"/>
  <c r="GL20" i="1" a="1"/>
  <c r="GL20" i="1"/>
  <c r="GL18" i="1" a="1"/>
  <c r="GL18" i="1"/>
  <c r="GL16" i="1" a="1"/>
  <c r="GL16" i="1"/>
  <c r="GL14" i="1" a="1"/>
  <c r="GL14" i="1"/>
  <c r="GL12" i="1" a="1"/>
  <c r="GL12" i="1"/>
  <c r="GL61" i="1" a="1"/>
  <c r="GL61" i="1"/>
  <c r="GL59" i="1" a="1"/>
  <c r="GL59" i="1"/>
  <c r="GL57" i="1" a="1"/>
  <c r="GL57" i="1"/>
  <c r="GL55" i="1" a="1"/>
  <c r="GL55" i="1"/>
  <c r="GL53" i="1" a="1"/>
  <c r="GL53" i="1"/>
  <c r="GL49" i="1" a="1"/>
  <c r="GL49" i="1"/>
  <c r="GL51" i="1" a="1"/>
  <c r="GL51" i="1"/>
  <c r="GL45" i="1" a="1"/>
  <c r="GL45" i="1"/>
  <c r="GL43" i="1" a="1"/>
  <c r="GL43" i="1"/>
  <c r="GL41" i="1" a="1"/>
  <c r="GL41" i="1"/>
  <c r="GL46" i="1" a="1"/>
  <c r="GL46" i="1"/>
  <c r="GL36" i="1" a="1"/>
  <c r="GL36" i="1"/>
  <c r="GL34" i="1" a="1"/>
  <c r="GL34" i="1"/>
  <c r="GL39" i="1" a="1"/>
  <c r="GL39" i="1"/>
  <c r="GL37" i="1" a="1"/>
  <c r="GL37" i="1"/>
  <c r="GL31" i="1" a="1"/>
  <c r="GL31" i="1"/>
  <c r="GL29" i="1" a="1"/>
  <c r="GL29" i="1"/>
  <c r="GL27" i="1" a="1"/>
  <c r="GL27" i="1"/>
  <c r="GL25" i="1" a="1"/>
  <c r="GL25" i="1"/>
  <c r="GL23" i="1" a="1"/>
  <c r="GL23" i="1"/>
  <c r="GL21" i="1" a="1"/>
  <c r="GL21" i="1"/>
  <c r="GL19" i="1" a="1"/>
  <c r="GL19" i="1"/>
  <c r="GL17" i="1" a="1"/>
  <c r="GL17" i="1"/>
  <c r="GL15" i="1" a="1"/>
  <c r="GL15" i="1"/>
  <c r="GL13" i="1" a="1"/>
  <c r="GL13" i="1"/>
  <c r="GM11" i="1"/>
  <c r="GM60" i="1" a="1"/>
  <c r="GM60" i="1"/>
  <c r="GM58" i="1" a="1"/>
  <c r="GM58" i="1"/>
  <c r="GM55" i="1" a="1"/>
  <c r="GM55" i="1"/>
  <c r="GM57" i="1" a="1"/>
  <c r="GM57" i="1"/>
  <c r="GM52" i="1" a="1"/>
  <c r="GM52" i="1"/>
  <c r="GM53" i="1" a="1"/>
  <c r="GM53" i="1"/>
  <c r="GM49" i="1" a="1"/>
  <c r="GM49" i="1"/>
  <c r="GM47" i="1" a="1"/>
  <c r="GM47" i="1"/>
  <c r="GM45" i="1" a="1"/>
  <c r="GM45" i="1"/>
  <c r="GM43" i="1" a="1"/>
  <c r="GM43" i="1"/>
  <c r="GM41" i="1" a="1"/>
  <c r="GM41" i="1"/>
  <c r="GM39" i="1" a="1"/>
  <c r="GM39" i="1"/>
  <c r="GM37" i="1" a="1"/>
  <c r="GM37" i="1"/>
  <c r="GM35" i="1" a="1"/>
  <c r="GM35" i="1"/>
  <c r="GM33" i="1" a="1"/>
  <c r="GM33" i="1"/>
  <c r="GM31" i="1" a="1"/>
  <c r="GM31" i="1"/>
  <c r="GM29" i="1" a="1"/>
  <c r="GM29" i="1"/>
  <c r="GM27" i="1" a="1"/>
  <c r="GM27" i="1"/>
  <c r="GM25" i="1" a="1"/>
  <c r="GM25" i="1"/>
  <c r="GM23" i="1" a="1"/>
  <c r="GM23" i="1"/>
  <c r="GM21" i="1" a="1"/>
  <c r="GM21" i="1"/>
  <c r="GM19" i="1" a="1"/>
  <c r="GM19" i="1"/>
  <c r="GM17" i="1" a="1"/>
  <c r="GM17" i="1"/>
  <c r="GM15" i="1" a="1"/>
  <c r="GM15" i="1"/>
  <c r="GM13" i="1" a="1"/>
  <c r="GM13" i="1"/>
  <c r="GN11" i="1"/>
  <c r="GM62" i="1" a="1"/>
  <c r="GM62" i="1"/>
  <c r="GM59" i="1" a="1"/>
  <c r="GM59" i="1"/>
  <c r="GM61" i="1" a="1"/>
  <c r="GM61" i="1"/>
  <c r="GM54" i="1" a="1"/>
  <c r="GM54" i="1"/>
  <c r="GM56" i="1" a="1"/>
  <c r="GM56" i="1"/>
  <c r="GM51" i="1" a="1"/>
  <c r="GM51" i="1"/>
  <c r="GM50" i="1" a="1"/>
  <c r="GM50" i="1"/>
  <c r="GM48" i="1" a="1"/>
  <c r="GM48" i="1"/>
  <c r="GM46" i="1" a="1"/>
  <c r="GM46" i="1"/>
  <c r="GM44" i="1" a="1"/>
  <c r="GM44" i="1"/>
  <c r="GM42" i="1" a="1"/>
  <c r="GM42" i="1"/>
  <c r="GM40" i="1" a="1"/>
  <c r="GM40" i="1"/>
  <c r="GM38" i="1" a="1"/>
  <c r="GM38" i="1"/>
  <c r="GM36" i="1" a="1"/>
  <c r="GM36" i="1"/>
  <c r="GM34" i="1" a="1"/>
  <c r="GM34" i="1"/>
  <c r="GM32" i="1" a="1"/>
  <c r="GM32" i="1"/>
  <c r="GM30" i="1" a="1"/>
  <c r="GM30" i="1"/>
  <c r="GM28" i="1" a="1"/>
  <c r="GM28" i="1"/>
  <c r="GM26" i="1" a="1"/>
  <c r="GM26" i="1"/>
  <c r="GM24" i="1" a="1"/>
  <c r="GM24" i="1"/>
  <c r="GM22" i="1" a="1"/>
  <c r="GM22" i="1"/>
  <c r="GM20" i="1" a="1"/>
  <c r="GM20" i="1"/>
  <c r="GM18" i="1" a="1"/>
  <c r="GM18" i="1"/>
  <c r="GM16" i="1" a="1"/>
  <c r="GM16" i="1"/>
  <c r="GM14" i="1" a="1"/>
  <c r="GM14" i="1"/>
  <c r="GM12" i="1" a="1"/>
  <c r="GM12" i="1"/>
  <c r="AQ35" i="1" a="1"/>
  <c r="AQ35" i="1"/>
  <c r="AQ53" i="1" a="1"/>
  <c r="AQ53" i="1"/>
  <c r="AQ62" i="1" a="1"/>
  <c r="AQ62" i="1"/>
  <c r="AQ15" i="1" a="1"/>
  <c r="AQ15" i="1"/>
  <c r="AQ39" i="1" a="1"/>
  <c r="AQ39" i="1"/>
  <c r="AQ21" i="1" a="1"/>
  <c r="AQ21" i="1"/>
  <c r="AQ26" i="1" a="1"/>
  <c r="AQ26" i="1"/>
  <c r="AQ50" i="1" a="1"/>
  <c r="AQ50" i="1"/>
  <c r="AQ61" i="1" a="1"/>
  <c r="AQ61" i="1"/>
  <c r="AQ13" i="1" a="1"/>
  <c r="AQ13" i="1"/>
  <c r="AQ18" i="1" a="1"/>
  <c r="AQ18" i="1"/>
  <c r="AQ54" i="1" a="1"/>
  <c r="AQ54" i="1"/>
  <c r="AQ44" i="1" a="1"/>
  <c r="AQ44" i="1"/>
  <c r="AQ32" i="1" a="1"/>
  <c r="AQ32" i="1"/>
  <c r="AQ31" i="1" a="1"/>
  <c r="AQ31" i="1"/>
  <c r="AQ52" i="1" a="1"/>
  <c r="AQ52" i="1"/>
  <c r="AQ57" i="1" a="1"/>
  <c r="AQ57" i="1"/>
  <c r="AQ36" i="1" a="1"/>
  <c r="AQ36" i="1"/>
  <c r="AQ19" i="1" a="1"/>
  <c r="AQ19" i="1"/>
  <c r="AQ25" i="1" a="1"/>
  <c r="AQ25" i="1"/>
  <c r="AQ41" i="1" a="1"/>
  <c r="AQ41" i="1"/>
  <c r="AQ46" i="1" a="1"/>
  <c r="AQ46" i="1"/>
  <c r="AQ55" i="1" a="1"/>
  <c r="AQ55" i="1"/>
  <c r="AQ42" i="1" a="1"/>
  <c r="AQ42" i="1"/>
  <c r="AQ45" i="1" a="1"/>
  <c r="AQ45" i="1"/>
  <c r="AQ23" i="1" a="1"/>
  <c r="AQ23" i="1"/>
  <c r="AQ12" i="1" a="1"/>
  <c r="AQ12" i="1"/>
  <c r="AQ28" i="1" a="1"/>
  <c r="AQ28" i="1"/>
  <c r="AQ34" i="1" a="1"/>
  <c r="AQ34" i="1"/>
  <c r="AQ49" i="1" a="1"/>
  <c r="AQ49" i="1"/>
  <c r="AQ14" i="1" a="1"/>
  <c r="AQ14" i="1"/>
  <c r="AQ51" i="1" a="1"/>
  <c r="AQ51" i="1"/>
  <c r="AQ22" i="1" a="1"/>
  <c r="AQ22" i="1"/>
  <c r="AQ37" i="1" a="1"/>
  <c r="AQ37" i="1"/>
  <c r="AQ43" i="1" a="1"/>
  <c r="AQ43" i="1"/>
  <c r="AQ24" i="1" a="1"/>
  <c r="AQ24" i="1"/>
  <c r="AQ56" i="1" a="1"/>
  <c r="AQ56" i="1"/>
  <c r="AQ60" i="1" a="1"/>
  <c r="AQ60" i="1"/>
  <c r="AQ58" i="1" a="1"/>
  <c r="AQ58" i="1"/>
  <c r="AQ27" i="1" a="1"/>
  <c r="AQ27" i="1"/>
  <c r="AQ16" i="1" a="1"/>
  <c r="AQ16" i="1"/>
  <c r="AQ59" i="1" a="1"/>
  <c r="AQ59" i="1"/>
  <c r="AQ38" i="1" a="1"/>
  <c r="AQ38" i="1"/>
  <c r="AQ33" i="1" a="1"/>
  <c r="AQ33" i="1"/>
  <c r="AQ20" i="1" a="1"/>
  <c r="AQ20" i="1"/>
  <c r="AQ17" i="1" a="1"/>
  <c r="AQ17" i="1"/>
  <c r="AQ30" i="1" a="1"/>
  <c r="AQ30" i="1"/>
  <c r="AQ40" i="1" a="1"/>
  <c r="AQ40" i="1"/>
  <c r="AQ29" i="1" a="1"/>
  <c r="AQ29" i="1"/>
  <c r="AQ47" i="1" a="1"/>
  <c r="AQ47" i="1"/>
  <c r="AQ48" i="1" a="1"/>
  <c r="AQ48" i="1"/>
  <c r="AR44" i="1" a="1"/>
  <c r="AR44" i="1"/>
  <c r="AR58" i="1" a="1"/>
  <c r="AR58" i="1"/>
  <c r="AR20" i="1" a="1"/>
  <c r="AR20" i="1"/>
  <c r="AR38" i="1" a="1"/>
  <c r="AR38" i="1"/>
  <c r="AR48" i="1" a="1"/>
  <c r="AR48" i="1"/>
  <c r="AR54" i="1" a="1"/>
  <c r="AR54" i="1"/>
  <c r="AR46" i="1" a="1"/>
  <c r="AR46" i="1"/>
  <c r="AR49" i="1" a="1"/>
  <c r="AR49" i="1"/>
  <c r="AR41" i="1" a="1"/>
  <c r="AR41" i="1"/>
  <c r="AR43" i="1" a="1"/>
  <c r="AR43" i="1"/>
  <c r="AR50" i="1" a="1"/>
  <c r="AR50" i="1"/>
  <c r="AR59" i="1" a="1"/>
  <c r="AR59" i="1"/>
  <c r="AR37" i="1" a="1"/>
  <c r="AR37" i="1"/>
  <c r="AR33" i="1" a="1"/>
  <c r="AR33" i="1"/>
  <c r="AR40" i="1" a="1"/>
  <c r="AR40" i="1"/>
  <c r="AR22" i="1" a="1"/>
  <c r="AR22" i="1"/>
  <c r="AR29" i="1" a="1"/>
  <c r="AR29" i="1"/>
  <c r="AR34" i="1" a="1"/>
  <c r="AR34" i="1"/>
  <c r="AR36" i="1" a="1"/>
  <c r="AR36" i="1"/>
  <c r="AR35" i="1" a="1"/>
  <c r="AR35" i="1"/>
  <c r="AR42" i="1" a="1"/>
  <c r="AR42" i="1"/>
  <c r="AR17" i="1" a="1"/>
  <c r="AR17" i="1"/>
  <c r="AR30" i="1" a="1"/>
  <c r="AR30" i="1"/>
  <c r="AR39" i="1" a="1"/>
  <c r="AR39" i="1"/>
  <c r="AR51" i="1" a="1"/>
  <c r="AR51" i="1"/>
  <c r="AR28" i="1" a="1"/>
  <c r="AR28" i="1"/>
  <c r="AR14" i="1" a="1"/>
  <c r="AR14" i="1"/>
  <c r="AR24" i="1" a="1"/>
  <c r="AR24" i="1"/>
  <c r="AR56" i="1" a="1"/>
  <c r="AR56" i="1"/>
  <c r="AR62" i="1" a="1"/>
  <c r="AR62" i="1"/>
  <c r="AR18" i="1" a="1"/>
  <c r="AR18" i="1"/>
  <c r="AR25" i="1" a="1"/>
  <c r="AR25" i="1"/>
  <c r="AR53" i="1" a="1"/>
  <c r="AR53" i="1"/>
  <c r="AR23" i="1" a="1"/>
  <c r="AR23" i="1"/>
  <c r="AR31" i="1" a="1"/>
  <c r="AR31" i="1"/>
  <c r="AR55" i="1" a="1"/>
  <c r="AR55" i="1"/>
  <c r="AR21" i="1" a="1"/>
  <c r="AR21" i="1"/>
  <c r="AR27" i="1" a="1"/>
  <c r="AR27" i="1"/>
  <c r="AR32" i="1" a="1"/>
  <c r="AR32" i="1"/>
  <c r="AR57" i="1" a="1"/>
  <c r="AR57" i="1"/>
  <c r="AR12" i="1" a="1"/>
  <c r="AR12" i="1"/>
  <c r="AR45" i="1" a="1"/>
  <c r="AR45" i="1"/>
  <c r="AR52" i="1" a="1"/>
  <c r="AR52" i="1"/>
  <c r="AR61" i="1" a="1"/>
  <c r="AR61" i="1"/>
  <c r="AR26" i="1" a="1"/>
  <c r="AR26" i="1"/>
  <c r="AR13" i="1" a="1"/>
  <c r="AR13" i="1"/>
  <c r="AR19" i="1" a="1"/>
  <c r="AR19" i="1"/>
  <c r="AR47" i="1" a="1"/>
  <c r="AR47" i="1"/>
  <c r="AR60" i="1" a="1"/>
  <c r="AR60" i="1"/>
  <c r="AR16" i="1" a="1"/>
  <c r="AR16" i="1"/>
  <c r="AR15" i="1" a="1"/>
  <c r="AR15" i="1"/>
  <c r="GN61" i="1" a="1"/>
  <c r="GN61" i="1"/>
  <c r="GN59" i="1" a="1"/>
  <c r="GN59" i="1"/>
  <c r="GN57" i="1" a="1"/>
  <c r="GN57" i="1"/>
  <c r="GN55" i="1" a="1"/>
  <c r="GN55" i="1"/>
  <c r="GN53" i="1" a="1"/>
  <c r="GN53" i="1"/>
  <c r="GN49" i="1" a="1"/>
  <c r="GN49" i="1"/>
  <c r="GN51" i="1" a="1"/>
  <c r="GN51" i="1"/>
  <c r="GN44" i="1" a="1"/>
  <c r="GN44" i="1"/>
  <c r="GN42" i="1" a="1"/>
  <c r="GN42" i="1"/>
  <c r="GN48" i="1" a="1"/>
  <c r="GN48" i="1"/>
  <c r="GN46" i="1" a="1"/>
  <c r="GN46" i="1"/>
  <c r="GN35" i="1" a="1"/>
  <c r="GN35" i="1"/>
  <c r="GN33" i="1" a="1"/>
  <c r="GN33" i="1"/>
  <c r="GN39" i="1" a="1"/>
  <c r="GN39" i="1"/>
  <c r="GN37" i="1" a="1"/>
  <c r="GN37" i="1"/>
  <c r="GN31" i="1" a="1"/>
  <c r="GN31" i="1"/>
  <c r="GN29" i="1" a="1"/>
  <c r="GN29" i="1"/>
  <c r="GN27" i="1" a="1"/>
  <c r="GN27" i="1"/>
  <c r="GN25" i="1" a="1"/>
  <c r="GN25" i="1"/>
  <c r="GN23" i="1" a="1"/>
  <c r="GN23" i="1"/>
  <c r="GN17" i="1" a="1"/>
  <c r="GN17" i="1"/>
  <c r="GN15" i="1" a="1"/>
  <c r="GN15" i="1"/>
  <c r="GN13" i="1" a="1"/>
  <c r="GN13" i="1"/>
  <c r="GN21" i="1" a="1"/>
  <c r="GN21" i="1"/>
  <c r="GN19" i="1" a="1"/>
  <c r="GN19" i="1"/>
  <c r="GO11" i="1"/>
  <c r="GN62" i="1" a="1"/>
  <c r="GN62" i="1"/>
  <c r="GN60" i="1" a="1"/>
  <c r="GN60" i="1"/>
  <c r="GN58" i="1" a="1"/>
  <c r="GN58" i="1"/>
  <c r="GN56" i="1" a="1"/>
  <c r="GN56" i="1"/>
  <c r="GN54" i="1" a="1"/>
  <c r="GN54" i="1"/>
  <c r="GN50" i="1" a="1"/>
  <c r="GN50" i="1"/>
  <c r="GN52" i="1" a="1"/>
  <c r="GN52" i="1"/>
  <c r="GN45" i="1" a="1"/>
  <c r="GN45" i="1"/>
  <c r="GN43" i="1" a="1"/>
  <c r="GN43" i="1"/>
  <c r="GN41" i="1" a="1"/>
  <c r="GN41" i="1"/>
  <c r="GN47" i="1" a="1"/>
  <c r="GN47" i="1"/>
  <c r="GN36" i="1" a="1"/>
  <c r="GN36" i="1"/>
  <c r="GN34" i="1" a="1"/>
  <c r="GN34" i="1"/>
  <c r="GN40" i="1" a="1"/>
  <c r="GN40" i="1"/>
  <c r="GN38" i="1" a="1"/>
  <c r="GN38" i="1"/>
  <c r="GN32" i="1" a="1"/>
  <c r="GN32" i="1"/>
  <c r="GN30" i="1" a="1"/>
  <c r="GN30" i="1"/>
  <c r="GN28" i="1" a="1"/>
  <c r="GN28" i="1"/>
  <c r="GN26" i="1" a="1"/>
  <c r="GN26" i="1"/>
  <c r="GN24" i="1" a="1"/>
  <c r="GN24" i="1"/>
  <c r="GN22" i="1" a="1"/>
  <c r="GN22" i="1"/>
  <c r="GN16" i="1" a="1"/>
  <c r="GN16" i="1"/>
  <c r="GN14" i="1" a="1"/>
  <c r="GN14" i="1"/>
  <c r="GN12" i="1" a="1"/>
  <c r="GN12" i="1"/>
  <c r="GN20" i="1" a="1"/>
  <c r="GN20" i="1"/>
  <c r="GN18" i="1" a="1"/>
  <c r="GN18" i="1"/>
  <c r="GO61" i="1" a="1"/>
  <c r="GO61" i="1"/>
  <c r="GO59" i="1" a="1"/>
  <c r="GO59" i="1"/>
  <c r="GO55" i="1" a="1"/>
  <c r="GO55" i="1"/>
  <c r="GO57" i="1" a="1"/>
  <c r="GO57" i="1"/>
  <c r="GO53" i="1" a="1"/>
  <c r="GO53" i="1"/>
  <c r="GO51" i="1" a="1"/>
  <c r="GO51" i="1"/>
  <c r="GO49" i="1" a="1"/>
  <c r="GO49" i="1"/>
  <c r="GO47" i="1" a="1"/>
  <c r="GO47" i="1"/>
  <c r="GO45" i="1" a="1"/>
  <c r="GO45" i="1"/>
  <c r="GO43" i="1" a="1"/>
  <c r="GO43" i="1"/>
  <c r="GO41" i="1" a="1"/>
  <c r="GO41" i="1"/>
  <c r="GO39" i="1" a="1"/>
  <c r="GO39" i="1"/>
  <c r="GO37" i="1" a="1"/>
  <c r="GO37" i="1"/>
  <c r="GO35" i="1" a="1"/>
  <c r="GO35" i="1"/>
  <c r="GO33" i="1" a="1"/>
  <c r="GO33" i="1"/>
  <c r="GO31" i="1" a="1"/>
  <c r="GO31" i="1"/>
  <c r="GO26" i="1" a="1"/>
  <c r="GO26" i="1"/>
  <c r="GO24" i="1" a="1"/>
  <c r="GO24" i="1"/>
  <c r="GO29" i="1" a="1"/>
  <c r="GO29" i="1"/>
  <c r="GO23" i="1" a="1"/>
  <c r="GO23" i="1"/>
  <c r="GO21" i="1" a="1"/>
  <c r="GO21" i="1"/>
  <c r="GO19" i="1" a="1"/>
  <c r="GO19" i="1"/>
  <c r="GO17" i="1" a="1"/>
  <c r="GO17" i="1"/>
  <c r="GO15" i="1" a="1"/>
  <c r="GO15" i="1"/>
  <c r="GO13" i="1" a="1"/>
  <c r="GO13" i="1"/>
  <c r="GP11" i="1"/>
  <c r="GO62" i="1" a="1"/>
  <c r="GO62" i="1"/>
  <c r="GO60" i="1" a="1"/>
  <c r="GO60" i="1"/>
  <c r="GO58" i="1" a="1"/>
  <c r="GO58" i="1"/>
  <c r="GO54" i="1" a="1"/>
  <c r="GO54" i="1"/>
  <c r="GO56" i="1" a="1"/>
  <c r="GO56" i="1"/>
  <c r="GO52" i="1" a="1"/>
  <c r="GO52" i="1"/>
  <c r="GO50" i="1" a="1"/>
  <c r="GO50" i="1"/>
  <c r="GO48" i="1" a="1"/>
  <c r="GO48" i="1"/>
  <c r="GO46" i="1" a="1"/>
  <c r="GO46" i="1"/>
  <c r="GO44" i="1" a="1"/>
  <c r="GO44" i="1"/>
  <c r="GO42" i="1" a="1"/>
  <c r="GO42" i="1"/>
  <c r="GO40" i="1" a="1"/>
  <c r="GO40" i="1"/>
  <c r="GO38" i="1" a="1"/>
  <c r="GO38" i="1"/>
  <c r="GO36" i="1" a="1"/>
  <c r="GO36" i="1"/>
  <c r="GO34" i="1" a="1"/>
  <c r="GO34" i="1"/>
  <c r="GO32" i="1" a="1"/>
  <c r="GO32" i="1"/>
  <c r="GO27" i="1" a="1"/>
  <c r="GO27" i="1"/>
  <c r="GO25" i="1" a="1"/>
  <c r="GO25" i="1"/>
  <c r="GO30" i="1" a="1"/>
  <c r="GO30" i="1"/>
  <c r="GO28" i="1" a="1"/>
  <c r="GO28" i="1"/>
  <c r="GO22" i="1" a="1"/>
  <c r="GO22" i="1"/>
  <c r="GO20" i="1" a="1"/>
  <c r="GO20" i="1"/>
  <c r="GO18" i="1" a="1"/>
  <c r="GO18" i="1"/>
  <c r="GO16" i="1" a="1"/>
  <c r="GO16" i="1"/>
  <c r="GO14" i="1" a="1"/>
  <c r="GO14" i="1"/>
  <c r="GO12" i="1" a="1"/>
  <c r="GO12" i="1"/>
  <c r="AS34" i="1" a="1"/>
  <c r="AS34" i="1"/>
  <c r="AS44" i="1" a="1"/>
  <c r="AS44" i="1"/>
  <c r="AS43" i="1" a="1"/>
  <c r="AS43" i="1"/>
  <c r="AS16" i="1" a="1"/>
  <c r="AS16" i="1"/>
  <c r="AS52" i="1" a="1"/>
  <c r="AS52" i="1"/>
  <c r="AS17" i="1" a="1"/>
  <c r="AS17" i="1"/>
  <c r="AS48" i="1" a="1"/>
  <c r="AS48" i="1"/>
  <c r="AS62" i="1" a="1"/>
  <c r="AS62" i="1"/>
  <c r="AS15" i="1" a="1"/>
  <c r="AS15" i="1"/>
  <c r="AS51" i="1" a="1"/>
  <c r="AS51" i="1"/>
  <c r="AS13" i="1" a="1"/>
  <c r="AS13" i="1"/>
  <c r="AS60" i="1" a="1"/>
  <c r="AS60" i="1"/>
  <c r="AS29" i="1" a="1"/>
  <c r="AS29" i="1"/>
  <c r="AS30" i="1" a="1"/>
  <c r="AS30" i="1"/>
  <c r="AS32" i="1" a="1"/>
  <c r="AS32" i="1"/>
  <c r="AS23" i="1" a="1"/>
  <c r="AS23" i="1"/>
  <c r="AS47" i="1" a="1"/>
  <c r="AS47" i="1"/>
  <c r="AS26" i="1" a="1"/>
  <c r="AS26" i="1"/>
  <c r="AS31" i="1" a="1"/>
  <c r="AS31" i="1"/>
  <c r="AS53" i="1" a="1"/>
  <c r="AS53" i="1"/>
  <c r="AS57" i="1" a="1"/>
  <c r="AS57" i="1"/>
  <c r="AS40" i="1" a="1"/>
  <c r="AS40" i="1"/>
  <c r="AS19" i="1" a="1"/>
  <c r="AS19" i="1"/>
  <c r="AS49" i="1" a="1"/>
  <c r="AS49" i="1"/>
  <c r="AS56" i="1" a="1"/>
  <c r="AS56" i="1"/>
  <c r="AS25" i="1" a="1"/>
  <c r="AS25" i="1"/>
  <c r="AS18" i="1" a="1"/>
  <c r="AS18" i="1"/>
  <c r="AS54" i="1" a="1"/>
  <c r="AS54" i="1"/>
  <c r="AS36" i="1" a="1"/>
  <c r="AS36" i="1"/>
  <c r="AS20" i="1" a="1"/>
  <c r="AS20" i="1"/>
  <c r="AS50" i="1" a="1"/>
  <c r="AS50" i="1"/>
  <c r="AS21" i="1" a="1"/>
  <c r="AS21" i="1"/>
  <c r="AS39" i="1" a="1"/>
  <c r="AS39" i="1"/>
  <c r="AS41" i="1" a="1"/>
  <c r="AS41" i="1"/>
  <c r="AS14" i="1" a="1"/>
  <c r="AS14" i="1"/>
  <c r="AS58" i="1" a="1"/>
  <c r="AS58" i="1"/>
  <c r="AS35" i="1" a="1"/>
  <c r="AS35" i="1"/>
  <c r="AS12" i="1" a="1"/>
  <c r="AS12" i="1"/>
  <c r="AS46" i="1" a="1"/>
  <c r="AS46" i="1"/>
  <c r="AS61" i="1" a="1"/>
  <c r="AS61" i="1"/>
  <c r="AS42" i="1" a="1"/>
  <c r="AS42" i="1"/>
  <c r="AS37" i="1" a="1"/>
  <c r="AS37" i="1"/>
  <c r="AS22" i="1" a="1"/>
  <c r="AS22" i="1"/>
  <c r="AS59" i="1" a="1"/>
  <c r="AS59" i="1"/>
  <c r="AS33" i="1" a="1"/>
  <c r="AS33" i="1"/>
  <c r="AS27" i="1" a="1"/>
  <c r="AS27" i="1"/>
  <c r="AS28" i="1" a="1"/>
  <c r="AS28" i="1"/>
  <c r="AS55" i="1" a="1"/>
  <c r="AS55" i="1"/>
  <c r="AS38" i="1" a="1"/>
  <c r="AS38" i="1"/>
  <c r="AS45" i="1" a="1"/>
  <c r="AS45" i="1"/>
  <c r="AS24" i="1" a="1"/>
  <c r="AS24" i="1"/>
  <c r="AT57" i="1" a="1"/>
  <c r="AT57" i="1"/>
  <c r="AT12" i="1" a="1"/>
  <c r="AT12" i="1"/>
  <c r="AT50" i="1" a="1"/>
  <c r="AT50" i="1"/>
  <c r="AT52" i="1" a="1"/>
  <c r="AT52" i="1"/>
  <c r="AT61" i="1" a="1"/>
  <c r="AT61" i="1"/>
  <c r="AT28" i="1" a="1"/>
  <c r="AT28" i="1"/>
  <c r="AT46" i="1" a="1"/>
  <c r="AT46" i="1"/>
  <c r="AT23" i="1" a="1"/>
  <c r="AT23" i="1"/>
  <c r="AT31" i="1" a="1"/>
  <c r="AT31" i="1"/>
  <c r="AT18" i="1" a="1"/>
  <c r="AT18" i="1"/>
  <c r="AT22" i="1" a="1"/>
  <c r="AT22" i="1"/>
  <c r="AT27" i="1" a="1"/>
  <c r="AT27" i="1"/>
  <c r="AT32" i="1" a="1"/>
  <c r="AT32" i="1"/>
  <c r="AT14" i="1" a="1"/>
  <c r="AT14" i="1"/>
  <c r="AT44" i="1" a="1"/>
  <c r="AT44" i="1"/>
  <c r="AT58" i="1" a="1"/>
  <c r="AT58" i="1"/>
  <c r="AT39" i="1" a="1"/>
  <c r="AT39" i="1"/>
  <c r="AT38" i="1" a="1"/>
  <c r="AT38" i="1"/>
  <c r="AT48" i="1" a="1"/>
  <c r="AT48" i="1"/>
  <c r="AT33" i="1" a="1"/>
  <c r="AT33" i="1"/>
  <c r="AT35" i="1" a="1"/>
  <c r="AT35" i="1"/>
  <c r="AT13" i="1" a="1"/>
  <c r="AT13" i="1"/>
  <c r="AT20" i="1" a="1"/>
  <c r="AT20" i="1"/>
  <c r="AT47" i="1" a="1"/>
  <c r="AT47" i="1"/>
  <c r="AT60" i="1" a="1"/>
  <c r="AT60" i="1"/>
  <c r="AT16" i="1" a="1"/>
  <c r="AT16" i="1"/>
  <c r="AT49" i="1" a="1"/>
  <c r="AT49" i="1"/>
  <c r="AT45" i="1" a="1"/>
  <c r="AT45" i="1"/>
  <c r="AT40" i="1" a="1"/>
  <c r="AT40" i="1"/>
  <c r="AT24" i="1" a="1"/>
  <c r="AT24" i="1"/>
  <c r="AT29" i="1" a="1"/>
  <c r="AT29" i="1"/>
  <c r="AT34" i="1" a="1"/>
  <c r="AT34" i="1"/>
  <c r="AT26" i="1" a="1"/>
  <c r="AT26" i="1"/>
  <c r="AT55" i="1" a="1"/>
  <c r="AT55" i="1"/>
  <c r="AT41" i="1" a="1"/>
  <c r="AT41" i="1"/>
  <c r="AT43" i="1" a="1"/>
  <c r="AT43" i="1"/>
  <c r="AT54" i="1" a="1"/>
  <c r="AT54" i="1"/>
  <c r="AT59" i="1" a="1"/>
  <c r="AT59" i="1"/>
  <c r="AT37" i="1" a="1"/>
  <c r="AT37" i="1"/>
  <c r="AT21" i="1" a="1"/>
  <c r="AT21" i="1"/>
  <c r="AT56" i="1" a="1"/>
  <c r="AT56" i="1"/>
  <c r="AT62" i="1" a="1"/>
  <c r="AT62" i="1"/>
  <c r="AT17" i="1" a="1"/>
  <c r="AT17" i="1"/>
  <c r="AT25" i="1" a="1"/>
  <c r="AT25" i="1"/>
  <c r="AT53" i="1" a="1"/>
  <c r="AT53" i="1"/>
  <c r="AT42" i="1" a="1"/>
  <c r="AT42" i="1"/>
  <c r="AT19" i="1" a="1"/>
  <c r="AT19" i="1"/>
  <c r="AT30" i="1" a="1"/>
  <c r="AT30" i="1"/>
  <c r="AT36" i="1" a="1"/>
  <c r="AT36" i="1"/>
  <c r="AT51" i="1" a="1"/>
  <c r="AT51" i="1"/>
  <c r="AT15" i="1" a="1"/>
  <c r="AT15" i="1"/>
  <c r="GP62" i="1" a="1"/>
  <c r="GP62" i="1"/>
  <c r="GP60" i="1" a="1"/>
  <c r="GP60" i="1"/>
  <c r="GP58" i="1" a="1"/>
  <c r="GP58" i="1"/>
  <c r="GP54" i="1" a="1"/>
  <c r="GP54" i="1"/>
  <c r="GP57" i="1" a="1"/>
  <c r="GP57" i="1"/>
  <c r="GP52" i="1" a="1"/>
  <c r="GP52" i="1"/>
  <c r="GP50" i="1" a="1"/>
  <c r="GP50" i="1"/>
  <c r="GP48" i="1" a="1"/>
  <c r="GP48" i="1"/>
  <c r="GP46" i="1" a="1"/>
  <c r="GP46" i="1"/>
  <c r="GP44" i="1" a="1"/>
  <c r="GP44" i="1"/>
  <c r="GP42" i="1" a="1"/>
  <c r="GP42" i="1"/>
  <c r="GP40" i="1" a="1"/>
  <c r="GP40" i="1"/>
  <c r="GP38" i="1" a="1"/>
  <c r="GP38" i="1"/>
  <c r="GP36" i="1" a="1"/>
  <c r="GP36" i="1"/>
  <c r="GP34" i="1" a="1"/>
  <c r="GP34" i="1"/>
  <c r="GP32" i="1" a="1"/>
  <c r="GP32" i="1"/>
  <c r="GP30" i="1" a="1"/>
  <c r="GP30" i="1"/>
  <c r="GP28" i="1" a="1"/>
  <c r="GP28" i="1"/>
  <c r="GP26" i="1" a="1"/>
  <c r="GP26" i="1"/>
  <c r="GP24" i="1" a="1"/>
  <c r="GP24" i="1"/>
  <c r="GP22" i="1" a="1"/>
  <c r="GP22" i="1"/>
  <c r="GP16" i="1" a="1"/>
  <c r="GP16" i="1"/>
  <c r="GP14" i="1" a="1"/>
  <c r="GP14" i="1"/>
  <c r="GP12" i="1" a="1"/>
  <c r="GP12" i="1"/>
  <c r="GP20" i="1" a="1"/>
  <c r="GP20" i="1"/>
  <c r="GP18" i="1" a="1"/>
  <c r="GP18" i="1"/>
  <c r="GP61" i="1" a="1"/>
  <c r="GP61" i="1"/>
  <c r="GP59" i="1" a="1"/>
  <c r="GP59" i="1"/>
  <c r="GP55" i="1" a="1"/>
  <c r="GP55" i="1"/>
  <c r="GP53" i="1" a="1"/>
  <c r="GP53" i="1"/>
  <c r="GP56" i="1" a="1"/>
  <c r="GP56" i="1"/>
  <c r="GP51" i="1" a="1"/>
  <c r="GP51" i="1"/>
  <c r="GP49" i="1" a="1"/>
  <c r="GP49" i="1"/>
  <c r="GP47" i="1" a="1"/>
  <c r="GP47" i="1"/>
  <c r="GP45" i="1" a="1"/>
  <c r="GP45" i="1"/>
  <c r="GP43" i="1" a="1"/>
  <c r="GP43" i="1"/>
  <c r="GP41" i="1" a="1"/>
  <c r="GP41" i="1"/>
  <c r="GP39" i="1" a="1"/>
  <c r="GP39" i="1"/>
  <c r="GP37" i="1" a="1"/>
  <c r="GP37" i="1"/>
  <c r="GP35" i="1" a="1"/>
  <c r="GP35" i="1"/>
  <c r="GP33" i="1" a="1"/>
  <c r="GP33" i="1"/>
  <c r="GP31" i="1" a="1"/>
  <c r="GP31" i="1"/>
  <c r="GP29" i="1" a="1"/>
  <c r="GP29" i="1"/>
  <c r="GP27" i="1" a="1"/>
  <c r="GP27" i="1"/>
  <c r="GP25" i="1" a="1"/>
  <c r="GP25" i="1"/>
  <c r="GP23" i="1" a="1"/>
  <c r="GP23" i="1"/>
  <c r="GP17" i="1" a="1"/>
  <c r="GP17" i="1"/>
  <c r="GP15" i="1" a="1"/>
  <c r="GP15" i="1"/>
  <c r="GP13" i="1" a="1"/>
  <c r="GP13" i="1"/>
  <c r="GP21" i="1" a="1"/>
  <c r="GP21" i="1"/>
  <c r="GP19" i="1" a="1"/>
  <c r="GP19" i="1"/>
  <c r="GQ11" i="1"/>
  <c r="GQ62" i="1" a="1"/>
  <c r="GQ62" i="1"/>
  <c r="GQ60" i="1" a="1"/>
  <c r="GQ60" i="1"/>
  <c r="GQ58" i="1" a="1"/>
  <c r="GQ58" i="1"/>
  <c r="GQ54" i="1" a="1"/>
  <c r="GQ54" i="1"/>
  <c r="GQ56" i="1" a="1"/>
  <c r="GQ56" i="1"/>
  <c r="GQ52" i="1" a="1"/>
  <c r="GQ52" i="1"/>
  <c r="GQ50" i="1" a="1"/>
  <c r="GQ50" i="1"/>
  <c r="GQ48" i="1" a="1"/>
  <c r="GQ48" i="1"/>
  <c r="GQ46" i="1" a="1"/>
  <c r="GQ46" i="1"/>
  <c r="GQ44" i="1" a="1"/>
  <c r="GQ44" i="1"/>
  <c r="GQ42" i="1" a="1"/>
  <c r="GQ42" i="1"/>
  <c r="GQ40" i="1" a="1"/>
  <c r="GQ40" i="1"/>
  <c r="GQ38" i="1" a="1"/>
  <c r="GQ38" i="1"/>
  <c r="GQ36" i="1" a="1"/>
  <c r="GQ36" i="1"/>
  <c r="GQ34" i="1" a="1"/>
  <c r="GQ34" i="1"/>
  <c r="GQ32" i="1" a="1"/>
  <c r="GQ32" i="1"/>
  <c r="GQ27" i="1" a="1"/>
  <c r="GQ27" i="1"/>
  <c r="GQ25" i="1" a="1"/>
  <c r="GQ25" i="1"/>
  <c r="GQ30" i="1" a="1"/>
  <c r="GQ30" i="1"/>
  <c r="GQ28" i="1" a="1"/>
  <c r="GQ28" i="1"/>
  <c r="GQ20" i="1" a="1"/>
  <c r="GQ20" i="1"/>
  <c r="GQ18" i="1" a="1"/>
  <c r="GQ18" i="1"/>
  <c r="GQ22" i="1" a="1"/>
  <c r="GQ22" i="1"/>
  <c r="GQ16" i="1" a="1"/>
  <c r="GQ16" i="1"/>
  <c r="GQ14" i="1" a="1"/>
  <c r="GQ14" i="1"/>
  <c r="GQ12" i="1" a="1"/>
  <c r="GQ12" i="1"/>
  <c r="GQ61" i="1" a="1"/>
  <c r="GQ61" i="1"/>
  <c r="GQ59" i="1" a="1"/>
  <c r="GQ59" i="1"/>
  <c r="GQ55" i="1" a="1"/>
  <c r="GQ55" i="1"/>
  <c r="GQ57" i="1" a="1"/>
  <c r="GQ57" i="1"/>
  <c r="GQ53" i="1" a="1"/>
  <c r="GQ53" i="1"/>
  <c r="GQ51" i="1" a="1"/>
  <c r="GQ51" i="1"/>
  <c r="GQ49" i="1" a="1"/>
  <c r="GQ49" i="1"/>
  <c r="GQ47" i="1" a="1"/>
  <c r="GQ47" i="1"/>
  <c r="GQ45" i="1" a="1"/>
  <c r="GQ45" i="1"/>
  <c r="GQ43" i="1" a="1"/>
  <c r="GQ43" i="1"/>
  <c r="GQ41" i="1" a="1"/>
  <c r="GQ41" i="1"/>
  <c r="GQ39" i="1" a="1"/>
  <c r="GQ39" i="1"/>
  <c r="GQ37" i="1" a="1"/>
  <c r="GQ37" i="1"/>
  <c r="GQ35" i="1" a="1"/>
  <c r="GQ35" i="1"/>
  <c r="GQ33" i="1" a="1"/>
  <c r="GQ33" i="1"/>
  <c r="GQ31" i="1" a="1"/>
  <c r="GQ31" i="1"/>
  <c r="GQ26" i="1" a="1"/>
  <c r="GQ26" i="1"/>
  <c r="GQ24" i="1" a="1"/>
  <c r="GQ24" i="1"/>
  <c r="GQ29" i="1" a="1"/>
  <c r="GQ29" i="1"/>
  <c r="GQ21" i="1" a="1"/>
  <c r="GQ21" i="1"/>
  <c r="GQ19" i="1" a="1"/>
  <c r="GQ19" i="1"/>
  <c r="GQ23" i="1" a="1"/>
  <c r="GQ23" i="1"/>
  <c r="GQ17" i="1" a="1"/>
  <c r="GQ17" i="1"/>
  <c r="GQ15" i="1" a="1"/>
  <c r="GQ15" i="1"/>
  <c r="GQ13" i="1" a="1"/>
  <c r="GQ13" i="1"/>
  <c r="GR11" i="1"/>
  <c r="AU15" i="1" a="1"/>
  <c r="AU15" i="1"/>
  <c r="AU13" i="1" a="1"/>
  <c r="AU13" i="1"/>
  <c r="AU18" i="1" a="1"/>
  <c r="AU18" i="1"/>
  <c r="AU60" i="1" a="1"/>
  <c r="AU60" i="1"/>
  <c r="AU19" i="1" a="1"/>
  <c r="AU19" i="1"/>
  <c r="AU28" i="1" a="1"/>
  <c r="AU28" i="1"/>
  <c r="AU55" i="1" a="1"/>
  <c r="AU55" i="1"/>
  <c r="AU62" i="1" a="1"/>
  <c r="AU62" i="1"/>
  <c r="AU14" i="1" a="1"/>
  <c r="AU14" i="1"/>
  <c r="AU51" i="1" a="1"/>
  <c r="AU51" i="1"/>
  <c r="AU56" i="1" a="1"/>
  <c r="AU56" i="1"/>
  <c r="AU17" i="1" a="1"/>
  <c r="AU17" i="1"/>
  <c r="AU12" i="1" a="1"/>
  <c r="AU12" i="1"/>
  <c r="AU46" i="1" a="1"/>
  <c r="AU46" i="1"/>
  <c r="AU29" i="1" a="1"/>
  <c r="AU29" i="1"/>
  <c r="AU42" i="1" a="1"/>
  <c r="AU42" i="1"/>
  <c r="AU48" i="1" a="1"/>
  <c r="AU48" i="1"/>
  <c r="AU58" i="1" a="1"/>
  <c r="AU58" i="1"/>
  <c r="AU20" i="1" a="1"/>
  <c r="AU20" i="1"/>
  <c r="AU43" i="1" a="1"/>
  <c r="AU43" i="1"/>
  <c r="AU52" i="1" a="1"/>
  <c r="AU52" i="1"/>
  <c r="AU57" i="1" a="1"/>
  <c r="AU57" i="1"/>
  <c r="AU33" i="1" a="1"/>
  <c r="AU33" i="1"/>
  <c r="AU47" i="1" a="1"/>
  <c r="AU47" i="1"/>
  <c r="AU61" i="1" a="1"/>
  <c r="AU61" i="1"/>
  <c r="AU34" i="1" a="1"/>
  <c r="AU34" i="1"/>
  <c r="AU37" i="1" a="1"/>
  <c r="AU37" i="1"/>
  <c r="AU54" i="1" a="1"/>
  <c r="AU54" i="1"/>
  <c r="AU24" i="1" a="1"/>
  <c r="AU24" i="1"/>
  <c r="AU38" i="1" a="1"/>
  <c r="AU38" i="1"/>
  <c r="AU53" i="1" a="1"/>
  <c r="AU53" i="1"/>
  <c r="AU50" i="1" a="1"/>
  <c r="AU50" i="1"/>
  <c r="AU40" i="1" a="1"/>
  <c r="AU40" i="1"/>
  <c r="AU39" i="1" a="1"/>
  <c r="AU39" i="1"/>
  <c r="AU49" i="1" a="1"/>
  <c r="AU49" i="1"/>
  <c r="AU26" i="1" a="1"/>
  <c r="AU26" i="1"/>
  <c r="AU44" i="1" a="1"/>
  <c r="AU44" i="1"/>
  <c r="AU35" i="1" a="1"/>
  <c r="AU35" i="1"/>
  <c r="AU16" i="1" a="1"/>
  <c r="AU16" i="1"/>
  <c r="AU30" i="1" a="1"/>
  <c r="AU30" i="1"/>
  <c r="AU45" i="1" a="1"/>
  <c r="AU45" i="1"/>
  <c r="AU23" i="1" a="1"/>
  <c r="AU23" i="1"/>
  <c r="AU21" i="1" a="1"/>
  <c r="AU21" i="1"/>
  <c r="AU31" i="1" a="1"/>
  <c r="AU31" i="1"/>
  <c r="AU41" i="1" a="1"/>
  <c r="AU41" i="1"/>
  <c r="AU27" i="1" a="1"/>
  <c r="AU27" i="1"/>
  <c r="AU36" i="1" a="1"/>
  <c r="AU36" i="1"/>
  <c r="AU59" i="1" a="1"/>
  <c r="AU59" i="1"/>
  <c r="AU25" i="1" a="1"/>
  <c r="AU25" i="1"/>
  <c r="AU22" i="1" a="1"/>
  <c r="AU22" i="1"/>
  <c r="AU32" i="1" a="1"/>
  <c r="AU32" i="1"/>
  <c r="GR62" i="1" a="1"/>
  <c r="GR62" i="1"/>
  <c r="GR60" i="1" a="1"/>
  <c r="GR60" i="1"/>
  <c r="GR58" i="1" a="1"/>
  <c r="GR58" i="1"/>
  <c r="GR56" i="1" a="1"/>
  <c r="GR56" i="1"/>
  <c r="GR54" i="1" a="1"/>
  <c r="GR54" i="1"/>
  <c r="GR52" i="1" a="1"/>
  <c r="GR52" i="1"/>
  <c r="GR50" i="1" a="1"/>
  <c r="GR50" i="1"/>
  <c r="GR47" i="1" a="1"/>
  <c r="GR47" i="1"/>
  <c r="GR45" i="1" a="1"/>
  <c r="GR45" i="1"/>
  <c r="GR43" i="1" a="1"/>
  <c r="GR43" i="1"/>
  <c r="GR41" i="1" a="1"/>
  <c r="GR41" i="1"/>
  <c r="GR39" i="1" a="1"/>
  <c r="GR39" i="1"/>
  <c r="GR37" i="1" a="1"/>
  <c r="GR37" i="1"/>
  <c r="GR35" i="1" a="1"/>
  <c r="GR35" i="1"/>
  <c r="GR33" i="1" a="1"/>
  <c r="GR33" i="1"/>
  <c r="GR30" i="1" a="1"/>
  <c r="GR30" i="1"/>
  <c r="GR28" i="1" a="1"/>
  <c r="GR28" i="1"/>
  <c r="GR31" i="1" a="1"/>
  <c r="GR31" i="1"/>
  <c r="GR26" i="1" a="1"/>
  <c r="GR26" i="1"/>
  <c r="GR24" i="1" a="1"/>
  <c r="GR24" i="1"/>
  <c r="GR22" i="1" a="1"/>
  <c r="GR22" i="1"/>
  <c r="GR20" i="1" a="1"/>
  <c r="GR20" i="1"/>
  <c r="GR18" i="1" a="1"/>
  <c r="GR18" i="1"/>
  <c r="GR16" i="1" a="1"/>
  <c r="GR16" i="1"/>
  <c r="GR14" i="1" a="1"/>
  <c r="GR14" i="1"/>
  <c r="GR12" i="1" a="1"/>
  <c r="GR12" i="1"/>
  <c r="GR61" i="1" a="1"/>
  <c r="GR61" i="1"/>
  <c r="GR59" i="1" a="1"/>
  <c r="GR59" i="1"/>
  <c r="GR57" i="1" a="1"/>
  <c r="GR57" i="1"/>
  <c r="GR55" i="1" a="1"/>
  <c r="GR55" i="1"/>
  <c r="GR53" i="1" a="1"/>
  <c r="GR53" i="1"/>
  <c r="GR51" i="1" a="1"/>
  <c r="GR51" i="1"/>
  <c r="GR49" i="1" a="1"/>
  <c r="GR49" i="1"/>
  <c r="GR46" i="1" a="1"/>
  <c r="GR46" i="1"/>
  <c r="GR44" i="1" a="1"/>
  <c r="GR44" i="1"/>
  <c r="GR42" i="1" a="1"/>
  <c r="GR42" i="1"/>
  <c r="GR48" i="1" a="1"/>
  <c r="GR48" i="1"/>
  <c r="GR38" i="1" a="1"/>
  <c r="GR38" i="1"/>
  <c r="GR36" i="1" a="1"/>
  <c r="GR36" i="1"/>
  <c r="GR34" i="1" a="1"/>
  <c r="GR34" i="1"/>
  <c r="GR40" i="1" a="1"/>
  <c r="GR40" i="1"/>
  <c r="GR29" i="1" a="1"/>
  <c r="GR29" i="1"/>
  <c r="GR32" i="1" a="1"/>
  <c r="GR32" i="1"/>
  <c r="GR27" i="1" a="1"/>
  <c r="GR27" i="1"/>
  <c r="GR25" i="1" a="1"/>
  <c r="GR25" i="1"/>
  <c r="GR23" i="1" a="1"/>
  <c r="GR23" i="1"/>
  <c r="GR21" i="1" a="1"/>
  <c r="GR21" i="1"/>
  <c r="GR19" i="1" a="1"/>
  <c r="GR19" i="1"/>
  <c r="GR17" i="1" a="1"/>
  <c r="GR17" i="1"/>
  <c r="GR15" i="1" a="1"/>
  <c r="GR15" i="1"/>
  <c r="GR13" i="1" a="1"/>
  <c r="GR13" i="1"/>
  <c r="GS11" i="1"/>
  <c r="AV43" i="1" a="1"/>
  <c r="AV43" i="1"/>
  <c r="AV18" i="1" a="1"/>
  <c r="AV18" i="1"/>
  <c r="AV52" i="1" a="1"/>
  <c r="AV52" i="1"/>
  <c r="AV37" i="1" a="1"/>
  <c r="AV37" i="1"/>
  <c r="AV32" i="1" a="1"/>
  <c r="AV32" i="1"/>
  <c r="AV14" i="1" a="1"/>
  <c r="AV14" i="1"/>
  <c r="AV58" i="1" a="1"/>
  <c r="AV58" i="1"/>
  <c r="AV39" i="1" a="1"/>
  <c r="AV39" i="1"/>
  <c r="AV22" i="1" a="1"/>
  <c r="AV22" i="1"/>
  <c r="AV53" i="1" a="1"/>
  <c r="AV53" i="1"/>
  <c r="AV33" i="1" a="1"/>
  <c r="AV33" i="1"/>
  <c r="AV35" i="1" a="1"/>
  <c r="AV35" i="1"/>
  <c r="AV20" i="1" a="1"/>
  <c r="AV20" i="1"/>
  <c r="AV61" i="1" a="1"/>
  <c r="AV61" i="1"/>
  <c r="AV38" i="1" a="1"/>
  <c r="AV38" i="1"/>
  <c r="AV15" i="1" a="1"/>
  <c r="AV15" i="1"/>
  <c r="AV49" i="1" a="1"/>
  <c r="AV49" i="1"/>
  <c r="AV57" i="1" a="1"/>
  <c r="AV57" i="1"/>
  <c r="AV45" i="1" a="1"/>
  <c r="AV45" i="1"/>
  <c r="AV40" i="1" a="1"/>
  <c r="AV40" i="1"/>
  <c r="AV27" i="1" a="1"/>
  <c r="AV27" i="1"/>
  <c r="AV60" i="1" a="1"/>
  <c r="AV60" i="1"/>
  <c r="AV34" i="1" a="1"/>
  <c r="AV34" i="1"/>
  <c r="AV26" i="1" a="1"/>
  <c r="AV26" i="1"/>
  <c r="AV23" i="1" a="1"/>
  <c r="AV23" i="1"/>
  <c r="AV55" i="1" a="1"/>
  <c r="AV55" i="1"/>
  <c r="AV41" i="1" a="1"/>
  <c r="AV41" i="1"/>
  <c r="AV48" i="1" a="1"/>
  <c r="AV48" i="1"/>
  <c r="AV29" i="1" a="1"/>
  <c r="AV29" i="1"/>
  <c r="AV59" i="1" a="1"/>
  <c r="AV59" i="1"/>
  <c r="AV42" i="1" a="1"/>
  <c r="AV42" i="1"/>
  <c r="AV44" i="1" a="1"/>
  <c r="AV44" i="1"/>
  <c r="AV21" i="1" a="1"/>
  <c r="AV21" i="1"/>
  <c r="AV56" i="1" a="1"/>
  <c r="AV56" i="1"/>
  <c r="AV16" i="1" a="1"/>
  <c r="AV16" i="1"/>
  <c r="AV54" i="1" a="1"/>
  <c r="AV54" i="1"/>
  <c r="AV25" i="1" a="1"/>
  <c r="AV25" i="1"/>
  <c r="AV12" i="1" a="1"/>
  <c r="AV12" i="1"/>
  <c r="AV13" i="1" a="1"/>
  <c r="AV13" i="1"/>
  <c r="AV47" i="1" a="1"/>
  <c r="AV47" i="1"/>
  <c r="AV19" i="1" a="1"/>
  <c r="AV19" i="1"/>
  <c r="AV62" i="1" a="1"/>
  <c r="AV62" i="1"/>
  <c r="AV17" i="1" a="1"/>
  <c r="AV17" i="1"/>
  <c r="AV51" i="1" a="1"/>
  <c r="AV51" i="1"/>
  <c r="AV31" i="1" a="1"/>
  <c r="AV31" i="1"/>
  <c r="AV24" i="1" a="1"/>
  <c r="AV24" i="1"/>
  <c r="AV50" i="1" a="1"/>
  <c r="AV50" i="1"/>
  <c r="AV30" i="1" a="1"/>
  <c r="AV30" i="1"/>
  <c r="AV36" i="1" a="1"/>
  <c r="AV36" i="1"/>
  <c r="AV28" i="1" a="1"/>
  <c r="AV28" i="1"/>
  <c r="AV46" i="1" a="1"/>
  <c r="AV46" i="1"/>
  <c r="GS60" i="1" a="1"/>
  <c r="GS60" i="1"/>
  <c r="GS58" i="1" a="1"/>
  <c r="GS58" i="1"/>
  <c r="GS57" i="1" a="1"/>
  <c r="GS57" i="1"/>
  <c r="GS55" i="1" a="1"/>
  <c r="GS55" i="1"/>
  <c r="GS53" i="1" a="1"/>
  <c r="GS53" i="1"/>
  <c r="GS51" i="1" a="1"/>
  <c r="GS51" i="1"/>
  <c r="GS49" i="1" a="1"/>
  <c r="GS49" i="1"/>
  <c r="GS47" i="1" a="1"/>
  <c r="GS47" i="1"/>
  <c r="GS45" i="1" a="1"/>
  <c r="GS45" i="1"/>
  <c r="GS43" i="1" a="1"/>
  <c r="GS43" i="1"/>
  <c r="GS41" i="1" a="1"/>
  <c r="GS41" i="1"/>
  <c r="GS39" i="1" a="1"/>
  <c r="GS39" i="1"/>
  <c r="GS37" i="1" a="1"/>
  <c r="GS37" i="1"/>
  <c r="GS35" i="1" a="1"/>
  <c r="GS35" i="1"/>
  <c r="GS33" i="1" a="1"/>
  <c r="GS33" i="1"/>
  <c r="GS31" i="1" a="1"/>
  <c r="GS31" i="1"/>
  <c r="GS29" i="1" a="1"/>
  <c r="GS29" i="1"/>
  <c r="GS27" i="1" a="1"/>
  <c r="GS27" i="1"/>
  <c r="GS25" i="1" a="1"/>
  <c r="GS25" i="1"/>
  <c r="GS23" i="1" a="1"/>
  <c r="GS23" i="1"/>
  <c r="GS21" i="1" a="1"/>
  <c r="GS21" i="1"/>
  <c r="GS19" i="1" a="1"/>
  <c r="GS19" i="1"/>
  <c r="GS17" i="1" a="1"/>
  <c r="GS17" i="1"/>
  <c r="GS15" i="1" a="1"/>
  <c r="GS15" i="1"/>
  <c r="GS13" i="1" a="1"/>
  <c r="GS13" i="1"/>
  <c r="GT11" i="1"/>
  <c r="GS62" i="1" a="1"/>
  <c r="GS62" i="1"/>
  <c r="GS59" i="1" a="1"/>
  <c r="GS59" i="1"/>
  <c r="GS61" i="1" a="1"/>
  <c r="GS61" i="1"/>
  <c r="GS56" i="1" a="1"/>
  <c r="GS56" i="1"/>
  <c r="GS54" i="1" a="1"/>
  <c r="GS54" i="1"/>
  <c r="GS52" i="1" a="1"/>
  <c r="GS52" i="1"/>
  <c r="GS50" i="1" a="1"/>
  <c r="GS50" i="1"/>
  <c r="GS48" i="1" a="1"/>
  <c r="GS48" i="1"/>
  <c r="GS46" i="1" a="1"/>
  <c r="GS46" i="1"/>
  <c r="GS44" i="1" a="1"/>
  <c r="GS44" i="1"/>
  <c r="GS42" i="1" a="1"/>
  <c r="GS42" i="1"/>
  <c r="GS40" i="1" a="1"/>
  <c r="GS40" i="1"/>
  <c r="GS38" i="1" a="1"/>
  <c r="GS38" i="1"/>
  <c r="GS36" i="1" a="1"/>
  <c r="GS36" i="1"/>
  <c r="GS34" i="1" a="1"/>
  <c r="GS34" i="1"/>
  <c r="GS32" i="1" a="1"/>
  <c r="GS32" i="1"/>
  <c r="GS30" i="1" a="1"/>
  <c r="GS30" i="1"/>
  <c r="GS28" i="1" a="1"/>
  <c r="GS28" i="1"/>
  <c r="GS26" i="1" a="1"/>
  <c r="GS26" i="1"/>
  <c r="GS24" i="1" a="1"/>
  <c r="GS24" i="1"/>
  <c r="GS22" i="1" a="1"/>
  <c r="GS22" i="1"/>
  <c r="GS20" i="1" a="1"/>
  <c r="GS20" i="1"/>
  <c r="GS18" i="1" a="1"/>
  <c r="GS18" i="1"/>
  <c r="GS16" i="1" a="1"/>
  <c r="GS16" i="1"/>
  <c r="GS14" i="1" a="1"/>
  <c r="GS14" i="1"/>
  <c r="GS12" i="1" a="1"/>
  <c r="GS12" i="1"/>
  <c r="AW15" i="1" a="1"/>
  <c r="AW15" i="1"/>
  <c r="AW29" i="1" a="1"/>
  <c r="AW29" i="1"/>
  <c r="AW55" i="1" a="1"/>
  <c r="AW55" i="1"/>
  <c r="AW60" i="1" a="1"/>
  <c r="AW60" i="1"/>
  <c r="AW19" i="1" a="1"/>
  <c r="AW19" i="1"/>
  <c r="AW24" i="1" a="1"/>
  <c r="AW24" i="1"/>
  <c r="AW52" i="1" a="1"/>
  <c r="AW52" i="1"/>
  <c r="AW62" i="1" a="1"/>
  <c r="AW62" i="1"/>
  <c r="AW14" i="1" a="1"/>
  <c r="AW14" i="1"/>
  <c r="AW51" i="1" a="1"/>
  <c r="AW51" i="1"/>
  <c r="AW61" i="1" a="1"/>
  <c r="AW61" i="1"/>
  <c r="AW20" i="1" a="1"/>
  <c r="AW20" i="1"/>
  <c r="AW12" i="1" a="1"/>
  <c r="AW12" i="1"/>
  <c r="AW57" i="1" a="1"/>
  <c r="AW57" i="1"/>
  <c r="AW17" i="1" a="1"/>
  <c r="AW17" i="1"/>
  <c r="AW42" i="1" a="1"/>
  <c r="AW42" i="1"/>
  <c r="AW53" i="1" a="1"/>
  <c r="AW53" i="1"/>
  <c r="AW58" i="1" a="1"/>
  <c r="AW58" i="1"/>
  <c r="AW27" i="1" a="1"/>
  <c r="AW27" i="1"/>
  <c r="AW43" i="1" a="1"/>
  <c r="AW43" i="1"/>
  <c r="AW48" i="1" a="1"/>
  <c r="AW48" i="1"/>
  <c r="AW38" i="1" a="1"/>
  <c r="AW38" i="1"/>
  <c r="AW44" i="1" a="1"/>
  <c r="AW44" i="1"/>
  <c r="AW47" i="1" a="1"/>
  <c r="AW47" i="1"/>
  <c r="AW59" i="1" a="1"/>
  <c r="AW59" i="1"/>
  <c r="AW34" i="1" a="1"/>
  <c r="AW34" i="1"/>
  <c r="AW45" i="1" a="1"/>
  <c r="AW45" i="1"/>
  <c r="AW54" i="1" a="1"/>
  <c r="AW54" i="1"/>
  <c r="AW21" i="1" a="1"/>
  <c r="AW21" i="1"/>
  <c r="AW35" i="1" a="1"/>
  <c r="AW35" i="1"/>
  <c r="AW49" i="1" a="1"/>
  <c r="AW49" i="1"/>
  <c r="AW50" i="1" a="1"/>
  <c r="AW50" i="1"/>
  <c r="AW36" i="1" a="1"/>
  <c r="AW36" i="1"/>
  <c r="AW39" i="1" a="1"/>
  <c r="AW39" i="1"/>
  <c r="AW16" i="1" a="1"/>
  <c r="AW16" i="1"/>
  <c r="AW26" i="1" a="1"/>
  <c r="AW26" i="1"/>
  <c r="AW40" i="1" a="1"/>
  <c r="AW40" i="1"/>
  <c r="AW46" i="1" a="1"/>
  <c r="AW46" i="1"/>
  <c r="AW13" i="1" a="1"/>
  <c r="AW13" i="1"/>
  <c r="AW30" i="1" a="1"/>
  <c r="AW30" i="1"/>
  <c r="AW41" i="1" a="1"/>
  <c r="AW41" i="1"/>
  <c r="AW23" i="1" a="1"/>
  <c r="AW23" i="1"/>
  <c r="AW28" i="1" a="1"/>
  <c r="AW28" i="1"/>
  <c r="AW31" i="1" a="1"/>
  <c r="AW31" i="1"/>
  <c r="AW37" i="1" a="1"/>
  <c r="AW37" i="1"/>
  <c r="AW18" i="1" a="1"/>
  <c r="AW18" i="1"/>
  <c r="AW32" i="1" a="1"/>
  <c r="AW32" i="1"/>
  <c r="AW56" i="1" a="1"/>
  <c r="AW56" i="1"/>
  <c r="AW25" i="1" a="1"/>
  <c r="AW25" i="1"/>
  <c r="AW22" i="1" a="1"/>
  <c r="AW22" i="1"/>
  <c r="AW33" i="1" a="1"/>
  <c r="AW33" i="1"/>
  <c r="GT61" i="1" a="1"/>
  <c r="GT61" i="1"/>
  <c r="GT59" i="1" a="1"/>
  <c r="GT59" i="1"/>
  <c r="GT57" i="1" a="1"/>
  <c r="GT57" i="1"/>
  <c r="GT55" i="1" a="1"/>
  <c r="GT55" i="1"/>
  <c r="GT53" i="1" a="1"/>
  <c r="GT53" i="1"/>
  <c r="GT49" i="1" a="1"/>
  <c r="GT49" i="1"/>
  <c r="GT51" i="1" a="1"/>
  <c r="GT51" i="1"/>
  <c r="GT45" i="1" a="1"/>
  <c r="GT45" i="1"/>
  <c r="GT43" i="1" a="1"/>
  <c r="GT43" i="1"/>
  <c r="GT41" i="1" a="1"/>
  <c r="GT41" i="1"/>
  <c r="GT46" i="1" a="1"/>
  <c r="GT46" i="1"/>
  <c r="GT36" i="1" a="1"/>
  <c r="GT36" i="1"/>
  <c r="GT34" i="1" a="1"/>
  <c r="GT34" i="1"/>
  <c r="GT39" i="1" a="1"/>
  <c r="GT39" i="1"/>
  <c r="GT37" i="1" a="1"/>
  <c r="GT37" i="1"/>
  <c r="GT31" i="1" a="1"/>
  <c r="GT31" i="1"/>
  <c r="GT29" i="1" a="1"/>
  <c r="GT29" i="1"/>
  <c r="GT27" i="1" a="1"/>
  <c r="GT27" i="1"/>
  <c r="GT25" i="1" a="1"/>
  <c r="GT25" i="1"/>
  <c r="GT23" i="1" a="1"/>
  <c r="GT23" i="1"/>
  <c r="GT21" i="1" a="1"/>
  <c r="GT21" i="1"/>
  <c r="GT19" i="1" a="1"/>
  <c r="GT19" i="1"/>
  <c r="GT17" i="1" a="1"/>
  <c r="GT17" i="1"/>
  <c r="GT15" i="1" a="1"/>
  <c r="GT15" i="1"/>
  <c r="GT13" i="1" a="1"/>
  <c r="GT13" i="1"/>
  <c r="GU11" i="1"/>
  <c r="GT56" i="1" a="1"/>
  <c r="GT56" i="1"/>
  <c r="GT48" i="1" a="1"/>
  <c r="GT48" i="1"/>
  <c r="GT40" i="1" a="1"/>
  <c r="GT40" i="1"/>
  <c r="GT32" i="1" a="1"/>
  <c r="GT32" i="1"/>
  <c r="GT24" i="1" a="1"/>
  <c r="GT24" i="1"/>
  <c r="GT16" i="1" a="1"/>
  <c r="GT16" i="1"/>
  <c r="GT62" i="1" a="1"/>
  <c r="GT62" i="1"/>
  <c r="GT54" i="1" a="1"/>
  <c r="GT54" i="1"/>
  <c r="GT44" i="1" a="1"/>
  <c r="GT44" i="1"/>
  <c r="GT35" i="1" a="1"/>
  <c r="GT35" i="1"/>
  <c r="GT30" i="1" a="1"/>
  <c r="GT30" i="1"/>
  <c r="GT22" i="1" a="1"/>
  <c r="GT22" i="1"/>
  <c r="GT14" i="1" a="1"/>
  <c r="GT14" i="1"/>
  <c r="GT60" i="1" a="1"/>
  <c r="GT60" i="1"/>
  <c r="GT50" i="1" a="1"/>
  <c r="GT50" i="1"/>
  <c r="GT42" i="1" a="1"/>
  <c r="GT42" i="1"/>
  <c r="GT33" i="1" a="1"/>
  <c r="GT33" i="1"/>
  <c r="GT28" i="1" a="1"/>
  <c r="GT28" i="1"/>
  <c r="GT20" i="1" a="1"/>
  <c r="GT20" i="1"/>
  <c r="GT12" i="1" a="1"/>
  <c r="GT12" i="1"/>
  <c r="GT58" i="1" a="1"/>
  <c r="GT58" i="1"/>
  <c r="GT52" i="1" a="1"/>
  <c r="GT52" i="1"/>
  <c r="GT47" i="1" a="1"/>
  <c r="GT47" i="1"/>
  <c r="GT38" i="1" a="1"/>
  <c r="GT38" i="1"/>
  <c r="GT26" i="1" a="1"/>
  <c r="GT26" i="1"/>
  <c r="GT18" i="1" a="1"/>
  <c r="GT18" i="1"/>
  <c r="AX18" i="1" a="1"/>
  <c r="AX18" i="1"/>
  <c r="AX27" i="1" a="1"/>
  <c r="AX27" i="1"/>
  <c r="AX21" i="1" a="1"/>
  <c r="AX21" i="1"/>
  <c r="AX26" i="1" a="1"/>
  <c r="AX26" i="1"/>
  <c r="AX12" i="1" a="1"/>
  <c r="AX12" i="1"/>
  <c r="AX48" i="1" a="1"/>
  <c r="AX48" i="1"/>
  <c r="AX62" i="1" a="1"/>
  <c r="AX62" i="1"/>
  <c r="AX17" i="1" a="1"/>
  <c r="AX17" i="1"/>
  <c r="AX60" i="1" a="1"/>
  <c r="AX60" i="1"/>
  <c r="AX37" i="1" a="1"/>
  <c r="AX37" i="1"/>
  <c r="AX13" i="1" a="1"/>
  <c r="AX13" i="1"/>
  <c r="AX57" i="1" a="1"/>
  <c r="AX57" i="1"/>
  <c r="AX39" i="1" a="1"/>
  <c r="AX39" i="1"/>
  <c r="AX22" i="1" a="1"/>
  <c r="AX22" i="1"/>
  <c r="AX56" i="1" a="1"/>
  <c r="AX56" i="1"/>
  <c r="AX38" i="1" a="1"/>
  <c r="AX38" i="1"/>
  <c r="AX24" i="1" a="1"/>
  <c r="AX24" i="1"/>
  <c r="AX44" i="1" a="1"/>
  <c r="AX44" i="1"/>
  <c r="AX19" i="1" a="1"/>
  <c r="AX19" i="1"/>
  <c r="AX36" i="1" a="1"/>
  <c r="AX36" i="1"/>
  <c r="AX41" i="1" a="1"/>
  <c r="AX41" i="1"/>
  <c r="AX20" i="1" a="1"/>
  <c r="AX20" i="1"/>
  <c r="AX15" i="1" a="1"/>
  <c r="AX15" i="1"/>
  <c r="AX46" i="1" a="1"/>
  <c r="AX46" i="1"/>
  <c r="AX35" i="1" a="1"/>
  <c r="AX35" i="1"/>
  <c r="AX45" i="1" a="1"/>
  <c r="AX45" i="1"/>
  <c r="AX30" i="1" a="1"/>
  <c r="AX30" i="1"/>
  <c r="AX52" i="1" a="1"/>
  <c r="AX52" i="1"/>
  <c r="AX54" i="1" a="1"/>
  <c r="AX54" i="1"/>
  <c r="AX59" i="1" a="1"/>
  <c r="AX59" i="1"/>
  <c r="AX32" i="1" a="1"/>
  <c r="AX32" i="1"/>
  <c r="AX23" i="1" a="1"/>
  <c r="AX23" i="1"/>
  <c r="AX50" i="1" a="1"/>
  <c r="AX50" i="1"/>
  <c r="AX61" i="1" a="1"/>
  <c r="AX61" i="1"/>
  <c r="AX31" i="1" a="1"/>
  <c r="AX31" i="1"/>
  <c r="AX51" i="1" a="1"/>
  <c r="AX51" i="1"/>
  <c r="AX42" i="1" a="1"/>
  <c r="AX42" i="1"/>
  <c r="AX28" i="1" a="1"/>
  <c r="AX28" i="1"/>
  <c r="AX55" i="1" a="1"/>
  <c r="AX55" i="1"/>
  <c r="AX40" i="1" a="1"/>
  <c r="AX40" i="1"/>
  <c r="AX43" i="1" a="1"/>
  <c r="AX43" i="1"/>
  <c r="AX14" i="1" a="1"/>
  <c r="AX14" i="1"/>
  <c r="AX25" i="1" a="1"/>
  <c r="AX25" i="1"/>
  <c r="AX53" i="1" a="1"/>
  <c r="AX53" i="1"/>
  <c r="AX47" i="1" a="1"/>
  <c r="AX47" i="1"/>
  <c r="AX29" i="1" a="1"/>
  <c r="AX29" i="1"/>
  <c r="AX34" i="1" a="1"/>
  <c r="AX34" i="1"/>
  <c r="AX49" i="1" a="1"/>
  <c r="AX49" i="1"/>
  <c r="AX33" i="1" a="1"/>
  <c r="AX33" i="1"/>
  <c r="AX58" i="1" a="1"/>
  <c r="AX58" i="1"/>
  <c r="AX16" i="1" a="1"/>
  <c r="AX16" i="1"/>
  <c r="GU60" i="1" a="1"/>
  <c r="GU60" i="1"/>
  <c r="GU58" i="1" a="1"/>
  <c r="GU58" i="1"/>
  <c r="GU55" i="1" a="1"/>
  <c r="GU55" i="1"/>
  <c r="GU57" i="1" a="1"/>
  <c r="GU57" i="1"/>
  <c r="GU52" i="1" a="1"/>
  <c r="GU52" i="1"/>
  <c r="GU53" i="1" a="1"/>
  <c r="GU53" i="1"/>
  <c r="GU49" i="1" a="1"/>
  <c r="GU49" i="1"/>
  <c r="GU47" i="1" a="1"/>
  <c r="GU47" i="1"/>
  <c r="GU45" i="1" a="1"/>
  <c r="GU45" i="1"/>
  <c r="GU43" i="1" a="1"/>
  <c r="GU43" i="1"/>
  <c r="GU41" i="1" a="1"/>
  <c r="GU41" i="1"/>
  <c r="GU39" i="1" a="1"/>
  <c r="GU39" i="1"/>
  <c r="GU37" i="1" a="1"/>
  <c r="GU37" i="1"/>
  <c r="GU35" i="1" a="1"/>
  <c r="GU35" i="1"/>
  <c r="GU33" i="1" a="1"/>
  <c r="GU33" i="1"/>
  <c r="GU31" i="1" a="1"/>
  <c r="GU31" i="1"/>
  <c r="GU29" i="1" a="1"/>
  <c r="GU29" i="1"/>
  <c r="GU27" i="1" a="1"/>
  <c r="GU27" i="1"/>
  <c r="GU25" i="1" a="1"/>
  <c r="GU25" i="1"/>
  <c r="GU23" i="1" a="1"/>
  <c r="GU23" i="1"/>
  <c r="GU21" i="1" a="1"/>
  <c r="GU21" i="1"/>
  <c r="GU19" i="1" a="1"/>
  <c r="GU19" i="1"/>
  <c r="GU17" i="1" a="1"/>
  <c r="GU17" i="1"/>
  <c r="GU15" i="1" a="1"/>
  <c r="GU15" i="1"/>
  <c r="GU13" i="1" a="1"/>
  <c r="GU13" i="1"/>
  <c r="GV11" i="1"/>
  <c r="GU62" i="1" a="1"/>
  <c r="GU62" i="1"/>
  <c r="GU59" i="1" a="1"/>
  <c r="GU59" i="1"/>
  <c r="GU61" i="1" a="1"/>
  <c r="GU61" i="1"/>
  <c r="GU54" i="1" a="1"/>
  <c r="GU54" i="1"/>
  <c r="GU56" i="1" a="1"/>
  <c r="GU56" i="1"/>
  <c r="GU51" i="1" a="1"/>
  <c r="GU51" i="1"/>
  <c r="GU50" i="1" a="1"/>
  <c r="GU50" i="1"/>
  <c r="GU48" i="1" a="1"/>
  <c r="GU48" i="1"/>
  <c r="GU46" i="1" a="1"/>
  <c r="GU46" i="1"/>
  <c r="GU44" i="1" a="1"/>
  <c r="GU44" i="1"/>
  <c r="GU42" i="1" a="1"/>
  <c r="GU42" i="1"/>
  <c r="GU40" i="1" a="1"/>
  <c r="GU40" i="1"/>
  <c r="GU38" i="1" a="1"/>
  <c r="GU38" i="1"/>
  <c r="GU36" i="1" a="1"/>
  <c r="GU36" i="1"/>
  <c r="GU34" i="1" a="1"/>
  <c r="GU34" i="1"/>
  <c r="GU32" i="1" a="1"/>
  <c r="GU32" i="1"/>
  <c r="GU30" i="1" a="1"/>
  <c r="GU30" i="1"/>
  <c r="GU28" i="1" a="1"/>
  <c r="GU28" i="1"/>
  <c r="GU26" i="1" a="1"/>
  <c r="GU26" i="1"/>
  <c r="GU24" i="1" a="1"/>
  <c r="GU24" i="1"/>
  <c r="GU22" i="1" a="1"/>
  <c r="GU22" i="1"/>
  <c r="GU20" i="1" a="1"/>
  <c r="GU20" i="1"/>
  <c r="GU18" i="1" a="1"/>
  <c r="GU18" i="1"/>
  <c r="GU16" i="1" a="1"/>
  <c r="GU16" i="1"/>
  <c r="GU14" i="1" a="1"/>
  <c r="GU14" i="1"/>
  <c r="GU12" i="1" a="1"/>
  <c r="GU12" i="1"/>
  <c r="AY29" i="1" a="1"/>
  <c r="AY29" i="1"/>
  <c r="AY13" i="1" a="1"/>
  <c r="AY13" i="1"/>
  <c r="AY15" i="1" a="1"/>
  <c r="AY15" i="1"/>
  <c r="AY58" i="1" a="1"/>
  <c r="AY58" i="1"/>
  <c r="AY19" i="1" a="1"/>
  <c r="AY19" i="1"/>
  <c r="AY60" i="1" a="1"/>
  <c r="AY60" i="1"/>
  <c r="AY59" i="1" a="1"/>
  <c r="AY59" i="1"/>
  <c r="AY49" i="1" a="1"/>
  <c r="AY49" i="1"/>
  <c r="AY61" i="1" a="1"/>
  <c r="AY61" i="1"/>
  <c r="AY17" i="1" a="1"/>
  <c r="AY17" i="1"/>
  <c r="AY21" i="1" a="1"/>
  <c r="AY21" i="1"/>
  <c r="AY25" i="1" a="1"/>
  <c r="AY25" i="1"/>
  <c r="AY42" i="1" a="1"/>
  <c r="AY42" i="1"/>
  <c r="AY18" i="1" a="1"/>
  <c r="AY18" i="1"/>
  <c r="AY31" i="1" a="1"/>
  <c r="AY31" i="1"/>
  <c r="AY53" i="1" a="1"/>
  <c r="AY53" i="1"/>
  <c r="AY35" i="1" a="1"/>
  <c r="AY35" i="1"/>
  <c r="AY48" i="1" a="1"/>
  <c r="AY48" i="1"/>
  <c r="AY23" i="1" a="1"/>
  <c r="AY23" i="1"/>
  <c r="AY62" i="1" a="1"/>
  <c r="AY62" i="1"/>
  <c r="AY27" i="1" a="1"/>
  <c r="AY27" i="1"/>
  <c r="AY34" i="1" a="1"/>
  <c r="AY34" i="1"/>
  <c r="AY12" i="1" a="1"/>
  <c r="AY12" i="1"/>
  <c r="AY38" i="1" a="1"/>
  <c r="AY38" i="1"/>
  <c r="AY14" i="1" a="1"/>
  <c r="AY14" i="1"/>
  <c r="AY51" i="1" a="1"/>
  <c r="AY51" i="1"/>
  <c r="AY24" i="1" a="1"/>
  <c r="AY24" i="1"/>
  <c r="AY46" i="1" a="1"/>
  <c r="AY46" i="1"/>
  <c r="AY28" i="1" a="1"/>
  <c r="AY28" i="1"/>
  <c r="AY50" i="1" a="1"/>
  <c r="AY50" i="1"/>
  <c r="AY32" i="1" a="1"/>
  <c r="AY32" i="1"/>
  <c r="AY54" i="1" a="1"/>
  <c r="AY54" i="1"/>
  <c r="AY39" i="1" a="1"/>
  <c r="AY39" i="1"/>
  <c r="AY52" i="1" a="1"/>
  <c r="AY52" i="1"/>
  <c r="AY43" i="1" a="1"/>
  <c r="AY43" i="1"/>
  <c r="AY16" i="1" a="1"/>
  <c r="AY16" i="1"/>
  <c r="AY47" i="1" a="1"/>
  <c r="AY47" i="1"/>
  <c r="AY20" i="1" a="1"/>
  <c r="AY20" i="1"/>
  <c r="AY33" i="1" a="1"/>
  <c r="AY33" i="1"/>
  <c r="AY30" i="1" a="1"/>
  <c r="AY30" i="1"/>
  <c r="AY37" i="1" a="1"/>
  <c r="AY37" i="1"/>
  <c r="AY55" i="1" a="1"/>
  <c r="AY55" i="1"/>
  <c r="AY41" i="1" a="1"/>
  <c r="AY41" i="1"/>
  <c r="AY56" i="1" a="1"/>
  <c r="AY56" i="1"/>
  <c r="AY45" i="1" a="1"/>
  <c r="AY45" i="1"/>
  <c r="AY36" i="1" a="1"/>
  <c r="AY36" i="1"/>
  <c r="AY57" i="1" a="1"/>
  <c r="AY57" i="1"/>
  <c r="AY40" i="1" a="1"/>
  <c r="AY40" i="1"/>
  <c r="AY22" i="1" a="1"/>
  <c r="AY22" i="1"/>
  <c r="AY44" i="1" a="1"/>
  <c r="AY44" i="1"/>
  <c r="AY26" i="1" a="1"/>
  <c r="AY26" i="1"/>
  <c r="AZ50" i="1" a="1"/>
  <c r="AZ50" i="1"/>
  <c r="AZ17" i="1" a="1"/>
  <c r="AZ17" i="1"/>
  <c r="AZ47" i="1" a="1"/>
  <c r="AZ47" i="1"/>
  <c r="AZ21" i="1" a="1"/>
  <c r="AZ21" i="1"/>
  <c r="AZ36" i="1" a="1"/>
  <c r="AZ36" i="1"/>
  <c r="AZ56" i="1" a="1"/>
  <c r="AZ56" i="1"/>
  <c r="AZ40" i="1" a="1"/>
  <c r="AZ40" i="1"/>
  <c r="AZ55" i="1" a="1"/>
  <c r="AZ55" i="1"/>
  <c r="AZ13" i="1" a="1"/>
  <c r="AZ13" i="1"/>
  <c r="AZ59" i="1" a="1"/>
  <c r="AZ59" i="1"/>
  <c r="AZ16" i="1" a="1"/>
  <c r="AZ16" i="1"/>
  <c r="AZ48" i="1" a="1"/>
  <c r="AZ48" i="1"/>
  <c r="AZ61" i="1" a="1"/>
  <c r="AZ61" i="1"/>
  <c r="AZ39" i="1" a="1"/>
  <c r="AZ39" i="1"/>
  <c r="AZ30" i="1" a="1"/>
  <c r="AZ30" i="1"/>
  <c r="AZ43" i="1" a="1"/>
  <c r="AZ43" i="1"/>
  <c r="AZ49" i="1" a="1"/>
  <c r="AZ49" i="1"/>
  <c r="AZ18" i="1" a="1"/>
  <c r="AZ18" i="1"/>
  <c r="AZ62" i="1" a="1"/>
  <c r="AZ62" i="1"/>
  <c r="AZ22" i="1" a="1"/>
  <c r="AZ22" i="1"/>
  <c r="AZ33" i="1" a="1"/>
  <c r="AZ33" i="1"/>
  <c r="AZ26" i="1" a="1"/>
  <c r="AZ26" i="1"/>
  <c r="AZ37" i="1" a="1"/>
  <c r="AZ37" i="1"/>
  <c r="AZ32" i="1" a="1"/>
  <c r="AZ32" i="1"/>
  <c r="AZ60" i="1" a="1"/>
  <c r="AZ60" i="1"/>
  <c r="AZ20" i="1" a="1"/>
  <c r="AZ20" i="1"/>
  <c r="AZ12" i="1" a="1"/>
  <c r="AZ12" i="1"/>
  <c r="AZ57" i="1" a="1"/>
  <c r="AZ57" i="1"/>
  <c r="AZ38" i="1" a="1"/>
  <c r="AZ38" i="1"/>
  <c r="AZ52" i="1" a="1"/>
  <c r="AZ52" i="1"/>
  <c r="AZ42" i="1" a="1"/>
  <c r="AZ42" i="1"/>
  <c r="AZ24" i="1" a="1"/>
  <c r="AZ24" i="1"/>
  <c r="AZ46" i="1" a="1"/>
  <c r="AZ46" i="1"/>
  <c r="AZ28" i="1" a="1"/>
  <c r="AZ28" i="1"/>
  <c r="AZ44" i="1" a="1"/>
  <c r="AZ44" i="1"/>
  <c r="AZ51" i="1" a="1"/>
  <c r="AZ51" i="1"/>
  <c r="AZ53" i="1" a="1"/>
  <c r="AZ53" i="1"/>
  <c r="AZ15" i="1" a="1"/>
  <c r="AZ15" i="1"/>
  <c r="AZ41" i="1" a="1"/>
  <c r="AZ41" i="1"/>
  <c r="AZ19" i="1" a="1"/>
  <c r="AZ19" i="1"/>
  <c r="AZ45" i="1" a="1"/>
  <c r="AZ45" i="1"/>
  <c r="AZ54" i="1" a="1"/>
  <c r="AZ54" i="1"/>
  <c r="AZ29" i="1" a="1"/>
  <c r="AZ29" i="1"/>
  <c r="AZ58" i="1" a="1"/>
  <c r="AZ58" i="1"/>
  <c r="AZ31" i="1" a="1"/>
  <c r="AZ31" i="1"/>
  <c r="AZ23" i="1" a="1"/>
  <c r="AZ23" i="1"/>
  <c r="AZ35" i="1" a="1"/>
  <c r="AZ35" i="1"/>
  <c r="AZ27" i="1" a="1"/>
  <c r="AZ27" i="1"/>
  <c r="AZ34" i="1" a="1"/>
  <c r="AZ34" i="1"/>
  <c r="AZ25" i="1" a="1"/>
  <c r="AZ25" i="1"/>
  <c r="AZ14" i="1" a="1"/>
  <c r="AZ14" i="1"/>
  <c r="GV59" i="1" a="1"/>
  <c r="GV59" i="1"/>
  <c r="GV55" i="1" a="1"/>
  <c r="GV55" i="1"/>
  <c r="GV49" i="1" a="1"/>
  <c r="GV49" i="1"/>
  <c r="GV44" i="1" a="1"/>
  <c r="GV44" i="1"/>
  <c r="GV48" i="1" a="1"/>
  <c r="GV48" i="1"/>
  <c r="GV35" i="1" a="1"/>
  <c r="GV35" i="1"/>
  <c r="GV39" i="1" a="1"/>
  <c r="GV39" i="1"/>
  <c r="GV31" i="1" a="1"/>
  <c r="GV31" i="1"/>
  <c r="GV27" i="1" a="1"/>
  <c r="GV27" i="1"/>
  <c r="GV23" i="1" a="1"/>
  <c r="GV23" i="1"/>
  <c r="GV15" i="1" a="1"/>
  <c r="GV15" i="1"/>
  <c r="GV21" i="1" a="1"/>
  <c r="GV21" i="1"/>
  <c r="GW11" i="1"/>
  <c r="GV62" i="1" a="1"/>
  <c r="GV62" i="1"/>
  <c r="GV58" i="1" a="1"/>
  <c r="GV58" i="1"/>
  <c r="GV54" i="1" a="1"/>
  <c r="GV54" i="1"/>
  <c r="GV52" i="1" a="1"/>
  <c r="GV52" i="1"/>
  <c r="GV43" i="1" a="1"/>
  <c r="GV43" i="1"/>
  <c r="GV47" i="1" a="1"/>
  <c r="GV47" i="1"/>
  <c r="GV34" i="1" a="1"/>
  <c r="GV34" i="1"/>
  <c r="GV38" i="1" a="1"/>
  <c r="GV38" i="1"/>
  <c r="GV30" i="1" a="1"/>
  <c r="GV30" i="1"/>
  <c r="GV26" i="1" a="1"/>
  <c r="GV26" i="1"/>
  <c r="GV22" i="1" a="1"/>
  <c r="GV22" i="1"/>
  <c r="GV14" i="1" a="1"/>
  <c r="GV14" i="1"/>
  <c r="GV20" i="1" a="1"/>
  <c r="GV20" i="1"/>
  <c r="GV61" i="1" a="1"/>
  <c r="GV61" i="1"/>
  <c r="GV57" i="1" a="1"/>
  <c r="GV57" i="1"/>
  <c r="GV53" i="1" a="1"/>
  <c r="GV53" i="1"/>
  <c r="GV51" i="1" a="1"/>
  <c r="GV51" i="1"/>
  <c r="GV42" i="1" a="1"/>
  <c r="GV42" i="1"/>
  <c r="GV46" i="1" a="1"/>
  <c r="GV46" i="1"/>
  <c r="GV33" i="1" a="1"/>
  <c r="GV33" i="1"/>
  <c r="GV37" i="1" a="1"/>
  <c r="GV37" i="1"/>
  <c r="GV29" i="1" a="1"/>
  <c r="GV29" i="1"/>
  <c r="GV25" i="1" a="1"/>
  <c r="GV25" i="1"/>
  <c r="GV17" i="1" a="1"/>
  <c r="GV17" i="1"/>
  <c r="GV13" i="1" a="1"/>
  <c r="GV13" i="1"/>
  <c r="GV19" i="1" a="1"/>
  <c r="GV19" i="1"/>
  <c r="GV60" i="1" a="1"/>
  <c r="GV60" i="1"/>
  <c r="GV56" i="1" a="1"/>
  <c r="GV56" i="1"/>
  <c r="GV50" i="1" a="1"/>
  <c r="GV50" i="1"/>
  <c r="GV45" i="1" a="1"/>
  <c r="GV45" i="1"/>
  <c r="GV41" i="1" a="1"/>
  <c r="GV41" i="1"/>
  <c r="GV36" i="1" a="1"/>
  <c r="GV36" i="1"/>
  <c r="GV40" i="1" a="1"/>
  <c r="GV40" i="1"/>
  <c r="GV32" i="1" a="1"/>
  <c r="GV32" i="1"/>
  <c r="GV28" i="1" a="1"/>
  <c r="GV28" i="1"/>
  <c r="GV24" i="1" a="1"/>
  <c r="GV24" i="1"/>
  <c r="GV16" i="1" a="1"/>
  <c r="GV16" i="1"/>
  <c r="GV12" i="1" a="1"/>
  <c r="GV12" i="1"/>
  <c r="GV18" i="1" a="1"/>
  <c r="GV18" i="1"/>
  <c r="GW62" i="1" a="1"/>
  <c r="GW62" i="1"/>
  <c r="GW60" i="1" a="1"/>
  <c r="GW60" i="1"/>
  <c r="GW58" i="1" a="1"/>
  <c r="GW58" i="1"/>
  <c r="GW54" i="1" a="1"/>
  <c r="GW54" i="1"/>
  <c r="GW56" i="1" a="1"/>
  <c r="GW56" i="1"/>
  <c r="GW52" i="1" a="1"/>
  <c r="GW52" i="1"/>
  <c r="GW50" i="1" a="1"/>
  <c r="GW50" i="1"/>
  <c r="GW48" i="1" a="1"/>
  <c r="GW48" i="1"/>
  <c r="GW46" i="1" a="1"/>
  <c r="GW46" i="1"/>
  <c r="GW44" i="1" a="1"/>
  <c r="GW44" i="1"/>
  <c r="GW42" i="1" a="1"/>
  <c r="GW42" i="1"/>
  <c r="GW40" i="1" a="1"/>
  <c r="GW40" i="1"/>
  <c r="GW38" i="1" a="1"/>
  <c r="GW38" i="1"/>
  <c r="GW36" i="1" a="1"/>
  <c r="GW36" i="1"/>
  <c r="GW34" i="1" a="1"/>
  <c r="GW34" i="1"/>
  <c r="GW32" i="1" a="1"/>
  <c r="GW32" i="1"/>
  <c r="GW27" i="1" a="1"/>
  <c r="GW27" i="1"/>
  <c r="GW25" i="1" a="1"/>
  <c r="GW25" i="1"/>
  <c r="GW30" i="1" a="1"/>
  <c r="GW30" i="1"/>
  <c r="GW28" i="1" a="1"/>
  <c r="GW28" i="1"/>
  <c r="GW22" i="1" a="1"/>
  <c r="GW22" i="1"/>
  <c r="GW20" i="1" a="1"/>
  <c r="GW20" i="1"/>
  <c r="GW18" i="1" a="1"/>
  <c r="GW18" i="1"/>
  <c r="GW16" i="1" a="1"/>
  <c r="GW16" i="1"/>
  <c r="GW14" i="1" a="1"/>
  <c r="GW14" i="1"/>
  <c r="GW12" i="1" a="1"/>
  <c r="GW12" i="1"/>
  <c r="GW61" i="1" a="1"/>
  <c r="GW61" i="1"/>
  <c r="GW59" i="1" a="1"/>
  <c r="GW59" i="1"/>
  <c r="GW55" i="1" a="1"/>
  <c r="GW55" i="1"/>
  <c r="GW57" i="1" a="1"/>
  <c r="GW57" i="1"/>
  <c r="GW53" i="1" a="1"/>
  <c r="GW53" i="1"/>
  <c r="GW51" i="1" a="1"/>
  <c r="GW51" i="1"/>
  <c r="GW49" i="1" a="1"/>
  <c r="GW49" i="1"/>
  <c r="GW47" i="1" a="1"/>
  <c r="GW47" i="1"/>
  <c r="GW45" i="1" a="1"/>
  <c r="GW45" i="1"/>
  <c r="GW43" i="1" a="1"/>
  <c r="GW43" i="1"/>
  <c r="GW41" i="1" a="1"/>
  <c r="GW41" i="1"/>
  <c r="GW39" i="1" a="1"/>
  <c r="GW39" i="1"/>
  <c r="GW37" i="1" a="1"/>
  <c r="GW37" i="1"/>
  <c r="GW35" i="1" a="1"/>
  <c r="GW35" i="1"/>
  <c r="GW33" i="1" a="1"/>
  <c r="GW33" i="1"/>
  <c r="GW31" i="1" a="1"/>
  <c r="GW31" i="1"/>
  <c r="GW26" i="1" a="1"/>
  <c r="GW26" i="1"/>
  <c r="GW24" i="1" a="1"/>
  <c r="GW24" i="1"/>
  <c r="GW29" i="1" a="1"/>
  <c r="GW29" i="1"/>
  <c r="GW23" i="1" a="1"/>
  <c r="GW23" i="1"/>
  <c r="GW21" i="1" a="1"/>
  <c r="GW21" i="1"/>
  <c r="GW19" i="1" a="1"/>
  <c r="GW19" i="1"/>
  <c r="GW17" i="1" a="1"/>
  <c r="GW17" i="1"/>
  <c r="GW15" i="1" a="1"/>
  <c r="GW15" i="1"/>
  <c r="GW13" i="1" a="1"/>
  <c r="GW13" i="1"/>
  <c r="GX11" i="1"/>
  <c r="BA37" i="1" a="1"/>
  <c r="BA37" i="1"/>
  <c r="BA55" i="1" a="1"/>
  <c r="BA55" i="1"/>
  <c r="BA41" i="1" a="1"/>
  <c r="BA41" i="1"/>
  <c r="BA56" i="1" a="1"/>
  <c r="BA56" i="1"/>
  <c r="BA17" i="1" a="1"/>
  <c r="BA17" i="1"/>
  <c r="BA20" i="1" a="1"/>
  <c r="BA20" i="1"/>
  <c r="BA26" i="1" a="1"/>
  <c r="BA26" i="1"/>
  <c r="BA48" i="1" a="1"/>
  <c r="BA48" i="1"/>
  <c r="BA61" i="1" a="1"/>
  <c r="BA61" i="1"/>
  <c r="BA19" i="1" a="1"/>
  <c r="BA19" i="1"/>
  <c r="BA31" i="1" a="1"/>
  <c r="BA31" i="1"/>
  <c r="BA60" i="1" a="1"/>
  <c r="BA60" i="1"/>
  <c r="BA23" i="1" a="1"/>
  <c r="BA23" i="1"/>
  <c r="BA62" i="1" a="1"/>
  <c r="BA62" i="1"/>
  <c r="BA27" i="1" a="1"/>
  <c r="BA27" i="1"/>
  <c r="BA34" i="1" a="1"/>
  <c r="BA34" i="1"/>
  <c r="BA12" i="1" a="1"/>
  <c r="BA12" i="1"/>
  <c r="BA51" i="1" a="1"/>
  <c r="BA51" i="1"/>
  <c r="BA50" i="1" a="1"/>
  <c r="BA50" i="1"/>
  <c r="BA40" i="1" a="1"/>
  <c r="BA40" i="1"/>
  <c r="BA33" i="1" a="1"/>
  <c r="BA33" i="1"/>
  <c r="BA25" i="1" a="1"/>
  <c r="BA25" i="1"/>
  <c r="BA24" i="1" a="1"/>
  <c r="BA24" i="1"/>
  <c r="BA14" i="1" a="1"/>
  <c r="BA14" i="1"/>
  <c r="BA45" i="1" a="1"/>
  <c r="BA45" i="1"/>
  <c r="BA49" i="1" a="1"/>
  <c r="BA49" i="1"/>
  <c r="BA39" i="1" a="1"/>
  <c r="BA39" i="1"/>
  <c r="BA53" i="1" a="1"/>
  <c r="BA53" i="1"/>
  <c r="BA43" i="1" a="1"/>
  <c r="BA43" i="1"/>
  <c r="BA29" i="1" a="1"/>
  <c r="BA29" i="1"/>
  <c r="BA47" i="1" a="1"/>
  <c r="BA47" i="1"/>
  <c r="BA16" i="1" a="1"/>
  <c r="BA16" i="1"/>
  <c r="BA35" i="1" a="1"/>
  <c r="BA35" i="1"/>
  <c r="BA30" i="1" a="1"/>
  <c r="BA30" i="1"/>
  <c r="BA59" i="1" a="1"/>
  <c r="BA59" i="1"/>
  <c r="BA15" i="1" a="1"/>
  <c r="BA15" i="1"/>
  <c r="BA42" i="1" a="1"/>
  <c r="BA42" i="1"/>
  <c r="BA36" i="1" a="1"/>
  <c r="BA36" i="1"/>
  <c r="BA54" i="1" a="1"/>
  <c r="BA54" i="1"/>
  <c r="BA28" i="1" a="1"/>
  <c r="BA28" i="1"/>
  <c r="BA57" i="1" a="1"/>
  <c r="BA57" i="1"/>
  <c r="BA32" i="1" a="1"/>
  <c r="BA32" i="1"/>
  <c r="BA22" i="1" a="1"/>
  <c r="BA22" i="1"/>
  <c r="BA46" i="1" a="1"/>
  <c r="BA46" i="1"/>
  <c r="BA52" i="1" a="1"/>
  <c r="BA52" i="1"/>
  <c r="BA44" i="1" a="1"/>
  <c r="BA44" i="1"/>
  <c r="BA13" i="1" a="1"/>
  <c r="BA13" i="1"/>
  <c r="BA21" i="1" a="1"/>
  <c r="BA21" i="1"/>
  <c r="BA58" i="1" a="1"/>
  <c r="BA58" i="1"/>
  <c r="BA18" i="1" a="1"/>
  <c r="BA18" i="1"/>
  <c r="BA38" i="1" a="1"/>
  <c r="BA38" i="1"/>
  <c r="GX60" i="1" a="1"/>
  <c r="GX60" i="1"/>
  <c r="GX54" i="1" a="1"/>
  <c r="GX54" i="1"/>
  <c r="GX52" i="1" a="1"/>
  <c r="GX52" i="1"/>
  <c r="GX48" i="1" a="1"/>
  <c r="GX48" i="1"/>
  <c r="GX44" i="1" a="1"/>
  <c r="GX44" i="1"/>
  <c r="GX40" i="1" a="1"/>
  <c r="GX40" i="1"/>
  <c r="GX36" i="1" a="1"/>
  <c r="GX36" i="1"/>
  <c r="GX32" i="1" a="1"/>
  <c r="GX32" i="1"/>
  <c r="GX28" i="1" a="1"/>
  <c r="GX28" i="1"/>
  <c r="GX24" i="1" a="1"/>
  <c r="GX24" i="1"/>
  <c r="GX16" i="1" a="1"/>
  <c r="GX16" i="1"/>
  <c r="GX12" i="1" a="1"/>
  <c r="GX12" i="1"/>
  <c r="GX18" i="1" a="1"/>
  <c r="GX18" i="1"/>
  <c r="GX59" i="1" a="1"/>
  <c r="GX59" i="1"/>
  <c r="GX53" i="1" a="1"/>
  <c r="GX53" i="1"/>
  <c r="GX51" i="1" a="1"/>
  <c r="GX51" i="1"/>
  <c r="GX47" i="1" a="1"/>
  <c r="GX47" i="1"/>
  <c r="GX43" i="1" a="1"/>
  <c r="GX43" i="1"/>
  <c r="GX39" i="1" a="1"/>
  <c r="GX39" i="1"/>
  <c r="GX35" i="1" a="1"/>
  <c r="GX35" i="1"/>
  <c r="GX31" i="1" a="1"/>
  <c r="GX31" i="1"/>
  <c r="GX27" i="1" a="1"/>
  <c r="GX27" i="1"/>
  <c r="GX23" i="1" a="1"/>
  <c r="GX23" i="1"/>
  <c r="GX15" i="1" a="1"/>
  <c r="GX15" i="1"/>
  <c r="GX21" i="1" a="1"/>
  <c r="GX21" i="1"/>
  <c r="GY11" i="1"/>
  <c r="GX62" i="1" a="1"/>
  <c r="GX62" i="1"/>
  <c r="GX58" i="1" a="1"/>
  <c r="GX58" i="1"/>
  <c r="GX57" i="1" a="1"/>
  <c r="GX57" i="1"/>
  <c r="GX50" i="1" a="1"/>
  <c r="GX50" i="1"/>
  <c r="GX46" i="1" a="1"/>
  <c r="GX46" i="1"/>
  <c r="GX42" i="1" a="1"/>
  <c r="GX42" i="1"/>
  <c r="GX38" i="1" a="1"/>
  <c r="GX38" i="1"/>
  <c r="GX34" i="1" a="1"/>
  <c r="GX34" i="1"/>
  <c r="GX30" i="1" a="1"/>
  <c r="GX30" i="1"/>
  <c r="GX26" i="1" a="1"/>
  <c r="GX26" i="1"/>
  <c r="GX22" i="1" a="1"/>
  <c r="GX22" i="1"/>
  <c r="GX14" i="1" a="1"/>
  <c r="GX14" i="1"/>
  <c r="GX20" i="1" a="1"/>
  <c r="GX20" i="1"/>
  <c r="GX61" i="1" a="1"/>
  <c r="GX61" i="1"/>
  <c r="GX55" i="1" a="1"/>
  <c r="GX55" i="1"/>
  <c r="GX56" i="1" a="1"/>
  <c r="GX56" i="1"/>
  <c r="GX49" i="1" a="1"/>
  <c r="GX49" i="1"/>
  <c r="GX45" i="1" a="1"/>
  <c r="GX45" i="1"/>
  <c r="GX41" i="1" a="1"/>
  <c r="GX41" i="1"/>
  <c r="GX37" i="1" a="1"/>
  <c r="GX37" i="1"/>
  <c r="GX33" i="1" a="1"/>
  <c r="GX33" i="1"/>
  <c r="GX29" i="1" a="1"/>
  <c r="GX29" i="1"/>
  <c r="GX25" i="1" a="1"/>
  <c r="GX25" i="1"/>
  <c r="GX17" i="1" a="1"/>
  <c r="GX17" i="1"/>
  <c r="GX13" i="1" a="1"/>
  <c r="GX13" i="1"/>
  <c r="GX19" i="1" a="1"/>
  <c r="GX19" i="1"/>
  <c r="BB28" i="1" a="1"/>
  <c r="BB28" i="1"/>
  <c r="BB17" i="1" a="1"/>
  <c r="BB17" i="1"/>
  <c r="BB21" i="1" a="1"/>
  <c r="BB21" i="1"/>
  <c r="BB25" i="1" a="1"/>
  <c r="BB25" i="1"/>
  <c r="BB61" i="1" a="1"/>
  <c r="BB61" i="1"/>
  <c r="BB62" i="1" a="1"/>
  <c r="BB62" i="1"/>
  <c r="BB33" i="1" a="1"/>
  <c r="BB33" i="1"/>
  <c r="BB15" i="1" a="1"/>
  <c r="BB15" i="1"/>
  <c r="BB19" i="1" a="1"/>
  <c r="BB19" i="1"/>
  <c r="BB44" i="1" a="1"/>
  <c r="BB44" i="1"/>
  <c r="BB53" i="1" a="1"/>
  <c r="BB53" i="1"/>
  <c r="BB56" i="1" a="1"/>
  <c r="BB56" i="1"/>
  <c r="BB55" i="1" a="1"/>
  <c r="BB55" i="1"/>
  <c r="BB59" i="1" a="1"/>
  <c r="BB59" i="1"/>
  <c r="BB16" i="1" a="1"/>
  <c r="BB16" i="1"/>
  <c r="BB20" i="1" a="1"/>
  <c r="BB20" i="1"/>
  <c r="BB57" i="1" a="1"/>
  <c r="BB57" i="1"/>
  <c r="BB54" i="1" a="1"/>
  <c r="BB54" i="1"/>
  <c r="BB58" i="1" a="1"/>
  <c r="BB58" i="1"/>
  <c r="BB23" i="1" a="1"/>
  <c r="BB23" i="1"/>
  <c r="BB39" i="1" a="1"/>
  <c r="BB39" i="1"/>
  <c r="BB43" i="1" a="1"/>
  <c r="BB43" i="1"/>
  <c r="BB32" i="1" a="1"/>
  <c r="BB32" i="1"/>
  <c r="BB48" i="1" a="1"/>
  <c r="BB48" i="1"/>
  <c r="BB52" i="1" a="1"/>
  <c r="BB52" i="1"/>
  <c r="BB24" i="1" a="1"/>
  <c r="BB24" i="1"/>
  <c r="BB50" i="1" a="1"/>
  <c r="BB50" i="1"/>
  <c r="BB47" i="1" a="1"/>
  <c r="BB47" i="1"/>
  <c r="BB51" i="1" a="1"/>
  <c r="BB51" i="1"/>
  <c r="BB18" i="1" a="1"/>
  <c r="BB18" i="1"/>
  <c r="BB22" i="1" a="1"/>
  <c r="BB22" i="1"/>
  <c r="BB26" i="1" a="1"/>
  <c r="BB26" i="1"/>
  <c r="BB37" i="1" a="1"/>
  <c r="BB37" i="1"/>
  <c r="BB41" i="1" a="1"/>
  <c r="BB41" i="1"/>
  <c r="BB45" i="1" a="1"/>
  <c r="BB45" i="1"/>
  <c r="BB34" i="1" a="1"/>
  <c r="BB34" i="1"/>
  <c r="BB36" i="1" a="1"/>
  <c r="BB36" i="1"/>
  <c r="BB40" i="1" a="1"/>
  <c r="BB40" i="1"/>
  <c r="BB13" i="1" a="1"/>
  <c r="BB13" i="1"/>
  <c r="BB60" i="1" a="1"/>
  <c r="BB60" i="1"/>
  <c r="BB12" i="1" a="1"/>
  <c r="BB12" i="1"/>
  <c r="BB14" i="1" a="1"/>
  <c r="BB14" i="1"/>
  <c r="BB29" i="1" a="1"/>
  <c r="BB29" i="1"/>
  <c r="BB31" i="1" a="1"/>
  <c r="BB31" i="1"/>
  <c r="BB35" i="1" a="1"/>
  <c r="BB35" i="1"/>
  <c r="BB27" i="1" a="1"/>
  <c r="BB27" i="1"/>
  <c r="BB30" i="1" a="1"/>
  <c r="BB30" i="1"/>
  <c r="BB49" i="1" a="1"/>
  <c r="BB49" i="1"/>
  <c r="BB38" i="1" a="1"/>
  <c r="BB38" i="1"/>
  <c r="BB42" i="1" a="1"/>
  <c r="BB42" i="1"/>
  <c r="BB46" i="1" a="1"/>
  <c r="BB46" i="1"/>
  <c r="GY62" i="1" a="1"/>
  <c r="GY62" i="1"/>
  <c r="GY60" i="1" a="1"/>
  <c r="GY60" i="1"/>
  <c r="GY58" i="1" a="1"/>
  <c r="GY58" i="1"/>
  <c r="GY54" i="1" a="1"/>
  <c r="GY54" i="1"/>
  <c r="GY56" i="1" a="1"/>
  <c r="GY56" i="1"/>
  <c r="GY52" i="1" a="1"/>
  <c r="GY52" i="1"/>
  <c r="GY50" i="1" a="1"/>
  <c r="GY50" i="1"/>
  <c r="GY48" i="1" a="1"/>
  <c r="GY48" i="1"/>
  <c r="GY46" i="1" a="1"/>
  <c r="GY46" i="1"/>
  <c r="GY44" i="1" a="1"/>
  <c r="GY44" i="1"/>
  <c r="GY42" i="1" a="1"/>
  <c r="GY42" i="1"/>
  <c r="GY40" i="1" a="1"/>
  <c r="GY40" i="1"/>
  <c r="GY38" i="1" a="1"/>
  <c r="GY38" i="1"/>
  <c r="GY36" i="1" a="1"/>
  <c r="GY36" i="1"/>
  <c r="GY34" i="1" a="1"/>
  <c r="GY34" i="1"/>
  <c r="GY32" i="1" a="1"/>
  <c r="GY32" i="1"/>
  <c r="GY27" i="1" a="1"/>
  <c r="GY27" i="1"/>
  <c r="GY25" i="1" a="1"/>
  <c r="GY25" i="1"/>
  <c r="GY30" i="1" a="1"/>
  <c r="GY30" i="1"/>
  <c r="GY28" i="1" a="1"/>
  <c r="GY28" i="1"/>
  <c r="GY20" i="1" a="1"/>
  <c r="GY20" i="1"/>
  <c r="GY18" i="1" a="1"/>
  <c r="GY18" i="1"/>
  <c r="GY22" i="1" a="1"/>
  <c r="GY22" i="1"/>
  <c r="GY16" i="1" a="1"/>
  <c r="GY16" i="1"/>
  <c r="GY14" i="1" a="1"/>
  <c r="GY14" i="1"/>
  <c r="GY12" i="1" a="1"/>
  <c r="GY12" i="1"/>
  <c r="GY61" i="1" a="1"/>
  <c r="GY61" i="1"/>
  <c r="GY53" i="1" a="1"/>
  <c r="GY53" i="1"/>
  <c r="GY45" i="1" a="1"/>
  <c r="GY45" i="1"/>
  <c r="GY37" i="1" a="1"/>
  <c r="GY37" i="1"/>
  <c r="GY26" i="1" a="1"/>
  <c r="GY26" i="1"/>
  <c r="GY19" i="1" a="1"/>
  <c r="GY19" i="1"/>
  <c r="GY13" i="1" a="1"/>
  <c r="GY13" i="1"/>
  <c r="GY57" i="1" a="1"/>
  <c r="GY57" i="1"/>
  <c r="GY47" i="1" a="1"/>
  <c r="GY47" i="1"/>
  <c r="GY39" i="1" a="1"/>
  <c r="GY39" i="1"/>
  <c r="GY31" i="1" a="1"/>
  <c r="GY31" i="1"/>
  <c r="GY21" i="1" a="1"/>
  <c r="GY21" i="1"/>
  <c r="GY15" i="1" a="1"/>
  <c r="GY15" i="1"/>
  <c r="GY55" i="1" a="1"/>
  <c r="GY55" i="1"/>
  <c r="GY49" i="1" a="1"/>
  <c r="GY49" i="1"/>
  <c r="GY41" i="1" a="1"/>
  <c r="GY41" i="1"/>
  <c r="GY33" i="1" a="1"/>
  <c r="GY33" i="1"/>
  <c r="GY29" i="1" a="1"/>
  <c r="GY29" i="1"/>
  <c r="GY17" i="1" a="1"/>
  <c r="GY17" i="1"/>
  <c r="GY59" i="1" a="1"/>
  <c r="GY59" i="1"/>
  <c r="GY51" i="1" a="1"/>
  <c r="GY51" i="1"/>
  <c r="GY43" i="1" a="1"/>
  <c r="GY43" i="1"/>
  <c r="GY35" i="1" a="1"/>
  <c r="GY35" i="1"/>
  <c r="GY24" i="1" a="1"/>
  <c r="GY24" i="1"/>
  <c r="GY23" i="1" a="1"/>
  <c r="GY23" i="1"/>
  <c r="GZ11" i="1"/>
  <c r="BC33" i="1" a="1"/>
  <c r="BC33" i="1"/>
  <c r="BC37" i="1" a="1"/>
  <c r="BC37" i="1"/>
  <c r="BC17" i="1" a="1"/>
  <c r="BC17" i="1"/>
  <c r="BC56" i="1" a="1"/>
  <c r="BC56" i="1"/>
  <c r="BC59" i="1" a="1"/>
  <c r="BC59" i="1"/>
  <c r="BC61" i="1" a="1"/>
  <c r="BC61" i="1"/>
  <c r="BC15" i="1" a="1"/>
  <c r="BC15" i="1"/>
  <c r="BC60" i="1" a="1"/>
  <c r="BC60" i="1"/>
  <c r="BC62" i="1" a="1"/>
  <c r="BC62" i="1"/>
  <c r="BC34" i="1" a="1"/>
  <c r="BC34" i="1"/>
  <c r="BC36" i="1" a="1"/>
  <c r="BC36" i="1"/>
  <c r="BC40" i="1" a="1"/>
  <c r="BC40" i="1"/>
  <c r="BC44" i="1" a="1"/>
  <c r="BC44" i="1"/>
  <c r="BC35" i="1" a="1"/>
  <c r="BC35" i="1"/>
  <c r="BC39" i="1" a="1"/>
  <c r="BC39" i="1"/>
  <c r="BC43" i="1" a="1"/>
  <c r="BC43" i="1"/>
  <c r="BC47" i="1" a="1"/>
  <c r="BC47" i="1"/>
  <c r="BC29" i="1" a="1"/>
  <c r="BC29" i="1"/>
  <c r="BC13" i="1" a="1"/>
  <c r="BC13" i="1"/>
  <c r="BC18" i="1" a="1"/>
  <c r="BC18" i="1"/>
  <c r="BC54" i="1" a="1"/>
  <c r="BC54" i="1"/>
  <c r="BC57" i="1" a="1"/>
  <c r="BC57" i="1"/>
  <c r="BC22" i="1" a="1"/>
  <c r="BC22" i="1"/>
  <c r="BC38" i="1" a="1"/>
  <c r="BC38" i="1"/>
  <c r="BC42" i="1" a="1"/>
  <c r="BC42" i="1"/>
  <c r="BC31" i="1" a="1"/>
  <c r="BC31" i="1"/>
  <c r="BC48" i="1" a="1"/>
  <c r="BC48" i="1"/>
  <c r="BC52" i="1" a="1"/>
  <c r="BC52" i="1"/>
  <c r="BC55" i="1" a="1"/>
  <c r="BC55" i="1"/>
  <c r="BC16" i="1" a="1"/>
  <c r="BC16" i="1"/>
  <c r="BC21" i="1" a="1"/>
  <c r="BC21" i="1"/>
  <c r="BC58" i="1" a="1"/>
  <c r="BC58" i="1"/>
  <c r="BC23" i="1" a="1"/>
  <c r="BC23" i="1"/>
  <c r="BC27" i="1" a="1"/>
  <c r="BC27" i="1"/>
  <c r="BC12" i="1" a="1"/>
  <c r="BC12" i="1"/>
  <c r="BC26" i="1" a="1"/>
  <c r="BC26" i="1"/>
  <c r="BC30" i="1" a="1"/>
  <c r="BC30" i="1"/>
  <c r="BC53" i="1" a="1"/>
  <c r="BC53" i="1"/>
  <c r="BC45" i="1" a="1"/>
  <c r="BC45" i="1"/>
  <c r="BC49" i="1" a="1"/>
  <c r="BC49" i="1"/>
  <c r="BC25" i="1" a="1"/>
  <c r="BC25" i="1"/>
  <c r="BC51" i="1" a="1"/>
  <c r="BC51" i="1"/>
  <c r="BC46" i="1" a="1"/>
  <c r="BC46" i="1"/>
  <c r="BC50" i="1" a="1"/>
  <c r="BC50" i="1"/>
  <c r="BC20" i="1" a="1"/>
  <c r="BC20" i="1"/>
  <c r="BC24" i="1" a="1"/>
  <c r="BC24" i="1"/>
  <c r="BC28" i="1" a="1"/>
  <c r="BC28" i="1"/>
  <c r="BC32" i="1" a="1"/>
  <c r="BC32" i="1"/>
  <c r="BC14" i="1" a="1"/>
  <c r="BC14" i="1"/>
  <c r="BC19" i="1" a="1"/>
  <c r="BC19" i="1"/>
  <c r="BC41" i="1" a="1"/>
  <c r="BC41" i="1"/>
  <c r="GZ62" i="1" a="1"/>
  <c r="GZ62" i="1"/>
  <c r="GZ57" i="1" a="1"/>
  <c r="GZ57" i="1"/>
  <c r="GZ54" i="1" a="1"/>
  <c r="GZ54" i="1"/>
  <c r="GZ49" i="1" a="1"/>
  <c r="GZ49" i="1"/>
  <c r="GZ45" i="1" a="1"/>
  <c r="GZ45" i="1"/>
  <c r="GZ48" i="1" a="1"/>
  <c r="GZ48" i="1"/>
  <c r="GZ37" i="1" a="1"/>
  <c r="GZ37" i="1"/>
  <c r="GZ40" i="1" a="1"/>
  <c r="GZ40" i="1"/>
  <c r="GZ28" i="1" a="1"/>
  <c r="GZ28" i="1"/>
  <c r="GZ25" i="1" a="1"/>
  <c r="GZ25" i="1"/>
  <c r="GZ22" i="1" a="1"/>
  <c r="GZ22" i="1"/>
  <c r="GZ17" i="1" a="1"/>
  <c r="GZ17" i="1"/>
  <c r="GZ14" i="1" a="1"/>
  <c r="GZ14" i="1"/>
  <c r="GZ59" i="1" a="1"/>
  <c r="GZ59" i="1"/>
  <c r="GZ56" i="1" a="1"/>
  <c r="GZ56" i="1"/>
  <c r="GZ51" i="1" a="1"/>
  <c r="GZ51" i="1"/>
  <c r="GZ47" i="1" a="1"/>
  <c r="GZ47" i="1"/>
  <c r="GZ42" i="1" a="1"/>
  <c r="GZ42" i="1"/>
  <c r="GZ39" i="1" a="1"/>
  <c r="GZ39" i="1"/>
  <c r="GZ34" i="1" a="1"/>
  <c r="GZ34" i="1"/>
  <c r="GZ30" i="1" a="1"/>
  <c r="GZ30" i="1"/>
  <c r="GZ27" i="1" a="1"/>
  <c r="GZ27" i="1"/>
  <c r="GZ24" i="1" a="1"/>
  <c r="GZ24" i="1"/>
  <c r="GZ19" i="1" a="1"/>
  <c r="GZ19" i="1"/>
  <c r="GZ16" i="1" a="1"/>
  <c r="GZ16" i="1"/>
  <c r="HA11" i="1"/>
  <c r="GZ61" i="1" a="1"/>
  <c r="GZ61" i="1"/>
  <c r="GZ58" i="1" a="1"/>
  <c r="GZ58" i="1"/>
  <c r="GZ53" i="1" a="1"/>
  <c r="GZ53" i="1"/>
  <c r="GZ50" i="1" a="1"/>
  <c r="GZ50" i="1"/>
  <c r="GZ44" i="1" a="1"/>
  <c r="GZ44" i="1"/>
  <c r="GZ41" i="1" a="1"/>
  <c r="GZ41" i="1"/>
  <c r="GZ36" i="1" a="1"/>
  <c r="GZ36" i="1"/>
  <c r="GZ33" i="1" a="1"/>
  <c r="GZ33" i="1"/>
  <c r="GZ32" i="1" a="1"/>
  <c r="GZ32" i="1"/>
  <c r="GZ26" i="1" a="1"/>
  <c r="GZ26" i="1"/>
  <c r="GZ21" i="1" a="1"/>
  <c r="GZ21" i="1"/>
  <c r="GZ18" i="1" a="1"/>
  <c r="GZ18" i="1"/>
  <c r="GZ13" i="1" a="1"/>
  <c r="GZ13" i="1"/>
  <c r="GZ60" i="1" a="1"/>
  <c r="GZ60" i="1"/>
  <c r="GZ55" i="1" a="1"/>
  <c r="GZ55" i="1"/>
  <c r="GZ52" i="1" a="1"/>
  <c r="GZ52" i="1"/>
  <c r="GZ46" i="1" a="1"/>
  <c r="GZ46" i="1"/>
  <c r="GZ43" i="1" a="1"/>
  <c r="GZ43" i="1"/>
  <c r="GZ38" i="1" a="1"/>
  <c r="GZ38" i="1"/>
  <c r="GZ35" i="1" a="1"/>
  <c r="GZ35" i="1"/>
  <c r="GZ29" i="1" a="1"/>
  <c r="GZ29" i="1"/>
  <c r="GZ31" i="1" a="1"/>
  <c r="GZ31" i="1"/>
  <c r="GZ23" i="1" a="1"/>
  <c r="GZ23" i="1"/>
  <c r="GZ20" i="1" a="1"/>
  <c r="GZ20" i="1"/>
  <c r="GZ15" i="1" a="1"/>
  <c r="GZ15" i="1"/>
  <c r="GZ12" i="1" a="1"/>
  <c r="GZ12" i="1"/>
  <c r="BD61" i="1" a="1"/>
  <c r="BD61" i="1"/>
  <c r="BD62" i="1" a="1"/>
  <c r="BD62" i="1"/>
  <c r="BD33" i="1" a="1"/>
  <c r="BD33" i="1"/>
  <c r="BD15" i="1" a="1"/>
  <c r="BD15" i="1"/>
  <c r="BD17" i="1" a="1"/>
  <c r="BD17" i="1"/>
  <c r="BD44" i="1" a="1"/>
  <c r="BD44" i="1"/>
  <c r="BD34" i="1" a="1"/>
  <c r="BD34" i="1"/>
  <c r="BD38" i="1" a="1"/>
  <c r="BD38" i="1"/>
  <c r="BD42" i="1" a="1"/>
  <c r="BD42" i="1"/>
  <c r="BD18" i="1" a="1"/>
  <c r="BD18" i="1"/>
  <c r="BD20" i="1" a="1"/>
  <c r="BD20" i="1"/>
  <c r="BD57" i="1" a="1"/>
  <c r="BD57" i="1"/>
  <c r="BD54" i="1" a="1"/>
  <c r="BD54" i="1"/>
  <c r="BD58" i="1" a="1"/>
  <c r="BD58" i="1"/>
  <c r="BD23" i="1" a="1"/>
  <c r="BD23" i="1"/>
  <c r="BD35" i="1" a="1"/>
  <c r="BD35" i="1"/>
  <c r="BD39" i="1" a="1"/>
  <c r="BD39" i="1"/>
  <c r="BD43" i="1" a="1"/>
  <c r="BD43" i="1"/>
  <c r="BD32" i="1" a="1"/>
  <c r="BD32" i="1"/>
  <c r="BD53" i="1" a="1"/>
  <c r="BD53" i="1"/>
  <c r="BD56" i="1" a="1"/>
  <c r="BD56" i="1"/>
  <c r="BD55" i="1" a="1"/>
  <c r="BD55" i="1"/>
  <c r="BD46" i="1" a="1"/>
  <c r="BD46" i="1"/>
  <c r="BD50" i="1" a="1"/>
  <c r="BD50" i="1"/>
  <c r="BD47" i="1" a="1"/>
  <c r="BD47" i="1"/>
  <c r="BD51" i="1" a="1"/>
  <c r="BD51" i="1"/>
  <c r="BD14" i="1" a="1"/>
  <c r="BD14" i="1"/>
  <c r="BD19" i="1" a="1"/>
  <c r="BD19" i="1"/>
  <c r="BD22" i="1" a="1"/>
  <c r="BD22" i="1"/>
  <c r="BD26" i="1" a="1"/>
  <c r="BD26" i="1"/>
  <c r="BD37" i="1" a="1"/>
  <c r="BD37" i="1"/>
  <c r="BD41" i="1" a="1"/>
  <c r="BD41" i="1"/>
  <c r="BD45" i="1" a="1"/>
  <c r="BD45" i="1"/>
  <c r="BD48" i="1" a="1"/>
  <c r="BD48" i="1"/>
  <c r="BD52" i="1" a="1"/>
  <c r="BD52" i="1"/>
  <c r="BD24" i="1" a="1"/>
  <c r="BD24" i="1"/>
  <c r="BD59" i="1" a="1"/>
  <c r="BD59" i="1"/>
  <c r="BD60" i="1" a="1"/>
  <c r="BD60" i="1"/>
  <c r="BD12" i="1" a="1"/>
  <c r="BD12" i="1"/>
  <c r="BD25" i="1" a="1"/>
  <c r="BD25" i="1"/>
  <c r="BD29" i="1" a="1"/>
  <c r="BD29" i="1"/>
  <c r="BD31" i="1" a="1"/>
  <c r="BD31" i="1"/>
  <c r="BD27" i="1" a="1"/>
  <c r="BD27" i="1"/>
  <c r="BD30" i="1" a="1"/>
  <c r="BD30" i="1"/>
  <c r="BD49" i="1" a="1"/>
  <c r="BD49" i="1"/>
  <c r="BD36" i="1" a="1"/>
  <c r="BD36" i="1"/>
  <c r="BD40" i="1" a="1"/>
  <c r="BD40" i="1"/>
  <c r="BD13" i="1" a="1"/>
  <c r="BD13" i="1"/>
  <c r="BD28" i="1" a="1"/>
  <c r="BD28" i="1"/>
  <c r="BD16" i="1" a="1"/>
  <c r="BD16" i="1"/>
  <c r="BD21" i="1" a="1"/>
  <c r="BD21" i="1"/>
  <c r="BE12" i="1" a="1"/>
  <c r="BE12" i="1"/>
  <c r="BE38" i="1" a="1"/>
  <c r="BE38" i="1"/>
  <c r="BE14" i="1" a="1"/>
  <c r="BE14" i="1"/>
  <c r="BE42" i="1" a="1"/>
  <c r="BE42" i="1"/>
  <c r="BE19" i="1" a="1"/>
  <c r="BE19" i="1"/>
  <c r="BE31" i="1" a="1"/>
  <c r="BE31" i="1"/>
  <c r="BE45" i="1" a="1"/>
  <c r="BE45" i="1"/>
  <c r="BE17" i="1" a="1"/>
  <c r="BE17" i="1"/>
  <c r="BE60" i="1" a="1"/>
  <c r="BE60" i="1"/>
  <c r="BE23" i="1" a="1"/>
  <c r="BE23" i="1"/>
  <c r="BE62" i="1" a="1"/>
  <c r="BE62" i="1"/>
  <c r="BE34" i="1" a="1"/>
  <c r="BE34" i="1"/>
  <c r="BE16" i="1" a="1"/>
  <c r="BE16" i="1"/>
  <c r="BE57" i="1" a="1"/>
  <c r="BE57" i="1"/>
  <c r="BE47" i="1" a="1"/>
  <c r="BE47" i="1"/>
  <c r="BE13" i="1" a="1"/>
  <c r="BE13" i="1"/>
  <c r="BE51" i="1" a="1"/>
  <c r="BE51" i="1"/>
  <c r="BE18" i="1" a="1"/>
  <c r="BE18" i="1"/>
  <c r="BE46" i="1" a="1"/>
  <c r="BE46" i="1"/>
  <c r="BE20" i="1" a="1"/>
  <c r="BE20" i="1"/>
  <c r="BE35" i="1" a="1"/>
  <c r="BE35" i="1"/>
  <c r="BE49" i="1" a="1"/>
  <c r="BE49" i="1"/>
  <c r="BE39" i="1" a="1"/>
  <c r="BE39" i="1"/>
  <c r="BE53" i="1" a="1"/>
  <c r="BE53" i="1"/>
  <c r="BE32" i="1" a="1"/>
  <c r="BE32" i="1"/>
  <c r="BE36" i="1" a="1"/>
  <c r="BE36" i="1"/>
  <c r="BE26" i="1" a="1"/>
  <c r="BE26" i="1"/>
  <c r="BE40" i="1" a="1"/>
  <c r="BE40" i="1"/>
  <c r="BE30" i="1" a="1"/>
  <c r="BE30" i="1"/>
  <c r="BE44" i="1" a="1"/>
  <c r="BE44" i="1"/>
  <c r="BE48" i="1" a="1"/>
  <c r="BE48" i="1"/>
  <c r="BE50" i="1" a="1"/>
  <c r="BE50" i="1"/>
  <c r="BE24" i="1" a="1"/>
  <c r="BE24" i="1"/>
  <c r="BE54" i="1" a="1"/>
  <c r="BE54" i="1"/>
  <c r="BE28" i="1" a="1"/>
  <c r="BE28" i="1"/>
  <c r="BE41" i="1" a="1"/>
  <c r="BE41" i="1"/>
  <c r="BE22" i="1" a="1"/>
  <c r="BE22" i="1"/>
  <c r="BE43" i="1" a="1"/>
  <c r="BE43" i="1"/>
  <c r="BE59" i="1" a="1"/>
  <c r="BE59" i="1"/>
  <c r="BE21" i="1" a="1"/>
  <c r="BE21" i="1"/>
  <c r="BE61" i="1" a="1"/>
  <c r="BE61" i="1"/>
  <c r="BE25" i="1" a="1"/>
  <c r="BE25" i="1"/>
  <c r="BE15" i="1" a="1"/>
  <c r="BE15" i="1"/>
  <c r="BE58" i="1" a="1"/>
  <c r="BE58" i="1"/>
  <c r="BE33" i="1" a="1"/>
  <c r="BE33" i="1"/>
  <c r="BE52" i="1" a="1"/>
  <c r="BE52" i="1"/>
  <c r="BE37" i="1" a="1"/>
  <c r="BE37" i="1"/>
  <c r="BE55" i="1" a="1"/>
  <c r="BE55" i="1"/>
  <c r="BE27" i="1" a="1"/>
  <c r="BE27" i="1"/>
  <c r="BE56" i="1" a="1"/>
  <c r="BE56" i="1"/>
  <c r="BE29" i="1" a="1"/>
  <c r="BE29" i="1"/>
  <c r="HA62" i="1" a="1"/>
  <c r="HA62" i="1"/>
  <c r="HA59" i="1" a="1"/>
  <c r="HA59" i="1"/>
  <c r="HA61" i="1" a="1"/>
  <c r="HA61" i="1"/>
  <c r="HA56" i="1" a="1"/>
  <c r="HA56" i="1"/>
  <c r="HA54" i="1" a="1"/>
  <c r="HA54" i="1"/>
  <c r="HA52" i="1" a="1"/>
  <c r="HA52" i="1"/>
  <c r="HA50" i="1" a="1"/>
  <c r="HA50" i="1"/>
  <c r="HA48" i="1" a="1"/>
  <c r="HA48" i="1"/>
  <c r="HA46" i="1" a="1"/>
  <c r="HA46" i="1"/>
  <c r="HA44" i="1" a="1"/>
  <c r="HA44" i="1"/>
  <c r="HA42" i="1" a="1"/>
  <c r="HA42" i="1"/>
  <c r="HA40" i="1" a="1"/>
  <c r="HA40" i="1"/>
  <c r="HA38" i="1" a="1"/>
  <c r="HA38" i="1"/>
  <c r="HA36" i="1" a="1"/>
  <c r="HA36" i="1"/>
  <c r="HA34" i="1" a="1"/>
  <c r="HA34" i="1"/>
  <c r="HA32" i="1" a="1"/>
  <c r="HA32" i="1"/>
  <c r="HA30" i="1" a="1"/>
  <c r="HA30" i="1"/>
  <c r="HA28" i="1" a="1"/>
  <c r="HA28" i="1"/>
  <c r="HA26" i="1" a="1"/>
  <c r="HA26" i="1"/>
  <c r="HA24" i="1" a="1"/>
  <c r="HA24" i="1"/>
  <c r="HA22" i="1" a="1"/>
  <c r="HA22" i="1"/>
  <c r="HA20" i="1" a="1"/>
  <c r="HA20" i="1"/>
  <c r="HA18" i="1" a="1"/>
  <c r="HA18" i="1"/>
  <c r="HA16" i="1" a="1"/>
  <c r="HA16" i="1"/>
  <c r="HA14" i="1" a="1"/>
  <c r="HA14" i="1"/>
  <c r="HA12" i="1" a="1"/>
  <c r="HA12" i="1"/>
  <c r="HA55" i="1" a="1"/>
  <c r="HA55" i="1"/>
  <c r="HA47" i="1" a="1"/>
  <c r="HA47" i="1"/>
  <c r="HA39" i="1" a="1"/>
  <c r="HA39" i="1"/>
  <c r="HA31" i="1" a="1"/>
  <c r="HA31" i="1"/>
  <c r="HA23" i="1" a="1"/>
  <c r="HA23" i="1"/>
  <c r="HA15" i="1" a="1"/>
  <c r="HA15" i="1"/>
  <c r="HA57" i="1" a="1"/>
  <c r="HA57" i="1"/>
  <c r="HA49" i="1" a="1"/>
  <c r="HA49" i="1"/>
  <c r="HA41" i="1" a="1"/>
  <c r="HA41" i="1"/>
  <c r="HA33" i="1" a="1"/>
  <c r="HA33" i="1"/>
  <c r="HA25" i="1" a="1"/>
  <c r="HA25" i="1"/>
  <c r="HA17" i="1" a="1"/>
  <c r="HA17" i="1"/>
  <c r="HA58" i="1" a="1"/>
  <c r="HA58" i="1"/>
  <c r="HA51" i="1" a="1"/>
  <c r="HA51" i="1"/>
  <c r="HA43" i="1" a="1"/>
  <c r="HA43" i="1"/>
  <c r="HA35" i="1" a="1"/>
  <c r="HA35" i="1"/>
  <c r="HA27" i="1" a="1"/>
  <c r="HA27" i="1"/>
  <c r="HA19" i="1" a="1"/>
  <c r="HA19" i="1"/>
  <c r="HB11" i="1"/>
  <c r="HA60" i="1" a="1"/>
  <c r="HA60" i="1"/>
  <c r="HA53" i="1" a="1"/>
  <c r="HA53" i="1"/>
  <c r="HA45" i="1" a="1"/>
  <c r="HA45" i="1"/>
  <c r="HA37" i="1" a="1"/>
  <c r="HA37" i="1"/>
  <c r="HA29" i="1" a="1"/>
  <c r="HA29" i="1"/>
  <c r="HA21" i="1" a="1"/>
  <c r="HA21" i="1"/>
  <c r="HA13" i="1" a="1"/>
  <c r="HA13" i="1"/>
  <c r="HB61" i="1" a="1"/>
  <c r="HB61" i="1"/>
  <c r="HB59" i="1" a="1"/>
  <c r="HB59" i="1"/>
  <c r="HB57" i="1" a="1"/>
  <c r="HB57" i="1"/>
  <c r="HB55" i="1" a="1"/>
  <c r="HB55" i="1"/>
  <c r="HB53" i="1" a="1"/>
  <c r="HB53" i="1"/>
  <c r="HB49" i="1" a="1"/>
  <c r="HB49" i="1"/>
  <c r="HB51" i="1" a="1"/>
  <c r="HB51" i="1"/>
  <c r="HB45" i="1" a="1"/>
  <c r="HB45" i="1"/>
  <c r="HB43" i="1" a="1"/>
  <c r="HB43" i="1"/>
  <c r="HB41" i="1" a="1"/>
  <c r="HB41" i="1"/>
  <c r="HB46" i="1" a="1"/>
  <c r="HB46" i="1"/>
  <c r="HB36" i="1" a="1"/>
  <c r="HB36" i="1"/>
  <c r="HB34" i="1" a="1"/>
  <c r="HB34" i="1"/>
  <c r="HB39" i="1" a="1"/>
  <c r="HB39" i="1"/>
  <c r="HB37" i="1" a="1"/>
  <c r="HB37" i="1"/>
  <c r="HB31" i="1" a="1"/>
  <c r="HB31" i="1"/>
  <c r="HB29" i="1" a="1"/>
  <c r="HB29" i="1"/>
  <c r="HB27" i="1" a="1"/>
  <c r="HB27" i="1"/>
  <c r="HB25" i="1" a="1"/>
  <c r="HB25" i="1"/>
  <c r="HB23" i="1" a="1"/>
  <c r="HB23" i="1"/>
  <c r="HB21" i="1" a="1"/>
  <c r="HB21" i="1"/>
  <c r="HB19" i="1" a="1"/>
  <c r="HB19" i="1"/>
  <c r="HB17" i="1" a="1"/>
  <c r="HB17" i="1"/>
  <c r="HB15" i="1" a="1"/>
  <c r="HB15" i="1"/>
  <c r="HB13" i="1" a="1"/>
  <c r="HB13" i="1"/>
  <c r="HC11" i="1"/>
  <c r="HB62" i="1" a="1"/>
  <c r="HB62" i="1"/>
  <c r="HB60" i="1" a="1"/>
  <c r="HB60" i="1"/>
  <c r="HB58" i="1" a="1"/>
  <c r="HB58" i="1"/>
  <c r="HB56" i="1" a="1"/>
  <c r="HB56" i="1"/>
  <c r="HB54" i="1" a="1"/>
  <c r="HB54" i="1"/>
  <c r="HB50" i="1" a="1"/>
  <c r="HB50" i="1"/>
  <c r="HB52" i="1" a="1"/>
  <c r="HB52" i="1"/>
  <c r="HB48" i="1" a="1"/>
  <c r="HB48" i="1"/>
  <c r="HB44" i="1" a="1"/>
  <c r="HB44" i="1"/>
  <c r="HB42" i="1" a="1"/>
  <c r="HB42" i="1"/>
  <c r="HB47" i="1" a="1"/>
  <c r="HB47" i="1"/>
  <c r="HB40" i="1" a="1"/>
  <c r="HB40" i="1"/>
  <c r="HB35" i="1" a="1"/>
  <c r="HB35" i="1"/>
  <c r="HB33" i="1" a="1"/>
  <c r="HB33" i="1"/>
  <c r="HB38" i="1" a="1"/>
  <c r="HB38" i="1"/>
  <c r="HB32" i="1" a="1"/>
  <c r="HB32" i="1"/>
  <c r="HB30" i="1" a="1"/>
  <c r="HB30" i="1"/>
  <c r="HB28" i="1" a="1"/>
  <c r="HB28" i="1"/>
  <c r="HB26" i="1" a="1"/>
  <c r="HB26" i="1"/>
  <c r="HB24" i="1" a="1"/>
  <c r="HB24" i="1"/>
  <c r="HB22" i="1" a="1"/>
  <c r="HB22" i="1"/>
  <c r="HB20" i="1" a="1"/>
  <c r="HB20" i="1"/>
  <c r="HB18" i="1" a="1"/>
  <c r="HB18" i="1"/>
  <c r="HB16" i="1" a="1"/>
  <c r="HB16" i="1"/>
  <c r="HB14" i="1" a="1"/>
  <c r="HB14" i="1"/>
  <c r="HB12" i="1" a="1"/>
  <c r="HB12" i="1"/>
  <c r="BF55" i="1" a="1"/>
  <c r="BF55" i="1"/>
  <c r="BF25" i="1" a="1"/>
  <c r="BF25" i="1"/>
  <c r="BF56" i="1" a="1"/>
  <c r="BF56" i="1"/>
  <c r="BF53" i="1" a="1"/>
  <c r="BF53" i="1"/>
  <c r="BF20" i="1" a="1"/>
  <c r="BF20" i="1"/>
  <c r="BF49" i="1" a="1"/>
  <c r="BF49" i="1"/>
  <c r="BF46" i="1" a="1"/>
  <c r="BF46" i="1"/>
  <c r="BF14" i="1" a="1"/>
  <c r="BF14" i="1"/>
  <c r="BF54" i="1" a="1"/>
  <c r="BF54" i="1"/>
  <c r="BF40" i="1" a="1"/>
  <c r="BF40" i="1"/>
  <c r="BF32" i="1" a="1"/>
  <c r="BF32" i="1"/>
  <c r="BF13" i="1" a="1"/>
  <c r="BF13" i="1"/>
  <c r="BF18" i="1" a="1"/>
  <c r="BF18" i="1"/>
  <c r="BF61" i="1" a="1"/>
  <c r="BF61" i="1"/>
  <c r="BF58" i="1" a="1"/>
  <c r="BF58" i="1"/>
  <c r="BF30" i="1" a="1"/>
  <c r="BF30" i="1"/>
  <c r="BF33" i="1" a="1"/>
  <c r="BF33" i="1"/>
  <c r="BF27" i="1" a="1"/>
  <c r="BF27" i="1"/>
  <c r="BF17" i="1" a="1"/>
  <c r="BF17" i="1"/>
  <c r="BF44" i="1" a="1"/>
  <c r="BF44" i="1"/>
  <c r="BF48" i="1" a="1"/>
  <c r="BF48" i="1"/>
  <c r="BF21" i="1" a="1"/>
  <c r="BF21" i="1"/>
  <c r="BF37" i="1" a="1"/>
  <c r="BF37" i="1"/>
  <c r="BF16" i="1" a="1"/>
  <c r="BF16" i="1"/>
  <c r="BF22" i="1" a="1"/>
  <c r="BF22" i="1"/>
  <c r="BF39" i="1" a="1"/>
  <c r="BF39" i="1"/>
  <c r="BF36" i="1" a="1"/>
  <c r="BF36" i="1"/>
  <c r="BF19" i="1" a="1"/>
  <c r="BF19" i="1"/>
  <c r="BF51" i="1" a="1"/>
  <c r="BF51" i="1"/>
  <c r="BF57" i="1" a="1"/>
  <c r="BF57" i="1"/>
  <c r="BF35" i="1" a="1"/>
  <c r="BF35" i="1"/>
  <c r="BF50" i="1" a="1"/>
  <c r="BF50" i="1"/>
  <c r="BF12" i="1" a="1"/>
  <c r="BF12" i="1"/>
  <c r="BF28" i="1" a="1"/>
  <c r="BF28" i="1"/>
  <c r="BF62" i="1" a="1"/>
  <c r="BF62" i="1"/>
  <c r="BF24" i="1" a="1"/>
  <c r="BF24" i="1"/>
  <c r="BF38" i="1" a="1"/>
  <c r="BF38" i="1"/>
  <c r="BF59" i="1" a="1"/>
  <c r="BF59" i="1"/>
  <c r="BF34" i="1" a="1"/>
  <c r="BF34" i="1"/>
  <c r="BF60" i="1" a="1"/>
  <c r="BF60" i="1"/>
  <c r="BF31" i="1" a="1"/>
  <c r="BF31" i="1"/>
  <c r="BF15" i="1" a="1"/>
  <c r="BF15" i="1"/>
  <c r="BF29" i="1" a="1"/>
  <c r="BF29" i="1"/>
  <c r="BF42" i="1" a="1"/>
  <c r="BF42" i="1"/>
  <c r="BF43" i="1" a="1"/>
  <c r="BF43" i="1"/>
  <c r="BF47" i="1" a="1"/>
  <c r="BF47" i="1"/>
  <c r="BF26" i="1" a="1"/>
  <c r="BF26" i="1"/>
  <c r="BF23" i="1" a="1"/>
  <c r="BF23" i="1"/>
  <c r="BF45" i="1" a="1"/>
  <c r="BF45" i="1"/>
  <c r="BF52" i="1" a="1"/>
  <c r="BF52" i="1"/>
  <c r="BF41" i="1" a="1"/>
  <c r="BF41" i="1"/>
  <c r="HC62" i="1" a="1"/>
  <c r="HC62" i="1"/>
  <c r="HC59" i="1" a="1"/>
  <c r="HC59" i="1"/>
  <c r="HC61" i="1" a="1"/>
  <c r="HC61" i="1"/>
  <c r="HC54" i="1" a="1"/>
  <c r="HC54" i="1"/>
  <c r="HC56" i="1" a="1"/>
  <c r="HC56" i="1"/>
  <c r="HC51" i="1" a="1"/>
  <c r="HC51" i="1"/>
  <c r="HC50" i="1" a="1"/>
  <c r="HC50" i="1"/>
  <c r="HC48" i="1" a="1"/>
  <c r="HC48" i="1"/>
  <c r="HC46" i="1" a="1"/>
  <c r="HC46" i="1"/>
  <c r="HC44" i="1" a="1"/>
  <c r="HC44" i="1"/>
  <c r="HC42" i="1" a="1"/>
  <c r="HC42" i="1"/>
  <c r="HC40" i="1" a="1"/>
  <c r="HC40" i="1"/>
  <c r="HC38" i="1" a="1"/>
  <c r="HC38" i="1"/>
  <c r="HC36" i="1" a="1"/>
  <c r="HC36" i="1"/>
  <c r="HC34" i="1" a="1"/>
  <c r="HC34" i="1"/>
  <c r="HC32" i="1" a="1"/>
  <c r="HC32" i="1"/>
  <c r="HC30" i="1" a="1"/>
  <c r="HC30" i="1"/>
  <c r="HC28" i="1" a="1"/>
  <c r="HC28" i="1"/>
  <c r="HC26" i="1" a="1"/>
  <c r="HC26" i="1"/>
  <c r="HC24" i="1" a="1"/>
  <c r="HC24" i="1"/>
  <c r="HC22" i="1" a="1"/>
  <c r="HC22" i="1"/>
  <c r="HC20" i="1" a="1"/>
  <c r="HC20" i="1"/>
  <c r="HC18" i="1" a="1"/>
  <c r="HC18" i="1"/>
  <c r="HC16" i="1" a="1"/>
  <c r="HC16" i="1"/>
  <c r="HC14" i="1" a="1"/>
  <c r="HC14" i="1"/>
  <c r="HC12" i="1" a="1"/>
  <c r="HC12" i="1"/>
  <c r="HC60" i="1" a="1"/>
  <c r="HC60" i="1"/>
  <c r="HC58" i="1" a="1"/>
  <c r="HC58" i="1"/>
  <c r="HC55" i="1" a="1"/>
  <c r="HC55" i="1"/>
  <c r="HC57" i="1" a="1"/>
  <c r="HC57" i="1"/>
  <c r="HC52" i="1" a="1"/>
  <c r="HC52" i="1"/>
  <c r="HC53" i="1" a="1"/>
  <c r="HC53" i="1"/>
  <c r="HC49" i="1" a="1"/>
  <c r="HC49" i="1"/>
  <c r="HC47" i="1" a="1"/>
  <c r="HC47" i="1"/>
  <c r="HC45" i="1" a="1"/>
  <c r="HC45" i="1"/>
  <c r="HC43" i="1" a="1"/>
  <c r="HC43" i="1"/>
  <c r="HC41" i="1" a="1"/>
  <c r="HC41" i="1"/>
  <c r="HC39" i="1" a="1"/>
  <c r="HC39" i="1"/>
  <c r="HC37" i="1" a="1"/>
  <c r="HC37" i="1"/>
  <c r="HC35" i="1" a="1"/>
  <c r="HC35" i="1"/>
  <c r="HC33" i="1" a="1"/>
  <c r="HC33" i="1"/>
  <c r="HC31" i="1" a="1"/>
  <c r="HC31" i="1"/>
  <c r="HC29" i="1" a="1"/>
  <c r="HC29" i="1"/>
  <c r="HC27" i="1" a="1"/>
  <c r="HC27" i="1"/>
  <c r="HC25" i="1" a="1"/>
  <c r="HC25" i="1"/>
  <c r="HC23" i="1" a="1"/>
  <c r="HC23" i="1"/>
  <c r="HC21" i="1" a="1"/>
  <c r="HC21" i="1"/>
  <c r="HC19" i="1" a="1"/>
  <c r="HC19" i="1"/>
  <c r="HC17" i="1" a="1"/>
  <c r="HC17" i="1"/>
  <c r="HC15" i="1" a="1"/>
  <c r="HC15" i="1"/>
  <c r="HC13" i="1" a="1"/>
  <c r="HC13" i="1"/>
  <c r="HD11" i="1"/>
  <c r="BG41" i="1" a="1"/>
  <c r="BG41" i="1"/>
  <c r="BG15" i="1" a="1"/>
  <c r="BG15" i="1"/>
  <c r="BG45" i="1" a="1"/>
  <c r="BG45" i="1"/>
  <c r="BG35" i="1" a="1"/>
  <c r="BG35" i="1"/>
  <c r="BG29" i="1" a="1"/>
  <c r="BG29" i="1"/>
  <c r="BG39" i="1" a="1"/>
  <c r="BG39" i="1"/>
  <c r="BG50" i="1" a="1"/>
  <c r="BG50" i="1"/>
  <c r="BG32" i="1" a="1"/>
  <c r="BG32" i="1"/>
  <c r="BG16" i="1" a="1"/>
  <c r="BG16" i="1"/>
  <c r="BG59" i="1" a="1"/>
  <c r="BG59" i="1"/>
  <c r="BG60" i="1" a="1"/>
  <c r="BG60" i="1"/>
  <c r="BG61" i="1" a="1"/>
  <c r="BG61" i="1"/>
  <c r="BG12" i="1" a="1"/>
  <c r="BG12" i="1"/>
  <c r="BG62" i="1" a="1"/>
  <c r="BG62" i="1"/>
  <c r="BG54" i="1" a="1"/>
  <c r="BG54" i="1"/>
  <c r="BG24" i="1" a="1"/>
  <c r="BG24" i="1"/>
  <c r="BG26" i="1" a="1"/>
  <c r="BG26" i="1"/>
  <c r="BG28" i="1" a="1"/>
  <c r="BG28" i="1"/>
  <c r="BG38" i="1" a="1"/>
  <c r="BG38" i="1"/>
  <c r="BG33" i="1" a="1"/>
  <c r="BG33" i="1"/>
  <c r="BG30" i="1" a="1"/>
  <c r="BG30" i="1"/>
  <c r="BG14" i="1" a="1"/>
  <c r="BG14" i="1"/>
  <c r="BG42" i="1" a="1"/>
  <c r="BG42" i="1"/>
  <c r="BG49" i="1" a="1"/>
  <c r="BG49" i="1"/>
  <c r="BG31" i="1" a="1"/>
  <c r="BG31" i="1"/>
  <c r="BG52" i="1" a="1"/>
  <c r="BG52" i="1"/>
  <c r="BG51" i="1" a="1"/>
  <c r="BG51" i="1"/>
  <c r="BG53" i="1" a="1"/>
  <c r="BG53" i="1"/>
  <c r="BG37" i="1" a="1"/>
  <c r="BG37" i="1"/>
  <c r="BG55" i="1" a="1"/>
  <c r="BG55" i="1"/>
  <c r="BG21" i="1" a="1"/>
  <c r="BG21" i="1"/>
  <c r="BG56" i="1" a="1"/>
  <c r="BG56" i="1"/>
  <c r="BG13" i="1" a="1"/>
  <c r="BG13" i="1"/>
  <c r="BG23" i="1" a="1"/>
  <c r="BG23" i="1"/>
  <c r="BG25" i="1" a="1"/>
  <c r="BG25" i="1"/>
  <c r="BG46" i="1" a="1"/>
  <c r="BG46" i="1"/>
  <c r="BG17" i="1" a="1"/>
  <c r="BG17" i="1"/>
  <c r="BG47" i="1" a="1"/>
  <c r="BG47" i="1"/>
  <c r="BG20" i="1" a="1"/>
  <c r="BG20" i="1"/>
  <c r="BG57" i="1" a="1"/>
  <c r="BG57" i="1"/>
  <c r="BG40" i="1" a="1"/>
  <c r="BG40" i="1"/>
  <c r="BG58" i="1" a="1"/>
  <c r="BG58" i="1"/>
  <c r="BG27" i="1" a="1"/>
  <c r="BG27" i="1"/>
  <c r="BG34" i="1" a="1"/>
  <c r="BG34" i="1"/>
  <c r="BG19" i="1" a="1"/>
  <c r="BG19" i="1"/>
  <c r="BG18" i="1" a="1"/>
  <c r="BG18" i="1"/>
  <c r="BG43" i="1" a="1"/>
  <c r="BG43" i="1"/>
  <c r="BG22" i="1" a="1"/>
  <c r="BG22" i="1"/>
  <c r="BG44" i="1" a="1"/>
  <c r="BG44" i="1"/>
  <c r="BG48" i="1" a="1"/>
  <c r="BG48" i="1"/>
  <c r="BG36" i="1" a="1"/>
  <c r="BG36" i="1"/>
  <c r="HD62" i="1" a="1"/>
  <c r="HD62" i="1"/>
  <c r="HD60" i="1" a="1"/>
  <c r="HD60" i="1"/>
  <c r="HD58" i="1" a="1"/>
  <c r="HD58" i="1"/>
  <c r="HD56" i="1" a="1"/>
  <c r="HD56" i="1"/>
  <c r="HD54" i="1" a="1"/>
  <c r="HD54" i="1"/>
  <c r="HD50" i="1" a="1"/>
  <c r="HD50" i="1"/>
  <c r="HD52" i="1" a="1"/>
  <c r="HD52" i="1"/>
  <c r="HD45" i="1" a="1"/>
  <c r="HD45" i="1"/>
  <c r="HD43" i="1" a="1"/>
  <c r="HD43" i="1"/>
  <c r="HD41" i="1" a="1"/>
  <c r="HD41" i="1"/>
  <c r="HD47" i="1" a="1"/>
  <c r="HD47" i="1"/>
  <c r="HD36" i="1" a="1"/>
  <c r="HD36" i="1"/>
  <c r="HD34" i="1" a="1"/>
  <c r="HD34" i="1"/>
  <c r="HD40" i="1" a="1"/>
  <c r="HD40" i="1"/>
  <c r="HD38" i="1" a="1"/>
  <c r="HD38" i="1"/>
  <c r="HD32" i="1" a="1"/>
  <c r="HD32" i="1"/>
  <c r="HD30" i="1" a="1"/>
  <c r="HD30" i="1"/>
  <c r="HD28" i="1" a="1"/>
  <c r="HD28" i="1"/>
  <c r="HD26" i="1" a="1"/>
  <c r="HD26" i="1"/>
  <c r="HD24" i="1" a="1"/>
  <c r="HD24" i="1"/>
  <c r="HD22" i="1" a="1"/>
  <c r="HD22" i="1"/>
  <c r="HD16" i="1" a="1"/>
  <c r="HD16" i="1"/>
  <c r="HD14" i="1" a="1"/>
  <c r="HD14" i="1"/>
  <c r="HD12" i="1" a="1"/>
  <c r="HD12" i="1"/>
  <c r="HD20" i="1" a="1"/>
  <c r="HD20" i="1"/>
  <c r="HD18" i="1" a="1"/>
  <c r="HD18" i="1"/>
  <c r="HD61" i="1" a="1"/>
  <c r="HD61" i="1"/>
  <c r="HD59" i="1" a="1"/>
  <c r="HD59" i="1"/>
  <c r="HD57" i="1" a="1"/>
  <c r="HD57" i="1"/>
  <c r="HD55" i="1" a="1"/>
  <c r="HD55" i="1"/>
  <c r="HD53" i="1" a="1"/>
  <c r="HD53" i="1"/>
  <c r="HD49" i="1" a="1"/>
  <c r="HD49" i="1"/>
  <c r="HD51" i="1" a="1"/>
  <c r="HD51" i="1"/>
  <c r="HD44" i="1" a="1"/>
  <c r="HD44" i="1"/>
  <c r="HD42" i="1" a="1"/>
  <c r="HD42" i="1"/>
  <c r="HD48" i="1" a="1"/>
  <c r="HD48" i="1"/>
  <c r="HD46" i="1" a="1"/>
  <c r="HD46" i="1"/>
  <c r="HD35" i="1" a="1"/>
  <c r="HD35" i="1"/>
  <c r="HD33" i="1" a="1"/>
  <c r="HD33" i="1"/>
  <c r="HD39" i="1" a="1"/>
  <c r="HD39" i="1"/>
  <c r="HD37" i="1" a="1"/>
  <c r="HD37" i="1"/>
  <c r="HD31" i="1" a="1"/>
  <c r="HD31" i="1"/>
  <c r="HD29" i="1" a="1"/>
  <c r="HD29" i="1"/>
  <c r="HD27" i="1" a="1"/>
  <c r="HD27" i="1"/>
  <c r="HD25" i="1" a="1"/>
  <c r="HD25" i="1"/>
  <c r="HD23" i="1" a="1"/>
  <c r="HD23" i="1"/>
  <c r="HD17" i="1" a="1"/>
  <c r="HD17" i="1"/>
  <c r="HD15" i="1" a="1"/>
  <c r="HD15" i="1"/>
  <c r="HD13" i="1" a="1"/>
  <c r="HD13" i="1"/>
  <c r="HD21" i="1" a="1"/>
  <c r="HD21" i="1"/>
  <c r="HD19" i="1" a="1"/>
  <c r="HD19" i="1"/>
  <c r="HE11" i="1"/>
  <c r="BH25" i="1" a="1"/>
  <c r="BH25" i="1"/>
  <c r="BH13" i="1" a="1"/>
  <c r="BH13" i="1"/>
  <c r="BH56" i="1" a="1"/>
  <c r="BH56" i="1"/>
  <c r="BH18" i="1" a="1"/>
  <c r="BH18" i="1"/>
  <c r="BH60" i="1" a="1"/>
  <c r="BH60" i="1"/>
  <c r="BH51" i="1" a="1"/>
  <c r="BH51" i="1"/>
  <c r="BH31" i="1" a="1"/>
  <c r="BH31" i="1"/>
  <c r="BH62" i="1" a="1"/>
  <c r="BH62" i="1"/>
  <c r="BH54" i="1" a="1"/>
  <c r="BH54" i="1"/>
  <c r="BH17" i="1" a="1"/>
  <c r="BH17" i="1"/>
  <c r="BH58" i="1" a="1"/>
  <c r="BH58" i="1"/>
  <c r="BH29" i="1" a="1"/>
  <c r="BH29" i="1"/>
  <c r="BH28" i="1" a="1"/>
  <c r="BH28" i="1"/>
  <c r="BH30" i="1" a="1"/>
  <c r="BH30" i="1"/>
  <c r="BH16" i="1" a="1"/>
  <c r="BH16" i="1"/>
  <c r="BH33" i="1" a="1"/>
  <c r="BH33" i="1"/>
  <c r="BH19" i="1" a="1"/>
  <c r="BH19" i="1"/>
  <c r="BH45" i="1" a="1"/>
  <c r="BH45" i="1"/>
  <c r="BH32" i="1" a="1"/>
  <c r="BH32" i="1"/>
  <c r="BH52" i="1" a="1"/>
  <c r="BH52" i="1"/>
  <c r="BH36" i="1" a="1"/>
  <c r="BH36" i="1"/>
  <c r="BH49" i="1" a="1"/>
  <c r="BH49" i="1"/>
  <c r="BH40" i="1" a="1"/>
  <c r="BH40" i="1"/>
  <c r="BH55" i="1" a="1"/>
  <c r="BH55" i="1"/>
  <c r="BH50" i="1" a="1"/>
  <c r="BH50" i="1"/>
  <c r="BH22" i="1" a="1"/>
  <c r="BH22" i="1"/>
  <c r="BH47" i="1" a="1"/>
  <c r="BH47" i="1"/>
  <c r="BH26" i="1" a="1"/>
  <c r="BH26" i="1"/>
  <c r="BH46" i="1" a="1"/>
  <c r="BH46" i="1"/>
  <c r="BH21" i="1" a="1"/>
  <c r="BH21" i="1"/>
  <c r="BH20" i="1" a="1"/>
  <c r="BH20" i="1"/>
  <c r="BH57" i="1" a="1"/>
  <c r="BH57" i="1"/>
  <c r="BH24" i="1" a="1"/>
  <c r="BH24" i="1"/>
  <c r="BH61" i="1" a="1"/>
  <c r="BH61" i="1"/>
  <c r="BH14" i="1" a="1"/>
  <c r="BH14" i="1"/>
  <c r="BH37" i="1" a="1"/>
  <c r="BH37" i="1"/>
  <c r="BH39" i="1" a="1"/>
  <c r="BH39" i="1"/>
  <c r="BH34" i="1" a="1"/>
  <c r="BH34" i="1"/>
  <c r="BH23" i="1" a="1"/>
  <c r="BH23" i="1"/>
  <c r="BH43" i="1" a="1"/>
  <c r="BH43" i="1"/>
  <c r="BH27" i="1" a="1"/>
  <c r="BH27" i="1"/>
  <c r="BH35" i="1" a="1"/>
  <c r="BH35" i="1"/>
  <c r="BH53" i="1" a="1"/>
  <c r="BH53" i="1"/>
  <c r="BH42" i="1" a="1"/>
  <c r="BH42" i="1"/>
  <c r="BH59" i="1" a="1"/>
  <c r="BH59" i="1"/>
  <c r="BH44" i="1" a="1"/>
  <c r="BH44" i="1"/>
  <c r="BH41" i="1" a="1"/>
  <c r="BH41" i="1"/>
  <c r="BH48" i="1" a="1"/>
  <c r="BH48" i="1"/>
  <c r="BH38" i="1" a="1"/>
  <c r="BH38" i="1"/>
  <c r="BH15" i="1" a="1"/>
  <c r="BH15" i="1"/>
  <c r="BH12" i="1" a="1"/>
  <c r="BH12" i="1"/>
  <c r="HE61" i="1" a="1"/>
  <c r="HE61" i="1"/>
  <c r="HE59" i="1" a="1"/>
  <c r="HE59" i="1"/>
  <c r="HE55" i="1" a="1"/>
  <c r="HE55" i="1"/>
  <c r="HE57" i="1" a="1"/>
  <c r="HE57" i="1"/>
  <c r="HE53" i="1" a="1"/>
  <c r="HE53" i="1"/>
  <c r="HE51" i="1" a="1"/>
  <c r="HE51" i="1"/>
  <c r="HE49" i="1" a="1"/>
  <c r="HE49" i="1"/>
  <c r="HE47" i="1" a="1"/>
  <c r="HE47" i="1"/>
  <c r="HE45" i="1" a="1"/>
  <c r="HE45" i="1"/>
  <c r="HE43" i="1" a="1"/>
  <c r="HE43" i="1"/>
  <c r="HE41" i="1" a="1"/>
  <c r="HE41" i="1"/>
  <c r="HE39" i="1" a="1"/>
  <c r="HE39" i="1"/>
  <c r="HE37" i="1" a="1"/>
  <c r="HE37" i="1"/>
  <c r="HE35" i="1" a="1"/>
  <c r="HE35" i="1"/>
  <c r="HE33" i="1" a="1"/>
  <c r="HE33" i="1"/>
  <c r="HE31" i="1" a="1"/>
  <c r="HE31" i="1"/>
  <c r="HE26" i="1" a="1"/>
  <c r="HE26" i="1"/>
  <c r="HE24" i="1" a="1"/>
  <c r="HE24" i="1"/>
  <c r="HE29" i="1" a="1"/>
  <c r="HE29" i="1"/>
  <c r="HE23" i="1" a="1"/>
  <c r="HE23" i="1"/>
  <c r="HE21" i="1" a="1"/>
  <c r="HE21" i="1"/>
  <c r="HE19" i="1" a="1"/>
  <c r="HE19" i="1"/>
  <c r="HE17" i="1" a="1"/>
  <c r="HE17" i="1"/>
  <c r="HE15" i="1" a="1"/>
  <c r="HE15" i="1"/>
  <c r="HE13" i="1" a="1"/>
  <c r="HE13" i="1"/>
  <c r="HF11" i="1"/>
  <c r="HE62" i="1" a="1"/>
  <c r="HE62" i="1"/>
  <c r="HE60" i="1" a="1"/>
  <c r="HE60" i="1"/>
  <c r="HE58" i="1" a="1"/>
  <c r="HE58" i="1"/>
  <c r="HE54" i="1" a="1"/>
  <c r="HE54" i="1"/>
  <c r="HE56" i="1" a="1"/>
  <c r="HE56" i="1"/>
  <c r="HE52" i="1" a="1"/>
  <c r="HE52" i="1"/>
  <c r="HE50" i="1" a="1"/>
  <c r="HE50" i="1"/>
  <c r="HE48" i="1" a="1"/>
  <c r="HE48" i="1"/>
  <c r="HE46" i="1" a="1"/>
  <c r="HE46" i="1"/>
  <c r="HE44" i="1" a="1"/>
  <c r="HE44" i="1"/>
  <c r="HE42" i="1" a="1"/>
  <c r="HE42" i="1"/>
  <c r="HE40" i="1" a="1"/>
  <c r="HE40" i="1"/>
  <c r="HE38" i="1" a="1"/>
  <c r="HE38" i="1"/>
  <c r="HE36" i="1" a="1"/>
  <c r="HE36" i="1"/>
  <c r="HE34" i="1" a="1"/>
  <c r="HE34" i="1"/>
  <c r="HE32" i="1" a="1"/>
  <c r="HE32" i="1"/>
  <c r="HE27" i="1" a="1"/>
  <c r="HE27" i="1"/>
  <c r="HE25" i="1" a="1"/>
  <c r="HE25" i="1"/>
  <c r="HE30" i="1" a="1"/>
  <c r="HE30" i="1"/>
  <c r="HE28" i="1" a="1"/>
  <c r="HE28" i="1"/>
  <c r="HE22" i="1" a="1"/>
  <c r="HE22" i="1"/>
  <c r="HE20" i="1" a="1"/>
  <c r="HE20" i="1"/>
  <c r="HE18" i="1" a="1"/>
  <c r="HE18" i="1"/>
  <c r="HE16" i="1" a="1"/>
  <c r="HE16" i="1"/>
  <c r="HE14" i="1" a="1"/>
  <c r="HE14" i="1"/>
  <c r="HE12" i="1" a="1"/>
  <c r="HE12" i="1"/>
  <c r="BI14" i="1" a="1"/>
  <c r="BI14" i="1"/>
  <c r="BI57" i="1" a="1"/>
  <c r="BI57" i="1"/>
  <c r="BI20" i="1" a="1"/>
  <c r="BI20" i="1"/>
  <c r="BI50" i="1" a="1"/>
  <c r="BI50" i="1"/>
  <c r="BI32" i="1" a="1"/>
  <c r="BI32" i="1"/>
  <c r="BI54" i="1" a="1"/>
  <c r="BI54" i="1"/>
  <c r="BI36" i="1" a="1"/>
  <c r="BI36" i="1"/>
  <c r="BI26" i="1" a="1"/>
  <c r="BI26" i="1"/>
  <c r="BI28" i="1" a="1"/>
  <c r="BI28" i="1"/>
  <c r="BI30" i="1" a="1"/>
  <c r="BI30" i="1"/>
  <c r="BI40" i="1" a="1"/>
  <c r="BI40" i="1"/>
  <c r="BI22" i="1" a="1"/>
  <c r="BI22" i="1"/>
  <c r="BI44" i="1" a="1"/>
  <c r="BI44" i="1"/>
  <c r="BI48" i="1" a="1"/>
  <c r="BI48" i="1"/>
  <c r="BI41" i="1" a="1"/>
  <c r="BI41" i="1"/>
  <c r="BI52" i="1" a="1"/>
  <c r="BI52" i="1"/>
  <c r="BI33" i="1" a="1"/>
  <c r="BI33" i="1"/>
  <c r="BI59" i="1" a="1"/>
  <c r="BI59" i="1"/>
  <c r="BI37" i="1" a="1"/>
  <c r="BI37" i="1"/>
  <c r="BI55" i="1" a="1"/>
  <c r="BI55" i="1"/>
  <c r="BI19" i="1" a="1"/>
  <c r="BI19" i="1"/>
  <c r="BI56" i="1" a="1"/>
  <c r="BI56" i="1"/>
  <c r="BI23" i="1" a="1"/>
  <c r="BI23" i="1"/>
  <c r="BI15" i="1" a="1"/>
  <c r="BI15" i="1"/>
  <c r="BI16" i="1" a="1"/>
  <c r="BI16" i="1"/>
  <c r="BI17" i="1" a="1"/>
  <c r="BI17" i="1"/>
  <c r="BI60" i="1" a="1"/>
  <c r="BI60" i="1"/>
  <c r="BI61" i="1" a="1"/>
  <c r="BI61" i="1"/>
  <c r="BI62" i="1" a="1"/>
  <c r="BI62" i="1"/>
  <c r="BI21" i="1" a="1"/>
  <c r="BI21" i="1"/>
  <c r="BI58" i="1" a="1"/>
  <c r="BI58" i="1"/>
  <c r="BI25" i="1" a="1"/>
  <c r="BI25" i="1"/>
  <c r="BI34" i="1" a="1"/>
  <c r="BI34" i="1"/>
  <c r="BI18" i="1" a="1"/>
  <c r="BI18" i="1"/>
  <c r="BI38" i="1" a="1"/>
  <c r="BI38" i="1"/>
  <c r="BI29" i="1" a="1"/>
  <c r="BI29" i="1"/>
  <c r="BI35" i="1" a="1"/>
  <c r="BI35" i="1"/>
  <c r="BI13" i="1" a="1"/>
  <c r="BI13" i="1"/>
  <c r="BI42" i="1" a="1"/>
  <c r="BI42" i="1"/>
  <c r="BI49" i="1" a="1"/>
  <c r="BI49" i="1"/>
  <c r="BI31" i="1" a="1"/>
  <c r="BI31" i="1"/>
  <c r="BI53" i="1" a="1"/>
  <c r="BI53" i="1"/>
  <c r="BI43" i="1" a="1"/>
  <c r="BI43" i="1"/>
  <c r="BI45" i="1" a="1"/>
  <c r="BI45" i="1"/>
  <c r="BI47" i="1" a="1"/>
  <c r="BI47" i="1"/>
  <c r="BI27" i="1" a="1"/>
  <c r="BI27" i="1"/>
  <c r="BI39" i="1" a="1"/>
  <c r="BI39" i="1"/>
  <c r="BI12" i="1" a="1"/>
  <c r="BI12" i="1"/>
  <c r="BI51" i="1" a="1"/>
  <c r="BI51" i="1"/>
  <c r="BI24" i="1" a="1"/>
  <c r="BI24" i="1"/>
  <c r="BI46" i="1" a="1"/>
  <c r="BI46" i="1"/>
  <c r="BJ55" i="1" a="1"/>
  <c r="BJ55" i="1"/>
  <c r="BJ22" i="1" a="1"/>
  <c r="BJ22" i="1"/>
  <c r="BJ59" i="1" a="1"/>
  <c r="BJ59" i="1"/>
  <c r="BJ13" i="1" a="1"/>
  <c r="BJ13" i="1"/>
  <c r="BJ14" i="1" a="1"/>
  <c r="BJ14" i="1"/>
  <c r="BJ18" i="1" a="1"/>
  <c r="BJ18" i="1"/>
  <c r="BJ51" i="1" a="1"/>
  <c r="BJ51" i="1"/>
  <c r="BJ21" i="1" a="1"/>
  <c r="BJ21" i="1"/>
  <c r="BJ50" i="1" a="1"/>
  <c r="BJ50" i="1"/>
  <c r="BJ25" i="1" a="1"/>
  <c r="BJ25" i="1"/>
  <c r="BJ54" i="1" a="1"/>
  <c r="BJ54" i="1"/>
  <c r="BJ35" i="1" a="1"/>
  <c r="BJ35" i="1"/>
  <c r="BJ58" i="1" a="1"/>
  <c r="BJ58" i="1"/>
  <c r="BJ28" i="1" a="1"/>
  <c r="BJ28" i="1"/>
  <c r="BJ37" i="1" a="1"/>
  <c r="BJ37" i="1"/>
  <c r="BJ20" i="1" a="1"/>
  <c r="BJ20" i="1"/>
  <c r="BJ41" i="1" a="1"/>
  <c r="BJ41" i="1"/>
  <c r="BJ16" i="1" a="1"/>
  <c r="BJ16" i="1"/>
  <c r="BJ33" i="1" a="1"/>
  <c r="BJ33" i="1"/>
  <c r="BJ19" i="1" a="1"/>
  <c r="BJ19" i="1"/>
  <c r="BJ32" i="1" a="1"/>
  <c r="BJ32" i="1"/>
  <c r="BJ53" i="1" a="1"/>
  <c r="BJ53" i="1"/>
  <c r="BJ39" i="1" a="1"/>
  <c r="BJ39" i="1"/>
  <c r="BJ56" i="1" a="1"/>
  <c r="BJ56" i="1"/>
  <c r="BJ36" i="1" a="1"/>
  <c r="BJ36" i="1"/>
  <c r="BJ49" i="1" a="1"/>
  <c r="BJ49" i="1"/>
  <c r="BJ40" i="1" a="1"/>
  <c r="BJ40" i="1"/>
  <c r="BJ38" i="1" a="1"/>
  <c r="BJ38" i="1"/>
  <c r="BJ15" i="1" a="1"/>
  <c r="BJ15" i="1"/>
  <c r="BJ42" i="1" a="1"/>
  <c r="BJ42" i="1"/>
  <c r="BJ17" i="1" a="1"/>
  <c r="BJ17" i="1"/>
  <c r="BJ47" i="1" a="1"/>
  <c r="BJ47" i="1"/>
  <c r="BJ26" i="1" a="1"/>
  <c r="BJ26" i="1"/>
  <c r="BJ60" i="1" a="1"/>
  <c r="BJ60" i="1"/>
  <c r="BJ62" i="1" a="1"/>
  <c r="BJ62" i="1"/>
  <c r="BJ12" i="1" a="1"/>
  <c r="BJ12" i="1"/>
  <c r="BJ57" i="1" a="1"/>
  <c r="BJ57" i="1"/>
  <c r="BJ24" i="1" a="1"/>
  <c r="BJ24" i="1"/>
  <c r="BJ61" i="1" a="1"/>
  <c r="BJ61" i="1"/>
  <c r="BJ29" i="1" a="1"/>
  <c r="BJ29" i="1"/>
  <c r="BJ30" i="1" a="1"/>
  <c r="BJ30" i="1"/>
  <c r="BJ31" i="1" a="1"/>
  <c r="BJ31" i="1"/>
  <c r="BJ23" i="1" a="1"/>
  <c r="BJ23" i="1"/>
  <c r="BJ43" i="1" a="1"/>
  <c r="BJ43" i="1"/>
  <c r="BJ27" i="1" a="1"/>
  <c r="BJ27" i="1"/>
  <c r="BJ45" i="1" a="1"/>
  <c r="BJ45" i="1"/>
  <c r="BJ52" i="1" a="1"/>
  <c r="BJ52" i="1"/>
  <c r="BJ34" i="1" a="1"/>
  <c r="BJ34" i="1"/>
  <c r="BJ44" i="1" a="1"/>
  <c r="BJ44" i="1"/>
  <c r="BJ46" i="1" a="1"/>
  <c r="BJ46" i="1"/>
  <c r="BJ48" i="1" a="1"/>
  <c r="BJ48" i="1"/>
  <c r="HF61" i="1" a="1"/>
  <c r="HF61" i="1"/>
  <c r="HF59" i="1" a="1"/>
  <c r="HF59" i="1"/>
  <c r="HF55" i="1" a="1"/>
  <c r="HF55" i="1"/>
  <c r="HF53" i="1" a="1"/>
  <c r="HF53" i="1"/>
  <c r="HF56" i="1" a="1"/>
  <c r="HF56" i="1"/>
  <c r="HF51" i="1" a="1"/>
  <c r="HF51" i="1"/>
  <c r="HF49" i="1" a="1"/>
  <c r="HF49" i="1"/>
  <c r="HF47" i="1" a="1"/>
  <c r="HF47" i="1"/>
  <c r="HF45" i="1" a="1"/>
  <c r="HF45" i="1"/>
  <c r="HF43" i="1" a="1"/>
  <c r="HF43" i="1"/>
  <c r="HF41" i="1" a="1"/>
  <c r="HF41" i="1"/>
  <c r="HF39" i="1" a="1"/>
  <c r="HF39" i="1"/>
  <c r="HF37" i="1" a="1"/>
  <c r="HF37" i="1"/>
  <c r="HF35" i="1" a="1"/>
  <c r="HF35" i="1"/>
  <c r="HF33" i="1" a="1"/>
  <c r="HF33" i="1"/>
  <c r="HF31" i="1" a="1"/>
  <c r="HF31" i="1"/>
  <c r="HF29" i="1" a="1"/>
  <c r="HF29" i="1"/>
  <c r="HF27" i="1" a="1"/>
  <c r="HF27" i="1"/>
  <c r="HF25" i="1" a="1"/>
  <c r="HF25" i="1"/>
  <c r="HF23" i="1" a="1"/>
  <c r="HF23" i="1"/>
  <c r="HF17" i="1" a="1"/>
  <c r="HF17" i="1"/>
  <c r="HF15" i="1" a="1"/>
  <c r="HF15" i="1"/>
  <c r="HF13" i="1" a="1"/>
  <c r="HF13" i="1"/>
  <c r="HF21" i="1" a="1"/>
  <c r="HF21" i="1"/>
  <c r="HF19" i="1" a="1"/>
  <c r="HF19" i="1"/>
  <c r="HG11" i="1"/>
  <c r="HF62" i="1" a="1"/>
  <c r="HF62" i="1"/>
  <c r="HF60" i="1" a="1"/>
  <c r="HF60" i="1"/>
  <c r="HF58" i="1" a="1"/>
  <c r="HF58" i="1"/>
  <c r="HF54" i="1" a="1"/>
  <c r="HF54" i="1"/>
  <c r="HF57" i="1" a="1"/>
  <c r="HF57" i="1"/>
  <c r="HF52" i="1" a="1"/>
  <c r="HF52" i="1"/>
  <c r="HF50" i="1" a="1"/>
  <c r="HF50" i="1"/>
  <c r="HF48" i="1" a="1"/>
  <c r="HF48" i="1"/>
  <c r="HF46" i="1" a="1"/>
  <c r="HF46" i="1"/>
  <c r="HF44" i="1" a="1"/>
  <c r="HF44" i="1"/>
  <c r="HF42" i="1" a="1"/>
  <c r="HF42" i="1"/>
  <c r="HF40" i="1" a="1"/>
  <c r="HF40" i="1"/>
  <c r="HF38" i="1" a="1"/>
  <c r="HF38" i="1"/>
  <c r="HF36" i="1" a="1"/>
  <c r="HF36" i="1"/>
  <c r="HF34" i="1" a="1"/>
  <c r="HF34" i="1"/>
  <c r="HF32" i="1" a="1"/>
  <c r="HF32" i="1"/>
  <c r="HF30" i="1" a="1"/>
  <c r="HF30" i="1"/>
  <c r="HF28" i="1" a="1"/>
  <c r="HF28" i="1"/>
  <c r="HF26" i="1" a="1"/>
  <c r="HF26" i="1"/>
  <c r="HF24" i="1" a="1"/>
  <c r="HF24" i="1"/>
  <c r="HF22" i="1" a="1"/>
  <c r="HF22" i="1"/>
  <c r="HF16" i="1" a="1"/>
  <c r="HF16" i="1"/>
  <c r="HF14" i="1" a="1"/>
  <c r="HF14" i="1"/>
  <c r="HF12" i="1" a="1"/>
  <c r="HF12" i="1"/>
  <c r="HF20" i="1" a="1"/>
  <c r="HF20" i="1"/>
  <c r="HF18" i="1" a="1"/>
  <c r="HF18" i="1"/>
  <c r="HG61" i="1" a="1"/>
  <c r="HG61" i="1"/>
  <c r="HG59" i="1" a="1"/>
  <c r="HG59" i="1"/>
  <c r="HG55" i="1" a="1"/>
  <c r="HG55" i="1"/>
  <c r="HG57" i="1" a="1"/>
  <c r="HG57" i="1"/>
  <c r="HG53" i="1" a="1"/>
  <c r="HG53" i="1"/>
  <c r="HG51" i="1" a="1"/>
  <c r="HG51" i="1"/>
  <c r="HG49" i="1" a="1"/>
  <c r="HG49" i="1"/>
  <c r="HG47" i="1" a="1"/>
  <c r="HG47" i="1"/>
  <c r="HG45" i="1" a="1"/>
  <c r="HG45" i="1"/>
  <c r="HG43" i="1" a="1"/>
  <c r="HG43" i="1"/>
  <c r="HG41" i="1" a="1"/>
  <c r="HG41" i="1"/>
  <c r="HG39" i="1" a="1"/>
  <c r="HG39" i="1"/>
  <c r="HG37" i="1" a="1"/>
  <c r="HG37" i="1"/>
  <c r="HG35" i="1" a="1"/>
  <c r="HG35" i="1"/>
  <c r="HG33" i="1" a="1"/>
  <c r="HG33" i="1"/>
  <c r="HG31" i="1" a="1"/>
  <c r="HG31" i="1"/>
  <c r="HG26" i="1" a="1"/>
  <c r="HG26" i="1"/>
  <c r="HG24" i="1" a="1"/>
  <c r="HG24" i="1"/>
  <c r="HG29" i="1" a="1"/>
  <c r="HG29" i="1"/>
  <c r="HG21" i="1" a="1"/>
  <c r="HG21" i="1"/>
  <c r="HG19" i="1" a="1"/>
  <c r="HG19" i="1"/>
  <c r="HG23" i="1" a="1"/>
  <c r="HG23" i="1"/>
  <c r="HG17" i="1" a="1"/>
  <c r="HG17" i="1"/>
  <c r="HG15" i="1" a="1"/>
  <c r="HG15" i="1"/>
  <c r="HG13" i="1" a="1"/>
  <c r="HG13" i="1"/>
  <c r="HH11" i="1"/>
  <c r="HG62" i="1" a="1"/>
  <c r="HG62" i="1"/>
  <c r="HG60" i="1" a="1"/>
  <c r="HG60" i="1"/>
  <c r="HG58" i="1" a="1"/>
  <c r="HG58" i="1"/>
  <c r="HG54" i="1" a="1"/>
  <c r="HG54" i="1"/>
  <c r="HG56" i="1" a="1"/>
  <c r="HG56" i="1"/>
  <c r="HG52" i="1" a="1"/>
  <c r="HG52" i="1"/>
  <c r="HG50" i="1" a="1"/>
  <c r="HG50" i="1"/>
  <c r="HG48" i="1" a="1"/>
  <c r="HG48" i="1"/>
  <c r="HG46" i="1" a="1"/>
  <c r="HG46" i="1"/>
  <c r="HG44" i="1" a="1"/>
  <c r="HG44" i="1"/>
  <c r="HG42" i="1" a="1"/>
  <c r="HG42" i="1"/>
  <c r="HG40" i="1" a="1"/>
  <c r="HG40" i="1"/>
  <c r="HG38" i="1" a="1"/>
  <c r="HG38" i="1"/>
  <c r="HG36" i="1" a="1"/>
  <c r="HG36" i="1"/>
  <c r="HG34" i="1" a="1"/>
  <c r="HG34" i="1"/>
  <c r="HG32" i="1" a="1"/>
  <c r="HG32" i="1"/>
  <c r="HG27" i="1" a="1"/>
  <c r="HG27" i="1"/>
  <c r="HG25" i="1" a="1"/>
  <c r="HG25" i="1"/>
  <c r="HG30" i="1" a="1"/>
  <c r="HG30" i="1"/>
  <c r="HG28" i="1" a="1"/>
  <c r="HG28" i="1"/>
  <c r="HG20" i="1" a="1"/>
  <c r="HG20" i="1"/>
  <c r="HG18" i="1" a="1"/>
  <c r="HG18" i="1"/>
  <c r="HG22" i="1" a="1"/>
  <c r="HG22" i="1"/>
  <c r="HG16" i="1" a="1"/>
  <c r="HG16" i="1"/>
  <c r="HG14" i="1" a="1"/>
  <c r="HG14" i="1"/>
  <c r="HG12" i="1" a="1"/>
  <c r="HG12" i="1"/>
  <c r="BK45" i="1" a="1"/>
  <c r="BK45" i="1"/>
  <c r="BK35" i="1" a="1"/>
  <c r="BK35" i="1"/>
  <c r="BK37" i="1" a="1"/>
  <c r="BK37" i="1"/>
  <c r="BK61" i="1" a="1"/>
  <c r="BK61" i="1"/>
  <c r="BK19" i="1" a="1"/>
  <c r="BK19" i="1"/>
  <c r="BK56" i="1" a="1"/>
  <c r="BK56" i="1"/>
  <c r="BK23" i="1" a="1"/>
  <c r="BK23" i="1"/>
  <c r="BK43" i="1" a="1"/>
  <c r="BK43" i="1"/>
  <c r="BK14" i="1" a="1"/>
  <c r="BK14" i="1"/>
  <c r="BK17" i="1" a="1"/>
  <c r="BK17" i="1"/>
  <c r="BK60" i="1" a="1"/>
  <c r="BK60" i="1"/>
  <c r="BK29" i="1" a="1"/>
  <c r="BK29" i="1"/>
  <c r="BK62" i="1" a="1"/>
  <c r="BK62" i="1"/>
  <c r="BK51" i="1" a="1"/>
  <c r="BK51" i="1"/>
  <c r="BK24" i="1" a="1"/>
  <c r="BK24" i="1"/>
  <c r="BK25" i="1" a="1"/>
  <c r="BK25" i="1"/>
  <c r="BK34" i="1" a="1"/>
  <c r="BK34" i="1"/>
  <c r="BK18" i="1" a="1"/>
  <c r="BK18" i="1"/>
  <c r="BK38" i="1" a="1"/>
  <c r="BK38" i="1"/>
  <c r="BK22" i="1" a="1"/>
  <c r="BK22" i="1"/>
  <c r="BK32" i="1" a="1"/>
  <c r="BK32" i="1"/>
  <c r="BK13" i="1" a="1"/>
  <c r="BK13" i="1"/>
  <c r="BK39" i="1" a="1"/>
  <c r="BK39" i="1"/>
  <c r="BK49" i="1" a="1"/>
  <c r="BK49" i="1"/>
  <c r="BK31" i="1" a="1"/>
  <c r="BK31" i="1"/>
  <c r="BK46" i="1" a="1"/>
  <c r="BK46" i="1"/>
  <c r="BK40" i="1" a="1"/>
  <c r="BK40" i="1"/>
  <c r="BK55" i="1" a="1"/>
  <c r="BK55" i="1"/>
  <c r="BK47" i="1" a="1"/>
  <c r="BK47" i="1"/>
  <c r="BK27" i="1" a="1"/>
  <c r="BK27" i="1"/>
  <c r="BK52" i="1" a="1"/>
  <c r="BK52" i="1"/>
  <c r="BK12" i="1" a="1"/>
  <c r="BK12" i="1"/>
  <c r="BK16" i="1" a="1"/>
  <c r="BK16" i="1"/>
  <c r="BK59" i="1" a="1"/>
  <c r="BK59" i="1"/>
  <c r="BK48" i="1" a="1"/>
  <c r="BK48" i="1"/>
  <c r="BK28" i="1" a="1"/>
  <c r="BK28" i="1"/>
  <c r="BK57" i="1" a="1"/>
  <c r="BK57" i="1"/>
  <c r="BK20" i="1" a="1"/>
  <c r="BK20" i="1"/>
  <c r="BK58" i="1" a="1"/>
  <c r="BK58" i="1"/>
  <c r="BK15" i="1" a="1"/>
  <c r="BK15" i="1"/>
  <c r="BK54" i="1" a="1"/>
  <c r="BK54" i="1"/>
  <c r="BK36" i="1" a="1"/>
  <c r="BK36" i="1"/>
  <c r="BK26" i="1" a="1"/>
  <c r="BK26" i="1"/>
  <c r="BK33" i="1" a="1"/>
  <c r="BK33" i="1"/>
  <c r="BK30" i="1" a="1"/>
  <c r="BK30" i="1"/>
  <c r="BK21" i="1" a="1"/>
  <c r="BK21" i="1"/>
  <c r="BK42" i="1" a="1"/>
  <c r="BK42" i="1"/>
  <c r="BK44" i="1" a="1"/>
  <c r="BK44" i="1"/>
  <c r="BK50" i="1" a="1"/>
  <c r="BK50" i="1"/>
  <c r="BK41" i="1" a="1"/>
  <c r="BK41" i="1"/>
  <c r="BK53" i="1" a="1"/>
  <c r="BK53" i="1"/>
  <c r="BL16" i="1" a="1"/>
  <c r="BL16" i="1"/>
  <c r="BL38" i="1" a="1"/>
  <c r="BL38" i="1"/>
  <c r="BL19" i="1" a="1"/>
  <c r="BL19" i="1"/>
  <c r="BL45" i="1" a="1"/>
  <c r="BL45" i="1"/>
  <c r="BL49" i="1" a="1"/>
  <c r="BL49" i="1"/>
  <c r="BL35" i="1" a="1"/>
  <c r="BL35" i="1"/>
  <c r="BL40" i="1" a="1"/>
  <c r="BL40" i="1"/>
  <c r="BL13" i="1" a="1"/>
  <c r="BL13" i="1"/>
  <c r="BL44" i="1" a="1"/>
  <c r="BL44" i="1"/>
  <c r="BL59" i="1" a="1"/>
  <c r="BL59" i="1"/>
  <c r="BL26" i="1" a="1"/>
  <c r="BL26" i="1"/>
  <c r="BL34" i="1" a="1"/>
  <c r="BL34" i="1"/>
  <c r="BL47" i="1" a="1"/>
  <c r="BL47" i="1"/>
  <c r="BL31" i="1" a="1"/>
  <c r="BL31" i="1"/>
  <c r="BL51" i="1" a="1"/>
  <c r="BL51" i="1"/>
  <c r="BL25" i="1" a="1"/>
  <c r="BL25" i="1"/>
  <c r="BL57" i="1" a="1"/>
  <c r="BL57" i="1"/>
  <c r="BL60" i="1" a="1"/>
  <c r="BL60" i="1"/>
  <c r="BL24" i="1" a="1"/>
  <c r="BL24" i="1"/>
  <c r="BL61" i="1" a="1"/>
  <c r="BL61" i="1"/>
  <c r="BL28" i="1" a="1"/>
  <c r="BL28" i="1"/>
  <c r="BL37" i="1" a="1"/>
  <c r="BL37" i="1"/>
  <c r="BL23" i="1" a="1"/>
  <c r="BL23" i="1"/>
  <c r="BL29" i="1" a="1"/>
  <c r="BL29" i="1"/>
  <c r="BL33" i="1" a="1"/>
  <c r="BL33" i="1"/>
  <c r="BL32" i="1" a="1"/>
  <c r="BL32" i="1"/>
  <c r="BL27" i="1" a="1"/>
  <c r="BL27" i="1"/>
  <c r="BL36" i="1" a="1"/>
  <c r="BL36" i="1"/>
  <c r="BL56" i="1" a="1"/>
  <c r="BL56" i="1"/>
  <c r="BL48" i="1" a="1"/>
  <c r="BL48" i="1"/>
  <c r="BL41" i="1" a="1"/>
  <c r="BL41" i="1"/>
  <c r="BL54" i="1" a="1"/>
  <c r="BL54" i="1"/>
  <c r="BL46" i="1" a="1"/>
  <c r="BL46" i="1"/>
  <c r="BL52" i="1" a="1"/>
  <c r="BL52" i="1"/>
  <c r="BL50" i="1" a="1"/>
  <c r="BL50" i="1"/>
  <c r="BL17" i="1" a="1"/>
  <c r="BL17" i="1"/>
  <c r="BL18" i="1" a="1"/>
  <c r="BL18" i="1"/>
  <c r="BL55" i="1" a="1"/>
  <c r="BL55" i="1"/>
  <c r="BL15" i="1" a="1"/>
  <c r="BL15" i="1"/>
  <c r="BL14" i="1" a="1"/>
  <c r="BL14" i="1"/>
  <c r="BL22" i="1" a="1"/>
  <c r="BL22" i="1"/>
  <c r="BL20" i="1" a="1"/>
  <c r="BL20" i="1"/>
  <c r="BL62" i="1" a="1"/>
  <c r="BL62" i="1"/>
  <c r="BL42" i="1" a="1"/>
  <c r="BL42" i="1"/>
  <c r="BL21" i="1" a="1"/>
  <c r="BL21" i="1"/>
  <c r="BL53" i="1" a="1"/>
  <c r="BL53" i="1"/>
  <c r="BL39" i="1" a="1"/>
  <c r="BL39" i="1"/>
  <c r="BL58" i="1" a="1"/>
  <c r="BL58" i="1"/>
  <c r="BL43" i="1" a="1"/>
  <c r="BL43" i="1"/>
  <c r="BL30" i="1" a="1"/>
  <c r="BL30" i="1"/>
  <c r="BL12" i="1" a="1"/>
  <c r="BL12" i="1"/>
  <c r="HH62" i="1" a="1"/>
  <c r="HH62" i="1"/>
  <c r="HH60" i="1" a="1"/>
  <c r="HH60" i="1"/>
  <c r="HH58" i="1" a="1"/>
  <c r="HH58" i="1"/>
  <c r="HH56" i="1" a="1"/>
  <c r="HH56" i="1"/>
  <c r="HH54" i="1" a="1"/>
  <c r="HH54" i="1"/>
  <c r="HH52" i="1" a="1"/>
  <c r="HH52" i="1"/>
  <c r="HH50" i="1" a="1"/>
  <c r="HH50" i="1"/>
  <c r="HH47" i="1" a="1"/>
  <c r="HH47" i="1"/>
  <c r="HH45" i="1" a="1"/>
  <c r="HH45" i="1"/>
  <c r="HH43" i="1" a="1"/>
  <c r="HH43" i="1"/>
  <c r="HH41" i="1" a="1"/>
  <c r="HH41" i="1"/>
  <c r="HH39" i="1" a="1"/>
  <c r="HH39" i="1"/>
  <c r="HH37" i="1" a="1"/>
  <c r="HH37" i="1"/>
  <c r="HH35" i="1" a="1"/>
  <c r="HH35" i="1"/>
  <c r="HH33" i="1" a="1"/>
  <c r="HH33" i="1"/>
  <c r="HH30" i="1" a="1"/>
  <c r="HH30" i="1"/>
  <c r="HH28" i="1" a="1"/>
  <c r="HH28" i="1"/>
  <c r="HH31" i="1" a="1"/>
  <c r="HH31" i="1"/>
  <c r="HH26" i="1" a="1"/>
  <c r="HH26" i="1"/>
  <c r="HH24" i="1" a="1"/>
  <c r="HH24" i="1"/>
  <c r="HH22" i="1" a="1"/>
  <c r="HH22" i="1"/>
  <c r="HH20" i="1" a="1"/>
  <c r="HH20" i="1"/>
  <c r="HH18" i="1" a="1"/>
  <c r="HH18" i="1"/>
  <c r="HH16" i="1" a="1"/>
  <c r="HH16" i="1"/>
  <c r="HH14" i="1" a="1"/>
  <c r="HH14" i="1"/>
  <c r="HH12" i="1" a="1"/>
  <c r="HH12" i="1"/>
  <c r="HH61" i="1" a="1"/>
  <c r="HH61" i="1"/>
  <c r="HH59" i="1" a="1"/>
  <c r="HH59" i="1"/>
  <c r="HH57" i="1" a="1"/>
  <c r="HH57" i="1"/>
  <c r="HH55" i="1" a="1"/>
  <c r="HH55" i="1"/>
  <c r="HH53" i="1" a="1"/>
  <c r="HH53" i="1"/>
  <c r="HH51" i="1" a="1"/>
  <c r="HH51" i="1"/>
  <c r="HH49" i="1" a="1"/>
  <c r="HH49" i="1"/>
  <c r="HH46" i="1" a="1"/>
  <c r="HH46" i="1"/>
  <c r="HH44" i="1" a="1"/>
  <c r="HH44" i="1"/>
  <c r="HH42" i="1" a="1"/>
  <c r="HH42" i="1"/>
  <c r="HH48" i="1" a="1"/>
  <c r="HH48" i="1"/>
  <c r="HH38" i="1" a="1"/>
  <c r="HH38" i="1"/>
  <c r="HH36" i="1" a="1"/>
  <c r="HH36" i="1"/>
  <c r="HH34" i="1" a="1"/>
  <c r="HH34" i="1"/>
  <c r="HH40" i="1" a="1"/>
  <c r="HH40" i="1"/>
  <c r="HH29" i="1" a="1"/>
  <c r="HH29" i="1"/>
  <c r="HH32" i="1" a="1"/>
  <c r="HH32" i="1"/>
  <c r="HH27" i="1" a="1"/>
  <c r="HH27" i="1"/>
  <c r="HH25" i="1" a="1"/>
  <c r="HH25" i="1"/>
  <c r="HH23" i="1" a="1"/>
  <c r="HH23" i="1"/>
  <c r="HH21" i="1" a="1"/>
  <c r="HH21" i="1"/>
  <c r="HH19" i="1" a="1"/>
  <c r="HH19" i="1"/>
  <c r="HH17" i="1" a="1"/>
  <c r="HH17" i="1"/>
  <c r="HH15" i="1" a="1"/>
  <c r="HH15" i="1"/>
  <c r="HH13" i="1" a="1"/>
  <c r="HH13" i="1"/>
  <c r="HI11" i="1"/>
  <c r="HI60" i="1" a="1"/>
  <c r="HI60" i="1"/>
  <c r="HI58" i="1" a="1"/>
  <c r="HI58" i="1"/>
  <c r="HI57" i="1" a="1"/>
  <c r="HI57" i="1"/>
  <c r="HI55" i="1" a="1"/>
  <c r="HI55" i="1"/>
  <c r="HI53" i="1" a="1"/>
  <c r="HI53" i="1"/>
  <c r="HI51" i="1" a="1"/>
  <c r="HI51" i="1"/>
  <c r="HI49" i="1" a="1"/>
  <c r="HI49" i="1"/>
  <c r="HI47" i="1" a="1"/>
  <c r="HI47" i="1"/>
  <c r="HI45" i="1" a="1"/>
  <c r="HI45" i="1"/>
  <c r="HI43" i="1" a="1"/>
  <c r="HI43" i="1"/>
  <c r="HI41" i="1" a="1"/>
  <c r="HI41" i="1"/>
  <c r="HI39" i="1" a="1"/>
  <c r="HI39" i="1"/>
  <c r="HI37" i="1" a="1"/>
  <c r="HI37" i="1"/>
  <c r="HI35" i="1" a="1"/>
  <c r="HI35" i="1"/>
  <c r="HI33" i="1" a="1"/>
  <c r="HI33" i="1"/>
  <c r="HI31" i="1" a="1"/>
  <c r="HI31" i="1"/>
  <c r="HI29" i="1" a="1"/>
  <c r="HI29" i="1"/>
  <c r="HI27" i="1" a="1"/>
  <c r="HI27" i="1"/>
  <c r="HI25" i="1" a="1"/>
  <c r="HI25" i="1"/>
  <c r="HI23" i="1" a="1"/>
  <c r="HI23" i="1"/>
  <c r="HI21" i="1" a="1"/>
  <c r="HI21" i="1"/>
  <c r="HI19" i="1" a="1"/>
  <c r="HI19" i="1"/>
  <c r="HI17" i="1" a="1"/>
  <c r="HI17" i="1"/>
  <c r="HI15" i="1" a="1"/>
  <c r="HI15" i="1"/>
  <c r="HI13" i="1" a="1"/>
  <c r="HI13" i="1"/>
  <c r="HJ11" i="1"/>
  <c r="HI62" i="1" a="1"/>
  <c r="HI62" i="1"/>
  <c r="HI59" i="1" a="1"/>
  <c r="HI59" i="1"/>
  <c r="HI61" i="1" a="1"/>
  <c r="HI61" i="1"/>
  <c r="HI56" i="1" a="1"/>
  <c r="HI56" i="1"/>
  <c r="HI54" i="1" a="1"/>
  <c r="HI54" i="1"/>
  <c r="HI52" i="1" a="1"/>
  <c r="HI52" i="1"/>
  <c r="HI50" i="1" a="1"/>
  <c r="HI50" i="1"/>
  <c r="HI48" i="1" a="1"/>
  <c r="HI48" i="1"/>
  <c r="HI46" i="1" a="1"/>
  <c r="HI46" i="1"/>
  <c r="HI44" i="1" a="1"/>
  <c r="HI44" i="1"/>
  <c r="HI42" i="1" a="1"/>
  <c r="HI42" i="1"/>
  <c r="HI40" i="1" a="1"/>
  <c r="HI40" i="1"/>
  <c r="HI38" i="1" a="1"/>
  <c r="HI38" i="1"/>
  <c r="HI36" i="1" a="1"/>
  <c r="HI36" i="1"/>
  <c r="HI34" i="1" a="1"/>
  <c r="HI34" i="1"/>
  <c r="HI32" i="1" a="1"/>
  <c r="HI32" i="1"/>
  <c r="HI30" i="1" a="1"/>
  <c r="HI30" i="1"/>
  <c r="HI28" i="1" a="1"/>
  <c r="HI28" i="1"/>
  <c r="HI26" i="1" a="1"/>
  <c r="HI26" i="1"/>
  <c r="HI24" i="1" a="1"/>
  <c r="HI24" i="1"/>
  <c r="HI22" i="1" a="1"/>
  <c r="HI22" i="1"/>
  <c r="HI20" i="1" a="1"/>
  <c r="HI20" i="1"/>
  <c r="HI18" i="1" a="1"/>
  <c r="HI18" i="1"/>
  <c r="HI16" i="1" a="1"/>
  <c r="HI16" i="1"/>
  <c r="HI14" i="1" a="1"/>
  <c r="HI14" i="1"/>
  <c r="HI12" i="1" a="1"/>
  <c r="HI12" i="1"/>
  <c r="BM31" i="1" a="1"/>
  <c r="BM31" i="1"/>
  <c r="BM18" i="1" a="1"/>
  <c r="BM18" i="1"/>
  <c r="BM38" i="1" a="1"/>
  <c r="BM38" i="1"/>
  <c r="BM22" i="1" a="1"/>
  <c r="BM22" i="1"/>
  <c r="BM32" i="1" a="1"/>
  <c r="BM32" i="1"/>
  <c r="BM50" i="1" a="1"/>
  <c r="BM50" i="1"/>
  <c r="BM39" i="1" a="1"/>
  <c r="BM39" i="1"/>
  <c r="BM60" i="1" a="1"/>
  <c r="BM60" i="1"/>
  <c r="BM29" i="1" a="1"/>
  <c r="BM29" i="1"/>
  <c r="BM62" i="1" a="1"/>
  <c r="BM62" i="1"/>
  <c r="BM54" i="1" a="1"/>
  <c r="BM54" i="1"/>
  <c r="BM24" i="1" a="1"/>
  <c r="BM24" i="1"/>
  <c r="BM25" i="1" a="1"/>
  <c r="BM25" i="1"/>
  <c r="BM20" i="1" a="1"/>
  <c r="BM20" i="1"/>
  <c r="BM52" i="1" a="1"/>
  <c r="BM52" i="1"/>
  <c r="BM12" i="1" a="1"/>
  <c r="BM12" i="1"/>
  <c r="BM16" i="1" a="1"/>
  <c r="BM16" i="1"/>
  <c r="BM59" i="1" a="1"/>
  <c r="BM59" i="1"/>
  <c r="BM48" i="1" a="1"/>
  <c r="BM48" i="1"/>
  <c r="BM28" i="1" a="1"/>
  <c r="BM28" i="1"/>
  <c r="BM49" i="1" a="1"/>
  <c r="BM49" i="1"/>
  <c r="BM51" i="1" a="1"/>
  <c r="BM51" i="1"/>
  <c r="BM46" i="1" a="1"/>
  <c r="BM46" i="1"/>
  <c r="BM37" i="1" a="1"/>
  <c r="BM37" i="1"/>
  <c r="BM55" i="1" a="1"/>
  <c r="BM55" i="1"/>
  <c r="BM47" i="1" a="1"/>
  <c r="BM47" i="1"/>
  <c r="BM26" i="1" a="1"/>
  <c r="BM26" i="1"/>
  <c r="BM33" i="1" a="1"/>
  <c r="BM33" i="1"/>
  <c r="BM30" i="1" a="1"/>
  <c r="BM30" i="1"/>
  <c r="BM13" i="1" a="1"/>
  <c r="BM13" i="1"/>
  <c r="BM42" i="1" a="1"/>
  <c r="BM42" i="1"/>
  <c r="BM44" i="1" a="1"/>
  <c r="BM44" i="1"/>
  <c r="BM57" i="1" a="1"/>
  <c r="BM57" i="1"/>
  <c r="BM40" i="1" a="1"/>
  <c r="BM40" i="1"/>
  <c r="BM58" i="1" a="1"/>
  <c r="BM58" i="1"/>
  <c r="BM15" i="1" a="1"/>
  <c r="BM15" i="1"/>
  <c r="BM34" i="1" a="1"/>
  <c r="BM34" i="1"/>
  <c r="BM36" i="1" a="1"/>
  <c r="BM36" i="1"/>
  <c r="BM19" i="1" a="1"/>
  <c r="BM19" i="1"/>
  <c r="BM21" i="1" a="1"/>
  <c r="BM21" i="1"/>
  <c r="BM23" i="1" a="1"/>
  <c r="BM23" i="1"/>
  <c r="BM43" i="1" a="1"/>
  <c r="BM43" i="1"/>
  <c r="BM14" i="1" a="1"/>
  <c r="BM14" i="1"/>
  <c r="BM17" i="1" a="1"/>
  <c r="BM17" i="1"/>
  <c r="BM56" i="1" a="1"/>
  <c r="BM56" i="1"/>
  <c r="BM41" i="1" a="1"/>
  <c r="BM41" i="1"/>
  <c r="BM53" i="1" a="1"/>
  <c r="BM53" i="1"/>
  <c r="BM45" i="1" a="1"/>
  <c r="BM45" i="1"/>
  <c r="BM35" i="1" a="1"/>
  <c r="BM35" i="1"/>
  <c r="BM27" i="1" a="1"/>
  <c r="BM27" i="1"/>
  <c r="BM61" i="1" a="1"/>
  <c r="BM61" i="1"/>
  <c r="BN17" i="1" a="1"/>
  <c r="BN17" i="1"/>
  <c r="BN13" i="1" a="1"/>
  <c r="BN13" i="1"/>
  <c r="BN55" i="1" a="1"/>
  <c r="BN55" i="1"/>
  <c r="BN22" i="1" a="1"/>
  <c r="BN22" i="1"/>
  <c r="BN18" i="1" a="1"/>
  <c r="BN18" i="1"/>
  <c r="BN51" i="1" a="1"/>
  <c r="BN51" i="1"/>
  <c r="BN42" i="1" a="1"/>
  <c r="BN42" i="1"/>
  <c r="BN49" i="1" a="1"/>
  <c r="BN49" i="1"/>
  <c r="BN40" i="1" a="1"/>
  <c r="BN40" i="1"/>
  <c r="BN54" i="1" a="1"/>
  <c r="BN54" i="1"/>
  <c r="BN32" i="1" a="1"/>
  <c r="BN32" i="1"/>
  <c r="BN59" i="1" a="1"/>
  <c r="BN59" i="1"/>
  <c r="BN50" i="1" a="1"/>
  <c r="BN50" i="1"/>
  <c r="BN30" i="1" a="1"/>
  <c r="BN30" i="1"/>
  <c r="BN16" i="1" a="1"/>
  <c r="BN16" i="1"/>
  <c r="BN33" i="1" a="1"/>
  <c r="BN33" i="1"/>
  <c r="BN24" i="1" a="1"/>
  <c r="BN24" i="1"/>
  <c r="BN45" i="1" a="1"/>
  <c r="BN45" i="1"/>
  <c r="BN36" i="1" a="1"/>
  <c r="BN36" i="1"/>
  <c r="BN35" i="1" a="1"/>
  <c r="BN35" i="1"/>
  <c r="BN57" i="1" a="1"/>
  <c r="BN57" i="1"/>
  <c r="BN60" i="1" a="1"/>
  <c r="BN60" i="1"/>
  <c r="BN61" i="1" a="1"/>
  <c r="BN61" i="1"/>
  <c r="BN14" i="1" a="1"/>
  <c r="BN14" i="1"/>
  <c r="BN58" i="1" a="1"/>
  <c r="BN58" i="1"/>
  <c r="BN43" i="1" a="1"/>
  <c r="BN43" i="1"/>
  <c r="BN12" i="1" a="1"/>
  <c r="BN12" i="1"/>
  <c r="BN26" i="1" a="1"/>
  <c r="BN26" i="1"/>
  <c r="BN34" i="1" a="1"/>
  <c r="BN34" i="1"/>
  <c r="BN15" i="1" a="1"/>
  <c r="BN15" i="1"/>
  <c r="BN46" i="1" a="1"/>
  <c r="BN46" i="1"/>
  <c r="BN25" i="1" a="1"/>
  <c r="BN25" i="1"/>
  <c r="BN20" i="1" a="1"/>
  <c r="BN20" i="1"/>
  <c r="BN56" i="1" a="1"/>
  <c r="BN56" i="1"/>
  <c r="BN48" i="1" a="1"/>
  <c r="BN48" i="1"/>
  <c r="BN41" i="1" a="1"/>
  <c r="BN41" i="1"/>
  <c r="BN52" i="1" a="1"/>
  <c r="BN52" i="1"/>
  <c r="BN38" i="1" a="1"/>
  <c r="BN38" i="1"/>
  <c r="BN44" i="1" a="1"/>
  <c r="BN44" i="1"/>
  <c r="BN37" i="1" a="1"/>
  <c r="BN37" i="1"/>
  <c r="BN23" i="1" a="1"/>
  <c r="BN23" i="1"/>
  <c r="BN29" i="1" a="1"/>
  <c r="BN29" i="1"/>
  <c r="BN27" i="1" a="1"/>
  <c r="BN27" i="1"/>
  <c r="BN39" i="1" a="1"/>
  <c r="BN39" i="1"/>
  <c r="BN19" i="1" a="1"/>
  <c r="BN19" i="1"/>
  <c r="BN62" i="1" a="1"/>
  <c r="BN62" i="1"/>
  <c r="BN53" i="1" a="1"/>
  <c r="BN53" i="1"/>
  <c r="BN21" i="1" a="1"/>
  <c r="BN21" i="1"/>
  <c r="BN47" i="1" a="1"/>
  <c r="BN47" i="1"/>
  <c r="BN31" i="1" a="1"/>
  <c r="BN31" i="1"/>
  <c r="BN28" i="1" a="1"/>
  <c r="BN28" i="1"/>
  <c r="HJ62" i="1" a="1"/>
  <c r="HJ62" i="1"/>
  <c r="HJ60" i="1" a="1"/>
  <c r="HJ60" i="1"/>
  <c r="HJ58" i="1" a="1"/>
  <c r="HJ58" i="1"/>
  <c r="HJ56" i="1" a="1"/>
  <c r="HJ56" i="1"/>
  <c r="HJ54" i="1" a="1"/>
  <c r="HJ54" i="1"/>
  <c r="HJ50" i="1" a="1"/>
  <c r="HJ50" i="1"/>
  <c r="HJ52" i="1" a="1"/>
  <c r="HJ52" i="1"/>
  <c r="HJ48" i="1" a="1"/>
  <c r="HJ48" i="1"/>
  <c r="HJ44" i="1" a="1"/>
  <c r="HJ44" i="1"/>
  <c r="HJ42" i="1" a="1"/>
  <c r="HJ42" i="1"/>
  <c r="HJ47" i="1" a="1"/>
  <c r="HJ47" i="1"/>
  <c r="HJ40" i="1" a="1"/>
  <c r="HJ40" i="1"/>
  <c r="HJ34" i="1" a="1"/>
  <c r="HJ34" i="1"/>
  <c r="HJ39" i="1" a="1"/>
  <c r="HJ39" i="1"/>
  <c r="HJ37" i="1" a="1"/>
  <c r="HJ37" i="1"/>
  <c r="HJ32" i="1" a="1"/>
  <c r="HJ32" i="1"/>
  <c r="HJ30" i="1" a="1"/>
  <c r="HJ30" i="1"/>
  <c r="HJ28" i="1" a="1"/>
  <c r="HJ28" i="1"/>
  <c r="HJ26" i="1" a="1"/>
  <c r="HJ26" i="1"/>
  <c r="HJ24" i="1" a="1"/>
  <c r="HJ24" i="1"/>
  <c r="HJ22" i="1" a="1"/>
  <c r="HJ22" i="1"/>
  <c r="HJ20" i="1" a="1"/>
  <c r="HJ20" i="1"/>
  <c r="HJ18" i="1" a="1"/>
  <c r="HJ18" i="1"/>
  <c r="HJ16" i="1" a="1"/>
  <c r="HJ16" i="1"/>
  <c r="HJ14" i="1" a="1"/>
  <c r="HJ14" i="1"/>
  <c r="HJ12" i="1" a="1"/>
  <c r="HJ12" i="1"/>
  <c r="HJ61" i="1" a="1"/>
  <c r="HJ61" i="1"/>
  <c r="HJ59" i="1" a="1"/>
  <c r="HJ59" i="1"/>
  <c r="HJ57" i="1" a="1"/>
  <c r="HJ57" i="1"/>
  <c r="HJ55" i="1" a="1"/>
  <c r="HJ55" i="1"/>
  <c r="HJ53" i="1" a="1"/>
  <c r="HJ53" i="1"/>
  <c r="HJ49" i="1" a="1"/>
  <c r="HJ49" i="1"/>
  <c r="HJ51" i="1" a="1"/>
  <c r="HJ51" i="1"/>
  <c r="HJ45" i="1" a="1"/>
  <c r="HJ45" i="1"/>
  <c r="HJ43" i="1" a="1"/>
  <c r="HJ43" i="1"/>
  <c r="HJ41" i="1" a="1"/>
  <c r="HJ41" i="1"/>
  <c r="HJ46" i="1" a="1"/>
  <c r="HJ46" i="1"/>
  <c r="HJ35" i="1" a="1"/>
  <c r="HJ35" i="1"/>
  <c r="HJ33" i="1" a="1"/>
  <c r="HJ33" i="1"/>
  <c r="HJ38" i="1" a="1"/>
  <c r="HJ38" i="1"/>
  <c r="HJ36" i="1" a="1"/>
  <c r="HJ36" i="1"/>
  <c r="HJ31" i="1" a="1"/>
  <c r="HJ31" i="1"/>
  <c r="HJ29" i="1" a="1"/>
  <c r="HJ29" i="1"/>
  <c r="HJ27" i="1" a="1"/>
  <c r="HJ27" i="1"/>
  <c r="HJ25" i="1" a="1"/>
  <c r="HJ25" i="1"/>
  <c r="HJ23" i="1" a="1"/>
  <c r="HJ23" i="1"/>
  <c r="HJ21" i="1" a="1"/>
  <c r="HJ21" i="1"/>
  <c r="HJ19" i="1" a="1"/>
  <c r="HJ19" i="1"/>
  <c r="HJ17" i="1" a="1"/>
  <c r="HJ17" i="1"/>
  <c r="HJ15" i="1" a="1"/>
  <c r="HJ15" i="1"/>
  <c r="HJ13" i="1" a="1"/>
  <c r="HJ13" i="1"/>
  <c r="HK11" i="1"/>
  <c r="HK62" i="1" a="1"/>
  <c r="HK62" i="1"/>
  <c r="HK59" i="1" a="1"/>
  <c r="HK59" i="1"/>
  <c r="HK61" i="1" a="1"/>
  <c r="HK61" i="1"/>
  <c r="HK54" i="1" a="1"/>
  <c r="HK54" i="1"/>
  <c r="HK56" i="1" a="1"/>
  <c r="HK56" i="1"/>
  <c r="HK51" i="1" a="1"/>
  <c r="HK51" i="1"/>
  <c r="HK50" i="1" a="1"/>
  <c r="HK50" i="1"/>
  <c r="HK48" i="1" a="1"/>
  <c r="HK48" i="1"/>
  <c r="HK46" i="1" a="1"/>
  <c r="HK46" i="1"/>
  <c r="HK44" i="1" a="1"/>
  <c r="HK44" i="1"/>
  <c r="HK42" i="1" a="1"/>
  <c r="HK42" i="1"/>
  <c r="HK40" i="1" a="1"/>
  <c r="HK40" i="1"/>
  <c r="HK38" i="1" a="1"/>
  <c r="HK38" i="1"/>
  <c r="HK36" i="1" a="1"/>
  <c r="HK36" i="1"/>
  <c r="HK34" i="1" a="1"/>
  <c r="HK34" i="1"/>
  <c r="HK32" i="1" a="1"/>
  <c r="HK32" i="1"/>
  <c r="HK30" i="1" a="1"/>
  <c r="HK30" i="1"/>
  <c r="HK28" i="1" a="1"/>
  <c r="HK28" i="1"/>
  <c r="HK26" i="1" a="1"/>
  <c r="HK26" i="1"/>
  <c r="HK24" i="1" a="1"/>
  <c r="HK24" i="1"/>
  <c r="HK22" i="1" a="1"/>
  <c r="HK22" i="1"/>
  <c r="HK20" i="1" a="1"/>
  <c r="HK20" i="1"/>
  <c r="HK18" i="1" a="1"/>
  <c r="HK18" i="1"/>
  <c r="HK16" i="1" a="1"/>
  <c r="HK16" i="1"/>
  <c r="HK14" i="1" a="1"/>
  <c r="HK14" i="1"/>
  <c r="HK12" i="1" a="1"/>
  <c r="HK12" i="1"/>
  <c r="HK60" i="1" a="1"/>
  <c r="HK60" i="1"/>
  <c r="HK58" i="1" a="1"/>
  <c r="HK58" i="1"/>
  <c r="HK55" i="1" a="1"/>
  <c r="HK55" i="1"/>
  <c r="HK57" i="1" a="1"/>
  <c r="HK57" i="1"/>
  <c r="HK52" i="1" a="1"/>
  <c r="HK52" i="1"/>
  <c r="HK53" i="1" a="1"/>
  <c r="HK53" i="1"/>
  <c r="HK49" i="1" a="1"/>
  <c r="HK49" i="1"/>
  <c r="HK47" i="1" a="1"/>
  <c r="HK47" i="1"/>
  <c r="HK45" i="1" a="1"/>
  <c r="HK45" i="1"/>
  <c r="HK43" i="1" a="1"/>
  <c r="HK43" i="1"/>
  <c r="HK41" i="1" a="1"/>
  <c r="HK41" i="1"/>
  <c r="HK39" i="1" a="1"/>
  <c r="HK39" i="1"/>
  <c r="HK37" i="1" a="1"/>
  <c r="HK37" i="1"/>
  <c r="HK35" i="1" a="1"/>
  <c r="HK35" i="1"/>
  <c r="HK33" i="1" a="1"/>
  <c r="HK33" i="1"/>
  <c r="HK31" i="1" a="1"/>
  <c r="HK31" i="1"/>
  <c r="HK29" i="1" a="1"/>
  <c r="HK29" i="1"/>
  <c r="HK27" i="1" a="1"/>
  <c r="HK27" i="1"/>
  <c r="HK25" i="1" a="1"/>
  <c r="HK25" i="1"/>
  <c r="HK23" i="1" a="1"/>
  <c r="HK23" i="1"/>
  <c r="HK21" i="1" a="1"/>
  <c r="HK21" i="1"/>
  <c r="HK19" i="1" a="1"/>
  <c r="HK19" i="1"/>
  <c r="HK17" i="1" a="1"/>
  <c r="HK17" i="1"/>
  <c r="HK15" i="1" a="1"/>
  <c r="HK15" i="1"/>
  <c r="HK13" i="1" a="1"/>
  <c r="HK13" i="1"/>
  <c r="HL11" i="1"/>
  <c r="BO42" i="1" a="1"/>
  <c r="BO42" i="1"/>
  <c r="BO49" i="1" a="1"/>
  <c r="BO49" i="1"/>
  <c r="BO31" i="1" a="1"/>
  <c r="BO31" i="1"/>
  <c r="BO41" i="1" a="1"/>
  <c r="BO41" i="1"/>
  <c r="BO15" i="1" a="1"/>
  <c r="BO15" i="1"/>
  <c r="BO45" i="1" a="1"/>
  <c r="BO45" i="1"/>
  <c r="BO24" i="1" a="1"/>
  <c r="BO24" i="1"/>
  <c r="BO26" i="1" a="1"/>
  <c r="BO26" i="1"/>
  <c r="BO28" i="1" a="1"/>
  <c r="BO28" i="1"/>
  <c r="BO18" i="1" a="1"/>
  <c r="BO18" i="1"/>
  <c r="BO43" i="1" a="1"/>
  <c r="BO43" i="1"/>
  <c r="BO22" i="1" a="1"/>
  <c r="BO22" i="1"/>
  <c r="BO48" i="1" a="1"/>
  <c r="BO48" i="1"/>
  <c r="BO14" i="1" a="1"/>
  <c r="BO14" i="1"/>
  <c r="BO47" i="1" a="1"/>
  <c r="BO47" i="1"/>
  <c r="BO20" i="1" a="1"/>
  <c r="BO20" i="1"/>
  <c r="BO29" i="1" a="1"/>
  <c r="BO29" i="1"/>
  <c r="BO62" i="1" a="1"/>
  <c r="BO62" i="1"/>
  <c r="BO54" i="1" a="1"/>
  <c r="BO54" i="1"/>
  <c r="BO55" i="1" a="1"/>
  <c r="BO55" i="1"/>
  <c r="BO19" i="1" a="1"/>
  <c r="BO19" i="1"/>
  <c r="BO56" i="1" a="1"/>
  <c r="BO56" i="1"/>
  <c r="BO52" i="1" a="1"/>
  <c r="BO52" i="1"/>
  <c r="BO32" i="1" a="1"/>
  <c r="BO32" i="1"/>
  <c r="BO16" i="1" a="1"/>
  <c r="BO16" i="1"/>
  <c r="BO44" i="1" a="1"/>
  <c r="BO44" i="1"/>
  <c r="BO50" i="1" a="1"/>
  <c r="BO50" i="1"/>
  <c r="BO36" i="1" a="1"/>
  <c r="BO36" i="1"/>
  <c r="BO53" i="1" a="1"/>
  <c r="BO53" i="1"/>
  <c r="BO51" i="1" a="1"/>
  <c r="BO51" i="1"/>
  <c r="BO46" i="1" a="1"/>
  <c r="BO46" i="1"/>
  <c r="BO37" i="1" a="1"/>
  <c r="BO37" i="1"/>
  <c r="BO25" i="1" a="1"/>
  <c r="BO25" i="1"/>
  <c r="BO34" i="1" a="1"/>
  <c r="BO34" i="1"/>
  <c r="BO17" i="1" a="1"/>
  <c r="BO17" i="1"/>
  <c r="BO38" i="1" a="1"/>
  <c r="BO38" i="1"/>
  <c r="BO33" i="1" a="1"/>
  <c r="BO33" i="1"/>
  <c r="BO30" i="1" a="1"/>
  <c r="BO30" i="1"/>
  <c r="BO13" i="1" a="1"/>
  <c r="BO13" i="1"/>
  <c r="BO59" i="1" a="1"/>
  <c r="BO59" i="1"/>
  <c r="BO60" i="1" a="1"/>
  <c r="BO60" i="1"/>
  <c r="BO61" i="1" a="1"/>
  <c r="BO61" i="1"/>
  <c r="BO57" i="1" a="1"/>
  <c r="BO57" i="1"/>
  <c r="BO40" i="1" a="1"/>
  <c r="BO40" i="1"/>
  <c r="BO58" i="1" a="1"/>
  <c r="BO58" i="1"/>
  <c r="BO35" i="1" a="1"/>
  <c r="BO35" i="1"/>
  <c r="BO27" i="1" a="1"/>
  <c r="BO27" i="1"/>
  <c r="BO39" i="1" a="1"/>
  <c r="BO39" i="1"/>
  <c r="BO12" i="1" a="1"/>
  <c r="BO12" i="1"/>
  <c r="BO21" i="1" a="1"/>
  <c r="BO21" i="1"/>
  <c r="BO23" i="1" a="1"/>
  <c r="BO23" i="1"/>
  <c r="HL62" i="1" a="1"/>
  <c r="HL62" i="1"/>
  <c r="HL60" i="1" a="1"/>
  <c r="HL60" i="1"/>
  <c r="HL58" i="1" a="1"/>
  <c r="HL58" i="1"/>
  <c r="HL56" i="1" a="1"/>
  <c r="HL56" i="1"/>
  <c r="HL54" i="1" a="1"/>
  <c r="HL54" i="1"/>
  <c r="HL50" i="1" a="1"/>
  <c r="HL50" i="1"/>
  <c r="HL52" i="1" a="1"/>
  <c r="HL52" i="1"/>
  <c r="HL45" i="1" a="1"/>
  <c r="HL45" i="1"/>
  <c r="HL43" i="1" a="1"/>
  <c r="HL43" i="1"/>
  <c r="HL41" i="1" a="1"/>
  <c r="HL41" i="1"/>
  <c r="HL47" i="1" a="1"/>
  <c r="HL47" i="1"/>
  <c r="HL35" i="1" a="1"/>
  <c r="HL35" i="1"/>
  <c r="HL33" i="1" a="1"/>
  <c r="HL33" i="1"/>
  <c r="HL39" i="1" a="1"/>
  <c r="HL39" i="1"/>
  <c r="HL37" i="1" a="1"/>
  <c r="HL37" i="1"/>
  <c r="HL32" i="1" a="1"/>
  <c r="HL32" i="1"/>
  <c r="HL30" i="1" a="1"/>
  <c r="HL30" i="1"/>
  <c r="HL28" i="1" a="1"/>
  <c r="HL28" i="1"/>
  <c r="HL26" i="1" a="1"/>
  <c r="HL26" i="1"/>
  <c r="HL24" i="1" a="1"/>
  <c r="HL24" i="1"/>
  <c r="HL22" i="1" a="1"/>
  <c r="HL22" i="1"/>
  <c r="HL16" i="1" a="1"/>
  <c r="HL16" i="1"/>
  <c r="HL14" i="1" a="1"/>
  <c r="HL14" i="1"/>
  <c r="HL12" i="1" a="1"/>
  <c r="HL12" i="1"/>
  <c r="HL20" i="1" a="1"/>
  <c r="HL20" i="1"/>
  <c r="HL18" i="1" a="1"/>
  <c r="HL18" i="1"/>
  <c r="HL61" i="1" a="1"/>
  <c r="HL61" i="1"/>
  <c r="HL59" i="1" a="1"/>
  <c r="HL59" i="1"/>
  <c r="HL57" i="1" a="1"/>
  <c r="HL57" i="1"/>
  <c r="HL55" i="1" a="1"/>
  <c r="HL55" i="1"/>
  <c r="HL53" i="1" a="1"/>
  <c r="HL53" i="1"/>
  <c r="HL49" i="1" a="1"/>
  <c r="HL49" i="1"/>
  <c r="HL51" i="1" a="1"/>
  <c r="HL51" i="1"/>
  <c r="HL44" i="1" a="1"/>
  <c r="HL44" i="1"/>
  <c r="HL42" i="1" a="1"/>
  <c r="HL42" i="1"/>
  <c r="HL48" i="1" a="1"/>
  <c r="HL48" i="1"/>
  <c r="HL46" i="1" a="1"/>
  <c r="HL46" i="1"/>
  <c r="HL34" i="1" a="1"/>
  <c r="HL34" i="1"/>
  <c r="HL40" i="1" a="1"/>
  <c r="HL40" i="1"/>
  <c r="HL38" i="1" a="1"/>
  <c r="HL38" i="1"/>
  <c r="HL36" i="1" a="1"/>
  <c r="HL36" i="1"/>
  <c r="HL31" i="1" a="1"/>
  <c r="HL31" i="1"/>
  <c r="HL29" i="1" a="1"/>
  <c r="HL29" i="1"/>
  <c r="HL27" i="1" a="1"/>
  <c r="HL27" i="1"/>
  <c r="HL25" i="1" a="1"/>
  <c r="HL25" i="1"/>
  <c r="HL23" i="1" a="1"/>
  <c r="HL23" i="1"/>
  <c r="HL17" i="1" a="1"/>
  <c r="HL17" i="1"/>
  <c r="HL15" i="1" a="1"/>
  <c r="HL15" i="1"/>
  <c r="HL13" i="1" a="1"/>
  <c r="HL13" i="1"/>
  <c r="HL21" i="1" a="1"/>
  <c r="HL21" i="1"/>
  <c r="HL19" i="1" a="1"/>
  <c r="HL19" i="1"/>
  <c r="HM11" i="1"/>
  <c r="BP36" i="1" a="1"/>
  <c r="BP36" i="1"/>
  <c r="BP56" i="1" a="1"/>
  <c r="BP56" i="1"/>
  <c r="BP50" i="1" a="1"/>
  <c r="BP50" i="1"/>
  <c r="BP21" i="1" a="1"/>
  <c r="BP21" i="1"/>
  <c r="BP18" i="1" a="1"/>
  <c r="BP18" i="1"/>
  <c r="BP54" i="1" a="1"/>
  <c r="BP54" i="1"/>
  <c r="BP14" i="1" a="1"/>
  <c r="BP14" i="1"/>
  <c r="BP46" i="1" a="1"/>
  <c r="BP46" i="1"/>
  <c r="BP17" i="1" a="1"/>
  <c r="BP17" i="1"/>
  <c r="BP22" i="1" a="1"/>
  <c r="BP22" i="1"/>
  <c r="BP62" i="1" a="1"/>
  <c r="BP62" i="1"/>
  <c r="BP53" i="1" a="1"/>
  <c r="BP53" i="1"/>
  <c r="BP15" i="1" a="1"/>
  <c r="BP15" i="1"/>
  <c r="BP12" i="1" a="1"/>
  <c r="BP12" i="1"/>
  <c r="BP37" i="1" a="1"/>
  <c r="BP37" i="1"/>
  <c r="BP35" i="1" a="1"/>
  <c r="BP35" i="1"/>
  <c r="BP30" i="1" a="1"/>
  <c r="BP30" i="1"/>
  <c r="BP16" i="1" a="1"/>
  <c r="BP16" i="1"/>
  <c r="BP33" i="1" a="1"/>
  <c r="BP33" i="1"/>
  <c r="BP31" i="1" a="1"/>
  <c r="BP31" i="1"/>
  <c r="BP49" i="1" a="1"/>
  <c r="BP49" i="1"/>
  <c r="BP42" i="1" a="1"/>
  <c r="BP42" i="1"/>
  <c r="BP48" i="1" a="1"/>
  <c r="BP48" i="1"/>
  <c r="BP32" i="1" a="1"/>
  <c r="BP32" i="1"/>
  <c r="BP52" i="1" a="1"/>
  <c r="BP52" i="1"/>
  <c r="BP38" i="1" a="1"/>
  <c r="BP38" i="1"/>
  <c r="BP28" i="1" a="1"/>
  <c r="BP28" i="1"/>
  <c r="BP60" i="1" a="1"/>
  <c r="BP60" i="1"/>
  <c r="BP20" i="1" a="1"/>
  <c r="BP20" i="1"/>
  <c r="BP47" i="1" a="1"/>
  <c r="BP47" i="1"/>
  <c r="BP24" i="1" a="1"/>
  <c r="BP24" i="1"/>
  <c r="BP59" i="1" a="1"/>
  <c r="BP59" i="1"/>
  <c r="BP51" i="1" a="1"/>
  <c r="BP51" i="1"/>
  <c r="BP29" i="1" a="1"/>
  <c r="BP29" i="1"/>
  <c r="BP57" i="1" a="1"/>
  <c r="BP57" i="1"/>
  <c r="BP26" i="1" a="1"/>
  <c r="BP26" i="1"/>
  <c r="BP61" i="1" a="1"/>
  <c r="BP61" i="1"/>
  <c r="BP58" i="1" a="1"/>
  <c r="BP58" i="1"/>
  <c r="BP25" i="1" a="1"/>
  <c r="BP25" i="1"/>
  <c r="BP13" i="1" a="1"/>
  <c r="BP13" i="1"/>
  <c r="BP34" i="1" a="1"/>
  <c r="BP34" i="1"/>
  <c r="BP23" i="1" a="1"/>
  <c r="BP23" i="1"/>
  <c r="BP39" i="1" a="1"/>
  <c r="BP39" i="1"/>
  <c r="BP27" i="1" a="1"/>
  <c r="BP27" i="1"/>
  <c r="BP19" i="1" a="1"/>
  <c r="BP19" i="1"/>
  <c r="BP45" i="1" a="1"/>
  <c r="BP45" i="1"/>
  <c r="BP43" i="1" a="1"/>
  <c r="BP43" i="1"/>
  <c r="BP55" i="1" a="1"/>
  <c r="BP55" i="1"/>
  <c r="BP40" i="1" a="1"/>
  <c r="BP40" i="1"/>
  <c r="BP41" i="1" a="1"/>
  <c r="BP41" i="1"/>
  <c r="BP44" i="1" a="1"/>
  <c r="BP44" i="1"/>
  <c r="HM61" i="1" a="1"/>
  <c r="HM61" i="1"/>
  <c r="HM59" i="1" a="1"/>
  <c r="HM59" i="1"/>
  <c r="HM55" i="1" a="1"/>
  <c r="HM55" i="1"/>
  <c r="HM57" i="1" a="1"/>
  <c r="HM57" i="1"/>
  <c r="HM53" i="1" a="1"/>
  <c r="HM53" i="1"/>
  <c r="HM51" i="1" a="1"/>
  <c r="HM51" i="1"/>
  <c r="HM49" i="1" a="1"/>
  <c r="HM49" i="1"/>
  <c r="HM47" i="1" a="1"/>
  <c r="HM47" i="1"/>
  <c r="HM45" i="1" a="1"/>
  <c r="HM45" i="1"/>
  <c r="HM43" i="1" a="1"/>
  <c r="HM43" i="1"/>
  <c r="HM41" i="1" a="1"/>
  <c r="HM41" i="1"/>
  <c r="HM39" i="1" a="1"/>
  <c r="HM39" i="1"/>
  <c r="HM37" i="1" a="1"/>
  <c r="HM37" i="1"/>
  <c r="HM35" i="1" a="1"/>
  <c r="HM35" i="1"/>
  <c r="HM33" i="1" a="1"/>
  <c r="HM33" i="1"/>
  <c r="HM31" i="1" a="1"/>
  <c r="HM31" i="1"/>
  <c r="HM26" i="1" a="1"/>
  <c r="HM26" i="1"/>
  <c r="HM24" i="1" a="1"/>
  <c r="HM24" i="1"/>
  <c r="HM29" i="1" a="1"/>
  <c r="HM29" i="1"/>
  <c r="HM23" i="1" a="1"/>
  <c r="HM23" i="1"/>
  <c r="HM21" i="1" a="1"/>
  <c r="HM21" i="1"/>
  <c r="HM19" i="1" a="1"/>
  <c r="HM19" i="1"/>
  <c r="HM17" i="1" a="1"/>
  <c r="HM17" i="1"/>
  <c r="HM15" i="1" a="1"/>
  <c r="HM15" i="1"/>
  <c r="HM13" i="1" a="1"/>
  <c r="HM13" i="1"/>
  <c r="HN11" i="1"/>
  <c r="HM62" i="1" a="1"/>
  <c r="HM62" i="1"/>
  <c r="HM60" i="1" a="1"/>
  <c r="HM60" i="1"/>
  <c r="HM58" i="1" a="1"/>
  <c r="HM58" i="1"/>
  <c r="HM54" i="1" a="1"/>
  <c r="HM54" i="1"/>
  <c r="HM56" i="1" a="1"/>
  <c r="HM56" i="1"/>
  <c r="HM52" i="1" a="1"/>
  <c r="HM52" i="1"/>
  <c r="HM50" i="1" a="1"/>
  <c r="HM50" i="1"/>
  <c r="HM48" i="1" a="1"/>
  <c r="HM48" i="1"/>
  <c r="HM46" i="1" a="1"/>
  <c r="HM46" i="1"/>
  <c r="HM44" i="1" a="1"/>
  <c r="HM44" i="1"/>
  <c r="HM42" i="1" a="1"/>
  <c r="HM42" i="1"/>
  <c r="HM40" i="1" a="1"/>
  <c r="HM40" i="1"/>
  <c r="HM38" i="1" a="1"/>
  <c r="HM38" i="1"/>
  <c r="HM36" i="1" a="1"/>
  <c r="HM36" i="1"/>
  <c r="HM34" i="1" a="1"/>
  <c r="HM34" i="1"/>
  <c r="HM32" i="1" a="1"/>
  <c r="HM32" i="1"/>
  <c r="HM27" i="1" a="1"/>
  <c r="HM27" i="1"/>
  <c r="HM25" i="1" a="1"/>
  <c r="HM25" i="1"/>
  <c r="HM30" i="1" a="1"/>
  <c r="HM30" i="1"/>
  <c r="HM28" i="1" a="1"/>
  <c r="HM28" i="1"/>
  <c r="HM22" i="1" a="1"/>
  <c r="HM22" i="1"/>
  <c r="HM20" i="1" a="1"/>
  <c r="HM20" i="1"/>
  <c r="HM18" i="1" a="1"/>
  <c r="HM18" i="1"/>
  <c r="HM16" i="1" a="1"/>
  <c r="HM16" i="1"/>
  <c r="HM14" i="1" a="1"/>
  <c r="HM14" i="1"/>
  <c r="HM12" i="1" a="1"/>
  <c r="HM12" i="1"/>
  <c r="BQ51" i="1" a="1"/>
  <c r="BQ51" i="1"/>
  <c r="BQ24" i="1" a="1"/>
  <c r="BQ24" i="1"/>
  <c r="BQ48" i="1" a="1"/>
  <c r="BQ48" i="1"/>
  <c r="BQ14" i="1" a="1"/>
  <c r="BQ14" i="1"/>
  <c r="BQ57" i="1" a="1"/>
  <c r="BQ57" i="1"/>
  <c r="BQ20" i="1" a="1"/>
  <c r="BQ20" i="1"/>
  <c r="BQ62" i="1" a="1"/>
  <c r="BQ62" i="1"/>
  <c r="BQ21" i="1" a="1"/>
  <c r="BQ21" i="1"/>
  <c r="BQ58" i="1" a="1"/>
  <c r="BQ58" i="1"/>
  <c r="BQ25" i="1" a="1"/>
  <c r="BQ25" i="1"/>
  <c r="BQ34" i="1" a="1"/>
  <c r="BQ34" i="1"/>
  <c r="BQ18" i="1" a="1"/>
  <c r="BQ18" i="1"/>
  <c r="BQ38" i="1" a="1"/>
  <c r="BQ38" i="1"/>
  <c r="BQ30" i="1" a="1"/>
  <c r="BQ30" i="1"/>
  <c r="BQ40" i="1" a="1"/>
  <c r="BQ40" i="1"/>
  <c r="BQ22" i="1" a="1"/>
  <c r="BQ22" i="1"/>
  <c r="BQ44" i="1" a="1"/>
  <c r="BQ44" i="1"/>
  <c r="BQ50" i="1" a="1"/>
  <c r="BQ50" i="1"/>
  <c r="BQ41" i="1" a="1"/>
  <c r="BQ41" i="1"/>
  <c r="BQ53" i="1" a="1"/>
  <c r="BQ53" i="1"/>
  <c r="BQ46" i="1" a="1"/>
  <c r="BQ46" i="1"/>
  <c r="BQ43" i="1" a="1"/>
  <c r="BQ43" i="1"/>
  <c r="BQ45" i="1" a="1"/>
  <c r="BQ45" i="1"/>
  <c r="BQ47" i="1" a="1"/>
  <c r="BQ47" i="1"/>
  <c r="BQ27" i="1" a="1"/>
  <c r="BQ27" i="1"/>
  <c r="BQ39" i="1" a="1"/>
  <c r="BQ39" i="1"/>
  <c r="BQ12" i="1" a="1"/>
  <c r="BQ12" i="1"/>
  <c r="BQ23" i="1" a="1"/>
  <c r="BQ23" i="1"/>
  <c r="BQ15" i="1" a="1"/>
  <c r="BQ15" i="1"/>
  <c r="BQ16" i="1" a="1"/>
  <c r="BQ16" i="1"/>
  <c r="BQ17" i="1" a="1"/>
  <c r="BQ17" i="1"/>
  <c r="BQ60" i="1" a="1"/>
  <c r="BQ60" i="1"/>
  <c r="BQ61" i="1" a="1"/>
  <c r="BQ61" i="1"/>
  <c r="BQ52" i="1" a="1"/>
  <c r="BQ52" i="1"/>
  <c r="BQ32" i="1" a="1"/>
  <c r="BQ32" i="1"/>
  <c r="BQ54" i="1" a="1"/>
  <c r="BQ54" i="1"/>
  <c r="BQ36" i="1" a="1"/>
  <c r="BQ36" i="1"/>
  <c r="BQ26" i="1" a="1"/>
  <c r="BQ26" i="1"/>
  <c r="BQ28" i="1" a="1"/>
  <c r="BQ28" i="1"/>
  <c r="BQ29" i="1" a="1"/>
  <c r="BQ29" i="1"/>
  <c r="BQ35" i="1" a="1"/>
  <c r="BQ35" i="1"/>
  <c r="BQ13" i="1" a="1"/>
  <c r="BQ13" i="1"/>
  <c r="BQ42" i="1" a="1"/>
  <c r="BQ42" i="1"/>
  <c r="BQ49" i="1" a="1"/>
  <c r="BQ49" i="1"/>
  <c r="BQ31" i="1" a="1"/>
  <c r="BQ31" i="1"/>
  <c r="BQ33" i="1" a="1"/>
  <c r="BQ33" i="1"/>
  <c r="BQ59" i="1" a="1"/>
  <c r="BQ59" i="1"/>
  <c r="BQ37" i="1" a="1"/>
  <c r="BQ37" i="1"/>
  <c r="BQ55" i="1" a="1"/>
  <c r="BQ55" i="1"/>
  <c r="BQ19" i="1" a="1"/>
  <c r="BQ19" i="1"/>
  <c r="BQ56" i="1" a="1"/>
  <c r="BQ56" i="1"/>
  <c r="BR57" i="1" a="1"/>
  <c r="BR57" i="1"/>
  <c r="BR26" i="1" a="1"/>
  <c r="BR26" i="1"/>
  <c r="BR61" i="1" a="1"/>
  <c r="BR61" i="1"/>
  <c r="BR13" i="1" a="1"/>
  <c r="BR13" i="1"/>
  <c r="BR37" i="1" a="1"/>
  <c r="BR37" i="1"/>
  <c r="BR22" i="1" a="1"/>
  <c r="BR22" i="1"/>
  <c r="BR23" i="1" a="1"/>
  <c r="BR23" i="1"/>
  <c r="BR36" i="1" a="1"/>
  <c r="BR36" i="1"/>
  <c r="BR27" i="1" a="1"/>
  <c r="BR27" i="1"/>
  <c r="BR40" i="1" a="1"/>
  <c r="BR40" i="1"/>
  <c r="BR55" i="1" a="1"/>
  <c r="BR55" i="1"/>
  <c r="BR32" i="1" a="1"/>
  <c r="BR32" i="1"/>
  <c r="BR52" i="1" a="1"/>
  <c r="BR52" i="1"/>
  <c r="BR46" i="1" a="1"/>
  <c r="BR46" i="1"/>
  <c r="BR49" i="1" a="1"/>
  <c r="BR49" i="1"/>
  <c r="BR38" i="1" a="1"/>
  <c r="BR38" i="1"/>
  <c r="BR21" i="1" a="1"/>
  <c r="BR21" i="1"/>
  <c r="BR42" i="1" a="1"/>
  <c r="BR42" i="1"/>
  <c r="BR20" i="1" a="1"/>
  <c r="BR20" i="1"/>
  <c r="BR18" i="1" a="1"/>
  <c r="BR18" i="1"/>
  <c r="BR28" i="1" a="1"/>
  <c r="BR28" i="1"/>
  <c r="BR24" i="1" a="1"/>
  <c r="BR24" i="1"/>
  <c r="BR62" i="1" a="1"/>
  <c r="BR62" i="1"/>
  <c r="BR12" i="1" a="1"/>
  <c r="BR12" i="1"/>
  <c r="BR53" i="1" a="1"/>
  <c r="BR53" i="1"/>
  <c r="BR43" i="1" a="1"/>
  <c r="BR43" i="1"/>
  <c r="BR58" i="1" a="1"/>
  <c r="BR58" i="1"/>
  <c r="BR35" i="1" a="1"/>
  <c r="BR35" i="1"/>
  <c r="BR30" i="1" a="1"/>
  <c r="BR30" i="1"/>
  <c r="BR39" i="1" a="1"/>
  <c r="BR39" i="1"/>
  <c r="BR41" i="1" a="1"/>
  <c r="BR41" i="1"/>
  <c r="BR16" i="1" a="1"/>
  <c r="BR16" i="1"/>
  <c r="BR33" i="1" a="1"/>
  <c r="BR33" i="1"/>
  <c r="BR19" i="1" a="1"/>
  <c r="BR19" i="1"/>
  <c r="BR45" i="1" a="1"/>
  <c r="BR45" i="1"/>
  <c r="BR54" i="1" a="1"/>
  <c r="BR54" i="1"/>
  <c r="BR34" i="1" a="1"/>
  <c r="BR34" i="1"/>
  <c r="BR59" i="1" a="1"/>
  <c r="BR59" i="1"/>
  <c r="BR44" i="1" a="1"/>
  <c r="BR44" i="1"/>
  <c r="BR56" i="1" a="1"/>
  <c r="BR56" i="1"/>
  <c r="BR48" i="1" a="1"/>
  <c r="BR48" i="1"/>
  <c r="BR60" i="1" a="1"/>
  <c r="BR60" i="1"/>
  <c r="BR15" i="1" a="1"/>
  <c r="BR15" i="1"/>
  <c r="BR14" i="1" a="1"/>
  <c r="BR14" i="1"/>
  <c r="BR25" i="1" a="1"/>
  <c r="BR25" i="1"/>
  <c r="BR47" i="1" a="1"/>
  <c r="BR47" i="1"/>
  <c r="BR17" i="1" a="1"/>
  <c r="BR17" i="1"/>
  <c r="BR51" i="1" a="1"/>
  <c r="BR51" i="1"/>
  <c r="BR29" i="1" a="1"/>
  <c r="BR29" i="1"/>
  <c r="BR50" i="1" a="1"/>
  <c r="BR50" i="1"/>
  <c r="BR31" i="1" a="1"/>
  <c r="BR31" i="1"/>
  <c r="HN61" i="1" a="1"/>
  <c r="HN61" i="1"/>
  <c r="HN59" i="1" a="1"/>
  <c r="HN59" i="1"/>
  <c r="HN55" i="1" a="1"/>
  <c r="HN55" i="1"/>
  <c r="HN53" i="1" a="1"/>
  <c r="HN53" i="1"/>
  <c r="HN56" i="1" a="1"/>
  <c r="HN56" i="1"/>
  <c r="HN51" i="1" a="1"/>
  <c r="HN51" i="1"/>
  <c r="HN49" i="1" a="1"/>
  <c r="HN49" i="1"/>
  <c r="HN47" i="1" a="1"/>
  <c r="HN47" i="1"/>
  <c r="HN45" i="1" a="1"/>
  <c r="HN45" i="1"/>
  <c r="HN43" i="1" a="1"/>
  <c r="HN43" i="1"/>
  <c r="HN41" i="1" a="1"/>
  <c r="HN41" i="1"/>
  <c r="HN39" i="1" a="1"/>
  <c r="HN39" i="1"/>
  <c r="HN37" i="1" a="1"/>
  <c r="HN37" i="1"/>
  <c r="HN35" i="1" a="1"/>
  <c r="HN35" i="1"/>
  <c r="HN33" i="1" a="1"/>
  <c r="HN33" i="1"/>
  <c r="HN31" i="1" a="1"/>
  <c r="HN31" i="1"/>
  <c r="HN29" i="1" a="1"/>
  <c r="HN29" i="1"/>
  <c r="HN27" i="1" a="1"/>
  <c r="HN27" i="1"/>
  <c r="HN25" i="1" a="1"/>
  <c r="HN25" i="1"/>
  <c r="HN23" i="1" a="1"/>
  <c r="HN23" i="1"/>
  <c r="HN17" i="1" a="1"/>
  <c r="HN17" i="1"/>
  <c r="HN15" i="1" a="1"/>
  <c r="HN15" i="1"/>
  <c r="HN13" i="1" a="1"/>
  <c r="HN13" i="1"/>
  <c r="HN21" i="1" a="1"/>
  <c r="HN21" i="1"/>
  <c r="HN19" i="1" a="1"/>
  <c r="HN19" i="1"/>
  <c r="HO11" i="1"/>
  <c r="HN62" i="1" a="1"/>
  <c r="HN62" i="1"/>
  <c r="HN60" i="1" a="1"/>
  <c r="HN60" i="1"/>
  <c r="HN58" i="1" a="1"/>
  <c r="HN58" i="1"/>
  <c r="HN54" i="1" a="1"/>
  <c r="HN54" i="1"/>
  <c r="HN57" i="1" a="1"/>
  <c r="HN57" i="1"/>
  <c r="HN52" i="1" a="1"/>
  <c r="HN52" i="1"/>
  <c r="HN50" i="1" a="1"/>
  <c r="HN50" i="1"/>
  <c r="HN48" i="1" a="1"/>
  <c r="HN48" i="1"/>
  <c r="HN46" i="1" a="1"/>
  <c r="HN46" i="1"/>
  <c r="HN44" i="1" a="1"/>
  <c r="HN44" i="1"/>
  <c r="HN42" i="1" a="1"/>
  <c r="HN42" i="1"/>
  <c r="HN40" i="1" a="1"/>
  <c r="HN40" i="1"/>
  <c r="HN38" i="1" a="1"/>
  <c r="HN38" i="1"/>
  <c r="HN36" i="1" a="1"/>
  <c r="HN36" i="1"/>
  <c r="HN34" i="1" a="1"/>
  <c r="HN34" i="1"/>
  <c r="HN32" i="1" a="1"/>
  <c r="HN32" i="1"/>
  <c r="HN30" i="1" a="1"/>
  <c r="HN30" i="1"/>
  <c r="HN28" i="1" a="1"/>
  <c r="HN28" i="1"/>
  <c r="HN26" i="1" a="1"/>
  <c r="HN26" i="1"/>
  <c r="HN24" i="1" a="1"/>
  <c r="HN24" i="1"/>
  <c r="HN22" i="1" a="1"/>
  <c r="HN22" i="1"/>
  <c r="HN16" i="1" a="1"/>
  <c r="HN16" i="1"/>
  <c r="HN14" i="1" a="1"/>
  <c r="HN14" i="1"/>
  <c r="HN12" i="1" a="1"/>
  <c r="HN12" i="1"/>
  <c r="HN20" i="1" a="1"/>
  <c r="HN20" i="1"/>
  <c r="HN18" i="1" a="1"/>
  <c r="HN18" i="1"/>
  <c r="BS50" i="1" a="1"/>
  <c r="BS50" i="1"/>
  <c r="BS41" i="1" a="1"/>
  <c r="BS41" i="1"/>
  <c r="BS53" i="1" a="1"/>
  <c r="BS53" i="1"/>
  <c r="BS45" i="1" a="1"/>
  <c r="BS45" i="1"/>
  <c r="BS35" i="1" a="1"/>
  <c r="BS35" i="1"/>
  <c r="BS37" i="1" a="1"/>
  <c r="BS37" i="1"/>
  <c r="BS27" i="1" a="1"/>
  <c r="BS27" i="1"/>
  <c r="BS52" i="1" a="1"/>
  <c r="BS52" i="1"/>
  <c r="BS12" i="1" a="1"/>
  <c r="BS12" i="1"/>
  <c r="BS16" i="1" a="1"/>
  <c r="BS16" i="1"/>
  <c r="BS59" i="1" a="1"/>
  <c r="BS59" i="1"/>
  <c r="BS48" i="1" a="1"/>
  <c r="BS48" i="1"/>
  <c r="BS60" i="1" a="1"/>
  <c r="BS60" i="1"/>
  <c r="BS29" i="1" a="1"/>
  <c r="BS29" i="1"/>
  <c r="BS62" i="1" a="1"/>
  <c r="BS62" i="1"/>
  <c r="BS51" i="1" a="1"/>
  <c r="BS51" i="1"/>
  <c r="BS24" i="1" a="1"/>
  <c r="BS24" i="1"/>
  <c r="BS25" i="1" a="1"/>
  <c r="BS25" i="1"/>
  <c r="BS26" i="1" a="1"/>
  <c r="BS26" i="1"/>
  <c r="BS33" i="1" a="1"/>
  <c r="BS33" i="1"/>
  <c r="BS30" i="1" a="1"/>
  <c r="BS30" i="1"/>
  <c r="BS21" i="1" a="1"/>
  <c r="BS21" i="1"/>
  <c r="BS42" i="1" a="1"/>
  <c r="BS42" i="1"/>
  <c r="BS44" i="1" a="1"/>
  <c r="BS44" i="1"/>
  <c r="BS39" i="1" a="1"/>
  <c r="BS39" i="1"/>
  <c r="BS49" i="1" a="1"/>
  <c r="BS49" i="1"/>
  <c r="BS31" i="1" a="1"/>
  <c r="BS31" i="1"/>
  <c r="BS46" i="1" a="1"/>
  <c r="BS46" i="1"/>
  <c r="BS40" i="1" a="1"/>
  <c r="BS40" i="1"/>
  <c r="BS55" i="1" a="1"/>
  <c r="BS55" i="1"/>
  <c r="BS47" i="1" a="1"/>
  <c r="BS47" i="1"/>
  <c r="BS61" i="1" a="1"/>
  <c r="BS61" i="1"/>
  <c r="BS19" i="1" a="1"/>
  <c r="BS19" i="1"/>
  <c r="BS56" i="1" a="1"/>
  <c r="BS56" i="1"/>
  <c r="BS23" i="1" a="1"/>
  <c r="BS23" i="1"/>
  <c r="BS43" i="1" a="1"/>
  <c r="BS43" i="1"/>
  <c r="BS14" i="1" a="1"/>
  <c r="BS14" i="1"/>
  <c r="BS17" i="1" a="1"/>
  <c r="BS17" i="1"/>
  <c r="BS28" i="1" a="1"/>
  <c r="BS28" i="1"/>
  <c r="BS57" i="1" a="1"/>
  <c r="BS57" i="1"/>
  <c r="BS20" i="1" a="1"/>
  <c r="BS20" i="1"/>
  <c r="BS58" i="1" a="1"/>
  <c r="BS58" i="1"/>
  <c r="BS15" i="1" a="1"/>
  <c r="BS15" i="1"/>
  <c r="BS54" i="1" a="1"/>
  <c r="BS54" i="1"/>
  <c r="BS36" i="1" a="1"/>
  <c r="BS36" i="1"/>
  <c r="BS34" i="1" a="1"/>
  <c r="BS34" i="1"/>
  <c r="BS18" i="1" a="1"/>
  <c r="BS18" i="1"/>
  <c r="BS38" i="1" a="1"/>
  <c r="BS38" i="1"/>
  <c r="BS22" i="1" a="1"/>
  <c r="BS22" i="1"/>
  <c r="BS32" i="1" a="1"/>
  <c r="BS32" i="1"/>
  <c r="BS13" i="1" a="1"/>
  <c r="BS13" i="1"/>
  <c r="HO62" i="1" a="1"/>
  <c r="HO62" i="1"/>
  <c r="HO60" i="1" a="1"/>
  <c r="HO60" i="1"/>
  <c r="HO58" i="1" a="1"/>
  <c r="HO58" i="1"/>
  <c r="HO54" i="1" a="1"/>
  <c r="HO54" i="1"/>
  <c r="HO56" i="1" a="1"/>
  <c r="HO56" i="1"/>
  <c r="HO52" i="1" a="1"/>
  <c r="HO52" i="1"/>
  <c r="HO50" i="1" a="1"/>
  <c r="HO50" i="1"/>
  <c r="HO48" i="1" a="1"/>
  <c r="HO48" i="1"/>
  <c r="HO46" i="1" a="1"/>
  <c r="HO46" i="1"/>
  <c r="HO44" i="1" a="1"/>
  <c r="HO44" i="1"/>
  <c r="HO42" i="1" a="1"/>
  <c r="HO42" i="1"/>
  <c r="HO40" i="1" a="1"/>
  <c r="HO40" i="1"/>
  <c r="HO38" i="1" a="1"/>
  <c r="HO38" i="1"/>
  <c r="HO36" i="1" a="1"/>
  <c r="HO36" i="1"/>
  <c r="HO34" i="1" a="1"/>
  <c r="HO34" i="1"/>
  <c r="HO32" i="1" a="1"/>
  <c r="HO32" i="1"/>
  <c r="HO27" i="1" a="1"/>
  <c r="HO27" i="1"/>
  <c r="HO25" i="1" a="1"/>
  <c r="HO25" i="1"/>
  <c r="HO30" i="1" a="1"/>
  <c r="HO30" i="1"/>
  <c r="HO28" i="1" a="1"/>
  <c r="HO28" i="1"/>
  <c r="HO20" i="1" a="1"/>
  <c r="HO20" i="1"/>
  <c r="HO18" i="1" a="1"/>
  <c r="HO18" i="1"/>
  <c r="HO22" i="1" a="1"/>
  <c r="HO22" i="1"/>
  <c r="HO16" i="1" a="1"/>
  <c r="HO16" i="1"/>
  <c r="HO14" i="1" a="1"/>
  <c r="HO14" i="1"/>
  <c r="HO12" i="1" a="1"/>
  <c r="HO12" i="1"/>
  <c r="HO61" i="1" a="1"/>
  <c r="HO61" i="1"/>
  <c r="HO59" i="1" a="1"/>
  <c r="HO59" i="1"/>
  <c r="HO55" i="1" a="1"/>
  <c r="HO55" i="1"/>
  <c r="HO57" i="1" a="1"/>
  <c r="HO57" i="1"/>
  <c r="HO53" i="1" a="1"/>
  <c r="HO53" i="1"/>
  <c r="HO51" i="1" a="1"/>
  <c r="HO51" i="1"/>
  <c r="HO49" i="1" a="1"/>
  <c r="HO49" i="1"/>
  <c r="HO47" i="1" a="1"/>
  <c r="HO47" i="1"/>
  <c r="HO45" i="1" a="1"/>
  <c r="HO45" i="1"/>
  <c r="HO43" i="1" a="1"/>
  <c r="HO43" i="1"/>
  <c r="HO41" i="1" a="1"/>
  <c r="HO41" i="1"/>
  <c r="HO39" i="1" a="1"/>
  <c r="HO39" i="1"/>
  <c r="HO37" i="1" a="1"/>
  <c r="HO37" i="1"/>
  <c r="HO35" i="1" a="1"/>
  <c r="HO35" i="1"/>
  <c r="HO33" i="1" a="1"/>
  <c r="HO33" i="1"/>
  <c r="HO31" i="1" a="1"/>
  <c r="HO31" i="1"/>
  <c r="HO26" i="1" a="1"/>
  <c r="HO26" i="1"/>
  <c r="HO24" i="1" a="1"/>
  <c r="HO24" i="1"/>
  <c r="HO29" i="1" a="1"/>
  <c r="HO29" i="1"/>
  <c r="HO21" i="1" a="1"/>
  <c r="HO21" i="1"/>
  <c r="HO19" i="1" a="1"/>
  <c r="HO19" i="1"/>
  <c r="HO23" i="1" a="1"/>
  <c r="HO23" i="1"/>
  <c r="HO17" i="1" a="1"/>
  <c r="HO17" i="1"/>
  <c r="HO15" i="1" a="1"/>
  <c r="HO15" i="1"/>
  <c r="HO13" i="1" a="1"/>
  <c r="HO13" i="1"/>
  <c r="HP11" i="1"/>
  <c r="HP62" i="1" a="1"/>
  <c r="HP62" i="1"/>
  <c r="HP60" i="1" a="1"/>
  <c r="HP60" i="1"/>
  <c r="HP58" i="1" a="1"/>
  <c r="HP58" i="1"/>
  <c r="HP56" i="1" a="1"/>
  <c r="HP56" i="1"/>
  <c r="HP54" i="1" a="1"/>
  <c r="HP54" i="1"/>
  <c r="HP52" i="1" a="1"/>
  <c r="HP52" i="1"/>
  <c r="HP50" i="1" a="1"/>
  <c r="HP50" i="1"/>
  <c r="HP47" i="1" a="1"/>
  <c r="HP47" i="1"/>
  <c r="HP45" i="1" a="1"/>
  <c r="HP45" i="1"/>
  <c r="HP43" i="1" a="1"/>
  <c r="HP43" i="1"/>
  <c r="HP41" i="1" a="1"/>
  <c r="HP41" i="1"/>
  <c r="HP39" i="1" a="1"/>
  <c r="HP39" i="1"/>
  <c r="HP37" i="1" a="1"/>
  <c r="HP37" i="1"/>
  <c r="HP35" i="1" a="1"/>
  <c r="HP35" i="1"/>
  <c r="HP33" i="1" a="1"/>
  <c r="HP33" i="1"/>
  <c r="HP30" i="1" a="1"/>
  <c r="HP30" i="1"/>
  <c r="HP28" i="1" a="1"/>
  <c r="HP28" i="1"/>
  <c r="HP31" i="1" a="1"/>
  <c r="HP31" i="1"/>
  <c r="HP26" i="1" a="1"/>
  <c r="HP26" i="1"/>
  <c r="HP24" i="1" a="1"/>
  <c r="HP24" i="1"/>
  <c r="HP22" i="1" a="1"/>
  <c r="HP22" i="1"/>
  <c r="HP20" i="1" a="1"/>
  <c r="HP20" i="1"/>
  <c r="HP18" i="1" a="1"/>
  <c r="HP18" i="1"/>
  <c r="HP16" i="1" a="1"/>
  <c r="HP16" i="1"/>
  <c r="HP14" i="1" a="1"/>
  <c r="HP14" i="1"/>
  <c r="HP12" i="1" a="1"/>
  <c r="HP12" i="1"/>
  <c r="HP61" i="1" a="1"/>
  <c r="HP61" i="1"/>
  <c r="HP59" i="1" a="1"/>
  <c r="HP59" i="1"/>
  <c r="HP57" i="1" a="1"/>
  <c r="HP57" i="1"/>
  <c r="HP55" i="1" a="1"/>
  <c r="HP55" i="1"/>
  <c r="HP53" i="1" a="1"/>
  <c r="HP53" i="1"/>
  <c r="HP51" i="1" a="1"/>
  <c r="HP51" i="1"/>
  <c r="HP49" i="1" a="1"/>
  <c r="HP49" i="1"/>
  <c r="HP46" i="1" a="1"/>
  <c r="HP46" i="1"/>
  <c r="HP44" i="1" a="1"/>
  <c r="HP44" i="1"/>
  <c r="HP42" i="1" a="1"/>
  <c r="HP42" i="1"/>
  <c r="HP48" i="1" a="1"/>
  <c r="HP48" i="1"/>
  <c r="HP38" i="1" a="1"/>
  <c r="HP38" i="1"/>
  <c r="HP36" i="1" a="1"/>
  <c r="HP36" i="1"/>
  <c r="HP34" i="1" a="1"/>
  <c r="HP34" i="1"/>
  <c r="HP40" i="1" a="1"/>
  <c r="HP40" i="1"/>
  <c r="HP29" i="1" a="1"/>
  <c r="HP29" i="1"/>
  <c r="HP32" i="1" a="1"/>
  <c r="HP32" i="1"/>
  <c r="HP27" i="1" a="1"/>
  <c r="HP27" i="1"/>
  <c r="HP25" i="1" a="1"/>
  <c r="HP25" i="1"/>
  <c r="HP23" i="1" a="1"/>
  <c r="HP23" i="1"/>
  <c r="HP21" i="1" a="1"/>
  <c r="HP21" i="1"/>
  <c r="HP19" i="1" a="1"/>
  <c r="HP19" i="1"/>
  <c r="HP17" i="1" a="1"/>
  <c r="HP17" i="1"/>
  <c r="HP15" i="1" a="1"/>
  <c r="HP15" i="1"/>
  <c r="HP13" i="1" a="1"/>
  <c r="HP13" i="1"/>
  <c r="HQ11" i="1"/>
  <c r="BT50" i="1" a="1"/>
  <c r="BT50" i="1"/>
  <c r="BT21" i="1" a="1"/>
  <c r="BT21" i="1"/>
  <c r="BT20" i="1" a="1"/>
  <c r="BT20" i="1"/>
  <c r="BT59" i="1" a="1"/>
  <c r="BT59" i="1"/>
  <c r="BT47" i="1" a="1"/>
  <c r="BT47" i="1"/>
  <c r="BT35" i="1" a="1"/>
  <c r="BT35" i="1"/>
  <c r="BT51" i="1" a="1"/>
  <c r="BT51" i="1"/>
  <c r="BT22" i="1" a="1"/>
  <c r="BT22" i="1"/>
  <c r="BT62" i="1" a="1"/>
  <c r="BT62" i="1"/>
  <c r="BT42" i="1" a="1"/>
  <c r="BT42" i="1"/>
  <c r="BT25" i="1" a="1"/>
  <c r="BT25" i="1"/>
  <c r="BT26" i="1" a="1"/>
  <c r="BT26" i="1"/>
  <c r="BT61" i="1" a="1"/>
  <c r="BT61" i="1"/>
  <c r="BT13" i="1" a="1"/>
  <c r="BT13" i="1"/>
  <c r="BT32" i="1" a="1"/>
  <c r="BT32" i="1"/>
  <c r="BT30" i="1" a="1"/>
  <c r="BT30" i="1"/>
  <c r="BT12" i="1" a="1"/>
  <c r="BT12" i="1"/>
  <c r="BT33" i="1" a="1"/>
  <c r="BT33" i="1"/>
  <c r="BT36" i="1" a="1"/>
  <c r="BT36" i="1"/>
  <c r="BT27" i="1" a="1"/>
  <c r="BT27" i="1"/>
  <c r="BT40" i="1" a="1"/>
  <c r="BT40" i="1"/>
  <c r="BT45" i="1" a="1"/>
  <c r="BT45" i="1"/>
  <c r="BT54" i="1" a="1"/>
  <c r="BT54" i="1"/>
  <c r="BT39" i="1" a="1"/>
  <c r="BT39" i="1"/>
  <c r="BT56" i="1" a="1"/>
  <c r="BT56" i="1"/>
  <c r="BT46" i="1" a="1"/>
  <c r="BT46" i="1"/>
  <c r="BT49" i="1" a="1"/>
  <c r="BT49" i="1"/>
  <c r="BT60" i="1" a="1"/>
  <c r="BT60" i="1"/>
  <c r="BT15" i="1" a="1"/>
  <c r="BT15" i="1"/>
  <c r="BT34" i="1" a="1"/>
  <c r="BT34" i="1"/>
  <c r="BT17" i="1" a="1"/>
  <c r="BT17" i="1"/>
  <c r="BT18" i="1" a="1"/>
  <c r="BT18" i="1"/>
  <c r="BT28" i="1" a="1"/>
  <c r="BT28" i="1"/>
  <c r="BT29" i="1" a="1"/>
  <c r="BT29" i="1"/>
  <c r="BT57" i="1" a="1"/>
  <c r="BT57" i="1"/>
  <c r="BT14" i="1" a="1"/>
  <c r="BT14" i="1"/>
  <c r="BT53" i="1" a="1"/>
  <c r="BT53" i="1"/>
  <c r="BT43" i="1" a="1"/>
  <c r="BT43" i="1"/>
  <c r="BT58" i="1" a="1"/>
  <c r="BT58" i="1"/>
  <c r="BT37" i="1" a="1"/>
  <c r="BT37" i="1"/>
  <c r="BT23" i="1" a="1"/>
  <c r="BT23" i="1"/>
  <c r="BT31" i="1" a="1"/>
  <c r="BT31" i="1"/>
  <c r="BT16" i="1" a="1"/>
  <c r="BT16" i="1"/>
  <c r="BT38" i="1" a="1"/>
  <c r="BT38" i="1"/>
  <c r="BT19" i="1" a="1"/>
  <c r="BT19" i="1"/>
  <c r="BT55" i="1" a="1"/>
  <c r="BT55" i="1"/>
  <c r="BT52" i="1" a="1"/>
  <c r="BT52" i="1"/>
  <c r="BT41" i="1" a="1"/>
  <c r="BT41" i="1"/>
  <c r="BT44" i="1" a="1"/>
  <c r="BT44" i="1"/>
  <c r="BT24" i="1" a="1"/>
  <c r="BT24" i="1"/>
  <c r="BT48" i="1" a="1"/>
  <c r="BT48" i="1"/>
  <c r="HQ61" i="1" a="1"/>
  <c r="HQ61" i="1"/>
  <c r="HQ59" i="1" a="1"/>
  <c r="HQ59" i="1"/>
  <c r="HQ57" i="1" a="1"/>
  <c r="HQ57" i="1"/>
  <c r="HQ55" i="1" a="1"/>
  <c r="HQ55" i="1"/>
  <c r="HQ53" i="1" a="1"/>
  <c r="HQ53" i="1"/>
  <c r="HQ51" i="1" a="1"/>
  <c r="HQ51" i="1"/>
  <c r="HQ49" i="1" a="1"/>
  <c r="HQ49" i="1"/>
  <c r="HQ47" i="1" a="1"/>
  <c r="HQ47" i="1"/>
  <c r="HQ45" i="1" a="1"/>
  <c r="HQ45" i="1"/>
  <c r="HQ43" i="1" a="1"/>
  <c r="HQ43" i="1"/>
  <c r="HQ41" i="1" a="1"/>
  <c r="HQ41" i="1"/>
  <c r="HQ39" i="1" a="1"/>
  <c r="HQ39" i="1"/>
  <c r="HQ37" i="1" a="1"/>
  <c r="HQ37" i="1"/>
  <c r="HQ35" i="1" a="1"/>
  <c r="HQ35" i="1"/>
  <c r="HQ33" i="1" a="1"/>
  <c r="HQ33" i="1"/>
  <c r="HQ31" i="1" a="1"/>
  <c r="HQ31" i="1"/>
  <c r="HQ29" i="1" a="1"/>
  <c r="HQ29" i="1"/>
  <c r="HQ27" i="1" a="1"/>
  <c r="HQ27" i="1"/>
  <c r="HQ25" i="1" a="1"/>
  <c r="HQ25" i="1"/>
  <c r="HQ23" i="1" a="1"/>
  <c r="HQ23" i="1"/>
  <c r="HQ21" i="1" a="1"/>
  <c r="HQ21" i="1"/>
  <c r="HQ19" i="1" a="1"/>
  <c r="HQ19" i="1"/>
  <c r="HQ17" i="1" a="1"/>
  <c r="HQ17" i="1"/>
  <c r="HQ15" i="1" a="1"/>
  <c r="HQ15" i="1"/>
  <c r="HQ13" i="1" a="1"/>
  <c r="HQ13" i="1"/>
  <c r="HR11" i="1"/>
  <c r="HQ62" i="1" a="1"/>
  <c r="HQ62" i="1"/>
  <c r="HQ60" i="1" a="1"/>
  <c r="HQ60" i="1"/>
  <c r="HQ58" i="1" a="1"/>
  <c r="HQ58" i="1"/>
  <c r="HQ56" i="1" a="1"/>
  <c r="HQ56" i="1"/>
  <c r="HQ54" i="1" a="1"/>
  <c r="HQ54" i="1"/>
  <c r="HQ52" i="1" a="1"/>
  <c r="HQ52" i="1"/>
  <c r="HQ50" i="1" a="1"/>
  <c r="HQ50" i="1"/>
  <c r="HQ48" i="1" a="1"/>
  <c r="HQ48" i="1"/>
  <c r="HQ46" i="1" a="1"/>
  <c r="HQ46" i="1"/>
  <c r="HQ44" i="1" a="1"/>
  <c r="HQ44" i="1"/>
  <c r="HQ42" i="1" a="1"/>
  <c r="HQ42" i="1"/>
  <c r="HQ40" i="1" a="1"/>
  <c r="HQ40" i="1"/>
  <c r="HQ38" i="1" a="1"/>
  <c r="HQ38" i="1"/>
  <c r="HQ36" i="1" a="1"/>
  <c r="HQ36" i="1"/>
  <c r="HQ34" i="1" a="1"/>
  <c r="HQ34" i="1"/>
  <c r="HQ32" i="1" a="1"/>
  <c r="HQ32" i="1"/>
  <c r="HQ30" i="1" a="1"/>
  <c r="HQ30" i="1"/>
  <c r="HQ28" i="1" a="1"/>
  <c r="HQ28" i="1"/>
  <c r="HQ26" i="1" a="1"/>
  <c r="HQ26" i="1"/>
  <c r="HQ24" i="1" a="1"/>
  <c r="HQ24" i="1"/>
  <c r="HQ22" i="1" a="1"/>
  <c r="HQ22" i="1"/>
  <c r="HQ20" i="1" a="1"/>
  <c r="HQ20" i="1"/>
  <c r="HQ18" i="1" a="1"/>
  <c r="HQ18" i="1"/>
  <c r="HQ16" i="1" a="1"/>
  <c r="HQ16" i="1"/>
  <c r="HQ14" i="1" a="1"/>
  <c r="HQ14" i="1"/>
  <c r="HQ12" i="1" a="1"/>
  <c r="HQ12" i="1"/>
  <c r="BU27" i="1" a="1"/>
  <c r="BU27" i="1"/>
  <c r="BU42" i="1" a="1"/>
  <c r="BU42" i="1"/>
  <c r="BU32" i="1" a="1"/>
  <c r="BU32" i="1"/>
  <c r="BU50" i="1" a="1"/>
  <c r="BU50" i="1"/>
  <c r="BU44" i="1" a="1"/>
  <c r="BU44" i="1"/>
  <c r="BU49" i="1" a="1"/>
  <c r="BU49" i="1"/>
  <c r="BU33" i="1" a="1"/>
  <c r="BU33" i="1"/>
  <c r="BU40" i="1" a="1"/>
  <c r="BU40" i="1"/>
  <c r="BU46" i="1" a="1"/>
  <c r="BU46" i="1"/>
  <c r="BU47" i="1" a="1"/>
  <c r="BU47" i="1"/>
  <c r="BU25" i="1" a="1"/>
  <c r="BU25" i="1"/>
  <c r="BU52" i="1" a="1"/>
  <c r="BU52" i="1"/>
  <c r="BU17" i="1" a="1"/>
  <c r="BU17" i="1"/>
  <c r="BU16" i="1" a="1"/>
  <c r="BU16" i="1"/>
  <c r="BU43" i="1" a="1"/>
  <c r="BU43" i="1"/>
  <c r="BU21" i="1" a="1"/>
  <c r="BU21" i="1"/>
  <c r="BU59" i="1" a="1"/>
  <c r="BU59" i="1"/>
  <c r="BU60" i="1" a="1"/>
  <c r="BU60" i="1"/>
  <c r="BU19" i="1" a="1"/>
  <c r="BU19" i="1"/>
  <c r="BU62" i="1" a="1"/>
  <c r="BU62" i="1"/>
  <c r="BU56" i="1" a="1"/>
  <c r="BU56" i="1"/>
  <c r="BU34" i="1" a="1"/>
  <c r="BU34" i="1"/>
  <c r="BU24" i="1" a="1"/>
  <c r="BU24" i="1"/>
  <c r="BU26" i="1" a="1"/>
  <c r="BU26" i="1"/>
  <c r="BU36" i="1" a="1"/>
  <c r="BU36" i="1"/>
  <c r="BU30" i="1" a="1"/>
  <c r="BU30" i="1"/>
  <c r="BU20" i="1" a="1"/>
  <c r="BU20" i="1"/>
  <c r="BU45" i="1" a="1"/>
  <c r="BU45" i="1"/>
  <c r="BU39" i="1" a="1"/>
  <c r="BU39" i="1"/>
  <c r="BU37" i="1" a="1"/>
  <c r="BU37" i="1"/>
  <c r="BU51" i="1" a="1"/>
  <c r="BU51" i="1"/>
  <c r="BU41" i="1" a="1"/>
  <c r="BU41" i="1"/>
  <c r="BU35" i="1" a="1"/>
  <c r="BU35" i="1"/>
  <c r="BU15" i="1" a="1"/>
  <c r="BU15" i="1"/>
  <c r="BU55" i="1" a="1"/>
  <c r="BU55" i="1"/>
  <c r="BU23" i="1" a="1"/>
  <c r="BU23" i="1"/>
  <c r="BU61" i="1" a="1"/>
  <c r="BU61" i="1"/>
  <c r="BU12" i="1" a="1"/>
  <c r="BU12" i="1"/>
  <c r="BU53" i="1" a="1"/>
  <c r="BU53" i="1"/>
  <c r="BU48" i="1" a="1"/>
  <c r="BU48" i="1"/>
  <c r="BU14" i="1" a="1"/>
  <c r="BU14" i="1"/>
  <c r="BU57" i="1" a="1"/>
  <c r="BU57" i="1"/>
  <c r="BU28" i="1" a="1"/>
  <c r="BU28" i="1"/>
  <c r="BU58" i="1" a="1"/>
  <c r="BU58" i="1"/>
  <c r="BU54" i="1" a="1"/>
  <c r="BU54" i="1"/>
  <c r="BU29" i="1" a="1"/>
  <c r="BU29" i="1"/>
  <c r="BU13" i="1" a="1"/>
  <c r="BU13" i="1"/>
  <c r="BU31" i="1" a="1"/>
  <c r="BU31" i="1"/>
  <c r="BU18" i="1" a="1"/>
  <c r="BU18" i="1"/>
  <c r="BU38" i="1" a="1"/>
  <c r="BU38" i="1"/>
  <c r="BU22" i="1" a="1"/>
  <c r="BU22" i="1"/>
  <c r="BV26" i="1" a="1"/>
  <c r="BV26" i="1"/>
  <c r="BV45" i="1" a="1"/>
  <c r="BV45" i="1"/>
  <c r="BV43" i="1" a="1"/>
  <c r="BV43" i="1"/>
  <c r="BV49" i="1" a="1"/>
  <c r="BV49" i="1"/>
  <c r="BV40" i="1" a="1"/>
  <c r="BV40" i="1"/>
  <c r="BV41" i="1" a="1"/>
  <c r="BV41" i="1"/>
  <c r="BV39" i="1" a="1"/>
  <c r="BV39" i="1"/>
  <c r="BV56" i="1" a="1"/>
  <c r="BV56" i="1"/>
  <c r="BV50" i="1" a="1"/>
  <c r="BV50" i="1"/>
  <c r="BV28" i="1" a="1"/>
  <c r="BV28" i="1"/>
  <c r="BV18" i="1" a="1"/>
  <c r="BV18" i="1"/>
  <c r="BV54" i="1" a="1"/>
  <c r="BV54" i="1"/>
  <c r="BV46" i="1" a="1"/>
  <c r="BV46" i="1"/>
  <c r="BV17" i="1" a="1"/>
  <c r="BV17" i="1"/>
  <c r="BV22" i="1" a="1"/>
  <c r="BV22" i="1"/>
  <c r="BV62" i="1" a="1"/>
  <c r="BV62" i="1"/>
  <c r="BV53" i="1" a="1"/>
  <c r="BV53" i="1"/>
  <c r="BV15" i="1" a="1"/>
  <c r="BV15" i="1"/>
  <c r="BV61" i="1" a="1"/>
  <c r="BV61" i="1"/>
  <c r="BV12" i="1" a="1"/>
  <c r="BV12" i="1"/>
  <c r="BV58" i="1" a="1"/>
  <c r="BV58" i="1"/>
  <c r="BV35" i="1" a="1"/>
  <c r="BV35" i="1"/>
  <c r="BV30" i="1" a="1"/>
  <c r="BV30" i="1"/>
  <c r="BV16" i="1" a="1"/>
  <c r="BV16" i="1"/>
  <c r="BV33" i="1" a="1"/>
  <c r="BV33" i="1"/>
  <c r="BV27" i="1" a="1"/>
  <c r="BV27" i="1"/>
  <c r="BV31" i="1" a="1"/>
  <c r="BV31" i="1"/>
  <c r="BV19" i="1" a="1"/>
  <c r="BV19" i="1"/>
  <c r="BV42" i="1" a="1"/>
  <c r="BV42" i="1"/>
  <c r="BV48" i="1" a="1"/>
  <c r="BV48" i="1"/>
  <c r="BV32" i="1" a="1"/>
  <c r="BV32" i="1"/>
  <c r="BV52" i="1" a="1"/>
  <c r="BV52" i="1"/>
  <c r="BV44" i="1" a="1"/>
  <c r="BV44" i="1"/>
  <c r="BV38" i="1" a="1"/>
  <c r="BV38" i="1"/>
  <c r="BV36" i="1" a="1"/>
  <c r="BV36" i="1"/>
  <c r="BV60" i="1" a="1"/>
  <c r="BV60" i="1"/>
  <c r="BV20" i="1" a="1"/>
  <c r="BV20" i="1"/>
  <c r="BV34" i="1" a="1"/>
  <c r="BV34" i="1"/>
  <c r="BV24" i="1" a="1"/>
  <c r="BV24" i="1"/>
  <c r="BV14" i="1" a="1"/>
  <c r="BV14" i="1"/>
  <c r="BV59" i="1" a="1"/>
  <c r="BV59" i="1"/>
  <c r="BV51" i="1" a="1"/>
  <c r="BV51" i="1"/>
  <c r="BV29" i="1" a="1"/>
  <c r="BV29" i="1"/>
  <c r="BV57" i="1" a="1"/>
  <c r="BV57" i="1"/>
  <c r="BV55" i="1" a="1"/>
  <c r="BV55" i="1"/>
  <c r="BV47" i="1" a="1"/>
  <c r="BV47" i="1"/>
  <c r="BV25" i="1" a="1"/>
  <c r="BV25" i="1"/>
  <c r="BV13" i="1" a="1"/>
  <c r="BV13" i="1"/>
  <c r="BV37" i="1" a="1"/>
  <c r="BV37" i="1"/>
  <c r="BV23" i="1" a="1"/>
  <c r="BV23" i="1"/>
  <c r="BV21" i="1" a="1"/>
  <c r="BV21" i="1"/>
  <c r="HR61" i="1" a="1"/>
  <c r="HR61" i="1"/>
  <c r="HR59" i="1" a="1"/>
  <c r="HR59" i="1"/>
  <c r="HR57" i="1" a="1"/>
  <c r="HR57" i="1"/>
  <c r="HR55" i="1" a="1"/>
  <c r="HR55" i="1"/>
  <c r="HR53" i="1" a="1"/>
  <c r="HR53" i="1"/>
  <c r="HR49" i="1" a="1"/>
  <c r="HR49" i="1"/>
  <c r="HR51" i="1" a="1"/>
  <c r="HR51" i="1"/>
  <c r="HR45" i="1" a="1"/>
  <c r="HR45" i="1"/>
  <c r="HR43" i="1" a="1"/>
  <c r="HR43" i="1"/>
  <c r="HR41" i="1" a="1"/>
  <c r="HR41" i="1"/>
  <c r="HR46" i="1" a="1"/>
  <c r="HR46" i="1"/>
  <c r="HR35" i="1" a="1"/>
  <c r="HR35" i="1"/>
  <c r="HR33" i="1" a="1"/>
  <c r="HR33" i="1"/>
  <c r="HR38" i="1" a="1"/>
  <c r="HR38" i="1"/>
  <c r="HR36" i="1" a="1"/>
  <c r="HR36" i="1"/>
  <c r="HR31" i="1" a="1"/>
  <c r="HR31" i="1"/>
  <c r="HR29" i="1" a="1"/>
  <c r="HR29" i="1"/>
  <c r="HR27" i="1" a="1"/>
  <c r="HR27" i="1"/>
  <c r="HR25" i="1" a="1"/>
  <c r="HR25" i="1"/>
  <c r="HR23" i="1" a="1"/>
  <c r="HR23" i="1"/>
  <c r="HR21" i="1" a="1"/>
  <c r="HR21" i="1"/>
  <c r="HR19" i="1" a="1"/>
  <c r="HR19" i="1"/>
  <c r="HR17" i="1" a="1"/>
  <c r="HR17" i="1"/>
  <c r="HR15" i="1" a="1"/>
  <c r="HR15" i="1"/>
  <c r="HR13" i="1" a="1"/>
  <c r="HR13" i="1"/>
  <c r="HS11" i="1"/>
  <c r="HR62" i="1" a="1"/>
  <c r="HR62" i="1"/>
  <c r="HR60" i="1" a="1"/>
  <c r="HR60" i="1"/>
  <c r="HR58" i="1" a="1"/>
  <c r="HR58" i="1"/>
  <c r="HR56" i="1" a="1"/>
  <c r="HR56" i="1"/>
  <c r="HR54" i="1" a="1"/>
  <c r="HR54" i="1"/>
  <c r="HR50" i="1" a="1"/>
  <c r="HR50" i="1"/>
  <c r="HR52" i="1" a="1"/>
  <c r="HR52" i="1"/>
  <c r="HR48" i="1" a="1"/>
  <c r="HR48" i="1"/>
  <c r="HR44" i="1" a="1"/>
  <c r="HR44" i="1"/>
  <c r="HR42" i="1" a="1"/>
  <c r="HR42" i="1"/>
  <c r="HR47" i="1" a="1"/>
  <c r="HR47" i="1"/>
  <c r="HR40" i="1" a="1"/>
  <c r="HR40" i="1"/>
  <c r="HR34" i="1" a="1"/>
  <c r="HR34" i="1"/>
  <c r="HR39" i="1" a="1"/>
  <c r="HR39" i="1"/>
  <c r="HR37" i="1" a="1"/>
  <c r="HR37" i="1"/>
  <c r="HR32" i="1" a="1"/>
  <c r="HR32" i="1"/>
  <c r="HR30" i="1" a="1"/>
  <c r="HR30" i="1"/>
  <c r="HR28" i="1" a="1"/>
  <c r="HR28" i="1"/>
  <c r="HR26" i="1" a="1"/>
  <c r="HR26" i="1"/>
  <c r="HR24" i="1" a="1"/>
  <c r="HR24" i="1"/>
  <c r="HR22" i="1" a="1"/>
  <c r="HR22" i="1"/>
  <c r="HR20" i="1" a="1"/>
  <c r="HR20" i="1"/>
  <c r="HR18" i="1" a="1"/>
  <c r="HR18" i="1"/>
  <c r="HR16" i="1" a="1"/>
  <c r="HR16" i="1"/>
  <c r="HR14" i="1" a="1"/>
  <c r="HR14" i="1"/>
  <c r="HR12" i="1" a="1"/>
  <c r="HR12" i="1"/>
  <c r="HS62" i="1" a="1"/>
  <c r="HS62" i="1"/>
  <c r="HS60" i="1" a="1"/>
  <c r="HS60" i="1"/>
  <c r="HS58" i="1" a="1"/>
  <c r="HS58" i="1"/>
  <c r="HS54" i="1" a="1"/>
  <c r="HS54" i="1"/>
  <c r="HS56" i="1" a="1"/>
  <c r="HS56" i="1"/>
  <c r="HS51" i="1" a="1"/>
  <c r="HS51" i="1"/>
  <c r="HS50" i="1" a="1"/>
  <c r="HS50" i="1"/>
  <c r="HS48" i="1" a="1"/>
  <c r="HS48" i="1"/>
  <c r="HS46" i="1" a="1"/>
  <c r="HS46" i="1"/>
  <c r="HS44" i="1" a="1"/>
  <c r="HS44" i="1"/>
  <c r="HS42" i="1" a="1"/>
  <c r="HS42" i="1"/>
  <c r="HS40" i="1" a="1"/>
  <c r="HS40" i="1"/>
  <c r="HS38" i="1" a="1"/>
  <c r="HS38" i="1"/>
  <c r="HS36" i="1" a="1"/>
  <c r="HS36" i="1"/>
  <c r="HS34" i="1" a="1"/>
  <c r="HS34" i="1"/>
  <c r="HS32" i="1" a="1"/>
  <c r="HS32" i="1"/>
  <c r="HS30" i="1" a="1"/>
  <c r="HS30" i="1"/>
  <c r="HS28" i="1" a="1"/>
  <c r="HS28" i="1"/>
  <c r="HS26" i="1" a="1"/>
  <c r="HS26" i="1"/>
  <c r="HS24" i="1" a="1"/>
  <c r="HS24" i="1"/>
  <c r="HS22" i="1" a="1"/>
  <c r="HS22" i="1"/>
  <c r="HS20" i="1" a="1"/>
  <c r="HS20" i="1"/>
  <c r="HS18" i="1" a="1"/>
  <c r="HS18" i="1"/>
  <c r="HS16" i="1" a="1"/>
  <c r="HS16" i="1"/>
  <c r="HS14" i="1" a="1"/>
  <c r="HS14" i="1"/>
  <c r="HS12" i="1" a="1"/>
  <c r="HS12" i="1"/>
  <c r="HS61" i="1" a="1"/>
  <c r="HS61" i="1"/>
  <c r="HS59" i="1" a="1"/>
  <c r="HS59" i="1"/>
  <c r="HS55" i="1" a="1"/>
  <c r="HS55" i="1"/>
  <c r="HS57" i="1" a="1"/>
  <c r="HS57" i="1"/>
  <c r="HS52" i="1" a="1"/>
  <c r="HS52" i="1"/>
  <c r="HS53" i="1" a="1"/>
  <c r="HS53" i="1"/>
  <c r="HS49" i="1" a="1"/>
  <c r="HS49" i="1"/>
  <c r="HS47" i="1" a="1"/>
  <c r="HS47" i="1"/>
  <c r="HS45" i="1" a="1"/>
  <c r="HS45" i="1"/>
  <c r="HS43" i="1" a="1"/>
  <c r="HS43" i="1"/>
  <c r="HS41" i="1" a="1"/>
  <c r="HS41" i="1"/>
  <c r="HS39" i="1" a="1"/>
  <c r="HS39" i="1"/>
  <c r="HS37" i="1" a="1"/>
  <c r="HS37" i="1"/>
  <c r="HS35" i="1" a="1"/>
  <c r="HS35" i="1"/>
  <c r="HS33" i="1" a="1"/>
  <c r="HS33" i="1"/>
  <c r="HS31" i="1" a="1"/>
  <c r="HS31" i="1"/>
  <c r="HS29" i="1" a="1"/>
  <c r="HS29" i="1"/>
  <c r="HS27" i="1" a="1"/>
  <c r="HS27" i="1"/>
  <c r="HS25" i="1" a="1"/>
  <c r="HS25" i="1"/>
  <c r="HS23" i="1" a="1"/>
  <c r="HS23" i="1"/>
  <c r="HS21" i="1" a="1"/>
  <c r="HS21" i="1"/>
  <c r="HS19" i="1" a="1"/>
  <c r="HS19" i="1"/>
  <c r="HS17" i="1" a="1"/>
  <c r="HS17" i="1"/>
  <c r="HS15" i="1" a="1"/>
  <c r="HS15" i="1"/>
  <c r="HS13" i="1" a="1"/>
  <c r="HS13" i="1"/>
  <c r="HT11" i="1"/>
  <c r="BW52" i="1" a="1"/>
  <c r="BW52" i="1"/>
  <c r="BW28" i="1" a="1"/>
  <c r="BW28" i="1"/>
  <c r="BW13" i="1" a="1"/>
  <c r="BW13" i="1"/>
  <c r="BW56" i="1" a="1"/>
  <c r="BW56" i="1"/>
  <c r="BW60" i="1" a="1"/>
  <c r="BW60" i="1"/>
  <c r="BW59" i="1" a="1"/>
  <c r="BW59" i="1"/>
  <c r="BW27" i="1" a="1"/>
  <c r="BW27" i="1"/>
  <c r="BW62" i="1" a="1"/>
  <c r="BW62" i="1"/>
  <c r="BW54" i="1" a="1"/>
  <c r="BW54" i="1"/>
  <c r="BW20" i="1" a="1"/>
  <c r="BW20" i="1"/>
  <c r="BW26" i="1" a="1"/>
  <c r="BW26" i="1"/>
  <c r="BW24" i="1" a="1"/>
  <c r="BW24" i="1"/>
  <c r="BW38" i="1" a="1"/>
  <c r="BW38" i="1"/>
  <c r="BW44" i="1" a="1"/>
  <c r="BW44" i="1"/>
  <c r="BW30" i="1" a="1"/>
  <c r="BW30" i="1"/>
  <c r="BW12" i="1" a="1"/>
  <c r="BW12" i="1"/>
  <c r="BW42" i="1" a="1"/>
  <c r="BW42" i="1"/>
  <c r="BW45" i="1" a="1"/>
  <c r="BW45" i="1"/>
  <c r="BW31" i="1" a="1"/>
  <c r="BW31" i="1"/>
  <c r="BW50" i="1" a="1"/>
  <c r="BW50" i="1"/>
  <c r="BW51" i="1" a="1"/>
  <c r="BW51" i="1"/>
  <c r="BW49" i="1" a="1"/>
  <c r="BW49" i="1"/>
  <c r="BW33" i="1" a="1"/>
  <c r="BW33" i="1"/>
  <c r="BW53" i="1" a="1"/>
  <c r="BW53" i="1"/>
  <c r="BW15" i="1" a="1"/>
  <c r="BW15" i="1"/>
  <c r="BW55" i="1" a="1"/>
  <c r="BW55" i="1"/>
  <c r="BW25" i="1" a="1"/>
  <c r="BW25" i="1"/>
  <c r="BW19" i="1" a="1"/>
  <c r="BW19" i="1"/>
  <c r="BW17" i="1" a="1"/>
  <c r="BW17" i="1"/>
  <c r="BW48" i="1" a="1"/>
  <c r="BW48" i="1"/>
  <c r="BW29" i="1" a="1"/>
  <c r="BW29" i="1"/>
  <c r="BW47" i="1" a="1"/>
  <c r="BW47" i="1"/>
  <c r="BW14" i="1" a="1"/>
  <c r="BW14" i="1"/>
  <c r="BW57" i="1" a="1"/>
  <c r="BW57" i="1"/>
  <c r="BW36" i="1" a="1"/>
  <c r="BW36" i="1"/>
  <c r="BW58" i="1" a="1"/>
  <c r="BW58" i="1"/>
  <c r="BW23" i="1" a="1"/>
  <c r="BW23" i="1"/>
  <c r="BW34" i="1" a="1"/>
  <c r="BW34" i="1"/>
  <c r="BW16" i="1" a="1"/>
  <c r="BW16" i="1"/>
  <c r="BW18" i="1" a="1"/>
  <c r="BW18" i="1"/>
  <c r="BW43" i="1" a="1"/>
  <c r="BW43" i="1"/>
  <c r="BW22" i="1" a="1"/>
  <c r="BW22" i="1"/>
  <c r="BW40" i="1" a="1"/>
  <c r="BW40" i="1"/>
  <c r="BW46" i="1" a="1"/>
  <c r="BW46" i="1"/>
  <c r="BW32" i="1" a="1"/>
  <c r="BW32" i="1"/>
  <c r="BW37" i="1" a="1"/>
  <c r="BW37" i="1"/>
  <c r="BW61" i="1" a="1"/>
  <c r="BW61" i="1"/>
  <c r="BW41" i="1" a="1"/>
  <c r="BW41" i="1"/>
  <c r="BW35" i="1" a="1"/>
  <c r="BW35" i="1"/>
  <c r="BW21" i="1" a="1"/>
  <c r="BW21" i="1"/>
  <c r="BW39" i="1" a="1"/>
  <c r="BW39" i="1"/>
  <c r="BX25" i="1" a="1"/>
  <c r="BX25" i="1"/>
  <c r="BX14" i="1" a="1"/>
  <c r="BX14" i="1"/>
  <c r="BX56" i="1" a="1"/>
  <c r="BX56" i="1"/>
  <c r="BX20" i="1" a="1"/>
  <c r="BX20" i="1"/>
  <c r="BX60" i="1" a="1"/>
  <c r="BX60" i="1"/>
  <c r="BX51" i="1" a="1"/>
  <c r="BX51" i="1"/>
  <c r="BX31" i="1" a="1"/>
  <c r="BX31" i="1"/>
  <c r="BX62" i="1" a="1"/>
  <c r="BX62" i="1"/>
  <c r="BX53" i="1" a="1"/>
  <c r="BX53" i="1"/>
  <c r="BX17" i="1" a="1"/>
  <c r="BX17" i="1"/>
  <c r="BX58" i="1" a="1"/>
  <c r="BX58" i="1"/>
  <c r="BX29" i="1" a="1"/>
  <c r="BX29" i="1"/>
  <c r="BX13" i="1" a="1"/>
  <c r="BX13" i="1"/>
  <c r="BX30" i="1" a="1"/>
  <c r="BX30" i="1"/>
  <c r="BX16" i="1" a="1"/>
  <c r="BX16" i="1"/>
  <c r="BX33" i="1" a="1"/>
  <c r="BX33" i="1"/>
  <c r="BX19" i="1" a="1"/>
  <c r="BX19" i="1"/>
  <c r="BX45" i="1" a="1"/>
  <c r="BX45" i="1"/>
  <c r="BX32" i="1" a="1"/>
  <c r="BX32" i="1"/>
  <c r="BX52" i="1" a="1"/>
  <c r="BX52" i="1"/>
  <c r="BX36" i="1" a="1"/>
  <c r="BX36" i="1"/>
  <c r="BX49" i="1" a="1"/>
  <c r="BX49" i="1"/>
  <c r="BX40" i="1" a="1"/>
  <c r="BX40" i="1"/>
  <c r="BX55" i="1" a="1"/>
  <c r="BX55" i="1"/>
  <c r="BX50" i="1" a="1"/>
  <c r="BX50" i="1"/>
  <c r="BX24" i="1" a="1"/>
  <c r="BX24" i="1"/>
  <c r="BX47" i="1" a="1"/>
  <c r="BX47" i="1"/>
  <c r="BX28" i="1" a="1"/>
  <c r="BX28" i="1"/>
  <c r="BX46" i="1" a="1"/>
  <c r="BX46" i="1"/>
  <c r="BX21" i="1" a="1"/>
  <c r="BX21" i="1"/>
  <c r="BX22" i="1" a="1"/>
  <c r="BX22" i="1"/>
  <c r="BX57" i="1" a="1"/>
  <c r="BX57" i="1"/>
  <c r="BX26" i="1" a="1"/>
  <c r="BX26" i="1"/>
  <c r="BX61" i="1" a="1"/>
  <c r="BX61" i="1"/>
  <c r="BX18" i="1" a="1"/>
  <c r="BX18" i="1"/>
  <c r="BX37" i="1" a="1"/>
  <c r="BX37" i="1"/>
  <c r="BX39" i="1" a="1"/>
  <c r="BX39" i="1"/>
  <c r="BX34" i="1" a="1"/>
  <c r="BX34" i="1"/>
  <c r="BX23" i="1" a="1"/>
  <c r="BX23" i="1"/>
  <c r="BX43" i="1" a="1"/>
  <c r="BX43" i="1"/>
  <c r="BX27" i="1" a="1"/>
  <c r="BX27" i="1"/>
  <c r="BX35" i="1" a="1"/>
  <c r="BX35" i="1"/>
  <c r="BX54" i="1" a="1"/>
  <c r="BX54" i="1"/>
  <c r="BX42" i="1" a="1"/>
  <c r="BX42" i="1"/>
  <c r="BX59" i="1" a="1"/>
  <c r="BX59" i="1"/>
  <c r="BX44" i="1" a="1"/>
  <c r="BX44" i="1"/>
  <c r="BX41" i="1" a="1"/>
  <c r="BX41" i="1"/>
  <c r="BX48" i="1" a="1"/>
  <c r="BX48" i="1"/>
  <c r="BX38" i="1" a="1"/>
  <c r="BX38" i="1"/>
  <c r="BX15" i="1" a="1"/>
  <c r="BX15" i="1"/>
  <c r="BX12" i="1" a="1"/>
  <c r="BX12" i="1"/>
  <c r="HT62" i="1" a="1"/>
  <c r="HT62" i="1"/>
  <c r="HT60" i="1" a="1"/>
  <c r="HT60" i="1"/>
  <c r="HT58" i="1" a="1"/>
  <c r="HT58" i="1"/>
  <c r="HT56" i="1" a="1"/>
  <c r="HT56" i="1"/>
  <c r="HT54" i="1" a="1"/>
  <c r="HT54" i="1"/>
  <c r="HT50" i="1" a="1"/>
  <c r="HT50" i="1"/>
  <c r="HT52" i="1" a="1"/>
  <c r="HT52" i="1"/>
  <c r="HT45" i="1" a="1"/>
  <c r="HT45" i="1"/>
  <c r="HT43" i="1" a="1"/>
  <c r="HT43" i="1"/>
  <c r="HT41" i="1" a="1"/>
  <c r="HT41" i="1"/>
  <c r="HT47" i="1" a="1"/>
  <c r="HT47" i="1"/>
  <c r="HT35" i="1" a="1"/>
  <c r="HT35" i="1"/>
  <c r="HT33" i="1" a="1"/>
  <c r="HT33" i="1"/>
  <c r="HT39" i="1" a="1"/>
  <c r="HT39" i="1"/>
  <c r="HT37" i="1" a="1"/>
  <c r="HT37" i="1"/>
  <c r="HT32" i="1" a="1"/>
  <c r="HT32" i="1"/>
  <c r="HT30" i="1" a="1"/>
  <c r="HT30" i="1"/>
  <c r="HT28" i="1" a="1"/>
  <c r="HT28" i="1"/>
  <c r="HT26" i="1" a="1"/>
  <c r="HT26" i="1"/>
  <c r="HT24" i="1" a="1"/>
  <c r="HT24" i="1"/>
  <c r="HT22" i="1" a="1"/>
  <c r="HT22" i="1"/>
  <c r="HT16" i="1" a="1"/>
  <c r="HT16" i="1"/>
  <c r="HT14" i="1" a="1"/>
  <c r="HT14" i="1"/>
  <c r="HT12" i="1" a="1"/>
  <c r="HT12" i="1"/>
  <c r="HT20" i="1" a="1"/>
  <c r="HT20" i="1"/>
  <c r="HT18" i="1" a="1"/>
  <c r="HT18" i="1"/>
  <c r="HT61" i="1" a="1"/>
  <c r="HT61" i="1"/>
  <c r="HT59" i="1" a="1"/>
  <c r="HT59" i="1"/>
  <c r="HT57" i="1" a="1"/>
  <c r="HT57" i="1"/>
  <c r="HT55" i="1" a="1"/>
  <c r="HT55" i="1"/>
  <c r="HT53" i="1" a="1"/>
  <c r="HT53" i="1"/>
  <c r="HT49" i="1" a="1"/>
  <c r="HT49" i="1"/>
  <c r="HT51" i="1" a="1"/>
  <c r="HT51" i="1"/>
  <c r="HT44" i="1" a="1"/>
  <c r="HT44" i="1"/>
  <c r="HT42" i="1" a="1"/>
  <c r="HT42" i="1"/>
  <c r="HT48" i="1" a="1"/>
  <c r="HT48" i="1"/>
  <c r="HT46" i="1" a="1"/>
  <c r="HT46" i="1"/>
  <c r="HT34" i="1" a="1"/>
  <c r="HT34" i="1"/>
  <c r="HT40" i="1" a="1"/>
  <c r="HT40" i="1"/>
  <c r="HT38" i="1" a="1"/>
  <c r="HT38" i="1"/>
  <c r="HT36" i="1" a="1"/>
  <c r="HT36" i="1"/>
  <c r="HT31" i="1" a="1"/>
  <c r="HT31" i="1"/>
  <c r="HT29" i="1" a="1"/>
  <c r="HT29" i="1"/>
  <c r="HT27" i="1" a="1"/>
  <c r="HT27" i="1"/>
  <c r="HT25" i="1" a="1"/>
  <c r="HT25" i="1"/>
  <c r="HT23" i="1" a="1"/>
  <c r="HT23" i="1"/>
  <c r="HT17" i="1" a="1"/>
  <c r="HT17" i="1"/>
  <c r="HT15" i="1" a="1"/>
  <c r="HT15" i="1"/>
  <c r="HT13" i="1" a="1"/>
  <c r="HT13" i="1"/>
  <c r="HT21" i="1" a="1"/>
  <c r="HT21" i="1"/>
  <c r="HT19" i="1" a="1"/>
  <c r="HT19" i="1"/>
  <c r="HU11" i="1"/>
  <c r="BY42" i="1" a="1"/>
  <c r="BY42" i="1"/>
  <c r="BY46" i="1" a="1"/>
  <c r="BY46" i="1"/>
  <c r="BY31" i="1" a="1"/>
  <c r="BY31" i="1"/>
  <c r="BY50" i="1" a="1"/>
  <c r="BY50" i="1"/>
  <c r="BY43" i="1" a="1"/>
  <c r="BY43" i="1"/>
  <c r="BY49" i="1" a="1"/>
  <c r="BY49" i="1"/>
  <c r="BY56" i="1" a="1"/>
  <c r="BY56" i="1"/>
  <c r="BY21" i="1" a="1"/>
  <c r="BY21" i="1"/>
  <c r="BY59" i="1" a="1"/>
  <c r="BY59" i="1"/>
  <c r="BY25" i="1" a="1"/>
  <c r="BY25" i="1"/>
  <c r="BY13" i="1" a="1"/>
  <c r="BY13" i="1"/>
  <c r="BY17" i="1" a="1"/>
  <c r="BY17" i="1"/>
  <c r="BY20" i="1" a="1"/>
  <c r="BY20" i="1"/>
  <c r="BY57" i="1" a="1"/>
  <c r="BY57" i="1"/>
  <c r="BY24" i="1" a="1"/>
  <c r="BY24" i="1"/>
  <c r="BY52" i="1" a="1"/>
  <c r="BY52" i="1"/>
  <c r="BY36" i="1" a="1"/>
  <c r="BY36" i="1"/>
  <c r="BY54" i="1" a="1"/>
  <c r="BY54" i="1"/>
  <c r="BY34" i="1" a="1"/>
  <c r="BY34" i="1"/>
  <c r="BY18" i="1" a="1"/>
  <c r="BY18" i="1"/>
  <c r="BY38" i="1" a="1"/>
  <c r="BY38" i="1"/>
  <c r="BY27" i="1" a="1"/>
  <c r="BY27" i="1"/>
  <c r="BY35" i="1" a="1"/>
  <c r="BY35" i="1"/>
  <c r="BY12" i="1" a="1"/>
  <c r="BY12" i="1"/>
  <c r="BY53" i="1" a="1"/>
  <c r="BY53" i="1"/>
  <c r="BY45" i="1" a="1"/>
  <c r="BY45" i="1"/>
  <c r="BY55" i="1" a="1"/>
  <c r="BY55" i="1"/>
  <c r="BY37" i="1" a="1"/>
  <c r="BY37" i="1"/>
  <c r="BY61" i="1" a="1"/>
  <c r="BY61" i="1"/>
  <c r="BY41" i="1" a="1"/>
  <c r="BY41" i="1"/>
  <c r="BY47" i="1" a="1"/>
  <c r="BY47" i="1"/>
  <c r="BY29" i="1" a="1"/>
  <c r="BY29" i="1"/>
  <c r="BY39" i="1" a="1"/>
  <c r="BY39" i="1"/>
  <c r="BY14" i="1" a="1"/>
  <c r="BY14" i="1"/>
  <c r="BY51" i="1" a="1"/>
  <c r="BY51" i="1"/>
  <c r="BY28" i="1" a="1"/>
  <c r="BY28" i="1"/>
  <c r="BY48" i="1" a="1"/>
  <c r="BY48" i="1"/>
  <c r="BY16" i="1" a="1"/>
  <c r="BY16" i="1"/>
  <c r="BY60" i="1" a="1"/>
  <c r="BY60" i="1"/>
  <c r="BY15" i="1" a="1"/>
  <c r="BY15" i="1"/>
  <c r="BY62" i="1" a="1"/>
  <c r="BY62" i="1"/>
  <c r="BY19" i="1" a="1"/>
  <c r="BY19" i="1"/>
  <c r="BY58" i="1" a="1"/>
  <c r="BY58" i="1"/>
  <c r="BY23" i="1" a="1"/>
  <c r="BY23" i="1"/>
  <c r="BY40" i="1" a="1"/>
  <c r="BY40" i="1"/>
  <c r="BY26" i="1" a="1"/>
  <c r="BY26" i="1"/>
  <c r="BY32" i="1" a="1"/>
  <c r="BY32" i="1"/>
  <c r="BY30" i="1" a="1"/>
  <c r="BY30" i="1"/>
  <c r="BY44" i="1" a="1"/>
  <c r="BY44" i="1"/>
  <c r="BY22" i="1" a="1"/>
  <c r="BY22" i="1"/>
  <c r="BY33" i="1" a="1"/>
  <c r="BY33" i="1"/>
  <c r="HU61" i="1" a="1"/>
  <c r="HU61" i="1"/>
  <c r="HU59" i="1" a="1"/>
  <c r="HU59" i="1"/>
  <c r="HU55" i="1" a="1"/>
  <c r="HU55" i="1"/>
  <c r="HU57" i="1" a="1"/>
  <c r="HU57" i="1"/>
  <c r="HU53" i="1" a="1"/>
  <c r="HU53" i="1"/>
  <c r="HU51" i="1" a="1"/>
  <c r="HU51" i="1"/>
  <c r="HU49" i="1" a="1"/>
  <c r="HU49" i="1"/>
  <c r="HU47" i="1" a="1"/>
  <c r="HU47" i="1"/>
  <c r="HU45" i="1" a="1"/>
  <c r="HU45" i="1"/>
  <c r="HU43" i="1" a="1"/>
  <c r="HU43" i="1"/>
  <c r="HU41" i="1" a="1"/>
  <c r="HU41" i="1"/>
  <c r="HU39" i="1" a="1"/>
  <c r="HU39" i="1"/>
  <c r="HU37" i="1" a="1"/>
  <c r="HU37" i="1"/>
  <c r="HU35" i="1" a="1"/>
  <c r="HU35" i="1"/>
  <c r="HU33" i="1" a="1"/>
  <c r="HU33" i="1"/>
  <c r="HU31" i="1" a="1"/>
  <c r="HU31" i="1"/>
  <c r="HU26" i="1" a="1"/>
  <c r="HU26" i="1"/>
  <c r="HU24" i="1" a="1"/>
  <c r="HU24" i="1"/>
  <c r="HU29" i="1" a="1"/>
  <c r="HU29" i="1"/>
  <c r="HU23" i="1" a="1"/>
  <c r="HU23" i="1"/>
  <c r="HU21" i="1" a="1"/>
  <c r="HU21" i="1"/>
  <c r="HU19" i="1" a="1"/>
  <c r="HU19" i="1"/>
  <c r="HU17" i="1" a="1"/>
  <c r="HU17" i="1"/>
  <c r="HU15" i="1" a="1"/>
  <c r="HU15" i="1"/>
  <c r="HU13" i="1" a="1"/>
  <c r="HU13" i="1"/>
  <c r="HV11" i="1"/>
  <c r="HU62" i="1" a="1"/>
  <c r="HU62" i="1"/>
  <c r="HU60" i="1" a="1"/>
  <c r="HU60" i="1"/>
  <c r="HU58" i="1" a="1"/>
  <c r="HU58" i="1"/>
  <c r="HU54" i="1" a="1"/>
  <c r="HU54" i="1"/>
  <c r="HU56" i="1" a="1"/>
  <c r="HU56" i="1"/>
  <c r="HU52" i="1" a="1"/>
  <c r="HU52" i="1"/>
  <c r="HU50" i="1" a="1"/>
  <c r="HU50" i="1"/>
  <c r="HU48" i="1" a="1"/>
  <c r="HU48" i="1"/>
  <c r="HU46" i="1" a="1"/>
  <c r="HU46" i="1"/>
  <c r="HU44" i="1" a="1"/>
  <c r="HU44" i="1"/>
  <c r="HU42" i="1" a="1"/>
  <c r="HU42" i="1"/>
  <c r="HU40" i="1" a="1"/>
  <c r="HU40" i="1"/>
  <c r="HU38" i="1" a="1"/>
  <c r="HU38" i="1"/>
  <c r="HU36" i="1" a="1"/>
  <c r="HU36" i="1"/>
  <c r="HU34" i="1" a="1"/>
  <c r="HU34" i="1"/>
  <c r="HU32" i="1" a="1"/>
  <c r="HU32" i="1"/>
  <c r="HU27" i="1" a="1"/>
  <c r="HU27" i="1"/>
  <c r="HU25" i="1" a="1"/>
  <c r="HU25" i="1"/>
  <c r="HU30" i="1" a="1"/>
  <c r="HU30" i="1"/>
  <c r="HU28" i="1" a="1"/>
  <c r="HU28" i="1"/>
  <c r="HU22" i="1" a="1"/>
  <c r="HU22" i="1"/>
  <c r="HU20" i="1" a="1"/>
  <c r="HU20" i="1"/>
  <c r="HU18" i="1" a="1"/>
  <c r="HU18" i="1"/>
  <c r="HU16" i="1" a="1"/>
  <c r="HU16" i="1"/>
  <c r="HU14" i="1" a="1"/>
  <c r="HU14" i="1"/>
  <c r="HU12" i="1" a="1"/>
  <c r="HU12" i="1"/>
  <c r="HV60" i="1" a="1"/>
  <c r="HV60" i="1"/>
  <c r="HV54" i="1" a="1"/>
  <c r="HV54" i="1"/>
  <c r="HV52" i="1" a="1"/>
  <c r="HV52" i="1"/>
  <c r="HV48" i="1" a="1"/>
  <c r="HV48" i="1"/>
  <c r="HV44" i="1" a="1"/>
  <c r="HV44" i="1"/>
  <c r="HV40" i="1" a="1"/>
  <c r="HV40" i="1"/>
  <c r="HV36" i="1" a="1"/>
  <c r="HV36" i="1"/>
  <c r="HV32" i="1" a="1"/>
  <c r="HV32" i="1"/>
  <c r="HV28" i="1" a="1"/>
  <c r="HV28" i="1"/>
  <c r="HV24" i="1" a="1"/>
  <c r="HV24" i="1"/>
  <c r="HV16" i="1" a="1"/>
  <c r="HV16" i="1"/>
  <c r="HV12" i="1" a="1"/>
  <c r="HV12" i="1"/>
  <c r="HV18" i="1" a="1"/>
  <c r="HV18" i="1"/>
  <c r="HV59" i="1" a="1"/>
  <c r="HV59" i="1"/>
  <c r="HV53" i="1" a="1"/>
  <c r="HV53" i="1"/>
  <c r="HV51" i="1" a="1"/>
  <c r="HV51" i="1"/>
  <c r="HV47" i="1" a="1"/>
  <c r="HV47" i="1"/>
  <c r="HV43" i="1" a="1"/>
  <c r="HV43" i="1"/>
  <c r="HV39" i="1" a="1"/>
  <c r="HV39" i="1"/>
  <c r="HV35" i="1" a="1"/>
  <c r="HV35" i="1"/>
  <c r="HV31" i="1" a="1"/>
  <c r="HV31" i="1"/>
  <c r="HV27" i="1" a="1"/>
  <c r="HV27" i="1"/>
  <c r="HV23" i="1" a="1"/>
  <c r="HV23" i="1"/>
  <c r="HV15" i="1" a="1"/>
  <c r="HV15" i="1"/>
  <c r="HV21" i="1" a="1"/>
  <c r="HV21" i="1"/>
  <c r="HW11" i="1"/>
  <c r="HV62" i="1" a="1"/>
  <c r="HV62" i="1"/>
  <c r="HV58" i="1" a="1"/>
  <c r="HV58" i="1"/>
  <c r="HV57" i="1" a="1"/>
  <c r="HV57" i="1"/>
  <c r="HV50" i="1" a="1"/>
  <c r="HV50" i="1"/>
  <c r="HV46" i="1" a="1"/>
  <c r="HV46" i="1"/>
  <c r="HV42" i="1" a="1"/>
  <c r="HV42" i="1"/>
  <c r="HV38" i="1" a="1"/>
  <c r="HV38" i="1"/>
  <c r="HV34" i="1" a="1"/>
  <c r="HV34" i="1"/>
  <c r="HV30" i="1" a="1"/>
  <c r="HV30" i="1"/>
  <c r="HV26" i="1" a="1"/>
  <c r="HV26" i="1"/>
  <c r="HV22" i="1" a="1"/>
  <c r="HV22" i="1"/>
  <c r="HV14" i="1" a="1"/>
  <c r="HV14" i="1"/>
  <c r="HV20" i="1" a="1"/>
  <c r="HV20" i="1"/>
  <c r="HV61" i="1" a="1"/>
  <c r="HV61" i="1"/>
  <c r="HV55" i="1" a="1"/>
  <c r="HV55" i="1"/>
  <c r="HV56" i="1" a="1"/>
  <c r="HV56" i="1"/>
  <c r="HV49" i="1" a="1"/>
  <c r="HV49" i="1"/>
  <c r="HV45" i="1" a="1"/>
  <c r="HV45" i="1"/>
  <c r="HV41" i="1" a="1"/>
  <c r="HV41" i="1"/>
  <c r="HV37" i="1" a="1"/>
  <c r="HV37" i="1"/>
  <c r="HV33" i="1" a="1"/>
  <c r="HV33" i="1"/>
  <c r="HV29" i="1" a="1"/>
  <c r="HV29" i="1"/>
  <c r="HV25" i="1" a="1"/>
  <c r="HV25" i="1"/>
  <c r="HV17" i="1" a="1"/>
  <c r="HV17" i="1"/>
  <c r="HV13" i="1" a="1"/>
  <c r="HV13" i="1"/>
  <c r="HV19" i="1" a="1"/>
  <c r="HV19" i="1"/>
  <c r="BZ55" i="1" a="1"/>
  <c r="BZ55" i="1"/>
  <c r="BZ24" i="1" a="1"/>
  <c r="BZ24" i="1"/>
  <c r="BZ59" i="1" a="1"/>
  <c r="BZ59" i="1"/>
  <c r="BZ14" i="1" a="1"/>
  <c r="BZ14" i="1"/>
  <c r="BZ18" i="1" a="1"/>
  <c r="BZ18" i="1"/>
  <c r="BZ20" i="1" a="1"/>
  <c r="BZ20" i="1"/>
  <c r="BZ51" i="1" a="1"/>
  <c r="BZ51" i="1"/>
  <c r="BZ21" i="1" a="1"/>
  <c r="BZ21" i="1"/>
  <c r="BZ50" i="1" a="1"/>
  <c r="BZ50" i="1"/>
  <c r="BZ25" i="1" a="1"/>
  <c r="BZ25" i="1"/>
  <c r="BZ53" i="1" a="1"/>
  <c r="BZ53" i="1"/>
  <c r="BZ35" i="1" a="1"/>
  <c r="BZ35" i="1"/>
  <c r="BZ58" i="1" a="1"/>
  <c r="BZ58" i="1"/>
  <c r="BZ13" i="1" a="1"/>
  <c r="BZ13" i="1"/>
  <c r="BZ37" i="1" a="1"/>
  <c r="BZ37" i="1"/>
  <c r="BZ22" i="1" a="1"/>
  <c r="BZ22" i="1"/>
  <c r="BZ41" i="1" a="1"/>
  <c r="BZ41" i="1"/>
  <c r="BZ16" i="1" a="1"/>
  <c r="BZ16" i="1"/>
  <c r="BZ33" i="1" a="1"/>
  <c r="BZ33" i="1"/>
  <c r="BZ19" i="1" a="1"/>
  <c r="BZ19" i="1"/>
  <c r="BZ32" i="1" a="1"/>
  <c r="BZ32" i="1"/>
  <c r="BZ54" i="1" a="1"/>
  <c r="BZ54" i="1"/>
  <c r="BZ39" i="1" a="1"/>
  <c r="BZ39" i="1"/>
  <c r="BZ56" i="1" a="1"/>
  <c r="BZ56" i="1"/>
  <c r="BZ36" i="1" a="1"/>
  <c r="BZ36" i="1"/>
  <c r="BZ49" i="1" a="1"/>
  <c r="BZ49" i="1"/>
  <c r="BZ40" i="1" a="1"/>
  <c r="BZ40" i="1"/>
  <c r="BZ38" i="1" a="1"/>
  <c r="BZ38" i="1"/>
  <c r="BZ15" i="1" a="1"/>
  <c r="BZ15" i="1"/>
  <c r="BZ42" i="1" a="1"/>
  <c r="BZ42" i="1"/>
  <c r="BZ17" i="1" a="1"/>
  <c r="BZ17" i="1"/>
  <c r="BZ47" i="1" a="1"/>
  <c r="BZ47" i="1"/>
  <c r="BZ28" i="1" a="1"/>
  <c r="BZ28" i="1"/>
  <c r="BZ60" i="1" a="1"/>
  <c r="BZ60" i="1"/>
  <c r="BZ62" i="1" a="1"/>
  <c r="BZ62" i="1"/>
  <c r="BZ12" i="1" a="1"/>
  <c r="BZ12" i="1"/>
  <c r="BZ57" i="1" a="1"/>
  <c r="BZ57" i="1"/>
  <c r="BZ26" i="1" a="1"/>
  <c r="BZ26" i="1"/>
  <c r="BZ61" i="1" a="1"/>
  <c r="BZ61" i="1"/>
  <c r="BZ29" i="1" a="1"/>
  <c r="BZ29" i="1"/>
  <c r="BZ30" i="1" a="1"/>
  <c r="BZ30" i="1"/>
  <c r="BZ31" i="1" a="1"/>
  <c r="BZ31" i="1"/>
  <c r="BZ23" i="1" a="1"/>
  <c r="BZ23" i="1"/>
  <c r="BZ43" i="1" a="1"/>
  <c r="BZ43" i="1"/>
  <c r="BZ27" i="1" a="1"/>
  <c r="BZ27" i="1"/>
  <c r="BZ45" i="1" a="1"/>
  <c r="BZ45" i="1"/>
  <c r="BZ52" i="1" a="1"/>
  <c r="BZ52" i="1"/>
  <c r="BZ34" i="1" a="1"/>
  <c r="BZ34" i="1"/>
  <c r="BZ44" i="1" a="1"/>
  <c r="BZ44" i="1"/>
  <c r="BZ46" i="1" a="1"/>
  <c r="BZ46" i="1"/>
  <c r="BZ48" i="1" a="1"/>
  <c r="BZ48" i="1"/>
  <c r="CA58" i="1" a="1"/>
  <c r="CA58" i="1"/>
  <c r="CA13" i="1" a="1"/>
  <c r="CA13" i="1"/>
  <c r="CA54" i="1" a="1"/>
  <c r="CA54" i="1"/>
  <c r="CA44" i="1" a="1"/>
  <c r="CA44" i="1"/>
  <c r="CA26" i="1" a="1"/>
  <c r="CA26" i="1"/>
  <c r="CA41" i="1" a="1"/>
  <c r="CA41" i="1"/>
  <c r="CA30" i="1" a="1"/>
  <c r="CA30" i="1"/>
  <c r="CA22" i="1" a="1"/>
  <c r="CA22" i="1"/>
  <c r="CA40" i="1" a="1"/>
  <c r="CA40" i="1"/>
  <c r="CA12" i="1" a="1"/>
  <c r="CA12" i="1"/>
  <c r="CA39" i="1" a="1"/>
  <c r="CA39" i="1"/>
  <c r="CA50" i="1" a="1"/>
  <c r="CA50" i="1"/>
  <c r="CA31" i="1" a="1"/>
  <c r="CA31" i="1"/>
  <c r="CA53" i="1" a="1"/>
  <c r="CA53" i="1"/>
  <c r="CA46" i="1" a="1"/>
  <c r="CA46" i="1"/>
  <c r="CA35" i="1" a="1"/>
  <c r="CA35" i="1"/>
  <c r="CA45" i="1" a="1"/>
  <c r="CA45" i="1"/>
  <c r="CA21" i="1" a="1"/>
  <c r="CA21" i="1"/>
  <c r="CA25" i="1" a="1"/>
  <c r="CA25" i="1"/>
  <c r="CA61" i="1" a="1"/>
  <c r="CA61" i="1"/>
  <c r="CA29" i="1" a="1"/>
  <c r="CA29" i="1"/>
  <c r="CA17" i="1" a="1"/>
  <c r="CA17" i="1"/>
  <c r="CA15" i="1" a="1"/>
  <c r="CA15" i="1"/>
  <c r="CA48" i="1" a="1"/>
  <c r="CA48" i="1"/>
  <c r="CA36" i="1" a="1"/>
  <c r="CA36" i="1"/>
  <c r="CA57" i="1" a="1"/>
  <c r="CA57" i="1"/>
  <c r="CA28" i="1" a="1"/>
  <c r="CA28" i="1"/>
  <c r="CA51" i="1" a="1"/>
  <c r="CA51" i="1"/>
  <c r="CA32" i="1" a="1"/>
  <c r="CA32" i="1"/>
  <c r="CA23" i="1" a="1"/>
  <c r="CA23" i="1"/>
  <c r="CA34" i="1" a="1"/>
  <c r="CA34" i="1"/>
  <c r="CA18" i="1" a="1"/>
  <c r="CA18" i="1"/>
  <c r="CA38" i="1" a="1"/>
  <c r="CA38" i="1"/>
  <c r="CA19" i="1" a="1"/>
  <c r="CA19" i="1"/>
  <c r="CA42" i="1" a="1"/>
  <c r="CA42" i="1"/>
  <c r="CA37" i="1" a="1"/>
  <c r="CA37" i="1"/>
  <c r="CA55" i="1" a="1"/>
  <c r="CA55" i="1"/>
  <c r="CA49" i="1" a="1"/>
  <c r="CA49" i="1"/>
  <c r="CA56" i="1" a="1"/>
  <c r="CA56" i="1"/>
  <c r="CA33" i="1" a="1"/>
  <c r="CA33" i="1"/>
  <c r="CA59" i="1" a="1"/>
  <c r="CA59" i="1"/>
  <c r="CA47" i="1" a="1"/>
  <c r="CA47" i="1"/>
  <c r="CA14" i="1" a="1"/>
  <c r="CA14" i="1"/>
  <c r="CA52" i="1" a="1"/>
  <c r="CA52" i="1"/>
  <c r="CA20" i="1" a="1"/>
  <c r="CA20" i="1"/>
  <c r="CA43" i="1" a="1"/>
  <c r="CA43" i="1"/>
  <c r="CA24" i="1" a="1"/>
  <c r="CA24" i="1"/>
  <c r="CA16" i="1" a="1"/>
  <c r="CA16" i="1"/>
  <c r="CA60" i="1" a="1"/>
  <c r="CA60" i="1"/>
  <c r="CA27" i="1" a="1"/>
  <c r="CA27" i="1"/>
  <c r="CA62" i="1" a="1"/>
  <c r="CA62" i="1"/>
  <c r="HW61" i="1" a="1"/>
  <c r="HW61" i="1"/>
  <c r="HW59" i="1" a="1"/>
  <c r="HW59" i="1"/>
  <c r="HW55" i="1" a="1"/>
  <c r="HW55" i="1"/>
  <c r="HW57" i="1" a="1"/>
  <c r="HW57" i="1"/>
  <c r="HW53" i="1" a="1"/>
  <c r="HW53" i="1"/>
  <c r="HW51" i="1" a="1"/>
  <c r="HW51" i="1"/>
  <c r="HW49" i="1" a="1"/>
  <c r="HW49" i="1"/>
  <c r="HW47" i="1" a="1"/>
  <c r="HW47" i="1"/>
  <c r="HW45" i="1" a="1"/>
  <c r="HW45" i="1"/>
  <c r="HW43" i="1" a="1"/>
  <c r="HW43" i="1"/>
  <c r="HW41" i="1" a="1"/>
  <c r="HW41" i="1"/>
  <c r="HW39" i="1" a="1"/>
  <c r="HW39" i="1"/>
  <c r="HW37" i="1" a="1"/>
  <c r="HW37" i="1"/>
  <c r="HW35" i="1" a="1"/>
  <c r="HW35" i="1"/>
  <c r="HW33" i="1" a="1"/>
  <c r="HW33" i="1"/>
  <c r="HW31" i="1" a="1"/>
  <c r="HW31" i="1"/>
  <c r="HW26" i="1" a="1"/>
  <c r="HW26" i="1"/>
  <c r="HW24" i="1" a="1"/>
  <c r="HW24" i="1"/>
  <c r="HW29" i="1" a="1"/>
  <c r="HW29" i="1"/>
  <c r="HW21" i="1" a="1"/>
  <c r="HW21" i="1"/>
  <c r="HW19" i="1" a="1"/>
  <c r="HW19" i="1"/>
  <c r="HW23" i="1" a="1"/>
  <c r="HW23" i="1"/>
  <c r="HW17" i="1" a="1"/>
  <c r="HW17" i="1"/>
  <c r="HW15" i="1" a="1"/>
  <c r="HW15" i="1"/>
  <c r="HW13" i="1" a="1"/>
  <c r="HW13" i="1"/>
  <c r="HX11" i="1"/>
  <c r="HW62" i="1" a="1"/>
  <c r="HW62" i="1"/>
  <c r="HW60" i="1" a="1"/>
  <c r="HW60" i="1"/>
  <c r="HW58" i="1" a="1"/>
  <c r="HW58" i="1"/>
  <c r="HW54" i="1" a="1"/>
  <c r="HW54" i="1"/>
  <c r="HW56" i="1" a="1"/>
  <c r="HW56" i="1"/>
  <c r="HW52" i="1" a="1"/>
  <c r="HW52" i="1"/>
  <c r="HW50" i="1" a="1"/>
  <c r="HW50" i="1"/>
  <c r="HW48" i="1" a="1"/>
  <c r="HW48" i="1"/>
  <c r="HW46" i="1" a="1"/>
  <c r="HW46" i="1"/>
  <c r="HW44" i="1" a="1"/>
  <c r="HW44" i="1"/>
  <c r="HW42" i="1" a="1"/>
  <c r="HW42" i="1"/>
  <c r="HW40" i="1" a="1"/>
  <c r="HW40" i="1"/>
  <c r="HW38" i="1" a="1"/>
  <c r="HW38" i="1"/>
  <c r="HW36" i="1" a="1"/>
  <c r="HW36" i="1"/>
  <c r="HW34" i="1" a="1"/>
  <c r="HW34" i="1"/>
  <c r="HW32" i="1" a="1"/>
  <c r="HW32" i="1"/>
  <c r="HW27" i="1" a="1"/>
  <c r="HW27" i="1"/>
  <c r="HW25" i="1" a="1"/>
  <c r="HW25" i="1"/>
  <c r="HW30" i="1" a="1"/>
  <c r="HW30" i="1"/>
  <c r="HW28" i="1" a="1"/>
  <c r="HW28" i="1"/>
  <c r="HW20" i="1" a="1"/>
  <c r="HW20" i="1"/>
  <c r="HW18" i="1" a="1"/>
  <c r="HW18" i="1"/>
  <c r="HW22" i="1" a="1"/>
  <c r="HW22" i="1"/>
  <c r="HW16" i="1" a="1"/>
  <c r="HW16" i="1"/>
  <c r="HW14" i="1" a="1"/>
  <c r="HW14" i="1"/>
  <c r="HW12" i="1" a="1"/>
  <c r="HW12" i="1"/>
  <c r="HX60" i="1" a="1"/>
  <c r="HX60" i="1"/>
  <c r="HX57" i="1" a="1"/>
  <c r="HX57" i="1"/>
  <c r="HX52" i="1" a="1"/>
  <c r="HX52" i="1"/>
  <c r="HX49" i="1" a="1"/>
  <c r="HX49" i="1"/>
  <c r="HX43" i="1" a="1"/>
  <c r="HX43" i="1"/>
  <c r="HX48" i="1" a="1"/>
  <c r="HX48" i="1"/>
  <c r="HX35" i="1" a="1"/>
  <c r="HX35" i="1"/>
  <c r="HX40" i="1" a="1"/>
  <c r="HX40" i="1"/>
  <c r="HX31" i="1" a="1"/>
  <c r="HX31" i="1"/>
  <c r="HX25" i="1" a="1"/>
  <c r="HX25" i="1"/>
  <c r="HX20" i="1" a="1"/>
  <c r="HX20" i="1"/>
  <c r="HX17" i="1" a="1"/>
  <c r="HX17" i="1"/>
  <c r="HX12" i="1" a="1"/>
  <c r="HX12" i="1"/>
  <c r="HX62" i="1" a="1"/>
  <c r="HX62" i="1"/>
  <c r="HX59" i="1" a="1"/>
  <c r="HX59" i="1"/>
  <c r="HX54" i="1" a="1"/>
  <c r="HX54" i="1"/>
  <c r="HX51" i="1" a="1"/>
  <c r="HX51" i="1"/>
  <c r="HX45" i="1" a="1"/>
  <c r="HX45" i="1"/>
  <c r="HX42" i="1" a="1"/>
  <c r="HX42" i="1"/>
  <c r="HX37" i="1" a="1"/>
  <c r="HX37" i="1"/>
  <c r="HX34" i="1" a="1"/>
  <c r="HX34" i="1"/>
  <c r="HX28" i="1" a="1"/>
  <c r="HX28" i="1"/>
  <c r="HX27" i="1" a="1"/>
  <c r="HX27" i="1"/>
  <c r="HX22" i="1" a="1"/>
  <c r="HX22" i="1"/>
  <c r="HX19" i="1" a="1"/>
  <c r="HX19" i="1"/>
  <c r="HX14" i="1" a="1"/>
  <c r="HX14" i="1"/>
  <c r="HY11" i="1"/>
  <c r="HX61" i="1" a="1"/>
  <c r="HX61" i="1"/>
  <c r="HX56" i="1" a="1"/>
  <c r="HX56" i="1"/>
  <c r="HX53" i="1" a="1"/>
  <c r="HX53" i="1"/>
  <c r="HX47" i="1" a="1"/>
  <c r="HX47" i="1"/>
  <c r="HX44" i="1" a="1"/>
  <c r="HX44" i="1"/>
  <c r="HX39" i="1" a="1"/>
  <c r="HX39" i="1"/>
  <c r="HX36" i="1" a="1"/>
  <c r="HX36" i="1"/>
  <c r="HX30" i="1" a="1"/>
  <c r="HX30" i="1"/>
  <c r="HX32" i="1" a="1"/>
  <c r="HX32" i="1"/>
  <c r="HX24" i="1" a="1"/>
  <c r="HX24" i="1"/>
  <c r="HX21" i="1" a="1"/>
  <c r="HX21" i="1"/>
  <c r="HX16" i="1" a="1"/>
  <c r="HX16" i="1"/>
  <c r="HX13" i="1" a="1"/>
  <c r="HX13" i="1"/>
  <c r="HX58" i="1" a="1"/>
  <c r="HX58" i="1"/>
  <c r="HX55" i="1" a="1"/>
  <c r="HX55" i="1"/>
  <c r="HX50" i="1" a="1"/>
  <c r="HX50" i="1"/>
  <c r="HX46" i="1" a="1"/>
  <c r="HX46" i="1"/>
  <c r="HX41" i="1" a="1"/>
  <c r="HX41" i="1"/>
  <c r="HX38" i="1" a="1"/>
  <c r="HX38" i="1"/>
  <c r="HX33" i="1" a="1"/>
  <c r="HX33" i="1"/>
  <c r="HX29" i="1" a="1"/>
  <c r="HX29" i="1"/>
  <c r="HX26" i="1" a="1"/>
  <c r="HX26" i="1"/>
  <c r="HX23" i="1" a="1"/>
  <c r="HX23" i="1"/>
  <c r="HX18" i="1" a="1"/>
  <c r="HX18" i="1"/>
  <c r="HX15" i="1" a="1"/>
  <c r="HX15" i="1"/>
  <c r="CB16" i="1" a="1"/>
  <c r="CB16" i="1"/>
  <c r="CB38" i="1" a="1"/>
  <c r="CB38" i="1"/>
  <c r="CB19" i="1" a="1"/>
  <c r="CB19" i="1"/>
  <c r="CB45" i="1" a="1"/>
  <c r="CB45" i="1"/>
  <c r="CB52" i="1" a="1"/>
  <c r="CB52" i="1"/>
  <c r="CB36" i="1" a="1"/>
  <c r="CB36" i="1"/>
  <c r="CB24" i="1" a="1"/>
  <c r="CB24" i="1"/>
  <c r="CB13" i="1" a="1"/>
  <c r="CB13" i="1"/>
  <c r="CB59" i="1" a="1"/>
  <c r="CB59" i="1"/>
  <c r="CB48" i="1" a="1"/>
  <c r="CB48" i="1"/>
  <c r="CB12" i="1" a="1"/>
  <c r="CB12" i="1"/>
  <c r="CB58" i="1" a="1"/>
  <c r="CB58" i="1"/>
  <c r="CB31" i="1" a="1"/>
  <c r="CB31" i="1"/>
  <c r="CB47" i="1" a="1"/>
  <c r="CB47" i="1"/>
  <c r="CB29" i="1" a="1"/>
  <c r="CB29" i="1"/>
  <c r="CB51" i="1" a="1"/>
  <c r="CB51" i="1"/>
  <c r="CB21" i="1" a="1"/>
  <c r="CB21" i="1"/>
  <c r="CB60" i="1" a="1"/>
  <c r="CB60" i="1"/>
  <c r="CB14" i="1" a="1"/>
  <c r="CB14" i="1"/>
  <c r="CB37" i="1" a="1"/>
  <c r="CB37" i="1"/>
  <c r="CB17" i="1" a="1"/>
  <c r="CB17" i="1"/>
  <c r="CB50" i="1" a="1"/>
  <c r="CB50" i="1"/>
  <c r="CB25" i="1" a="1"/>
  <c r="CB25" i="1"/>
  <c r="CB39" i="1" a="1"/>
  <c r="CB39" i="1"/>
  <c r="CB41" i="1" a="1"/>
  <c r="CB41" i="1"/>
  <c r="CB33" i="1" a="1"/>
  <c r="CB33" i="1"/>
  <c r="CB43" i="1" a="1"/>
  <c r="CB43" i="1"/>
  <c r="CB27" i="1" a="1"/>
  <c r="CB27" i="1"/>
  <c r="CB32" i="1" a="1"/>
  <c r="CB32" i="1"/>
  <c r="CB54" i="1" a="1"/>
  <c r="CB54" i="1"/>
  <c r="CB49" i="1" a="1"/>
  <c r="CB49" i="1"/>
  <c r="CB40" i="1" a="1"/>
  <c r="CB40" i="1"/>
  <c r="CB34" i="1" a="1"/>
  <c r="CB34" i="1"/>
  <c r="CB26" i="1" a="1"/>
  <c r="CB26" i="1"/>
  <c r="CB57" i="1" a="1"/>
  <c r="CB57" i="1"/>
  <c r="CB15" i="1" a="1"/>
  <c r="CB15" i="1"/>
  <c r="CB30" i="1" a="1"/>
  <c r="CB30" i="1"/>
  <c r="CB28" i="1" a="1"/>
  <c r="CB28" i="1"/>
  <c r="CB18" i="1" a="1"/>
  <c r="CB18" i="1"/>
  <c r="CB20" i="1" a="1"/>
  <c r="CB20" i="1"/>
  <c r="CB22" i="1" a="1"/>
  <c r="CB22" i="1"/>
  <c r="CB62" i="1" a="1"/>
  <c r="CB62" i="1"/>
  <c r="CB53" i="1" a="1"/>
  <c r="CB53" i="1"/>
  <c r="CB55" i="1" a="1"/>
  <c r="CB55" i="1"/>
  <c r="CB56" i="1" a="1"/>
  <c r="CB56" i="1"/>
  <c r="CB61" i="1" a="1"/>
  <c r="CB61" i="1"/>
  <c r="CB42" i="1" a="1"/>
  <c r="CB42" i="1"/>
  <c r="CB46" i="1" a="1"/>
  <c r="CB46" i="1"/>
  <c r="CB23" i="1" a="1"/>
  <c r="CB23" i="1"/>
  <c r="CB35" i="1" a="1"/>
  <c r="CB35" i="1"/>
  <c r="CB44" i="1" a="1"/>
  <c r="CB44" i="1"/>
  <c r="CC60" i="1" a="1"/>
  <c r="CC60" i="1"/>
  <c r="CC62" i="1" a="1"/>
  <c r="CC62" i="1"/>
  <c r="CC28" i="1" a="1"/>
  <c r="CC28" i="1"/>
  <c r="CC18" i="1" a="1"/>
  <c r="CC18" i="1"/>
  <c r="CC22" i="1" a="1"/>
  <c r="CC22" i="1"/>
  <c r="CC53" i="1" a="1"/>
  <c r="CC53" i="1"/>
  <c r="CC45" i="1" a="1"/>
  <c r="CC45" i="1"/>
  <c r="CC49" i="1" a="1"/>
  <c r="CC49" i="1"/>
  <c r="CC29" i="1" a="1"/>
  <c r="CC29" i="1"/>
  <c r="CC52" i="1" a="1"/>
  <c r="CC52" i="1"/>
  <c r="CC15" i="1" a="1"/>
  <c r="CC15" i="1"/>
  <c r="CC48" i="1" a="1"/>
  <c r="CC48" i="1"/>
  <c r="CC57" i="1" a="1"/>
  <c r="CC57" i="1"/>
  <c r="CC58" i="1" a="1"/>
  <c r="CC58" i="1"/>
  <c r="CC34" i="1" a="1"/>
  <c r="CC34" i="1"/>
  <c r="CC37" i="1" a="1"/>
  <c r="CC37" i="1"/>
  <c r="CC12" i="1" a="1"/>
  <c r="CC12" i="1"/>
  <c r="CC33" i="1" a="1"/>
  <c r="CC33" i="1"/>
  <c r="CC51" i="1" a="1"/>
  <c r="CC51" i="1"/>
  <c r="CC41" i="1" a="1"/>
  <c r="CC41" i="1"/>
  <c r="CC47" i="1" a="1"/>
  <c r="CC47" i="1"/>
  <c r="CC19" i="1" a="1"/>
  <c r="CC19" i="1"/>
  <c r="CC43" i="1" a="1"/>
  <c r="CC43" i="1"/>
  <c r="CC16" i="1" a="1"/>
  <c r="CC16" i="1"/>
  <c r="CC27" i="1" a="1"/>
  <c r="CC27" i="1"/>
  <c r="CC54" i="1" a="1"/>
  <c r="CC54" i="1"/>
  <c r="CC23" i="1" a="1"/>
  <c r="CC23" i="1"/>
  <c r="CC31" i="1" a="1"/>
  <c r="CC31" i="1"/>
  <c r="CC38" i="1" a="1"/>
  <c r="CC38" i="1"/>
  <c r="CC36" i="1" a="1"/>
  <c r="CC36" i="1"/>
  <c r="CC39" i="1" a="1"/>
  <c r="CC39" i="1"/>
  <c r="CC59" i="1" a="1"/>
  <c r="CC59" i="1"/>
  <c r="CC55" i="1" a="1"/>
  <c r="CC55" i="1"/>
  <c r="CC35" i="1" a="1"/>
  <c r="CC35" i="1"/>
  <c r="CC17" i="1" a="1"/>
  <c r="CC17" i="1"/>
  <c r="CC24" i="1" a="1"/>
  <c r="CC24" i="1"/>
  <c r="CC14" i="1" a="1"/>
  <c r="CC14" i="1"/>
  <c r="CC61" i="1" a="1"/>
  <c r="CC61" i="1"/>
  <c r="CC32" i="1" a="1"/>
  <c r="CC32" i="1"/>
  <c r="CC44" i="1" a="1"/>
  <c r="CC44" i="1"/>
  <c r="CC13" i="1" a="1"/>
  <c r="CC13" i="1"/>
  <c r="CC40" i="1" a="1"/>
  <c r="CC40" i="1"/>
  <c r="CC26" i="1" a="1"/>
  <c r="CC26" i="1"/>
  <c r="CC30" i="1" a="1"/>
  <c r="CC30" i="1"/>
  <c r="CC42" i="1" a="1"/>
  <c r="CC42" i="1"/>
  <c r="CC46" i="1" a="1"/>
  <c r="CC46" i="1"/>
  <c r="CC50" i="1" a="1"/>
  <c r="CC50" i="1"/>
  <c r="CC56" i="1" a="1"/>
  <c r="CC56" i="1"/>
  <c r="CC21" i="1" a="1"/>
  <c r="CC21" i="1"/>
  <c r="CC25" i="1" a="1"/>
  <c r="CC25" i="1"/>
  <c r="CC20" i="1" a="1"/>
  <c r="CC20" i="1"/>
  <c r="HY61" i="1" a="1"/>
  <c r="HY61" i="1"/>
  <c r="HY59" i="1" a="1"/>
  <c r="HY59" i="1"/>
  <c r="HY57" i="1" a="1"/>
  <c r="HY57" i="1"/>
  <c r="HY55" i="1" a="1"/>
  <c r="HY55" i="1"/>
  <c r="HY53" i="1" a="1"/>
  <c r="HY53" i="1"/>
  <c r="HY51" i="1" a="1"/>
  <c r="HY51" i="1"/>
  <c r="HY49" i="1" a="1"/>
  <c r="HY49" i="1"/>
  <c r="HY47" i="1" a="1"/>
  <c r="HY47" i="1"/>
  <c r="HY45" i="1" a="1"/>
  <c r="HY45" i="1"/>
  <c r="HY43" i="1" a="1"/>
  <c r="HY43" i="1"/>
  <c r="HY41" i="1" a="1"/>
  <c r="HY41" i="1"/>
  <c r="HY39" i="1" a="1"/>
  <c r="HY39" i="1"/>
  <c r="HY37" i="1" a="1"/>
  <c r="HY37" i="1"/>
  <c r="HY35" i="1" a="1"/>
  <c r="HY35" i="1"/>
  <c r="HY33" i="1" a="1"/>
  <c r="HY33" i="1"/>
  <c r="HY31" i="1" a="1"/>
  <c r="HY31" i="1"/>
  <c r="HY29" i="1" a="1"/>
  <c r="HY29" i="1"/>
  <c r="HY27" i="1" a="1"/>
  <c r="HY27" i="1"/>
  <c r="HY25" i="1" a="1"/>
  <c r="HY25" i="1"/>
  <c r="HY23" i="1" a="1"/>
  <c r="HY23" i="1"/>
  <c r="HY21" i="1" a="1"/>
  <c r="HY21" i="1"/>
  <c r="HY19" i="1" a="1"/>
  <c r="HY19" i="1"/>
  <c r="HY17" i="1" a="1"/>
  <c r="HY17" i="1"/>
  <c r="HY15" i="1" a="1"/>
  <c r="HY15" i="1"/>
  <c r="HY13" i="1" a="1"/>
  <c r="HY13" i="1"/>
  <c r="HZ11" i="1"/>
  <c r="HY62" i="1" a="1"/>
  <c r="HY62" i="1"/>
  <c r="HY60" i="1" a="1"/>
  <c r="HY60" i="1"/>
  <c r="HY58" i="1" a="1"/>
  <c r="HY58" i="1"/>
  <c r="HY56" i="1" a="1"/>
  <c r="HY56" i="1"/>
  <c r="HY54" i="1" a="1"/>
  <c r="HY54" i="1"/>
  <c r="HY52" i="1" a="1"/>
  <c r="HY52" i="1"/>
  <c r="HY50" i="1" a="1"/>
  <c r="HY50" i="1"/>
  <c r="HY48" i="1" a="1"/>
  <c r="HY48" i="1"/>
  <c r="HY46" i="1" a="1"/>
  <c r="HY46" i="1"/>
  <c r="HY44" i="1" a="1"/>
  <c r="HY44" i="1"/>
  <c r="HY42" i="1" a="1"/>
  <c r="HY42" i="1"/>
  <c r="HY40" i="1" a="1"/>
  <c r="HY40" i="1"/>
  <c r="HY38" i="1" a="1"/>
  <c r="HY38" i="1"/>
  <c r="HY36" i="1" a="1"/>
  <c r="HY36" i="1"/>
  <c r="HY34" i="1" a="1"/>
  <c r="HY34" i="1"/>
  <c r="HY32" i="1" a="1"/>
  <c r="HY32" i="1"/>
  <c r="HY30" i="1" a="1"/>
  <c r="HY30" i="1"/>
  <c r="HY28" i="1" a="1"/>
  <c r="HY28" i="1"/>
  <c r="HY26" i="1" a="1"/>
  <c r="HY26" i="1"/>
  <c r="HY24" i="1" a="1"/>
  <c r="HY24" i="1"/>
  <c r="HY22" i="1" a="1"/>
  <c r="HY22" i="1"/>
  <c r="HY20" i="1" a="1"/>
  <c r="HY20" i="1"/>
  <c r="HY18" i="1" a="1"/>
  <c r="HY18" i="1"/>
  <c r="HY16" i="1" a="1"/>
  <c r="HY16" i="1"/>
  <c r="HY14" i="1" a="1"/>
  <c r="HY14" i="1"/>
  <c r="HY12" i="1" a="1"/>
  <c r="HY12" i="1"/>
  <c r="HZ61" i="1" a="1"/>
  <c r="HZ61" i="1"/>
  <c r="HZ59" i="1" a="1"/>
  <c r="HZ59" i="1"/>
  <c r="HZ57" i="1" a="1"/>
  <c r="HZ57" i="1"/>
  <c r="HZ55" i="1" a="1"/>
  <c r="HZ55" i="1"/>
  <c r="HZ53" i="1" a="1"/>
  <c r="HZ53" i="1"/>
  <c r="HZ49" i="1" a="1"/>
  <c r="HZ49" i="1"/>
  <c r="HZ51" i="1" a="1"/>
  <c r="HZ51" i="1"/>
  <c r="HZ45" i="1" a="1"/>
  <c r="HZ45" i="1"/>
  <c r="HZ43" i="1" a="1"/>
  <c r="HZ43" i="1"/>
  <c r="HZ41" i="1" a="1"/>
  <c r="HZ41" i="1"/>
  <c r="HZ46" i="1" a="1"/>
  <c r="HZ46" i="1"/>
  <c r="HZ35" i="1" a="1"/>
  <c r="HZ35" i="1"/>
  <c r="HZ33" i="1" a="1"/>
  <c r="HZ33" i="1"/>
  <c r="HZ38" i="1" a="1"/>
  <c r="HZ38" i="1"/>
  <c r="HZ36" i="1" a="1"/>
  <c r="HZ36" i="1"/>
  <c r="HZ31" i="1" a="1"/>
  <c r="HZ31" i="1"/>
  <c r="HZ29" i="1" a="1"/>
  <c r="HZ29" i="1"/>
  <c r="HZ27" i="1" a="1"/>
  <c r="HZ27" i="1"/>
  <c r="HZ25" i="1" a="1"/>
  <c r="HZ25" i="1"/>
  <c r="HZ23" i="1" a="1"/>
  <c r="HZ23" i="1"/>
  <c r="HZ21" i="1" a="1"/>
  <c r="HZ21" i="1"/>
  <c r="HZ19" i="1" a="1"/>
  <c r="HZ19" i="1"/>
  <c r="HZ17" i="1" a="1"/>
  <c r="HZ17" i="1"/>
  <c r="HZ15" i="1" a="1"/>
  <c r="HZ15" i="1"/>
  <c r="HZ13" i="1" a="1"/>
  <c r="HZ13" i="1"/>
  <c r="IA11" i="1"/>
  <c r="HZ62" i="1" a="1"/>
  <c r="HZ62" i="1"/>
  <c r="HZ60" i="1" a="1"/>
  <c r="HZ60" i="1"/>
  <c r="HZ58" i="1" a="1"/>
  <c r="HZ58" i="1"/>
  <c r="HZ56" i="1" a="1"/>
  <c r="HZ56" i="1"/>
  <c r="HZ54" i="1" a="1"/>
  <c r="HZ54" i="1"/>
  <c r="HZ50" i="1" a="1"/>
  <c r="HZ50" i="1"/>
  <c r="HZ52" i="1" a="1"/>
  <c r="HZ52" i="1"/>
  <c r="HZ48" i="1" a="1"/>
  <c r="HZ48" i="1"/>
  <c r="HZ44" i="1" a="1"/>
  <c r="HZ44" i="1"/>
  <c r="HZ42" i="1" a="1"/>
  <c r="HZ42" i="1"/>
  <c r="HZ47" i="1" a="1"/>
  <c r="HZ47" i="1"/>
  <c r="HZ40" i="1" a="1"/>
  <c r="HZ40" i="1"/>
  <c r="HZ34" i="1" a="1"/>
  <c r="HZ34" i="1"/>
  <c r="HZ39" i="1" a="1"/>
  <c r="HZ39" i="1"/>
  <c r="HZ37" i="1" a="1"/>
  <c r="HZ37" i="1"/>
  <c r="HZ32" i="1" a="1"/>
  <c r="HZ32" i="1"/>
  <c r="HZ30" i="1" a="1"/>
  <c r="HZ30" i="1"/>
  <c r="HZ28" i="1" a="1"/>
  <c r="HZ28" i="1"/>
  <c r="HZ26" i="1" a="1"/>
  <c r="HZ26" i="1"/>
  <c r="HZ24" i="1" a="1"/>
  <c r="HZ24" i="1"/>
  <c r="HZ22" i="1" a="1"/>
  <c r="HZ22" i="1"/>
  <c r="HZ20" i="1" a="1"/>
  <c r="HZ20" i="1"/>
  <c r="HZ18" i="1" a="1"/>
  <c r="HZ18" i="1"/>
  <c r="HZ16" i="1" a="1"/>
  <c r="HZ16" i="1"/>
  <c r="HZ14" i="1" a="1"/>
  <c r="HZ14" i="1"/>
  <c r="HZ12" i="1" a="1"/>
  <c r="HZ12" i="1"/>
  <c r="CD42" i="1" a="1"/>
  <c r="CD42" i="1"/>
  <c r="CD36" i="1" a="1"/>
  <c r="CD36" i="1"/>
  <c r="CD43" i="1" a="1"/>
  <c r="CD43" i="1"/>
  <c r="CD50" i="1" a="1"/>
  <c r="CD50" i="1"/>
  <c r="CD16" i="1" a="1"/>
  <c r="CD16" i="1"/>
  <c r="CD56" i="1" a="1"/>
  <c r="CD56" i="1"/>
  <c r="CD60" i="1" a="1"/>
  <c r="CD60" i="1"/>
  <c r="CD62" i="1" a="1"/>
  <c r="CD62" i="1"/>
  <c r="CD19" i="1" a="1"/>
  <c r="CD19" i="1"/>
  <c r="CD29" i="1" a="1"/>
  <c r="CD29" i="1"/>
  <c r="CD30" i="1" a="1"/>
  <c r="CD30" i="1"/>
  <c r="CD33" i="1" a="1"/>
  <c r="CD33" i="1"/>
  <c r="CD45" i="1" a="1"/>
  <c r="CD45" i="1"/>
  <c r="CD54" i="1" a="1"/>
  <c r="CD54" i="1"/>
  <c r="CD41" i="1" a="1"/>
  <c r="CD41" i="1"/>
  <c r="CD38" i="1" a="1"/>
  <c r="CD38" i="1"/>
  <c r="CD26" i="1" a="1"/>
  <c r="CD26" i="1"/>
  <c r="CD13" i="1" a="1"/>
  <c r="CD13" i="1"/>
  <c r="CD20" i="1" a="1"/>
  <c r="CD20" i="1"/>
  <c r="CD57" i="1" a="1"/>
  <c r="CD57" i="1"/>
  <c r="CD61" i="1" a="1"/>
  <c r="CD61" i="1"/>
  <c r="CD21" i="1" a="1"/>
  <c r="CD21" i="1"/>
  <c r="CD23" i="1" a="1"/>
  <c r="CD23" i="1"/>
  <c r="CD27" i="1" a="1"/>
  <c r="CD27" i="1"/>
  <c r="CD58" i="1" a="1"/>
  <c r="CD58" i="1"/>
  <c r="CD52" i="1" a="1"/>
  <c r="CD52" i="1"/>
  <c r="CD49" i="1" a="1"/>
  <c r="CD49" i="1"/>
  <c r="CD55" i="1" a="1"/>
  <c r="CD55" i="1"/>
  <c r="CD14" i="1" a="1"/>
  <c r="CD14" i="1"/>
  <c r="CD22" i="1" a="1"/>
  <c r="CD22" i="1"/>
  <c r="CD15" i="1" a="1"/>
  <c r="CD15" i="1"/>
  <c r="CD53" i="1" a="1"/>
  <c r="CD53" i="1"/>
  <c r="CD47" i="1" a="1"/>
  <c r="CD47" i="1"/>
  <c r="CD40" i="1" a="1"/>
  <c r="CD40" i="1"/>
  <c r="CD17" i="1" a="1"/>
  <c r="CD17" i="1"/>
  <c r="CD28" i="1" a="1"/>
  <c r="CD28" i="1"/>
  <c r="CD32" i="1" a="1"/>
  <c r="CD32" i="1"/>
  <c r="CD44" i="1" a="1"/>
  <c r="CD44" i="1"/>
  <c r="CD48" i="1" a="1"/>
  <c r="CD48" i="1"/>
  <c r="CD51" i="1" a="1"/>
  <c r="CD51" i="1"/>
  <c r="CD12" i="1" a="1"/>
  <c r="CD12" i="1"/>
  <c r="CD34" i="1" a="1"/>
  <c r="CD34" i="1"/>
  <c r="CD46" i="1" a="1"/>
  <c r="CD46" i="1"/>
  <c r="CD31" i="1" a="1"/>
  <c r="CD31" i="1"/>
  <c r="CD59" i="1" a="1"/>
  <c r="CD59" i="1"/>
  <c r="CD18" i="1" a="1"/>
  <c r="CD18" i="1"/>
  <c r="CD24" i="1" a="1"/>
  <c r="CD24" i="1"/>
  <c r="CD37" i="1" a="1"/>
  <c r="CD37" i="1"/>
  <c r="CD25" i="1" a="1"/>
  <c r="CD25" i="1"/>
  <c r="CD35" i="1" a="1"/>
  <c r="CD35" i="1"/>
  <c r="CD39" i="1" a="1"/>
  <c r="CD39" i="1"/>
  <c r="IA62" i="1" a="1"/>
  <c r="IA62" i="1"/>
  <c r="IA60" i="1" a="1"/>
  <c r="IA60" i="1"/>
  <c r="IA58" i="1" a="1"/>
  <c r="IA58" i="1"/>
  <c r="IA54" i="1" a="1"/>
  <c r="IA54" i="1"/>
  <c r="IA56" i="1" a="1"/>
  <c r="IA56" i="1"/>
  <c r="IA51" i="1" a="1"/>
  <c r="IA51" i="1"/>
  <c r="IA50" i="1" a="1"/>
  <c r="IA50" i="1"/>
  <c r="IA48" i="1" a="1"/>
  <c r="IA48" i="1"/>
  <c r="IA46" i="1" a="1"/>
  <c r="IA46" i="1"/>
  <c r="IA44" i="1" a="1"/>
  <c r="IA44" i="1"/>
  <c r="IA42" i="1" a="1"/>
  <c r="IA42" i="1"/>
  <c r="IA40" i="1" a="1"/>
  <c r="IA40" i="1"/>
  <c r="IA38" i="1" a="1"/>
  <c r="IA38" i="1"/>
  <c r="IA36" i="1" a="1"/>
  <c r="IA36" i="1"/>
  <c r="IA34" i="1" a="1"/>
  <c r="IA34" i="1"/>
  <c r="IA32" i="1" a="1"/>
  <c r="IA32" i="1"/>
  <c r="IA30" i="1" a="1"/>
  <c r="IA30" i="1"/>
  <c r="IA28" i="1" a="1"/>
  <c r="IA28" i="1"/>
  <c r="IA26" i="1" a="1"/>
  <c r="IA26" i="1"/>
  <c r="IA24" i="1" a="1"/>
  <c r="IA24" i="1"/>
  <c r="IA22" i="1" a="1"/>
  <c r="IA22" i="1"/>
  <c r="IA20" i="1" a="1"/>
  <c r="IA20" i="1"/>
  <c r="IA18" i="1" a="1"/>
  <c r="IA18" i="1"/>
  <c r="IA16" i="1" a="1"/>
  <c r="IA16" i="1"/>
  <c r="IA14" i="1" a="1"/>
  <c r="IA14" i="1"/>
  <c r="IA12" i="1" a="1"/>
  <c r="IA12" i="1"/>
  <c r="IA61" i="1" a="1"/>
  <c r="IA61" i="1"/>
  <c r="IA59" i="1" a="1"/>
  <c r="IA59" i="1"/>
  <c r="IA55" i="1" a="1"/>
  <c r="IA55" i="1"/>
  <c r="IA57" i="1" a="1"/>
  <c r="IA57" i="1"/>
  <c r="IA52" i="1" a="1"/>
  <c r="IA52" i="1"/>
  <c r="IA53" i="1" a="1"/>
  <c r="IA53" i="1"/>
  <c r="IA49" i="1" a="1"/>
  <c r="IA49" i="1"/>
  <c r="IA47" i="1" a="1"/>
  <c r="IA47" i="1"/>
  <c r="IA45" i="1" a="1"/>
  <c r="IA45" i="1"/>
  <c r="IA43" i="1" a="1"/>
  <c r="IA43" i="1"/>
  <c r="IA41" i="1" a="1"/>
  <c r="IA41" i="1"/>
  <c r="IA39" i="1" a="1"/>
  <c r="IA39" i="1"/>
  <c r="IA37" i="1" a="1"/>
  <c r="IA37" i="1"/>
  <c r="IA35" i="1" a="1"/>
  <c r="IA35" i="1"/>
  <c r="IA33" i="1" a="1"/>
  <c r="IA33" i="1"/>
  <c r="IA31" i="1" a="1"/>
  <c r="IA31" i="1"/>
  <c r="IA29" i="1" a="1"/>
  <c r="IA29" i="1"/>
  <c r="IA27" i="1" a="1"/>
  <c r="IA27" i="1"/>
  <c r="IA25" i="1" a="1"/>
  <c r="IA25" i="1"/>
  <c r="IA23" i="1" a="1"/>
  <c r="IA23" i="1"/>
  <c r="IA21" i="1" a="1"/>
  <c r="IA21" i="1"/>
  <c r="IA19" i="1" a="1"/>
  <c r="IA19" i="1"/>
  <c r="IA17" i="1" a="1"/>
  <c r="IA17" i="1"/>
  <c r="IA15" i="1" a="1"/>
  <c r="IA15" i="1"/>
  <c r="IA13" i="1" a="1"/>
  <c r="IA13" i="1"/>
  <c r="IB11" i="1"/>
  <c r="CE50" i="1" a="1"/>
  <c r="CE50" i="1"/>
  <c r="CE19" i="1" a="1"/>
  <c r="CE19" i="1"/>
  <c r="CE53" i="1" a="1"/>
  <c r="CE53" i="1"/>
  <c r="CE52" i="1" a="1"/>
  <c r="CE52" i="1"/>
  <c r="CE57" i="1" a="1"/>
  <c r="CE57" i="1"/>
  <c r="CE45" i="1" a="1"/>
  <c r="CE45" i="1"/>
  <c r="CE44" i="1" a="1"/>
  <c r="CE44" i="1"/>
  <c r="CE49" i="1" a="1"/>
  <c r="CE49" i="1"/>
  <c r="CE48" i="1" a="1"/>
  <c r="CE48" i="1"/>
  <c r="CE25" i="1" a="1"/>
  <c r="CE25" i="1"/>
  <c r="CE15" i="1" a="1"/>
  <c r="CE15" i="1"/>
  <c r="CE42" i="1" a="1"/>
  <c r="CE42" i="1"/>
  <c r="CE21" i="1" a="1"/>
  <c r="CE21" i="1"/>
  <c r="CE34" i="1" a="1"/>
  <c r="CE34" i="1"/>
  <c r="CE61" i="1" a="1"/>
  <c r="CE61" i="1"/>
  <c r="CE38" i="1" a="1"/>
  <c r="CE38" i="1"/>
  <c r="CE40" i="1" a="1"/>
  <c r="CE40" i="1"/>
  <c r="CE55" i="1" a="1"/>
  <c r="CE55" i="1"/>
  <c r="CE32" i="1" a="1"/>
  <c r="CE32" i="1"/>
  <c r="CE58" i="1" a="1"/>
  <c r="CE58" i="1"/>
  <c r="CE28" i="1" a="1"/>
  <c r="CE28" i="1"/>
  <c r="CE23" i="1" a="1"/>
  <c r="CE23" i="1"/>
  <c r="CE43" i="1" a="1"/>
  <c r="CE43" i="1"/>
  <c r="CE22" i="1" a="1"/>
  <c r="CE22" i="1"/>
  <c r="CE41" i="1" a="1"/>
  <c r="CE41" i="1"/>
  <c r="CE35" i="1" a="1"/>
  <c r="CE35" i="1"/>
  <c r="CE17" i="1" a="1"/>
  <c r="CE17" i="1"/>
  <c r="CE39" i="1" a="1"/>
  <c r="CE39" i="1"/>
  <c r="CE20" i="1" a="1"/>
  <c r="CE20" i="1"/>
  <c r="CE16" i="1" a="1"/>
  <c r="CE16" i="1"/>
  <c r="CE60" i="1" a="1"/>
  <c r="CE60" i="1"/>
  <c r="CE59" i="1" a="1"/>
  <c r="CE59" i="1"/>
  <c r="CE37" i="1" a="1"/>
  <c r="CE37" i="1"/>
  <c r="CE46" i="1" a="1"/>
  <c r="CE46" i="1"/>
  <c r="CE47" i="1" a="1"/>
  <c r="CE47" i="1"/>
  <c r="CE24" i="1" a="1"/>
  <c r="CE24" i="1"/>
  <c r="CE13" i="1" a="1"/>
  <c r="CE13" i="1"/>
  <c r="CE31" i="1" a="1"/>
  <c r="CE31" i="1"/>
  <c r="CE12" i="1" a="1"/>
  <c r="CE12" i="1"/>
  <c r="CE26" i="1" a="1"/>
  <c r="CE26" i="1"/>
  <c r="CE18" i="1" a="1"/>
  <c r="CE18" i="1"/>
  <c r="CE14" i="1" a="1"/>
  <c r="CE14" i="1"/>
  <c r="CE56" i="1" a="1"/>
  <c r="CE56" i="1"/>
  <c r="CE62" i="1" a="1"/>
  <c r="CE62" i="1"/>
  <c r="CE54" i="1" a="1"/>
  <c r="CE54" i="1"/>
  <c r="CE36" i="1" a="1"/>
  <c r="CE36" i="1"/>
  <c r="CE51" i="1" a="1"/>
  <c r="CE51" i="1"/>
  <c r="CE27" i="1" a="1"/>
  <c r="CE27" i="1"/>
  <c r="CE30" i="1" a="1"/>
  <c r="CE30" i="1"/>
  <c r="CE29" i="1" a="1"/>
  <c r="CE29" i="1"/>
  <c r="CE33" i="1" a="1"/>
  <c r="CE33" i="1"/>
  <c r="IB61" i="1" a="1"/>
  <c r="IB61" i="1"/>
  <c r="IB59" i="1" a="1"/>
  <c r="IB59" i="1"/>
  <c r="IB57" i="1" a="1"/>
  <c r="IB57" i="1"/>
  <c r="IB55" i="1" a="1"/>
  <c r="IB55" i="1"/>
  <c r="IB53" i="1" a="1"/>
  <c r="IB53" i="1"/>
  <c r="IB49" i="1" a="1"/>
  <c r="IB49" i="1"/>
  <c r="IB51" i="1" a="1"/>
  <c r="IB51" i="1"/>
  <c r="IB44" i="1" a="1"/>
  <c r="IB44" i="1"/>
  <c r="IB42" i="1" a="1"/>
  <c r="IB42" i="1"/>
  <c r="IB48" i="1" a="1"/>
  <c r="IB48" i="1"/>
  <c r="IB46" i="1" a="1"/>
  <c r="IB46" i="1"/>
  <c r="IB34" i="1" a="1"/>
  <c r="IB34" i="1"/>
  <c r="IB40" i="1" a="1"/>
  <c r="IB40" i="1"/>
  <c r="IB38" i="1" a="1"/>
  <c r="IB38" i="1"/>
  <c r="IB36" i="1" a="1"/>
  <c r="IB36" i="1"/>
  <c r="IB31" i="1" a="1"/>
  <c r="IB31" i="1"/>
  <c r="IB29" i="1" a="1"/>
  <c r="IB29" i="1"/>
  <c r="IB27" i="1" a="1"/>
  <c r="IB27" i="1"/>
  <c r="IB25" i="1" a="1"/>
  <c r="IB25" i="1"/>
  <c r="IB23" i="1" a="1"/>
  <c r="IB23" i="1"/>
  <c r="IB21" i="1" a="1"/>
  <c r="IB21" i="1"/>
  <c r="IB16" i="1" a="1"/>
  <c r="IB16" i="1"/>
  <c r="IB14" i="1" a="1"/>
  <c r="IB14" i="1"/>
  <c r="IB12" i="1" a="1"/>
  <c r="IB12" i="1"/>
  <c r="IB19" i="1" a="1"/>
  <c r="IB19" i="1"/>
  <c r="IC11" i="1"/>
  <c r="IB62" i="1" a="1"/>
  <c r="IB62" i="1"/>
  <c r="IB60" i="1" a="1"/>
  <c r="IB60" i="1"/>
  <c r="IB58" i="1" a="1"/>
  <c r="IB58" i="1"/>
  <c r="IB56" i="1" a="1"/>
  <c r="IB56" i="1"/>
  <c r="IB54" i="1" a="1"/>
  <c r="IB54" i="1"/>
  <c r="IB50" i="1" a="1"/>
  <c r="IB50" i="1"/>
  <c r="IB52" i="1" a="1"/>
  <c r="IB52" i="1"/>
  <c r="IB45" i="1" a="1"/>
  <c r="IB45" i="1"/>
  <c r="IB43" i="1" a="1"/>
  <c r="IB43" i="1"/>
  <c r="IB41" i="1" a="1"/>
  <c r="IB41" i="1"/>
  <c r="IB47" i="1" a="1"/>
  <c r="IB47" i="1"/>
  <c r="IB35" i="1" a="1"/>
  <c r="IB35" i="1"/>
  <c r="IB33" i="1" a="1"/>
  <c r="IB33" i="1"/>
  <c r="IB39" i="1" a="1"/>
  <c r="IB39" i="1"/>
  <c r="IB37" i="1" a="1"/>
  <c r="IB37" i="1"/>
  <c r="IB32" i="1" a="1"/>
  <c r="IB32" i="1"/>
  <c r="IB30" i="1" a="1"/>
  <c r="IB30" i="1"/>
  <c r="IB28" i="1" a="1"/>
  <c r="IB28" i="1"/>
  <c r="IB26" i="1" a="1"/>
  <c r="IB26" i="1"/>
  <c r="IB24" i="1" a="1"/>
  <c r="IB24" i="1"/>
  <c r="IB22" i="1" a="1"/>
  <c r="IB22" i="1"/>
  <c r="IB17" i="1" a="1"/>
  <c r="IB17" i="1"/>
  <c r="IB15" i="1" a="1"/>
  <c r="IB15" i="1"/>
  <c r="IB13" i="1" a="1"/>
  <c r="IB13" i="1"/>
  <c r="IB20" i="1" a="1"/>
  <c r="IB20" i="1"/>
  <c r="IB18" i="1" a="1"/>
  <c r="IB18" i="1"/>
  <c r="CF58" i="1" a="1"/>
  <c r="CF58" i="1"/>
  <c r="CF29" i="1" a="1"/>
  <c r="CF29" i="1"/>
  <c r="CF15" i="1" a="1"/>
  <c r="CF15" i="1"/>
  <c r="CF34" i="1" a="1"/>
  <c r="CF34" i="1"/>
  <c r="CF23" i="1" a="1"/>
  <c r="CF23" i="1"/>
  <c r="CF43" i="1" a="1"/>
  <c r="CF43" i="1"/>
  <c r="CF27" i="1" a="1"/>
  <c r="CF27" i="1"/>
  <c r="CF20" i="1" a="1"/>
  <c r="CF20" i="1"/>
  <c r="CF45" i="1" a="1"/>
  <c r="CF45" i="1"/>
  <c r="CF32" i="1" a="1"/>
  <c r="CF32" i="1"/>
  <c r="CF59" i="1" a="1"/>
  <c r="CF59" i="1"/>
  <c r="CF44" i="1" a="1"/>
  <c r="CF44" i="1"/>
  <c r="CF41" i="1" a="1"/>
  <c r="CF41" i="1"/>
  <c r="CF48" i="1" a="1"/>
  <c r="CF48" i="1"/>
  <c r="CF40" i="1" a="1"/>
  <c r="CF40" i="1"/>
  <c r="CF55" i="1" a="1"/>
  <c r="CF55" i="1"/>
  <c r="CF50" i="1" a="1"/>
  <c r="CF50" i="1"/>
  <c r="CF25" i="1" a="1"/>
  <c r="CF25" i="1"/>
  <c r="CF14" i="1" a="1"/>
  <c r="CF14" i="1"/>
  <c r="CF56" i="1" a="1"/>
  <c r="CF56" i="1"/>
  <c r="CF22" i="1" a="1"/>
  <c r="CF22" i="1"/>
  <c r="CF46" i="1" a="1"/>
  <c r="CF46" i="1"/>
  <c r="CF21" i="1" a="1"/>
  <c r="CF21" i="1"/>
  <c r="CF24" i="1" a="1"/>
  <c r="CF24" i="1"/>
  <c r="CF62" i="1" a="1"/>
  <c r="CF62" i="1"/>
  <c r="CF53" i="1" a="1"/>
  <c r="CF53" i="1"/>
  <c r="CF19" i="1" a="1"/>
  <c r="CF19" i="1"/>
  <c r="CF18" i="1" a="1"/>
  <c r="CF18" i="1"/>
  <c r="CF37" i="1" a="1"/>
  <c r="CF37" i="1"/>
  <c r="CF39" i="1" a="1"/>
  <c r="CF39" i="1"/>
  <c r="CF30" i="1" a="1"/>
  <c r="CF30" i="1"/>
  <c r="CF17" i="1" a="1"/>
  <c r="CF17" i="1"/>
  <c r="CF33" i="1" a="1"/>
  <c r="CF33" i="1"/>
  <c r="CF35" i="1" a="1"/>
  <c r="CF35" i="1"/>
  <c r="CF54" i="1" a="1"/>
  <c r="CF54" i="1"/>
  <c r="CF42" i="1" a="1"/>
  <c r="CF42" i="1"/>
  <c r="CF52" i="1" a="1"/>
  <c r="CF52" i="1"/>
  <c r="CF36" i="1" a="1"/>
  <c r="CF36" i="1"/>
  <c r="CF49" i="1" a="1"/>
  <c r="CF49" i="1"/>
  <c r="CF38" i="1" a="1"/>
  <c r="CF38" i="1"/>
  <c r="CF16" i="1" a="1"/>
  <c r="CF16" i="1"/>
  <c r="CF12" i="1" a="1"/>
  <c r="CF12" i="1"/>
  <c r="CF26" i="1" a="1"/>
  <c r="CF26" i="1"/>
  <c r="CF47" i="1" a="1"/>
  <c r="CF47" i="1"/>
  <c r="CF13" i="1" a="1"/>
  <c r="CF13" i="1"/>
  <c r="CF60" i="1" a="1"/>
  <c r="CF60" i="1"/>
  <c r="CF51" i="1" a="1"/>
  <c r="CF51" i="1"/>
  <c r="CF31" i="1" a="1"/>
  <c r="CF31" i="1"/>
  <c r="CF57" i="1" a="1"/>
  <c r="CF57" i="1"/>
  <c r="CF28" i="1" a="1"/>
  <c r="CF28" i="1"/>
  <c r="CF61" i="1" a="1"/>
  <c r="CF61" i="1"/>
  <c r="CG51" i="1" a="1"/>
  <c r="CG51" i="1"/>
  <c r="CG28" i="1" a="1"/>
  <c r="CG28" i="1"/>
  <c r="CG48" i="1" a="1"/>
  <c r="CG48" i="1"/>
  <c r="CG18" i="1" a="1"/>
  <c r="CG18" i="1"/>
  <c r="CG57" i="1" a="1"/>
  <c r="CG57" i="1"/>
  <c r="CG24" i="1" a="1"/>
  <c r="CG24" i="1"/>
  <c r="CG62" i="1" a="1"/>
  <c r="CG62" i="1"/>
  <c r="CG19" i="1" a="1"/>
  <c r="CG19" i="1"/>
  <c r="CG58" i="1" a="1"/>
  <c r="CG58" i="1"/>
  <c r="CG21" i="1" a="1"/>
  <c r="CG21" i="1"/>
  <c r="CG34" i="1" a="1"/>
  <c r="CG34" i="1"/>
  <c r="CG14" i="1" a="1"/>
  <c r="CG14" i="1"/>
  <c r="CG38" i="1" a="1"/>
  <c r="CG38" i="1"/>
  <c r="CG30" i="1" a="1"/>
  <c r="CG30" i="1"/>
  <c r="CG44" i="1" a="1"/>
  <c r="CG44" i="1"/>
  <c r="CG22" i="1" a="1"/>
  <c r="CG22" i="1"/>
  <c r="CG33" i="1" a="1"/>
  <c r="CG33" i="1"/>
  <c r="CG53" i="1" a="1"/>
  <c r="CG53" i="1"/>
  <c r="CG45" i="1" a="1"/>
  <c r="CG45" i="1"/>
  <c r="CG55" i="1" a="1"/>
  <c r="CG55" i="1"/>
  <c r="CG50" i="1" a="1"/>
  <c r="CG50" i="1"/>
  <c r="CG43" i="1" a="1"/>
  <c r="CG43" i="1"/>
  <c r="CG49" i="1" a="1"/>
  <c r="CG49" i="1"/>
  <c r="CG47" i="1" a="1"/>
  <c r="CG47" i="1"/>
  <c r="CG27" i="1" a="1"/>
  <c r="CG27" i="1"/>
  <c r="CG39" i="1" a="1"/>
  <c r="CG39" i="1"/>
  <c r="CG12" i="1" a="1"/>
  <c r="CG12" i="1"/>
  <c r="CG23" i="1" a="1"/>
  <c r="CG23" i="1"/>
  <c r="CG13" i="1" a="1"/>
  <c r="CG13" i="1"/>
  <c r="CG17" i="1" a="1"/>
  <c r="CG17" i="1"/>
  <c r="CG16" i="1" a="1"/>
  <c r="CG16" i="1"/>
  <c r="CG60" i="1" a="1"/>
  <c r="CG60" i="1"/>
  <c r="CG15" i="1" a="1"/>
  <c r="CG15" i="1"/>
  <c r="CG52" i="1" a="1"/>
  <c r="CG52" i="1"/>
  <c r="CG36" i="1" a="1"/>
  <c r="CG36" i="1"/>
  <c r="CG54" i="1" a="1"/>
  <c r="CG54" i="1"/>
  <c r="CG40" i="1" a="1"/>
  <c r="CG40" i="1"/>
  <c r="CG26" i="1" a="1"/>
  <c r="CG26" i="1"/>
  <c r="CG32" i="1" a="1"/>
  <c r="CG32" i="1"/>
  <c r="CG25" i="1" a="1"/>
  <c r="CG25" i="1"/>
  <c r="CG35" i="1" a="1"/>
  <c r="CG35" i="1"/>
  <c r="CG29" i="1" a="1"/>
  <c r="CG29" i="1"/>
  <c r="CG42" i="1" a="1"/>
  <c r="CG42" i="1"/>
  <c r="CG46" i="1" a="1"/>
  <c r="CG46" i="1"/>
  <c r="CG31" i="1" a="1"/>
  <c r="CG31" i="1"/>
  <c r="CG37" i="1" a="1"/>
  <c r="CG37" i="1"/>
  <c r="CG61" i="1" a="1"/>
  <c r="CG61" i="1"/>
  <c r="CG41" i="1" a="1"/>
  <c r="CG41" i="1"/>
  <c r="CG56" i="1" a="1"/>
  <c r="CG56" i="1"/>
  <c r="CG20" i="1" a="1"/>
  <c r="CG20" i="1"/>
  <c r="CG59" i="1" a="1"/>
  <c r="CG59" i="1"/>
  <c r="IC61" i="1" a="1"/>
  <c r="IC61" i="1"/>
  <c r="IC59" i="1" a="1"/>
  <c r="IC59" i="1"/>
  <c r="IC55" i="1" a="1"/>
  <c r="IC55" i="1"/>
  <c r="IC57" i="1" a="1"/>
  <c r="IC57" i="1"/>
  <c r="IC53" i="1" a="1"/>
  <c r="IC53" i="1"/>
  <c r="IC51" i="1" a="1"/>
  <c r="IC51" i="1"/>
  <c r="IC49" i="1" a="1"/>
  <c r="IC49" i="1"/>
  <c r="IC47" i="1" a="1"/>
  <c r="IC47" i="1"/>
  <c r="IC45" i="1" a="1"/>
  <c r="IC45" i="1"/>
  <c r="IC43" i="1" a="1"/>
  <c r="IC43" i="1"/>
  <c r="IC41" i="1" a="1"/>
  <c r="IC41" i="1"/>
  <c r="IC39" i="1" a="1"/>
  <c r="IC39" i="1"/>
  <c r="IC37" i="1" a="1"/>
  <c r="IC37" i="1"/>
  <c r="IC35" i="1" a="1"/>
  <c r="IC35" i="1"/>
  <c r="IC33" i="1" a="1"/>
  <c r="IC33" i="1"/>
  <c r="IC31" i="1" a="1"/>
  <c r="IC31" i="1"/>
  <c r="IC26" i="1" a="1"/>
  <c r="IC26" i="1"/>
  <c r="IC24" i="1" a="1"/>
  <c r="IC24" i="1"/>
  <c r="IC29" i="1" a="1"/>
  <c r="IC29" i="1"/>
  <c r="IC23" i="1" a="1"/>
  <c r="IC23" i="1"/>
  <c r="IC21" i="1" a="1"/>
  <c r="IC21" i="1"/>
  <c r="IC19" i="1" a="1"/>
  <c r="IC19" i="1"/>
  <c r="IC17" i="1" a="1"/>
  <c r="IC17" i="1"/>
  <c r="IC15" i="1" a="1"/>
  <c r="IC15" i="1"/>
  <c r="IC13" i="1" a="1"/>
  <c r="IC13" i="1"/>
  <c r="ID11" i="1"/>
  <c r="IC62" i="1" a="1"/>
  <c r="IC62" i="1"/>
  <c r="IC60" i="1" a="1"/>
  <c r="IC60" i="1"/>
  <c r="IC58" i="1" a="1"/>
  <c r="IC58" i="1"/>
  <c r="IC54" i="1" a="1"/>
  <c r="IC54" i="1"/>
  <c r="IC56" i="1" a="1"/>
  <c r="IC56" i="1"/>
  <c r="IC52" i="1" a="1"/>
  <c r="IC52" i="1"/>
  <c r="IC50" i="1" a="1"/>
  <c r="IC50" i="1"/>
  <c r="IC48" i="1" a="1"/>
  <c r="IC48" i="1"/>
  <c r="IC46" i="1" a="1"/>
  <c r="IC46" i="1"/>
  <c r="IC44" i="1" a="1"/>
  <c r="IC44" i="1"/>
  <c r="IC42" i="1" a="1"/>
  <c r="IC42" i="1"/>
  <c r="IC40" i="1" a="1"/>
  <c r="IC40" i="1"/>
  <c r="IC38" i="1" a="1"/>
  <c r="IC38" i="1"/>
  <c r="IC36" i="1" a="1"/>
  <c r="IC36" i="1"/>
  <c r="IC34" i="1" a="1"/>
  <c r="IC34" i="1"/>
  <c r="IC32" i="1" a="1"/>
  <c r="IC32" i="1"/>
  <c r="IC27" i="1" a="1"/>
  <c r="IC27" i="1"/>
  <c r="IC25" i="1" a="1"/>
  <c r="IC25" i="1"/>
  <c r="IC30" i="1" a="1"/>
  <c r="IC30" i="1"/>
  <c r="IC28" i="1" a="1"/>
  <c r="IC28" i="1"/>
  <c r="IC22" i="1" a="1"/>
  <c r="IC22" i="1"/>
  <c r="IC20" i="1" a="1"/>
  <c r="IC20" i="1"/>
  <c r="IC18" i="1" a="1"/>
  <c r="IC18" i="1"/>
  <c r="IC16" i="1" a="1"/>
  <c r="IC16" i="1"/>
  <c r="IC14" i="1" a="1"/>
  <c r="IC14" i="1"/>
  <c r="IC12" i="1" a="1"/>
  <c r="IC12" i="1"/>
  <c r="ID61" i="1" a="1"/>
  <c r="ID61" i="1"/>
  <c r="ID59" i="1" a="1"/>
  <c r="ID59" i="1"/>
  <c r="ID55" i="1" a="1"/>
  <c r="ID55" i="1"/>
  <c r="ID53" i="1" a="1"/>
  <c r="ID53" i="1"/>
  <c r="ID56" i="1" a="1"/>
  <c r="ID56" i="1"/>
  <c r="ID51" i="1" a="1"/>
  <c r="ID51" i="1"/>
  <c r="ID49" i="1" a="1"/>
  <c r="ID49" i="1"/>
  <c r="ID47" i="1" a="1"/>
  <c r="ID47" i="1"/>
  <c r="ID45" i="1" a="1"/>
  <c r="ID45" i="1"/>
  <c r="ID43" i="1" a="1"/>
  <c r="ID43" i="1"/>
  <c r="ID41" i="1" a="1"/>
  <c r="ID41" i="1"/>
  <c r="ID39" i="1" a="1"/>
  <c r="ID39" i="1"/>
  <c r="ID37" i="1" a="1"/>
  <c r="ID37" i="1"/>
  <c r="ID35" i="1" a="1"/>
  <c r="ID35" i="1"/>
  <c r="ID33" i="1" a="1"/>
  <c r="ID33" i="1"/>
  <c r="ID31" i="1" a="1"/>
  <c r="ID31" i="1"/>
  <c r="ID29" i="1" a="1"/>
  <c r="ID29" i="1"/>
  <c r="ID27" i="1" a="1"/>
  <c r="ID27" i="1"/>
  <c r="ID25" i="1" a="1"/>
  <c r="ID25" i="1"/>
  <c r="ID23" i="1" a="1"/>
  <c r="ID23" i="1"/>
  <c r="ID21" i="1" a="1"/>
  <c r="ID21" i="1"/>
  <c r="ID16" i="1" a="1"/>
  <c r="ID16" i="1"/>
  <c r="ID14" i="1" a="1"/>
  <c r="ID14" i="1"/>
  <c r="ID12" i="1" a="1"/>
  <c r="ID12" i="1"/>
  <c r="ID19" i="1" a="1"/>
  <c r="ID19" i="1"/>
  <c r="IE11" i="1"/>
  <c r="ID62" i="1" a="1"/>
  <c r="ID62" i="1"/>
  <c r="ID60" i="1" a="1"/>
  <c r="ID60" i="1"/>
  <c r="ID58" i="1" a="1"/>
  <c r="ID58" i="1"/>
  <c r="ID54" i="1" a="1"/>
  <c r="ID54" i="1"/>
  <c r="ID57" i="1" a="1"/>
  <c r="ID57" i="1"/>
  <c r="ID52" i="1" a="1"/>
  <c r="ID52" i="1"/>
  <c r="ID50" i="1" a="1"/>
  <c r="ID50" i="1"/>
  <c r="ID48" i="1" a="1"/>
  <c r="ID48" i="1"/>
  <c r="ID46" i="1" a="1"/>
  <c r="ID46" i="1"/>
  <c r="ID44" i="1" a="1"/>
  <c r="ID44" i="1"/>
  <c r="ID42" i="1" a="1"/>
  <c r="ID42" i="1"/>
  <c r="ID40" i="1" a="1"/>
  <c r="ID40" i="1"/>
  <c r="ID38" i="1" a="1"/>
  <c r="ID38" i="1"/>
  <c r="ID36" i="1" a="1"/>
  <c r="ID36" i="1"/>
  <c r="ID34" i="1" a="1"/>
  <c r="ID34" i="1"/>
  <c r="ID32" i="1" a="1"/>
  <c r="ID32" i="1"/>
  <c r="ID30" i="1" a="1"/>
  <c r="ID30" i="1"/>
  <c r="ID28" i="1" a="1"/>
  <c r="ID28" i="1"/>
  <c r="ID26" i="1" a="1"/>
  <c r="ID26" i="1"/>
  <c r="ID24" i="1" a="1"/>
  <c r="ID24" i="1"/>
  <c r="ID22" i="1" a="1"/>
  <c r="ID22" i="1"/>
  <c r="ID17" i="1" a="1"/>
  <c r="ID17" i="1"/>
  <c r="ID15" i="1" a="1"/>
  <c r="ID15" i="1"/>
  <c r="ID13" i="1" a="1"/>
  <c r="ID13" i="1"/>
  <c r="ID20" i="1" a="1"/>
  <c r="ID20" i="1"/>
  <c r="ID18" i="1" a="1"/>
  <c r="ID18" i="1"/>
  <c r="CH44" i="1" a="1"/>
  <c r="CH44" i="1"/>
  <c r="CH46" i="1" a="1"/>
  <c r="CH46" i="1"/>
  <c r="CH48" i="1" a="1"/>
  <c r="CH48" i="1"/>
  <c r="CH38" i="1" a="1"/>
  <c r="CH38" i="1"/>
  <c r="CH16" i="1" a="1"/>
  <c r="CH16" i="1"/>
  <c r="CH42" i="1" a="1"/>
  <c r="CH42" i="1"/>
  <c r="CH23" i="1" a="1"/>
  <c r="CH23" i="1"/>
  <c r="CH43" i="1" a="1"/>
  <c r="CH43" i="1"/>
  <c r="CH27" i="1" a="1"/>
  <c r="CH27" i="1"/>
  <c r="CH32" i="1" a="1"/>
  <c r="CH32" i="1"/>
  <c r="CH54" i="1" a="1"/>
  <c r="CH54" i="1"/>
  <c r="CH39" i="1" a="1"/>
  <c r="CH39" i="1"/>
  <c r="CH53" i="1" a="1"/>
  <c r="CH53" i="1"/>
  <c r="CH35" i="1" a="1"/>
  <c r="CH35" i="1"/>
  <c r="CH58" i="1" a="1"/>
  <c r="CH58" i="1"/>
  <c r="CH29" i="1" a="1"/>
  <c r="CH29" i="1"/>
  <c r="CH30" i="1" a="1"/>
  <c r="CH30" i="1"/>
  <c r="CH31" i="1" a="1"/>
  <c r="CH31" i="1"/>
  <c r="CH14" i="1" a="1"/>
  <c r="CH14" i="1"/>
  <c r="CH18" i="1" a="1"/>
  <c r="CH18" i="1"/>
  <c r="CH22" i="1" a="1"/>
  <c r="CH22" i="1"/>
  <c r="CH60" i="1" a="1"/>
  <c r="CH60" i="1"/>
  <c r="CH62" i="1" a="1"/>
  <c r="CH62" i="1"/>
  <c r="CH12" i="1" a="1"/>
  <c r="CH12" i="1"/>
  <c r="CH56" i="1" a="1"/>
  <c r="CH56" i="1"/>
  <c r="CH36" i="1" a="1"/>
  <c r="CH36" i="1"/>
  <c r="CH49" i="1" a="1"/>
  <c r="CH49" i="1"/>
  <c r="CH40" i="1" a="1"/>
  <c r="CH40" i="1"/>
  <c r="CH55" i="1" a="1"/>
  <c r="CH55" i="1"/>
  <c r="CH26" i="1" a="1"/>
  <c r="CH26" i="1"/>
  <c r="CH59" i="1" a="1"/>
  <c r="CH59" i="1"/>
  <c r="CH41" i="1" a="1"/>
  <c r="CH41" i="1"/>
  <c r="CH17" i="1" a="1"/>
  <c r="CH17" i="1"/>
  <c r="CH33" i="1" a="1"/>
  <c r="CH33" i="1"/>
  <c r="CH20" i="1" a="1"/>
  <c r="CH20" i="1"/>
  <c r="CH45" i="1" a="1"/>
  <c r="CH45" i="1"/>
  <c r="CH52" i="1" a="1"/>
  <c r="CH52" i="1"/>
  <c r="CH34" i="1" a="1"/>
  <c r="CH34" i="1"/>
  <c r="CH57" i="1" a="1"/>
  <c r="CH57" i="1"/>
  <c r="CH28" i="1" a="1"/>
  <c r="CH28" i="1"/>
  <c r="CH61" i="1" a="1"/>
  <c r="CH61" i="1"/>
  <c r="CH15" i="1" a="1"/>
  <c r="CH15" i="1"/>
  <c r="CH37" i="1" a="1"/>
  <c r="CH37" i="1"/>
  <c r="CH24" i="1" a="1"/>
  <c r="CH24" i="1"/>
  <c r="CH19" i="1" a="1"/>
  <c r="CH19" i="1"/>
  <c r="CH47" i="1" a="1"/>
  <c r="CH47" i="1"/>
  <c r="CH13" i="1" a="1"/>
  <c r="CH13" i="1"/>
  <c r="CH51" i="1" a="1"/>
  <c r="CH51" i="1"/>
  <c r="CH21" i="1" a="1"/>
  <c r="CH21" i="1"/>
  <c r="CH50" i="1" a="1"/>
  <c r="CH50" i="1"/>
  <c r="CH25" i="1" a="1"/>
  <c r="CH25" i="1"/>
  <c r="CI24" i="1" a="1"/>
  <c r="CI24" i="1"/>
  <c r="CI57" i="1" a="1"/>
  <c r="CI57" i="1"/>
  <c r="CI12" i="1" a="1"/>
  <c r="CI12" i="1"/>
  <c r="CI58" i="1" a="1"/>
  <c r="CI58" i="1"/>
  <c r="CI61" i="1" a="1"/>
  <c r="CI61" i="1"/>
  <c r="CI54" i="1" a="1"/>
  <c r="CI54" i="1"/>
  <c r="CI32" i="1" a="1"/>
  <c r="CI32" i="1"/>
  <c r="CI59" i="1" a="1"/>
  <c r="CI59" i="1"/>
  <c r="CI15" i="1" a="1"/>
  <c r="CI15" i="1"/>
  <c r="CI55" i="1" a="1"/>
  <c r="CI55" i="1"/>
  <c r="CI17" i="1" a="1"/>
  <c r="CI17" i="1"/>
  <c r="CI43" i="1" a="1"/>
  <c r="CI43" i="1"/>
  <c r="CI27" i="1" a="1"/>
  <c r="CI27" i="1"/>
  <c r="CI13" i="1" a="1"/>
  <c r="CI13" i="1"/>
  <c r="CI46" i="1" a="1"/>
  <c r="CI46" i="1"/>
  <c r="CI37" i="1" a="1"/>
  <c r="CI37" i="1"/>
  <c r="CI50" i="1" a="1"/>
  <c r="CI50" i="1"/>
  <c r="CI41" i="1" a="1"/>
  <c r="CI41" i="1"/>
  <c r="CI35" i="1" a="1"/>
  <c r="CI35" i="1"/>
  <c r="CI33" i="1" a="1"/>
  <c r="CI33" i="1"/>
  <c r="CI34" i="1" a="1"/>
  <c r="CI34" i="1"/>
  <c r="CI14" i="1" a="1"/>
  <c r="CI14" i="1"/>
  <c r="CI38" i="1" a="1"/>
  <c r="CI38" i="1"/>
  <c r="CI22" i="1" a="1"/>
  <c r="CI22" i="1"/>
  <c r="CI28" i="1" a="1"/>
  <c r="CI28" i="1"/>
  <c r="CI29" i="1" a="1"/>
  <c r="CI29" i="1"/>
  <c r="CI60" i="1" a="1"/>
  <c r="CI60" i="1"/>
  <c r="CI25" i="1" a="1"/>
  <c r="CI25" i="1"/>
  <c r="CI62" i="1" a="1"/>
  <c r="CI62" i="1"/>
  <c r="CI51" i="1" a="1"/>
  <c r="CI51" i="1"/>
  <c r="CI18" i="1" a="1"/>
  <c r="CI18" i="1"/>
  <c r="CI21" i="1" a="1"/>
  <c r="CI21" i="1"/>
  <c r="CI20" i="1" a="1"/>
  <c r="CI20" i="1"/>
  <c r="CI52" i="1" a="1"/>
  <c r="CI52" i="1"/>
  <c r="CI23" i="1" a="1"/>
  <c r="CI23" i="1"/>
  <c r="CI16" i="1" a="1"/>
  <c r="CI16" i="1"/>
  <c r="CI56" i="1" a="1"/>
  <c r="CI56" i="1"/>
  <c r="CI48" i="1" a="1"/>
  <c r="CI48" i="1"/>
  <c r="CI39" i="1" a="1"/>
  <c r="CI39" i="1"/>
  <c r="CI45" i="1" a="1"/>
  <c r="CI45" i="1"/>
  <c r="CI31" i="1" a="1"/>
  <c r="CI31" i="1"/>
  <c r="CI49" i="1" a="1"/>
  <c r="CI49" i="1"/>
  <c r="CI36" i="1" a="1"/>
  <c r="CI36" i="1"/>
  <c r="CI53" i="1" a="1"/>
  <c r="CI53" i="1"/>
  <c r="CI47" i="1" a="1"/>
  <c r="CI47" i="1"/>
  <c r="CI26" i="1" a="1"/>
  <c r="CI26" i="1"/>
  <c r="CI44" i="1" a="1"/>
  <c r="CI44" i="1"/>
  <c r="CI30" i="1" a="1"/>
  <c r="CI30" i="1"/>
  <c r="CI19" i="1" a="1"/>
  <c r="CI19" i="1"/>
  <c r="CI42" i="1" a="1"/>
  <c r="CI42" i="1"/>
  <c r="CI40" i="1" a="1"/>
  <c r="CI40" i="1"/>
  <c r="IE61" i="1" a="1"/>
  <c r="IE61" i="1"/>
  <c r="IE59" i="1" a="1"/>
  <c r="IE59" i="1"/>
  <c r="IE55" i="1" a="1"/>
  <c r="IE55" i="1"/>
  <c r="IE57" i="1" a="1"/>
  <c r="IE57" i="1"/>
  <c r="IE53" i="1" a="1"/>
  <c r="IE53" i="1"/>
  <c r="IE51" i="1" a="1"/>
  <c r="IE51" i="1"/>
  <c r="IE49" i="1" a="1"/>
  <c r="IE49" i="1"/>
  <c r="IE47" i="1" a="1"/>
  <c r="IE47" i="1"/>
  <c r="IE45" i="1" a="1"/>
  <c r="IE45" i="1"/>
  <c r="IE43" i="1" a="1"/>
  <c r="IE43" i="1"/>
  <c r="IE41" i="1" a="1"/>
  <c r="IE41" i="1"/>
  <c r="IE39" i="1" a="1"/>
  <c r="IE39" i="1"/>
  <c r="IE37" i="1" a="1"/>
  <c r="IE37" i="1"/>
  <c r="IE35" i="1" a="1"/>
  <c r="IE35" i="1"/>
  <c r="IE33" i="1" a="1"/>
  <c r="IE33" i="1"/>
  <c r="IE31" i="1" a="1"/>
  <c r="IE31" i="1"/>
  <c r="IE26" i="1" a="1"/>
  <c r="IE26" i="1"/>
  <c r="IE24" i="1" a="1"/>
  <c r="IE24" i="1"/>
  <c r="IE29" i="1" a="1"/>
  <c r="IE29" i="1"/>
  <c r="IE20" i="1" a="1"/>
  <c r="IE20" i="1"/>
  <c r="IE18" i="1" a="1"/>
  <c r="IE18" i="1"/>
  <c r="IE22" i="1" a="1"/>
  <c r="IE22" i="1"/>
  <c r="IE17" i="1" a="1"/>
  <c r="IE17" i="1"/>
  <c r="IE15" i="1" a="1"/>
  <c r="IE15" i="1"/>
  <c r="IE13" i="1" a="1"/>
  <c r="IE13" i="1"/>
  <c r="IF11" i="1"/>
  <c r="IE62" i="1" a="1"/>
  <c r="IE62" i="1"/>
  <c r="IE60" i="1" a="1"/>
  <c r="IE60" i="1"/>
  <c r="IE58" i="1" a="1"/>
  <c r="IE58" i="1"/>
  <c r="IE54" i="1" a="1"/>
  <c r="IE54" i="1"/>
  <c r="IE56" i="1" a="1"/>
  <c r="IE56" i="1"/>
  <c r="IE52" i="1" a="1"/>
  <c r="IE52" i="1"/>
  <c r="IE50" i="1" a="1"/>
  <c r="IE50" i="1"/>
  <c r="IE48" i="1" a="1"/>
  <c r="IE48" i="1"/>
  <c r="IE46" i="1" a="1"/>
  <c r="IE46" i="1"/>
  <c r="IE44" i="1" a="1"/>
  <c r="IE44" i="1"/>
  <c r="IE42" i="1" a="1"/>
  <c r="IE42" i="1"/>
  <c r="IE40" i="1" a="1"/>
  <c r="IE40" i="1"/>
  <c r="IE38" i="1" a="1"/>
  <c r="IE38" i="1"/>
  <c r="IE36" i="1" a="1"/>
  <c r="IE36" i="1"/>
  <c r="IE34" i="1" a="1"/>
  <c r="IE34" i="1"/>
  <c r="IE32" i="1" a="1"/>
  <c r="IE32" i="1"/>
  <c r="IE27" i="1" a="1"/>
  <c r="IE27" i="1"/>
  <c r="IE25" i="1" a="1"/>
  <c r="IE25" i="1"/>
  <c r="IE30" i="1" a="1"/>
  <c r="IE30" i="1"/>
  <c r="IE28" i="1" a="1"/>
  <c r="IE28" i="1"/>
  <c r="IE19" i="1" a="1"/>
  <c r="IE19" i="1"/>
  <c r="IE23" i="1" a="1"/>
  <c r="IE23" i="1"/>
  <c r="IE21" i="1" a="1"/>
  <c r="IE21" i="1"/>
  <c r="IE16" i="1" a="1"/>
  <c r="IE16" i="1"/>
  <c r="IE14" i="1" a="1"/>
  <c r="IE14" i="1"/>
  <c r="IE12" i="1" a="1"/>
  <c r="IE12" i="1"/>
  <c r="IF62" i="1" a="1"/>
  <c r="IF62" i="1"/>
  <c r="IF60" i="1" a="1"/>
  <c r="IF60" i="1"/>
  <c r="IF58" i="1" a="1"/>
  <c r="IF58" i="1"/>
  <c r="IF56" i="1" a="1"/>
  <c r="IF56" i="1"/>
  <c r="IF54" i="1" a="1"/>
  <c r="IF54" i="1"/>
  <c r="IF52" i="1" a="1"/>
  <c r="IF52" i="1"/>
  <c r="IF50" i="1" a="1"/>
  <c r="IF50" i="1"/>
  <c r="IF47" i="1" a="1"/>
  <c r="IF47" i="1"/>
  <c r="IF45" i="1" a="1"/>
  <c r="IF45" i="1"/>
  <c r="IF43" i="1" a="1"/>
  <c r="IF43" i="1"/>
  <c r="IF41" i="1" a="1"/>
  <c r="IF41" i="1"/>
  <c r="IF39" i="1" a="1"/>
  <c r="IF39" i="1"/>
  <c r="IF37" i="1" a="1"/>
  <c r="IF37" i="1"/>
  <c r="IF35" i="1" a="1"/>
  <c r="IF35" i="1"/>
  <c r="IF33" i="1" a="1"/>
  <c r="IF33" i="1"/>
  <c r="IF30" i="1" a="1"/>
  <c r="IF30" i="1"/>
  <c r="IF28" i="1" a="1"/>
  <c r="IF28" i="1"/>
  <c r="IF31" i="1" a="1"/>
  <c r="IF31" i="1"/>
  <c r="IF26" i="1" a="1"/>
  <c r="IF26" i="1"/>
  <c r="IF24" i="1" a="1"/>
  <c r="IF24" i="1"/>
  <c r="IF22" i="1" a="1"/>
  <c r="IF22" i="1"/>
  <c r="IF20" i="1" a="1"/>
  <c r="IF20" i="1"/>
  <c r="IF18" i="1" a="1"/>
  <c r="IF18" i="1"/>
  <c r="IF16" i="1" a="1"/>
  <c r="IF16" i="1"/>
  <c r="IF14" i="1" a="1"/>
  <c r="IF14" i="1"/>
  <c r="IF12" i="1" a="1"/>
  <c r="IF12" i="1"/>
  <c r="IF61" i="1" a="1"/>
  <c r="IF61" i="1"/>
  <c r="IF59" i="1" a="1"/>
  <c r="IF59" i="1"/>
  <c r="IF57" i="1" a="1"/>
  <c r="IF57" i="1"/>
  <c r="IF55" i="1" a="1"/>
  <c r="IF55" i="1"/>
  <c r="IF53" i="1" a="1"/>
  <c r="IF53" i="1"/>
  <c r="IF51" i="1" a="1"/>
  <c r="IF51" i="1"/>
  <c r="IF49" i="1" a="1"/>
  <c r="IF49" i="1"/>
  <c r="IF46" i="1" a="1"/>
  <c r="IF46" i="1"/>
  <c r="IF44" i="1" a="1"/>
  <c r="IF44" i="1"/>
  <c r="IF42" i="1" a="1"/>
  <c r="IF42" i="1"/>
  <c r="IF48" i="1" a="1"/>
  <c r="IF48" i="1"/>
  <c r="IF38" i="1" a="1"/>
  <c r="IF38" i="1"/>
  <c r="IF36" i="1" a="1"/>
  <c r="IF36" i="1"/>
  <c r="IF34" i="1" a="1"/>
  <c r="IF34" i="1"/>
  <c r="IF40" i="1" a="1"/>
  <c r="IF40" i="1"/>
  <c r="IF29" i="1" a="1"/>
  <c r="IF29" i="1"/>
  <c r="IF32" i="1" a="1"/>
  <c r="IF32" i="1"/>
  <c r="IF27" i="1" a="1"/>
  <c r="IF27" i="1"/>
  <c r="IF25" i="1" a="1"/>
  <c r="IF25" i="1"/>
  <c r="IF23" i="1" a="1"/>
  <c r="IF23" i="1"/>
  <c r="IF21" i="1" a="1"/>
  <c r="IF21" i="1"/>
  <c r="IF19" i="1" a="1"/>
  <c r="IF19" i="1"/>
  <c r="IF17" i="1" a="1"/>
  <c r="IF17" i="1"/>
  <c r="IF15" i="1" a="1"/>
  <c r="IF15" i="1"/>
  <c r="IF13" i="1" a="1"/>
  <c r="IF13" i="1"/>
  <c r="IG11" i="1"/>
  <c r="CJ55" i="1" a="1"/>
  <c r="CJ55" i="1"/>
  <c r="CJ26" i="1" a="1"/>
  <c r="CJ26" i="1"/>
  <c r="CJ34" i="1" a="1"/>
  <c r="CJ34" i="1"/>
  <c r="CJ13" i="1" a="1"/>
  <c r="CJ13" i="1"/>
  <c r="CJ18" i="1" a="1"/>
  <c r="CJ18" i="1"/>
  <c r="CJ22" i="1" a="1"/>
  <c r="CJ22" i="1"/>
  <c r="CJ54" i="1" a="1"/>
  <c r="CJ54" i="1"/>
  <c r="CJ44" i="1" a="1"/>
  <c r="CJ44" i="1"/>
  <c r="CJ41" i="1" a="1"/>
  <c r="CJ41" i="1"/>
  <c r="CJ36" i="1" a="1"/>
  <c r="CJ36" i="1"/>
  <c r="CJ60" i="1" a="1"/>
  <c r="CJ60" i="1"/>
  <c r="CJ40" i="1" a="1"/>
  <c r="CJ40" i="1"/>
  <c r="CJ37" i="1" a="1"/>
  <c r="CJ37" i="1"/>
  <c r="CJ23" i="1" a="1"/>
  <c r="CJ23" i="1"/>
  <c r="CJ25" i="1" a="1"/>
  <c r="CJ25" i="1"/>
  <c r="CJ17" i="1" a="1"/>
  <c r="CJ17" i="1"/>
  <c r="CJ38" i="1" a="1"/>
  <c r="CJ38" i="1"/>
  <c r="CJ20" i="1" a="1"/>
  <c r="CJ20" i="1"/>
  <c r="CJ24" i="1" a="1"/>
  <c r="CJ24" i="1"/>
  <c r="CJ62" i="1" a="1"/>
  <c r="CJ62" i="1"/>
  <c r="CJ42" i="1" a="1"/>
  <c r="CJ42" i="1"/>
  <c r="CJ19" i="1" a="1"/>
  <c r="CJ19" i="1"/>
  <c r="CJ28" i="1" a="1"/>
  <c r="CJ28" i="1"/>
  <c r="CJ61" i="1" a="1"/>
  <c r="CJ61" i="1"/>
  <c r="CJ15" i="1" a="1"/>
  <c r="CJ15" i="1"/>
  <c r="CJ50" i="1" a="1"/>
  <c r="CJ50" i="1"/>
  <c r="CJ16" i="1" a="1"/>
  <c r="CJ16" i="1"/>
  <c r="CJ14" i="1" a="1"/>
  <c r="CJ14" i="1"/>
  <c r="CJ56" i="1" a="1"/>
  <c r="CJ56" i="1"/>
  <c r="CJ47" i="1" a="1"/>
  <c r="CJ47" i="1"/>
  <c r="CJ29" i="1" a="1"/>
  <c r="CJ29" i="1"/>
  <c r="CJ51" i="1" a="1"/>
  <c r="CJ51" i="1"/>
  <c r="CJ45" i="1" a="1"/>
  <c r="CJ45" i="1"/>
  <c r="CJ52" i="1" a="1"/>
  <c r="CJ52" i="1"/>
  <c r="CJ31" i="1" a="1"/>
  <c r="CJ31" i="1"/>
  <c r="CJ49" i="1" a="1"/>
  <c r="CJ49" i="1"/>
  <c r="CJ46" i="1" a="1"/>
  <c r="CJ46" i="1"/>
  <c r="CJ48" i="1" a="1"/>
  <c r="CJ48" i="1"/>
  <c r="CJ39" i="1" a="1"/>
  <c r="CJ39" i="1"/>
  <c r="CJ30" i="1" a="1"/>
  <c r="CJ30" i="1"/>
  <c r="CJ12" i="1" a="1"/>
  <c r="CJ12" i="1"/>
  <c r="CJ33" i="1" a="1"/>
  <c r="CJ33" i="1"/>
  <c r="CJ43" i="1" a="1"/>
  <c r="CJ43" i="1"/>
  <c r="CJ27" i="1" a="1"/>
  <c r="CJ27" i="1"/>
  <c r="CJ32" i="1" a="1"/>
  <c r="CJ32" i="1"/>
  <c r="CJ21" i="1" a="1"/>
  <c r="CJ21" i="1"/>
  <c r="CJ57" i="1" a="1"/>
  <c r="CJ57" i="1"/>
  <c r="CJ59" i="1" a="1"/>
  <c r="CJ59" i="1"/>
  <c r="CJ53" i="1" a="1"/>
  <c r="CJ53" i="1"/>
  <c r="CJ35" i="1" a="1"/>
  <c r="CJ35" i="1"/>
  <c r="CJ58" i="1" a="1"/>
  <c r="CJ58" i="1"/>
  <c r="IG61" i="1" a="1"/>
  <c r="IG61" i="1"/>
  <c r="IG59" i="1" a="1"/>
  <c r="IG59" i="1"/>
  <c r="IG57" i="1" a="1"/>
  <c r="IG57" i="1"/>
  <c r="IG55" i="1" a="1"/>
  <c r="IG55" i="1"/>
  <c r="IG53" i="1" a="1"/>
  <c r="IG53" i="1"/>
  <c r="IG51" i="1" a="1"/>
  <c r="IG51" i="1"/>
  <c r="IG49" i="1" a="1"/>
  <c r="IG49" i="1"/>
  <c r="IG47" i="1" a="1"/>
  <c r="IG47" i="1"/>
  <c r="IG45" i="1" a="1"/>
  <c r="IG45" i="1"/>
  <c r="IG43" i="1" a="1"/>
  <c r="IG43" i="1"/>
  <c r="IG41" i="1" a="1"/>
  <c r="IG41" i="1"/>
  <c r="IG39" i="1" a="1"/>
  <c r="IG39" i="1"/>
  <c r="IG37" i="1" a="1"/>
  <c r="IG37" i="1"/>
  <c r="IG35" i="1" a="1"/>
  <c r="IG35" i="1"/>
  <c r="IG33" i="1" a="1"/>
  <c r="IG33" i="1"/>
  <c r="IG31" i="1" a="1"/>
  <c r="IG31" i="1"/>
  <c r="IG29" i="1" a="1"/>
  <c r="IG29" i="1"/>
  <c r="IG27" i="1" a="1"/>
  <c r="IG27" i="1"/>
  <c r="IG25" i="1" a="1"/>
  <c r="IG25" i="1"/>
  <c r="IG22" i="1" a="1"/>
  <c r="IG22" i="1"/>
  <c r="IG23" i="1" a="1"/>
  <c r="IG23" i="1"/>
  <c r="IG19" i="1" a="1"/>
  <c r="IG19" i="1"/>
  <c r="IG17" i="1" a="1"/>
  <c r="IG17" i="1"/>
  <c r="IG15" i="1" a="1"/>
  <c r="IG15" i="1"/>
  <c r="IG13" i="1" a="1"/>
  <c r="IG13" i="1"/>
  <c r="IH11" i="1"/>
  <c r="IG62" i="1" a="1"/>
  <c r="IG62" i="1"/>
  <c r="IG60" i="1" a="1"/>
  <c r="IG60" i="1"/>
  <c r="IG58" i="1" a="1"/>
  <c r="IG58" i="1"/>
  <c r="IG56" i="1" a="1"/>
  <c r="IG56" i="1"/>
  <c r="IG54" i="1" a="1"/>
  <c r="IG54" i="1"/>
  <c r="IG52" i="1" a="1"/>
  <c r="IG52" i="1"/>
  <c r="IG50" i="1" a="1"/>
  <c r="IG50" i="1"/>
  <c r="IG48" i="1" a="1"/>
  <c r="IG48" i="1"/>
  <c r="IG46" i="1" a="1"/>
  <c r="IG46" i="1"/>
  <c r="IG44" i="1" a="1"/>
  <c r="IG44" i="1"/>
  <c r="IG42" i="1" a="1"/>
  <c r="IG42" i="1"/>
  <c r="IG40" i="1" a="1"/>
  <c r="IG40" i="1"/>
  <c r="IG38" i="1" a="1"/>
  <c r="IG38" i="1"/>
  <c r="IG36" i="1" a="1"/>
  <c r="IG36" i="1"/>
  <c r="IG34" i="1" a="1"/>
  <c r="IG34" i="1"/>
  <c r="IG32" i="1" a="1"/>
  <c r="IG32" i="1"/>
  <c r="IG30" i="1" a="1"/>
  <c r="IG30" i="1"/>
  <c r="IG28" i="1" a="1"/>
  <c r="IG28" i="1"/>
  <c r="IG26" i="1" a="1"/>
  <c r="IG26" i="1"/>
  <c r="IG24" i="1" a="1"/>
  <c r="IG24" i="1"/>
  <c r="IG21" i="1" a="1"/>
  <c r="IG21" i="1"/>
  <c r="IG20" i="1" a="1"/>
  <c r="IG20" i="1"/>
  <c r="IG18" i="1" a="1"/>
  <c r="IG18" i="1"/>
  <c r="IG16" i="1" a="1"/>
  <c r="IG16" i="1"/>
  <c r="IG14" i="1" a="1"/>
  <c r="IG14" i="1"/>
  <c r="IG12" i="1" a="1"/>
  <c r="IG12" i="1"/>
  <c r="CK54" i="1" a="1"/>
  <c r="CK54" i="1"/>
  <c r="CK24" i="1" a="1"/>
  <c r="CK24" i="1"/>
  <c r="CK21" i="1" a="1"/>
  <c r="CK21" i="1"/>
  <c r="CK31" i="1" a="1"/>
  <c r="CK31" i="1"/>
  <c r="CK14" i="1" a="1"/>
  <c r="CK14" i="1"/>
  <c r="CK38" i="1" a="1"/>
  <c r="CK38" i="1"/>
  <c r="CK22" i="1" a="1"/>
  <c r="CK22" i="1"/>
  <c r="CK32" i="1" a="1"/>
  <c r="CK32" i="1"/>
  <c r="CK50" i="1" a="1"/>
  <c r="CK50" i="1"/>
  <c r="CK39" i="1" a="1"/>
  <c r="CK39" i="1"/>
  <c r="CK49" i="1" a="1"/>
  <c r="CK49" i="1"/>
  <c r="CK51" i="1" a="1"/>
  <c r="CK51" i="1"/>
  <c r="CK46" i="1" a="1"/>
  <c r="CK46" i="1"/>
  <c r="CK37" i="1" a="1"/>
  <c r="CK37" i="1"/>
  <c r="CK55" i="1" a="1"/>
  <c r="CK55" i="1"/>
  <c r="CK47" i="1" a="1"/>
  <c r="CK47" i="1"/>
  <c r="CK18" i="1" a="1"/>
  <c r="CK18" i="1"/>
  <c r="CK52" i="1" a="1"/>
  <c r="CK52" i="1"/>
  <c r="CK27" i="1" a="1"/>
  <c r="CK27" i="1"/>
  <c r="CK15" i="1" a="1"/>
  <c r="CK15" i="1"/>
  <c r="CK59" i="1" a="1"/>
  <c r="CK59" i="1"/>
  <c r="CK48" i="1" a="1"/>
  <c r="CK48" i="1"/>
  <c r="CK28" i="1" a="1"/>
  <c r="CK28" i="1"/>
  <c r="CK57" i="1" a="1"/>
  <c r="CK57" i="1"/>
  <c r="CK40" i="1" a="1"/>
  <c r="CK40" i="1"/>
  <c r="CK58" i="1" a="1"/>
  <c r="CK58" i="1"/>
  <c r="CK13" i="1" a="1"/>
  <c r="CK13" i="1"/>
  <c r="CK34" i="1" a="1"/>
  <c r="CK34" i="1"/>
  <c r="CK36" i="1" a="1"/>
  <c r="CK36" i="1"/>
  <c r="CK26" i="1" a="1"/>
  <c r="CK26" i="1"/>
  <c r="CK33" i="1" a="1"/>
  <c r="CK33" i="1"/>
  <c r="CK30" i="1" a="1"/>
  <c r="CK30" i="1"/>
  <c r="CK29" i="1" a="1"/>
  <c r="CK29" i="1"/>
  <c r="CK42" i="1" a="1"/>
  <c r="CK42" i="1"/>
  <c r="CK44" i="1" a="1"/>
  <c r="CK44" i="1"/>
  <c r="CK56" i="1" a="1"/>
  <c r="CK56" i="1"/>
  <c r="CK41" i="1" a="1"/>
  <c r="CK41" i="1"/>
  <c r="CK53" i="1" a="1"/>
  <c r="CK53" i="1"/>
  <c r="CK45" i="1" a="1"/>
  <c r="CK45" i="1"/>
  <c r="CK35" i="1" a="1"/>
  <c r="CK35" i="1"/>
  <c r="CK23" i="1" a="1"/>
  <c r="CK23" i="1"/>
  <c r="CK61" i="1" a="1"/>
  <c r="CK61" i="1"/>
  <c r="CK17" i="1" a="1"/>
  <c r="CK17" i="1"/>
  <c r="CK19" i="1" a="1"/>
  <c r="CK19" i="1"/>
  <c r="CK20" i="1" a="1"/>
  <c r="CK20" i="1"/>
  <c r="CK43" i="1" a="1"/>
  <c r="CK43" i="1"/>
  <c r="CK12" i="1" a="1"/>
  <c r="CK12" i="1"/>
  <c r="CK16" i="1" a="1"/>
  <c r="CK16" i="1"/>
  <c r="CK60" i="1" a="1"/>
  <c r="CK60" i="1"/>
  <c r="CK25" i="1" a="1"/>
  <c r="CK25" i="1"/>
  <c r="CK62" i="1" a="1"/>
  <c r="CK62" i="1"/>
  <c r="CL28" i="1" a="1"/>
  <c r="CL28" i="1"/>
  <c r="CL45" i="1" a="1"/>
  <c r="CL45" i="1"/>
  <c r="CL32" i="1" a="1"/>
  <c r="CL32" i="1"/>
  <c r="CL54" i="1" a="1"/>
  <c r="CL54" i="1"/>
  <c r="CL44" i="1" a="1"/>
  <c r="CL44" i="1"/>
  <c r="CL41" i="1" a="1"/>
  <c r="CL41" i="1"/>
  <c r="CL48" i="1" a="1"/>
  <c r="CL48" i="1"/>
  <c r="CL38" i="1" a="1"/>
  <c r="CL38" i="1"/>
  <c r="CL40" i="1" a="1"/>
  <c r="CL40" i="1"/>
  <c r="CL12" i="1" a="1"/>
  <c r="CL12" i="1"/>
  <c r="CL26" i="1" a="1"/>
  <c r="CL26" i="1"/>
  <c r="CL34" i="1" a="1"/>
  <c r="CL34" i="1"/>
  <c r="CL13" i="1" a="1"/>
  <c r="CL13" i="1"/>
  <c r="CL46" i="1" a="1"/>
  <c r="CL46" i="1"/>
  <c r="CL21" i="1" a="1"/>
  <c r="CL21" i="1"/>
  <c r="CL24" i="1" a="1"/>
  <c r="CL24" i="1"/>
  <c r="CL62" i="1" a="1"/>
  <c r="CL62" i="1"/>
  <c r="CL53" i="1" a="1"/>
  <c r="CL53" i="1"/>
  <c r="CL19" i="1" a="1"/>
  <c r="CL19" i="1"/>
  <c r="CL47" i="1" a="1"/>
  <c r="CL47" i="1"/>
  <c r="CL29" i="1" a="1"/>
  <c r="CL29" i="1"/>
  <c r="CL15" i="1" a="1"/>
  <c r="CL15" i="1"/>
  <c r="CL37" i="1" a="1"/>
  <c r="CL37" i="1"/>
  <c r="CL23" i="1" a="1"/>
  <c r="CL23" i="1"/>
  <c r="CL25" i="1" a="1"/>
  <c r="CL25" i="1"/>
  <c r="CL27" i="1" a="1"/>
  <c r="CL27" i="1"/>
  <c r="CL35" i="1" a="1"/>
  <c r="CL35" i="1"/>
  <c r="CL20" i="1" a="1"/>
  <c r="CL20" i="1"/>
  <c r="CL42" i="1" a="1"/>
  <c r="CL42" i="1"/>
  <c r="CL52" i="1" a="1"/>
  <c r="CL52" i="1"/>
  <c r="CL36" i="1" a="1"/>
  <c r="CL36" i="1"/>
  <c r="CL49" i="1" a="1"/>
  <c r="CL49" i="1"/>
  <c r="CL43" i="1" a="1"/>
  <c r="CL43" i="1"/>
  <c r="CL55" i="1" a="1"/>
  <c r="CL55" i="1"/>
  <c r="CL50" i="1" a="1"/>
  <c r="CL50" i="1"/>
  <c r="CL16" i="1" a="1"/>
  <c r="CL16" i="1"/>
  <c r="CL14" i="1" a="1"/>
  <c r="CL14" i="1"/>
  <c r="CL56" i="1" a="1"/>
  <c r="CL56" i="1"/>
  <c r="CL22" i="1" a="1"/>
  <c r="CL22" i="1"/>
  <c r="CL60" i="1" a="1"/>
  <c r="CL60" i="1"/>
  <c r="CL51" i="1" a="1"/>
  <c r="CL51" i="1"/>
  <c r="CL31" i="1" a="1"/>
  <c r="CL31" i="1"/>
  <c r="CL57" i="1" a="1"/>
  <c r="CL57" i="1"/>
  <c r="CL59" i="1" a="1"/>
  <c r="CL59" i="1"/>
  <c r="CL61" i="1" a="1"/>
  <c r="CL61" i="1"/>
  <c r="CL18" i="1" a="1"/>
  <c r="CL18" i="1"/>
  <c r="CL58" i="1" a="1"/>
  <c r="CL58" i="1"/>
  <c r="CL39" i="1" a="1"/>
  <c r="CL39" i="1"/>
  <c r="CL30" i="1" a="1"/>
  <c r="CL30" i="1"/>
  <c r="CL17" i="1" a="1"/>
  <c r="CL17" i="1"/>
  <c r="CL33" i="1" a="1"/>
  <c r="CL33" i="1"/>
  <c r="IH61" i="1" a="1"/>
  <c r="IH61" i="1"/>
  <c r="IH59" i="1" a="1"/>
  <c r="IH59" i="1"/>
  <c r="IH57" i="1" a="1"/>
  <c r="IH57" i="1"/>
  <c r="IH55" i="1" a="1"/>
  <c r="IH55" i="1"/>
  <c r="IH53" i="1" a="1"/>
  <c r="IH53" i="1"/>
  <c r="IH49" i="1" a="1"/>
  <c r="IH49" i="1"/>
  <c r="IH51" i="1" a="1"/>
  <c r="IH51" i="1"/>
  <c r="IH45" i="1" a="1"/>
  <c r="IH45" i="1"/>
  <c r="IH43" i="1" a="1"/>
  <c r="IH43" i="1"/>
  <c r="IH41" i="1" a="1"/>
  <c r="IH41" i="1"/>
  <c r="IH46" i="1" a="1"/>
  <c r="IH46" i="1"/>
  <c r="IH35" i="1" a="1"/>
  <c r="IH35" i="1"/>
  <c r="IH33" i="1" a="1"/>
  <c r="IH33" i="1"/>
  <c r="IH38" i="1" a="1"/>
  <c r="IH38" i="1"/>
  <c r="IH36" i="1" a="1"/>
  <c r="IH36" i="1"/>
  <c r="IH31" i="1" a="1"/>
  <c r="IH31" i="1"/>
  <c r="IH29" i="1" a="1"/>
  <c r="IH29" i="1"/>
  <c r="IH27" i="1" a="1"/>
  <c r="IH27" i="1"/>
  <c r="IH25" i="1" a="1"/>
  <c r="IH25" i="1"/>
  <c r="IH23" i="1" a="1"/>
  <c r="IH23" i="1"/>
  <c r="IH21" i="1" a="1"/>
  <c r="IH21" i="1"/>
  <c r="IH19" i="1" a="1"/>
  <c r="IH19" i="1"/>
  <c r="IH17" i="1" a="1"/>
  <c r="IH17" i="1"/>
  <c r="IH15" i="1" a="1"/>
  <c r="IH15" i="1"/>
  <c r="IH13" i="1" a="1"/>
  <c r="IH13" i="1"/>
  <c r="II11" i="1"/>
  <c r="IH62" i="1" a="1"/>
  <c r="IH62" i="1"/>
  <c r="IH60" i="1" a="1"/>
  <c r="IH60" i="1"/>
  <c r="IH58" i="1" a="1"/>
  <c r="IH58" i="1"/>
  <c r="IH56" i="1" a="1"/>
  <c r="IH56" i="1"/>
  <c r="IH54" i="1" a="1"/>
  <c r="IH54" i="1"/>
  <c r="IH50" i="1" a="1"/>
  <c r="IH50" i="1"/>
  <c r="IH52" i="1" a="1"/>
  <c r="IH52" i="1"/>
  <c r="IH48" i="1" a="1"/>
  <c r="IH48" i="1"/>
  <c r="IH44" i="1" a="1"/>
  <c r="IH44" i="1"/>
  <c r="IH42" i="1" a="1"/>
  <c r="IH42" i="1"/>
  <c r="IH47" i="1" a="1"/>
  <c r="IH47" i="1"/>
  <c r="IH40" i="1" a="1"/>
  <c r="IH40" i="1"/>
  <c r="IH34" i="1" a="1"/>
  <c r="IH34" i="1"/>
  <c r="IH39" i="1" a="1"/>
  <c r="IH39" i="1"/>
  <c r="IH37" i="1" a="1"/>
  <c r="IH37" i="1"/>
  <c r="IH32" i="1" a="1"/>
  <c r="IH32" i="1"/>
  <c r="IH30" i="1" a="1"/>
  <c r="IH30" i="1"/>
  <c r="IH28" i="1" a="1"/>
  <c r="IH28" i="1"/>
  <c r="IH26" i="1" a="1"/>
  <c r="IH26" i="1"/>
  <c r="IH24" i="1" a="1"/>
  <c r="IH24" i="1"/>
  <c r="IH22" i="1" a="1"/>
  <c r="IH22" i="1"/>
  <c r="IH20" i="1" a="1"/>
  <c r="IH20" i="1"/>
  <c r="IH18" i="1" a="1"/>
  <c r="IH18" i="1"/>
  <c r="IH16" i="1" a="1"/>
  <c r="IH16" i="1"/>
  <c r="IH14" i="1" a="1"/>
  <c r="IH14" i="1"/>
  <c r="IH12" i="1" a="1"/>
  <c r="IH12" i="1"/>
  <c r="II62" i="1" a="1"/>
  <c r="II62" i="1"/>
  <c r="II60" i="1" a="1"/>
  <c r="II60" i="1"/>
  <c r="II58" i="1" a="1"/>
  <c r="II58" i="1"/>
  <c r="II54" i="1" a="1"/>
  <c r="II54" i="1"/>
  <c r="II56" i="1" a="1"/>
  <c r="II56" i="1"/>
  <c r="II51" i="1" a="1"/>
  <c r="II51" i="1"/>
  <c r="II50" i="1" a="1"/>
  <c r="II50" i="1"/>
  <c r="II48" i="1" a="1"/>
  <c r="II48" i="1"/>
  <c r="II46" i="1" a="1"/>
  <c r="II46" i="1"/>
  <c r="II44" i="1" a="1"/>
  <c r="II44" i="1"/>
  <c r="II42" i="1" a="1"/>
  <c r="II42" i="1"/>
  <c r="II40" i="1" a="1"/>
  <c r="II40" i="1"/>
  <c r="II38" i="1" a="1"/>
  <c r="II38" i="1"/>
  <c r="II36" i="1" a="1"/>
  <c r="II36" i="1"/>
  <c r="II34" i="1" a="1"/>
  <c r="II34" i="1"/>
  <c r="II32" i="1" a="1"/>
  <c r="II32" i="1"/>
  <c r="II30" i="1" a="1"/>
  <c r="II30" i="1"/>
  <c r="II28" i="1" a="1"/>
  <c r="II28" i="1"/>
  <c r="II26" i="1" a="1"/>
  <c r="II26" i="1"/>
  <c r="II24" i="1" a="1"/>
  <c r="II24" i="1"/>
  <c r="II22" i="1" a="1"/>
  <c r="II22" i="1"/>
  <c r="II20" i="1" a="1"/>
  <c r="II20" i="1"/>
  <c r="II18" i="1" a="1"/>
  <c r="II18" i="1"/>
  <c r="II16" i="1" a="1"/>
  <c r="II16" i="1"/>
  <c r="II14" i="1" a="1"/>
  <c r="II14" i="1"/>
  <c r="II12" i="1" a="1"/>
  <c r="II12" i="1"/>
  <c r="II61" i="1" a="1"/>
  <c r="II61" i="1"/>
  <c r="II59" i="1" a="1"/>
  <c r="II59" i="1"/>
  <c r="II55" i="1" a="1"/>
  <c r="II55" i="1"/>
  <c r="II57" i="1" a="1"/>
  <c r="II57" i="1"/>
  <c r="II52" i="1" a="1"/>
  <c r="II52" i="1"/>
  <c r="II53" i="1" a="1"/>
  <c r="II53" i="1"/>
  <c r="II49" i="1" a="1"/>
  <c r="II49" i="1"/>
  <c r="II47" i="1" a="1"/>
  <c r="II47" i="1"/>
  <c r="II45" i="1" a="1"/>
  <c r="II45" i="1"/>
  <c r="II43" i="1" a="1"/>
  <c r="II43" i="1"/>
  <c r="II41" i="1" a="1"/>
  <c r="II41" i="1"/>
  <c r="II39" i="1" a="1"/>
  <c r="II39" i="1"/>
  <c r="II37" i="1" a="1"/>
  <c r="II37" i="1"/>
  <c r="II35" i="1" a="1"/>
  <c r="II35" i="1"/>
  <c r="II33" i="1" a="1"/>
  <c r="II33" i="1"/>
  <c r="II31" i="1" a="1"/>
  <c r="II31" i="1"/>
  <c r="II29" i="1" a="1"/>
  <c r="II29" i="1"/>
  <c r="II27" i="1" a="1"/>
  <c r="II27" i="1"/>
  <c r="II25" i="1" a="1"/>
  <c r="II25" i="1"/>
  <c r="II23" i="1" a="1"/>
  <c r="II23" i="1"/>
  <c r="II21" i="1" a="1"/>
  <c r="II21" i="1"/>
  <c r="II19" i="1" a="1"/>
  <c r="II19" i="1"/>
  <c r="II17" i="1" a="1"/>
  <c r="II17" i="1"/>
  <c r="II15" i="1" a="1"/>
  <c r="II15" i="1"/>
  <c r="II13" i="1" a="1"/>
  <c r="II13" i="1"/>
  <c r="IJ11" i="1"/>
  <c r="CM52" i="1" a="1"/>
  <c r="CM52" i="1"/>
  <c r="CM14" i="1" a="1"/>
  <c r="CM14" i="1"/>
  <c r="CM16" i="1" a="1"/>
  <c r="CM16" i="1"/>
  <c r="CM50" i="1" a="1"/>
  <c r="CM50" i="1"/>
  <c r="CM60" i="1" a="1"/>
  <c r="CM60" i="1"/>
  <c r="CM53" i="1" a="1"/>
  <c r="CM53" i="1"/>
  <c r="CM13" i="1" a="1"/>
  <c r="CM13" i="1"/>
  <c r="CM62" i="1" a="1"/>
  <c r="CM62" i="1"/>
  <c r="CM54" i="1" a="1"/>
  <c r="CM54" i="1"/>
  <c r="CM25" i="1" a="1"/>
  <c r="CM25" i="1"/>
  <c r="CM26" i="1" a="1"/>
  <c r="CM26" i="1"/>
  <c r="CM29" i="1" a="1"/>
  <c r="CM29" i="1"/>
  <c r="CM38" i="1" a="1"/>
  <c r="CM38" i="1"/>
  <c r="CM32" i="1" a="1"/>
  <c r="CM32" i="1"/>
  <c r="CM30" i="1" a="1"/>
  <c r="CM30" i="1"/>
  <c r="CM19" i="1" a="1"/>
  <c r="CM19" i="1"/>
  <c r="CM42" i="1" a="1"/>
  <c r="CM42" i="1"/>
  <c r="CM33" i="1" a="1"/>
  <c r="CM33" i="1"/>
  <c r="CM31" i="1" a="1"/>
  <c r="CM31" i="1"/>
  <c r="CM45" i="1" a="1"/>
  <c r="CM45" i="1"/>
  <c r="CM51" i="1" a="1"/>
  <c r="CM51" i="1"/>
  <c r="CM37" i="1" a="1"/>
  <c r="CM37" i="1"/>
  <c r="CM36" i="1" a="1"/>
  <c r="CM36" i="1"/>
  <c r="CM49" i="1" a="1"/>
  <c r="CM49" i="1"/>
  <c r="CM23" i="1" a="1"/>
  <c r="CM23" i="1"/>
  <c r="CM46" i="1" a="1"/>
  <c r="CM46" i="1"/>
  <c r="CM15" i="1" a="1"/>
  <c r="CM15" i="1"/>
  <c r="CM59" i="1" a="1"/>
  <c r="CM59" i="1"/>
  <c r="CM12" i="1" a="1"/>
  <c r="CM12" i="1"/>
  <c r="CM48" i="1" a="1"/>
  <c r="CM48" i="1"/>
  <c r="CM17" i="1" a="1"/>
  <c r="CM17" i="1"/>
  <c r="CM47" i="1" a="1"/>
  <c r="CM47" i="1"/>
  <c r="CM20" i="1" a="1"/>
  <c r="CM20" i="1"/>
  <c r="CM57" i="1" a="1"/>
  <c r="CM57" i="1"/>
  <c r="CM24" i="1" a="1"/>
  <c r="CM24" i="1"/>
  <c r="CM58" i="1" a="1"/>
  <c r="CM58" i="1"/>
  <c r="CM61" i="1" a="1"/>
  <c r="CM61" i="1"/>
  <c r="CM34" i="1" a="1"/>
  <c r="CM34" i="1"/>
  <c r="CM56" i="1" a="1"/>
  <c r="CM56" i="1"/>
  <c r="CM27" i="1" a="1"/>
  <c r="CM27" i="1"/>
  <c r="CM43" i="1" a="1"/>
  <c r="CM43" i="1"/>
  <c r="CM18" i="1" a="1"/>
  <c r="CM18" i="1"/>
  <c r="CM28" i="1" a="1"/>
  <c r="CM28" i="1"/>
  <c r="CM41" i="1" a="1"/>
  <c r="CM41" i="1"/>
  <c r="CM21" i="1" a="1"/>
  <c r="CM21" i="1"/>
  <c r="CM40" i="1" a="1"/>
  <c r="CM40" i="1"/>
  <c r="CM55" i="1" a="1"/>
  <c r="CM55" i="1"/>
  <c r="CM44" i="1" a="1"/>
  <c r="CM44" i="1"/>
  <c r="CM35" i="1" a="1"/>
  <c r="CM35" i="1"/>
  <c r="CM22" i="1" a="1"/>
  <c r="CM22" i="1"/>
  <c r="CM39" i="1" a="1"/>
  <c r="CM39" i="1"/>
  <c r="IJ61" i="1" a="1"/>
  <c r="IJ61" i="1"/>
  <c r="IJ59" i="1" a="1"/>
  <c r="IJ59" i="1"/>
  <c r="IJ57" i="1" a="1"/>
  <c r="IJ57" i="1"/>
  <c r="IJ55" i="1" a="1"/>
  <c r="IJ55" i="1"/>
  <c r="IJ53" i="1" a="1"/>
  <c r="IJ53" i="1"/>
  <c r="IJ49" i="1" a="1"/>
  <c r="IJ49" i="1"/>
  <c r="IJ51" i="1" a="1"/>
  <c r="IJ51" i="1"/>
  <c r="IJ44" i="1" a="1"/>
  <c r="IJ44" i="1"/>
  <c r="IJ42" i="1" a="1"/>
  <c r="IJ42" i="1"/>
  <c r="IJ48" i="1" a="1"/>
  <c r="IJ48" i="1"/>
  <c r="IJ46" i="1" a="1"/>
  <c r="IJ46" i="1"/>
  <c r="IJ34" i="1" a="1"/>
  <c r="IJ34" i="1"/>
  <c r="IJ40" i="1" a="1"/>
  <c r="IJ40" i="1"/>
  <c r="IJ38" i="1" a="1"/>
  <c r="IJ38" i="1"/>
  <c r="IJ36" i="1" a="1"/>
  <c r="IJ36" i="1"/>
  <c r="IJ31" i="1" a="1"/>
  <c r="IJ31" i="1"/>
  <c r="IJ29" i="1" a="1"/>
  <c r="IJ29" i="1"/>
  <c r="IJ27" i="1" a="1"/>
  <c r="IJ27" i="1"/>
  <c r="IJ25" i="1" a="1"/>
  <c r="IJ25" i="1"/>
  <c r="IJ23" i="1" a="1"/>
  <c r="IJ23" i="1"/>
  <c r="IJ21" i="1" a="1"/>
  <c r="IJ21" i="1"/>
  <c r="IJ16" i="1" a="1"/>
  <c r="IJ16" i="1"/>
  <c r="IJ14" i="1" a="1"/>
  <c r="IJ14" i="1"/>
  <c r="IJ12" i="1" a="1"/>
  <c r="IJ12" i="1"/>
  <c r="IJ19" i="1" a="1"/>
  <c r="IJ19" i="1"/>
  <c r="IK11" i="1"/>
  <c r="IJ62" i="1" a="1"/>
  <c r="IJ62" i="1"/>
  <c r="IJ60" i="1" a="1"/>
  <c r="IJ60" i="1"/>
  <c r="IJ58" i="1" a="1"/>
  <c r="IJ58" i="1"/>
  <c r="IJ56" i="1" a="1"/>
  <c r="IJ56" i="1"/>
  <c r="IJ54" i="1" a="1"/>
  <c r="IJ54" i="1"/>
  <c r="IJ50" i="1" a="1"/>
  <c r="IJ50" i="1"/>
  <c r="IJ52" i="1" a="1"/>
  <c r="IJ52" i="1"/>
  <c r="IJ45" i="1" a="1"/>
  <c r="IJ45" i="1"/>
  <c r="IJ43" i="1" a="1"/>
  <c r="IJ43" i="1"/>
  <c r="IJ41" i="1" a="1"/>
  <c r="IJ41" i="1"/>
  <c r="IJ47" i="1" a="1"/>
  <c r="IJ47" i="1"/>
  <c r="IJ35" i="1" a="1"/>
  <c r="IJ35" i="1"/>
  <c r="IJ33" i="1" a="1"/>
  <c r="IJ33" i="1"/>
  <c r="IJ39" i="1" a="1"/>
  <c r="IJ39" i="1"/>
  <c r="IJ37" i="1" a="1"/>
  <c r="IJ37" i="1"/>
  <c r="IJ32" i="1" a="1"/>
  <c r="IJ32" i="1"/>
  <c r="IJ30" i="1" a="1"/>
  <c r="IJ30" i="1"/>
  <c r="IJ28" i="1" a="1"/>
  <c r="IJ28" i="1"/>
  <c r="IJ26" i="1" a="1"/>
  <c r="IJ26" i="1"/>
  <c r="IJ24" i="1" a="1"/>
  <c r="IJ24" i="1"/>
  <c r="IJ22" i="1" a="1"/>
  <c r="IJ22" i="1"/>
  <c r="IJ17" i="1" a="1"/>
  <c r="IJ17" i="1"/>
  <c r="IJ15" i="1" a="1"/>
  <c r="IJ15" i="1"/>
  <c r="IJ13" i="1" a="1"/>
  <c r="IJ13" i="1"/>
  <c r="IJ20" i="1" a="1"/>
  <c r="IJ20" i="1"/>
  <c r="IJ18" i="1" a="1"/>
  <c r="IJ18" i="1"/>
  <c r="CN25" i="1" a="1"/>
  <c r="CN25" i="1"/>
  <c r="CN14" i="1" a="1"/>
  <c r="CN14" i="1"/>
  <c r="CN56" i="1" a="1"/>
  <c r="CN56" i="1"/>
  <c r="CN22" i="1" a="1"/>
  <c r="CN22" i="1"/>
  <c r="CN60" i="1" a="1"/>
  <c r="CN60" i="1"/>
  <c r="CN51" i="1" a="1"/>
  <c r="CN51" i="1"/>
  <c r="CN31" i="1" a="1"/>
  <c r="CN31" i="1"/>
  <c r="CN57" i="1" a="1"/>
  <c r="CN57" i="1"/>
  <c r="CN28" i="1" a="1"/>
  <c r="CN28" i="1"/>
  <c r="CN61" i="1" a="1"/>
  <c r="CN61" i="1"/>
  <c r="CN18" i="1" a="1"/>
  <c r="CN18" i="1"/>
  <c r="CN37" i="1" a="1"/>
  <c r="CN37" i="1"/>
  <c r="CN39" i="1" a="1"/>
  <c r="CN39" i="1"/>
  <c r="CN30" i="1" a="1"/>
  <c r="CN30" i="1"/>
  <c r="CN17" i="1" a="1"/>
  <c r="CN17" i="1"/>
  <c r="CN33" i="1" a="1"/>
  <c r="CN33" i="1"/>
  <c r="CN20" i="1" a="1"/>
  <c r="CN20" i="1"/>
  <c r="CN45" i="1" a="1"/>
  <c r="CN45" i="1"/>
  <c r="CN32" i="1" a="1"/>
  <c r="CN32" i="1"/>
  <c r="CN59" i="1" a="1"/>
  <c r="CN59" i="1"/>
  <c r="CN44" i="1" a="1"/>
  <c r="CN44" i="1"/>
  <c r="CN41" i="1" a="1"/>
  <c r="CN41" i="1"/>
  <c r="CN48" i="1" a="1"/>
  <c r="CN48" i="1"/>
  <c r="CN38" i="1" a="1"/>
  <c r="CN38" i="1"/>
  <c r="CN16" i="1" a="1"/>
  <c r="CN16" i="1"/>
  <c r="CN12" i="1" a="1"/>
  <c r="CN12" i="1"/>
  <c r="CN26" i="1" a="1"/>
  <c r="CN26" i="1"/>
  <c r="CN47" i="1" a="1"/>
  <c r="CN47" i="1"/>
  <c r="CN13" i="1" a="1"/>
  <c r="CN13" i="1"/>
  <c r="CN46" i="1" a="1"/>
  <c r="CN46" i="1"/>
  <c r="CN21" i="1" a="1"/>
  <c r="CN21" i="1"/>
  <c r="CN24" i="1" a="1"/>
  <c r="CN24" i="1"/>
  <c r="CN62" i="1" a="1"/>
  <c r="CN62" i="1"/>
  <c r="CN53" i="1" a="1"/>
  <c r="CN53" i="1"/>
  <c r="CN19" i="1" a="1"/>
  <c r="CN19" i="1"/>
  <c r="CN58" i="1" a="1"/>
  <c r="CN58" i="1"/>
  <c r="CN29" i="1" a="1"/>
  <c r="CN29" i="1"/>
  <c r="CN15" i="1" a="1"/>
  <c r="CN15" i="1"/>
  <c r="CN34" i="1" a="1"/>
  <c r="CN34" i="1"/>
  <c r="CN23" i="1" a="1"/>
  <c r="CN23" i="1"/>
  <c r="CN43" i="1" a="1"/>
  <c r="CN43" i="1"/>
  <c r="CN27" i="1" a="1"/>
  <c r="CN27" i="1"/>
  <c r="CN35" i="1" a="1"/>
  <c r="CN35" i="1"/>
  <c r="CN54" i="1" a="1"/>
  <c r="CN54" i="1"/>
  <c r="CN42" i="1" a="1"/>
  <c r="CN42" i="1"/>
  <c r="CN52" i="1" a="1"/>
  <c r="CN52" i="1"/>
  <c r="CN36" i="1" a="1"/>
  <c r="CN36" i="1"/>
  <c r="CN49" i="1" a="1"/>
  <c r="CN49" i="1"/>
  <c r="CN40" i="1" a="1"/>
  <c r="CN40" i="1"/>
  <c r="CN55" i="1" a="1"/>
  <c r="CN55" i="1"/>
  <c r="CN50" i="1" a="1"/>
  <c r="CN50" i="1"/>
  <c r="CO42" i="1" a="1"/>
  <c r="CO42" i="1"/>
  <c r="CO45" i="1" a="1"/>
  <c r="CO45" i="1"/>
  <c r="CO31" i="1" a="1"/>
  <c r="CO31" i="1"/>
  <c r="CO49" i="1" a="1"/>
  <c r="CO49" i="1"/>
  <c r="CO43" i="1" a="1"/>
  <c r="CO43" i="1"/>
  <c r="CO41" i="1" a="1"/>
  <c r="CO41" i="1"/>
  <c r="CO53" i="1" a="1"/>
  <c r="CO53" i="1"/>
  <c r="CO15" i="1" a="1"/>
  <c r="CO15" i="1"/>
  <c r="CO55" i="1" a="1"/>
  <c r="CO55" i="1"/>
  <c r="CO17" i="1" a="1"/>
  <c r="CO17" i="1"/>
  <c r="CO61" i="1" a="1"/>
  <c r="CO61" i="1"/>
  <c r="CO16" i="1" a="1"/>
  <c r="CO16" i="1"/>
  <c r="CO29" i="1" a="1"/>
  <c r="CO29" i="1"/>
  <c r="CO57" i="1" a="1"/>
  <c r="CO57" i="1"/>
  <c r="CO14" i="1" a="1"/>
  <c r="CO14" i="1"/>
  <c r="CO52" i="1" a="1"/>
  <c r="CO52" i="1"/>
  <c r="CO28" i="1" a="1"/>
  <c r="CO28" i="1"/>
  <c r="CO54" i="1" a="1"/>
  <c r="CO54" i="1"/>
  <c r="CO34" i="1" a="1"/>
  <c r="CO34" i="1"/>
  <c r="CO18" i="1" a="1"/>
  <c r="CO18" i="1"/>
  <c r="CO38" i="1" a="1"/>
  <c r="CO38" i="1"/>
  <c r="CO27" i="1" a="1"/>
  <c r="CO27" i="1"/>
  <c r="CO35" i="1" a="1"/>
  <c r="CO35" i="1"/>
  <c r="CO12" i="1" a="1"/>
  <c r="CO12" i="1"/>
  <c r="CO46" i="1" a="1"/>
  <c r="CO46" i="1"/>
  <c r="CO37" i="1" a="1"/>
  <c r="CO37" i="1"/>
  <c r="CO50" i="1" a="1"/>
  <c r="CO50" i="1"/>
  <c r="CO44" i="1" a="1"/>
  <c r="CO44" i="1"/>
  <c r="CO56" i="1" a="1"/>
  <c r="CO56" i="1"/>
  <c r="CO33" i="1" a="1"/>
  <c r="CO33" i="1"/>
  <c r="CO47" i="1" a="1"/>
  <c r="CO47" i="1"/>
  <c r="CO20" i="1" a="1"/>
  <c r="CO20" i="1"/>
  <c r="CO39" i="1" a="1"/>
  <c r="CO39" i="1"/>
  <c r="CO25" i="1" a="1"/>
  <c r="CO25" i="1"/>
  <c r="CO51" i="1" a="1"/>
  <c r="CO51" i="1"/>
  <c r="CO21" i="1" a="1"/>
  <c r="CO21" i="1"/>
  <c r="CO48" i="1" a="1"/>
  <c r="CO48" i="1"/>
  <c r="CO13" i="1" a="1"/>
  <c r="CO13" i="1"/>
  <c r="CO60" i="1" a="1"/>
  <c r="CO60" i="1"/>
  <c r="CO59" i="1" a="1"/>
  <c r="CO59" i="1"/>
  <c r="CO62" i="1" a="1"/>
  <c r="CO62" i="1"/>
  <c r="CO19" i="1" a="1"/>
  <c r="CO19" i="1"/>
  <c r="CO58" i="1" a="1"/>
  <c r="CO58" i="1"/>
  <c r="CO23" i="1" a="1"/>
  <c r="CO23" i="1"/>
  <c r="CO32" i="1" a="1"/>
  <c r="CO32" i="1"/>
  <c r="CO26" i="1" a="1"/>
  <c r="CO26" i="1"/>
  <c r="CO24" i="1" a="1"/>
  <c r="CO24" i="1"/>
  <c r="CO30" i="1" a="1"/>
  <c r="CO30" i="1"/>
  <c r="CO36" i="1" a="1"/>
  <c r="CO36" i="1"/>
  <c r="CO22" i="1" a="1"/>
  <c r="CO22" i="1"/>
  <c r="CO40" i="1" a="1"/>
  <c r="CO40" i="1"/>
  <c r="IK61" i="1" a="1"/>
  <c r="IK61" i="1"/>
  <c r="IK59" i="1" a="1"/>
  <c r="IK59" i="1"/>
  <c r="IK55" i="1" a="1"/>
  <c r="IK55" i="1"/>
  <c r="IK57" i="1" a="1"/>
  <c r="IK57" i="1"/>
  <c r="IK53" i="1" a="1"/>
  <c r="IK53" i="1"/>
  <c r="IK51" i="1" a="1"/>
  <c r="IK51" i="1"/>
  <c r="IK49" i="1" a="1"/>
  <c r="IK49" i="1"/>
  <c r="IK47" i="1" a="1"/>
  <c r="IK47" i="1"/>
  <c r="IK45" i="1" a="1"/>
  <c r="IK45" i="1"/>
  <c r="IK43" i="1" a="1"/>
  <c r="IK43" i="1"/>
  <c r="IK41" i="1" a="1"/>
  <c r="IK41" i="1"/>
  <c r="IK39" i="1" a="1"/>
  <c r="IK39" i="1"/>
  <c r="IK37" i="1" a="1"/>
  <c r="IK37" i="1"/>
  <c r="IK35" i="1" a="1"/>
  <c r="IK35" i="1"/>
  <c r="IK33" i="1" a="1"/>
  <c r="IK33" i="1"/>
  <c r="IK31" i="1" a="1"/>
  <c r="IK31" i="1"/>
  <c r="IK26" i="1" a="1"/>
  <c r="IK26" i="1"/>
  <c r="IK24" i="1" a="1"/>
  <c r="IK24" i="1"/>
  <c r="IK30" i="1" a="1"/>
  <c r="IK30" i="1"/>
  <c r="IK28" i="1" a="1"/>
  <c r="IK28" i="1"/>
  <c r="IK21" i="1" a="1"/>
  <c r="IK21" i="1"/>
  <c r="IK19" i="1" a="1"/>
  <c r="IK19" i="1"/>
  <c r="IK17" i="1" a="1"/>
  <c r="IK17" i="1"/>
  <c r="IK15" i="1" a="1"/>
  <c r="IK15" i="1"/>
  <c r="IK13" i="1" a="1"/>
  <c r="IK13" i="1"/>
  <c r="IL11" i="1"/>
  <c r="IK62" i="1" a="1"/>
  <c r="IK62" i="1"/>
  <c r="IK60" i="1" a="1"/>
  <c r="IK60" i="1"/>
  <c r="IK58" i="1" a="1"/>
  <c r="IK58" i="1"/>
  <c r="IK54" i="1" a="1"/>
  <c r="IK54" i="1"/>
  <c r="IK56" i="1" a="1"/>
  <c r="IK56" i="1"/>
  <c r="IK52" i="1" a="1"/>
  <c r="IK52" i="1"/>
  <c r="IK50" i="1" a="1"/>
  <c r="IK50" i="1"/>
  <c r="IK48" i="1" a="1"/>
  <c r="IK48" i="1"/>
  <c r="IK46" i="1" a="1"/>
  <c r="IK46" i="1"/>
  <c r="IK44" i="1" a="1"/>
  <c r="IK44" i="1"/>
  <c r="IK42" i="1" a="1"/>
  <c r="IK42" i="1"/>
  <c r="IK40" i="1" a="1"/>
  <c r="IK40" i="1"/>
  <c r="IK38" i="1" a="1"/>
  <c r="IK38" i="1"/>
  <c r="IK36" i="1" a="1"/>
  <c r="IK36" i="1"/>
  <c r="IK34" i="1" a="1"/>
  <c r="IK34" i="1"/>
  <c r="IK32" i="1" a="1"/>
  <c r="IK32" i="1"/>
  <c r="IK27" i="1" a="1"/>
  <c r="IK27" i="1"/>
  <c r="IK25" i="1" a="1"/>
  <c r="IK25" i="1"/>
  <c r="IK23" i="1" a="1"/>
  <c r="IK23" i="1"/>
  <c r="IK29" i="1" a="1"/>
  <c r="IK29" i="1"/>
  <c r="IK22" i="1" a="1"/>
  <c r="IK22" i="1"/>
  <c r="IK20" i="1" a="1"/>
  <c r="IK20" i="1"/>
  <c r="IK18" i="1" a="1"/>
  <c r="IK18" i="1"/>
  <c r="IK16" i="1" a="1"/>
  <c r="IK16" i="1"/>
  <c r="IK14" i="1" a="1"/>
  <c r="IK14" i="1"/>
  <c r="IK12" i="1" a="1"/>
  <c r="IK12" i="1"/>
  <c r="IL62" i="1" a="1"/>
  <c r="IL62" i="1"/>
  <c r="IL60" i="1" a="1"/>
  <c r="IL60" i="1"/>
  <c r="IL58" i="1" a="1"/>
  <c r="IL58" i="1"/>
  <c r="IL54" i="1" a="1"/>
  <c r="IL54" i="1"/>
  <c r="IL57" i="1" a="1"/>
  <c r="IL57" i="1"/>
  <c r="IL52" i="1" a="1"/>
  <c r="IL52" i="1"/>
  <c r="IL50" i="1" a="1"/>
  <c r="IL50" i="1"/>
  <c r="IL48" i="1" a="1"/>
  <c r="IL48" i="1"/>
  <c r="IL46" i="1" a="1"/>
  <c r="IL46" i="1"/>
  <c r="IL44" i="1" a="1"/>
  <c r="IL44" i="1"/>
  <c r="IL42" i="1" a="1"/>
  <c r="IL42" i="1"/>
  <c r="IL40" i="1" a="1"/>
  <c r="IL40" i="1"/>
  <c r="IL38" i="1" a="1"/>
  <c r="IL38" i="1"/>
  <c r="IL36" i="1" a="1"/>
  <c r="IL36" i="1"/>
  <c r="IL34" i="1" a="1"/>
  <c r="IL34" i="1"/>
  <c r="IL32" i="1" a="1"/>
  <c r="IL32" i="1"/>
  <c r="IL30" i="1" a="1"/>
  <c r="IL30" i="1"/>
  <c r="IL28" i="1" a="1"/>
  <c r="IL28" i="1"/>
  <c r="IL26" i="1" a="1"/>
  <c r="IL26" i="1"/>
  <c r="IL24" i="1" a="1"/>
  <c r="IL24" i="1"/>
  <c r="IL22" i="1" a="1"/>
  <c r="IL22" i="1"/>
  <c r="IL17" i="1" a="1"/>
  <c r="IL17" i="1"/>
  <c r="IL15" i="1" a="1"/>
  <c r="IL15" i="1"/>
  <c r="IL13" i="1" a="1"/>
  <c r="IL13" i="1"/>
  <c r="IL20" i="1" a="1"/>
  <c r="IL20" i="1"/>
  <c r="IL18" i="1" a="1"/>
  <c r="IL18" i="1"/>
  <c r="IL61" i="1" a="1"/>
  <c r="IL61" i="1"/>
  <c r="IL56" i="1" a="1"/>
  <c r="IL56" i="1"/>
  <c r="IL45" i="1" a="1"/>
  <c r="IL45" i="1"/>
  <c r="IL37" i="1" a="1"/>
  <c r="IL37" i="1"/>
  <c r="IL29" i="1" a="1"/>
  <c r="IL29" i="1"/>
  <c r="IL21" i="1" a="1"/>
  <c r="IL21" i="1"/>
  <c r="IL19" i="1" a="1"/>
  <c r="IL19" i="1"/>
  <c r="IL59" i="1" a="1"/>
  <c r="IL59" i="1"/>
  <c r="IL51" i="1" a="1"/>
  <c r="IL51" i="1"/>
  <c r="IL43" i="1" a="1"/>
  <c r="IL43" i="1"/>
  <c r="IL35" i="1" a="1"/>
  <c r="IL35" i="1"/>
  <c r="IL27" i="1" a="1"/>
  <c r="IL27" i="1"/>
  <c r="IL16" i="1" a="1"/>
  <c r="IL16" i="1"/>
  <c r="IM11" i="1"/>
  <c r="IL55" i="1" a="1"/>
  <c r="IL55" i="1"/>
  <c r="IL49" i="1" a="1"/>
  <c r="IL49" i="1"/>
  <c r="IL41" i="1" a="1"/>
  <c r="IL41" i="1"/>
  <c r="IL33" i="1" a="1"/>
  <c r="IL33" i="1"/>
  <c r="IL25" i="1" a="1"/>
  <c r="IL25" i="1"/>
  <c r="IL14" i="1" a="1"/>
  <c r="IL14" i="1"/>
  <c r="IL53" i="1" a="1"/>
  <c r="IL53" i="1"/>
  <c r="IL47" i="1" a="1"/>
  <c r="IL47" i="1"/>
  <c r="IL39" i="1" a="1"/>
  <c r="IL39" i="1"/>
  <c r="IL31" i="1" a="1"/>
  <c r="IL31" i="1"/>
  <c r="IL23" i="1" a="1"/>
  <c r="IL23" i="1"/>
  <c r="IL12" i="1" a="1"/>
  <c r="IL12" i="1"/>
  <c r="CP15" i="1" a="1"/>
  <c r="CP15" i="1"/>
  <c r="CP37" i="1" a="1"/>
  <c r="CP37" i="1"/>
  <c r="CP55" i="1" a="1"/>
  <c r="CP55" i="1"/>
  <c r="CP18" i="1" a="1"/>
  <c r="CP18" i="1"/>
  <c r="CP51" i="1" a="1"/>
  <c r="CP51" i="1"/>
  <c r="CP19" i="1" a="1"/>
  <c r="CP19" i="1"/>
  <c r="CP50" i="1" a="1"/>
  <c r="CP50" i="1"/>
  <c r="CP21" i="1" a="1"/>
  <c r="CP21" i="1"/>
  <c r="CP53" i="1" a="1"/>
  <c r="CP53" i="1"/>
  <c r="CP31" i="1" a="1"/>
  <c r="CP31" i="1"/>
  <c r="CP58" i="1" a="1"/>
  <c r="CP58" i="1"/>
  <c r="CP42" i="1" a="1"/>
  <c r="CP42" i="1"/>
  <c r="CP39" i="1" a="1"/>
  <c r="CP39" i="1"/>
  <c r="CP38" i="1" a="1"/>
  <c r="CP38" i="1"/>
  <c r="CP30" i="1" a="1"/>
  <c r="CP30" i="1"/>
  <c r="CP16" i="1" a="1"/>
  <c r="CP16" i="1"/>
  <c r="CP26" i="1" a="1"/>
  <c r="CP26" i="1"/>
  <c r="CP43" i="1" a="1"/>
  <c r="CP43" i="1"/>
  <c r="CP49" i="1" a="1"/>
  <c r="CP49" i="1"/>
  <c r="CP35" i="1" a="1"/>
  <c r="CP35" i="1"/>
  <c r="CP54" i="1" a="1"/>
  <c r="CP54" i="1"/>
  <c r="CP32" i="1" a="1"/>
  <c r="CP32" i="1"/>
  <c r="CP52" i="1" a="1"/>
  <c r="CP52" i="1"/>
  <c r="CP36" i="1" a="1"/>
  <c r="CP36" i="1"/>
  <c r="CP41" i="1" a="1"/>
  <c r="CP41" i="1"/>
  <c r="CP33" i="1" a="1"/>
  <c r="CP33" i="1"/>
  <c r="CP25" i="1" a="1"/>
  <c r="CP25" i="1"/>
  <c r="CP24" i="1" a="1"/>
  <c r="CP24" i="1"/>
  <c r="CP12" i="1" a="1"/>
  <c r="CP12" i="1"/>
  <c r="CP14" i="1" a="1"/>
  <c r="CP14" i="1"/>
  <c r="CP59" i="1" a="1"/>
  <c r="CP59" i="1"/>
  <c r="CP62" i="1" a="1"/>
  <c r="CP62" i="1"/>
  <c r="CP60" i="1" a="1"/>
  <c r="CP60" i="1"/>
  <c r="CP57" i="1" a="1"/>
  <c r="CP57" i="1"/>
  <c r="CP28" i="1" a="1"/>
  <c r="CP28" i="1"/>
  <c r="CP61" i="1" a="1"/>
  <c r="CP61" i="1"/>
  <c r="CP13" i="1" a="1"/>
  <c r="CP13" i="1"/>
  <c r="CP23" i="1" a="1"/>
  <c r="CP23" i="1"/>
  <c r="CP27" i="1" a="1"/>
  <c r="CP27" i="1"/>
  <c r="CP56" i="1" a="1"/>
  <c r="CP56" i="1"/>
  <c r="CP29" i="1" a="1"/>
  <c r="CP29" i="1"/>
  <c r="CP47" i="1" a="1"/>
  <c r="CP47" i="1"/>
  <c r="CP45" i="1" a="1"/>
  <c r="CP45" i="1"/>
  <c r="CP48" i="1" a="1"/>
  <c r="CP48" i="1"/>
  <c r="CP34" i="1" a="1"/>
  <c r="CP34" i="1"/>
  <c r="CP40" i="1" a="1"/>
  <c r="CP40" i="1"/>
  <c r="CP46" i="1" a="1"/>
  <c r="CP46" i="1"/>
  <c r="CP44" i="1" a="1"/>
  <c r="CP44" i="1"/>
  <c r="CP22" i="1" a="1"/>
  <c r="CP22" i="1"/>
  <c r="CP17" i="1" a="1"/>
  <c r="CP17" i="1"/>
  <c r="CP20" i="1" a="1"/>
  <c r="CP20" i="1"/>
  <c r="IM61" i="1" a="1"/>
  <c r="IM61" i="1"/>
  <c r="IM59" i="1" a="1"/>
  <c r="IM59" i="1"/>
  <c r="IM55" i="1" a="1"/>
  <c r="IM55" i="1"/>
  <c r="IM57" i="1" a="1"/>
  <c r="IM57" i="1"/>
  <c r="IM53" i="1" a="1"/>
  <c r="IM53" i="1"/>
  <c r="IM51" i="1" a="1"/>
  <c r="IM51" i="1"/>
  <c r="IM49" i="1" a="1"/>
  <c r="IM49" i="1"/>
  <c r="IM47" i="1" a="1"/>
  <c r="IM47" i="1"/>
  <c r="IM45" i="1" a="1"/>
  <c r="IM45" i="1"/>
  <c r="IM43" i="1" a="1"/>
  <c r="IM43" i="1"/>
  <c r="IM41" i="1" a="1"/>
  <c r="IM41" i="1"/>
  <c r="IM39" i="1" a="1"/>
  <c r="IM39" i="1"/>
  <c r="IM37" i="1" a="1"/>
  <c r="IM37" i="1"/>
  <c r="IM35" i="1" a="1"/>
  <c r="IM35" i="1"/>
  <c r="IM33" i="1" a="1"/>
  <c r="IM33" i="1"/>
  <c r="IM31" i="1" a="1"/>
  <c r="IM31" i="1"/>
  <c r="IM26" i="1" a="1"/>
  <c r="IM26" i="1"/>
  <c r="IM24" i="1" a="1"/>
  <c r="IM24" i="1"/>
  <c r="IM30" i="1" a="1"/>
  <c r="IM30" i="1"/>
  <c r="IM28" i="1" a="1"/>
  <c r="IM28" i="1"/>
  <c r="IM19" i="1" a="1"/>
  <c r="IM19" i="1"/>
  <c r="IM22" i="1" a="1"/>
  <c r="IM22" i="1"/>
  <c r="IM17" i="1" a="1"/>
  <c r="IM17" i="1"/>
  <c r="IM15" i="1" a="1"/>
  <c r="IM15" i="1"/>
  <c r="IM13" i="1" a="1"/>
  <c r="IM13" i="1"/>
  <c r="IN11" i="1"/>
  <c r="IM62" i="1" a="1"/>
  <c r="IM62" i="1"/>
  <c r="IM60" i="1" a="1"/>
  <c r="IM60" i="1"/>
  <c r="IM58" i="1" a="1"/>
  <c r="IM58" i="1"/>
  <c r="IM54" i="1" a="1"/>
  <c r="IM54" i="1"/>
  <c r="IM56" i="1" a="1"/>
  <c r="IM56" i="1"/>
  <c r="IM52" i="1" a="1"/>
  <c r="IM52" i="1"/>
  <c r="IM50" i="1" a="1"/>
  <c r="IM50" i="1"/>
  <c r="IM48" i="1" a="1"/>
  <c r="IM48" i="1"/>
  <c r="IM46" i="1" a="1"/>
  <c r="IM46" i="1"/>
  <c r="IM44" i="1" a="1"/>
  <c r="IM44" i="1"/>
  <c r="IM42" i="1" a="1"/>
  <c r="IM42" i="1"/>
  <c r="IM40" i="1" a="1"/>
  <c r="IM40" i="1"/>
  <c r="IM38" i="1" a="1"/>
  <c r="IM38" i="1"/>
  <c r="IM36" i="1" a="1"/>
  <c r="IM36" i="1"/>
  <c r="IM34" i="1" a="1"/>
  <c r="IM34" i="1"/>
  <c r="IM32" i="1" a="1"/>
  <c r="IM32" i="1"/>
  <c r="IM27" i="1" a="1"/>
  <c r="IM27" i="1"/>
  <c r="IM25" i="1" a="1"/>
  <c r="IM25" i="1"/>
  <c r="IM23" i="1" a="1"/>
  <c r="IM23" i="1"/>
  <c r="IM29" i="1" a="1"/>
  <c r="IM29" i="1"/>
  <c r="IM20" i="1" a="1"/>
  <c r="IM20" i="1"/>
  <c r="IM18" i="1" a="1"/>
  <c r="IM18" i="1"/>
  <c r="IM21" i="1" a="1"/>
  <c r="IM21" i="1"/>
  <c r="IM16" i="1" a="1"/>
  <c r="IM16" i="1"/>
  <c r="IM14" i="1" a="1"/>
  <c r="IM14" i="1"/>
  <c r="IM12" i="1" a="1"/>
  <c r="IM12" i="1"/>
  <c r="CQ51" i="1" a="1"/>
  <c r="CQ51" i="1"/>
  <c r="CQ23" i="1" a="1"/>
  <c r="CQ23" i="1"/>
  <c r="CQ18" i="1" a="1"/>
  <c r="CQ18" i="1"/>
  <c r="CQ19" i="1" a="1"/>
  <c r="CQ19" i="1"/>
  <c r="CQ42" i="1" a="1"/>
  <c r="CQ42" i="1"/>
  <c r="CQ44" i="1" a="1"/>
  <c r="CQ44" i="1"/>
  <c r="CQ50" i="1" a="1"/>
  <c r="CQ50" i="1"/>
  <c r="CQ41" i="1" a="1"/>
  <c r="CQ41" i="1"/>
  <c r="CQ53" i="1" a="1"/>
  <c r="CQ53" i="1"/>
  <c r="CQ45" i="1" a="1"/>
  <c r="CQ45" i="1"/>
  <c r="CQ37" i="1" a="1"/>
  <c r="CQ37" i="1"/>
  <c r="CQ17" i="1" a="1"/>
  <c r="CQ17" i="1"/>
  <c r="CQ20" i="1" a="1"/>
  <c r="CQ20" i="1"/>
  <c r="CQ13" i="1" a="1"/>
  <c r="CQ13" i="1"/>
  <c r="CQ36" i="1" a="1"/>
  <c r="CQ36" i="1"/>
  <c r="CQ33" i="1" a="1"/>
  <c r="CQ33" i="1"/>
  <c r="CQ43" i="1" a="1"/>
  <c r="CQ43" i="1"/>
  <c r="CQ14" i="1" a="1"/>
  <c r="CQ14" i="1"/>
  <c r="CQ16" i="1" a="1"/>
  <c r="CQ16" i="1"/>
  <c r="CQ60" i="1" a="1"/>
  <c r="CQ60" i="1"/>
  <c r="CQ27" i="1" a="1"/>
  <c r="CQ27" i="1"/>
  <c r="CQ62" i="1" a="1"/>
  <c r="CQ62" i="1"/>
  <c r="CQ40" i="1" a="1"/>
  <c r="CQ40" i="1"/>
  <c r="CQ47" i="1" a="1"/>
  <c r="CQ47" i="1"/>
  <c r="CQ52" i="1" a="1"/>
  <c r="CQ52" i="1"/>
  <c r="CQ24" i="1" a="1"/>
  <c r="CQ24" i="1"/>
  <c r="CQ34" i="1" a="1"/>
  <c r="CQ34" i="1"/>
  <c r="CQ38" i="1" a="1"/>
  <c r="CQ38" i="1"/>
  <c r="CQ22" i="1" a="1"/>
  <c r="CQ22" i="1"/>
  <c r="CQ32" i="1" a="1"/>
  <c r="CQ32" i="1"/>
  <c r="CQ12" i="1" a="1"/>
  <c r="CQ12" i="1"/>
  <c r="CQ39" i="1" a="1"/>
  <c r="CQ39" i="1"/>
  <c r="CQ49" i="1" a="1"/>
  <c r="CQ49" i="1"/>
  <c r="CQ31" i="1" a="1"/>
  <c r="CQ31" i="1"/>
  <c r="CQ46" i="1" a="1"/>
  <c r="CQ46" i="1"/>
  <c r="CQ35" i="1" a="1"/>
  <c r="CQ35" i="1"/>
  <c r="CQ61" i="1" a="1"/>
  <c r="CQ61" i="1"/>
  <c r="CQ56" i="1" a="1"/>
  <c r="CQ56" i="1"/>
  <c r="CQ58" i="1" a="1"/>
  <c r="CQ58" i="1"/>
  <c r="CQ54" i="1" a="1"/>
  <c r="CQ54" i="1"/>
  <c r="CQ26" i="1" a="1"/>
  <c r="CQ26" i="1"/>
  <c r="CQ30" i="1" a="1"/>
  <c r="CQ30" i="1"/>
  <c r="CQ15" i="1" a="1"/>
  <c r="CQ15" i="1"/>
  <c r="CQ59" i="1" a="1"/>
  <c r="CQ59" i="1"/>
  <c r="CQ48" i="1" a="1"/>
  <c r="CQ48" i="1"/>
  <c r="CQ28" i="1" a="1"/>
  <c r="CQ28" i="1"/>
  <c r="CQ57" i="1" a="1"/>
  <c r="CQ57" i="1"/>
  <c r="CQ21" i="1" a="1"/>
  <c r="CQ21" i="1"/>
  <c r="CQ55" i="1" a="1"/>
  <c r="CQ55" i="1"/>
  <c r="CQ25" i="1" a="1"/>
  <c r="CQ25" i="1"/>
  <c r="CQ29" i="1" a="1"/>
  <c r="CQ29" i="1"/>
  <c r="CR18" i="1" a="1"/>
  <c r="CR18" i="1"/>
  <c r="CR46" i="1" a="1"/>
  <c r="CR46" i="1"/>
  <c r="CR61" i="1" a="1"/>
  <c r="CR61" i="1"/>
  <c r="CR14" i="1" a="1"/>
  <c r="CR14" i="1"/>
  <c r="CR37" i="1" a="1"/>
  <c r="CR37" i="1"/>
  <c r="CR12" i="1" a="1"/>
  <c r="CR12" i="1"/>
  <c r="CR54" i="1" a="1"/>
  <c r="CR54" i="1"/>
  <c r="CR42" i="1" a="1"/>
  <c r="CR42" i="1"/>
  <c r="CR27" i="1" a="1"/>
  <c r="CR27" i="1"/>
  <c r="CR29" i="1" a="1"/>
  <c r="CR29" i="1"/>
  <c r="CR44" i="1" a="1"/>
  <c r="CR44" i="1"/>
  <c r="CR36" i="1" a="1"/>
  <c r="CR36" i="1"/>
  <c r="CR33" i="1" a="1"/>
  <c r="CR33" i="1"/>
  <c r="CR19" i="1" a="1"/>
  <c r="CR19" i="1"/>
  <c r="CR43" i="1" a="1"/>
  <c r="CR43" i="1"/>
  <c r="CR49" i="1" a="1"/>
  <c r="CR49" i="1"/>
  <c r="CR26" i="1" a="1"/>
  <c r="CR26" i="1"/>
  <c r="CR30" i="1" a="1"/>
  <c r="CR30" i="1"/>
  <c r="CR23" i="1" a="1"/>
  <c r="CR23" i="1"/>
  <c r="CR48" i="1" a="1"/>
  <c r="CR48" i="1"/>
  <c r="CR59" i="1" a="1"/>
  <c r="CR59" i="1"/>
  <c r="CR41" i="1" a="1"/>
  <c r="CR41" i="1"/>
  <c r="CR31" i="1" a="1"/>
  <c r="CR31" i="1"/>
  <c r="CR58" i="1" a="1"/>
  <c r="CR58" i="1"/>
  <c r="CR22" i="1" a="1"/>
  <c r="CR22" i="1"/>
  <c r="CR51" i="1" a="1"/>
  <c r="CR51" i="1"/>
  <c r="CR13" i="1" a="1"/>
  <c r="CR13" i="1"/>
  <c r="CR39" i="1" a="1"/>
  <c r="CR39" i="1"/>
  <c r="CR24" i="1" a="1"/>
  <c r="CR24" i="1"/>
  <c r="CR17" i="1" a="1"/>
  <c r="CR17" i="1"/>
  <c r="CR25" i="1" a="1"/>
  <c r="CR25" i="1"/>
  <c r="CR53" i="1" a="1"/>
  <c r="CR53" i="1"/>
  <c r="CR38" i="1" a="1"/>
  <c r="CR38" i="1"/>
  <c r="CR20" i="1" a="1"/>
  <c r="CR20" i="1"/>
  <c r="CR50" i="1" a="1"/>
  <c r="CR50" i="1"/>
  <c r="CR16" i="1" a="1"/>
  <c r="CR16" i="1"/>
  <c r="CR60" i="1" a="1"/>
  <c r="CR60" i="1"/>
  <c r="CR35" i="1" a="1"/>
  <c r="CR35" i="1"/>
  <c r="CR45" i="1" a="1"/>
  <c r="CR45" i="1"/>
  <c r="CR62" i="1" a="1"/>
  <c r="CR62" i="1"/>
  <c r="CR28" i="1" a="1"/>
  <c r="CR28" i="1"/>
  <c r="CR47" i="1" a="1"/>
  <c r="CR47" i="1"/>
  <c r="CR40" i="1" a="1"/>
  <c r="CR40" i="1"/>
  <c r="CR15" i="1" a="1"/>
  <c r="CR15" i="1"/>
  <c r="CR32" i="1" a="1"/>
  <c r="CR32" i="1"/>
  <c r="CR21" i="1" a="1"/>
  <c r="CR21" i="1"/>
  <c r="CR55" i="1" a="1"/>
  <c r="CR55" i="1"/>
  <c r="CR56" i="1" a="1"/>
  <c r="CR56" i="1"/>
  <c r="CR57" i="1" a="1"/>
  <c r="CR57" i="1"/>
  <c r="CR52" i="1" a="1"/>
  <c r="CR52" i="1"/>
  <c r="CR34" i="1" a="1"/>
  <c r="CR34" i="1"/>
  <c r="IN62" i="1" a="1"/>
  <c r="IN62" i="1"/>
  <c r="IN60" i="1" a="1"/>
  <c r="IN60" i="1"/>
  <c r="IN58" i="1" a="1"/>
  <c r="IN58" i="1"/>
  <c r="IN56" i="1" a="1"/>
  <c r="IN56" i="1"/>
  <c r="IN54" i="1" a="1"/>
  <c r="IN54" i="1"/>
  <c r="IN52" i="1" a="1"/>
  <c r="IN52" i="1"/>
  <c r="IN50" i="1" a="1"/>
  <c r="IN50" i="1"/>
  <c r="IN47" i="1" a="1"/>
  <c r="IN47" i="1"/>
  <c r="IN45" i="1" a="1"/>
  <c r="IN45" i="1"/>
  <c r="IN43" i="1" a="1"/>
  <c r="IN43" i="1"/>
  <c r="IN41" i="1" a="1"/>
  <c r="IN41" i="1"/>
  <c r="IN39" i="1" a="1"/>
  <c r="IN39" i="1"/>
  <c r="IN37" i="1" a="1"/>
  <c r="IN37" i="1"/>
  <c r="IN35" i="1" a="1"/>
  <c r="IN35" i="1"/>
  <c r="IN33" i="1" a="1"/>
  <c r="IN33" i="1"/>
  <c r="IN30" i="1" a="1"/>
  <c r="IN30" i="1"/>
  <c r="IN28" i="1" a="1"/>
  <c r="IN28" i="1"/>
  <c r="IN31" i="1" a="1"/>
  <c r="IN31" i="1"/>
  <c r="IN26" i="1" a="1"/>
  <c r="IN26" i="1"/>
  <c r="IN24" i="1" a="1"/>
  <c r="IN24" i="1"/>
  <c r="IN22" i="1" a="1"/>
  <c r="IN22" i="1"/>
  <c r="IN20" i="1" a="1"/>
  <c r="IN20" i="1"/>
  <c r="IN18" i="1" a="1"/>
  <c r="IN18" i="1"/>
  <c r="IN16" i="1" a="1"/>
  <c r="IN16" i="1"/>
  <c r="IN14" i="1" a="1"/>
  <c r="IN14" i="1"/>
  <c r="IN12" i="1" a="1"/>
  <c r="IN12" i="1"/>
  <c r="IN55" i="1" a="1"/>
  <c r="IN55" i="1"/>
  <c r="IN46" i="1" a="1"/>
  <c r="IN46" i="1"/>
  <c r="IN38" i="1" a="1"/>
  <c r="IN38" i="1"/>
  <c r="IN29" i="1" a="1"/>
  <c r="IN29" i="1"/>
  <c r="IN23" i="1" a="1"/>
  <c r="IN23" i="1"/>
  <c r="IN15" i="1" a="1"/>
  <c r="IN15" i="1"/>
  <c r="IN61" i="1" a="1"/>
  <c r="IN61" i="1"/>
  <c r="IN53" i="1" a="1"/>
  <c r="IN53" i="1"/>
  <c r="IN44" i="1" a="1"/>
  <c r="IN44" i="1"/>
  <c r="IN36" i="1" a="1"/>
  <c r="IN36" i="1"/>
  <c r="IN32" i="1" a="1"/>
  <c r="IN32" i="1"/>
  <c r="IN21" i="1" a="1"/>
  <c r="IN21" i="1"/>
  <c r="IN13" i="1" a="1"/>
  <c r="IN13" i="1"/>
  <c r="IN59" i="1" a="1"/>
  <c r="IN59" i="1"/>
  <c r="IN51" i="1" a="1"/>
  <c r="IN51" i="1"/>
  <c r="IN42" i="1" a="1"/>
  <c r="IN42" i="1"/>
  <c r="IN34" i="1" a="1"/>
  <c r="IN34" i="1"/>
  <c r="IN27" i="1" a="1"/>
  <c r="IN27" i="1"/>
  <c r="IN19" i="1" a="1"/>
  <c r="IN19" i="1"/>
  <c r="IO11" i="1"/>
  <c r="IN57" i="1" a="1"/>
  <c r="IN57" i="1"/>
  <c r="IN49" i="1" a="1"/>
  <c r="IN49" i="1"/>
  <c r="IN48" i="1" a="1"/>
  <c r="IN48" i="1"/>
  <c r="IN40" i="1" a="1"/>
  <c r="IN40" i="1"/>
  <c r="IN25" i="1" a="1"/>
  <c r="IN25" i="1"/>
  <c r="IN17" i="1" a="1"/>
  <c r="IN17" i="1"/>
  <c r="IO60" i="1" a="1"/>
  <c r="IO60" i="1"/>
  <c r="IO57" i="1" a="1"/>
  <c r="IO57" i="1"/>
  <c r="IO52" i="1" a="1"/>
  <c r="IO52" i="1"/>
  <c r="IO49" i="1" a="1"/>
  <c r="IO49" i="1"/>
  <c r="IO44" i="1" a="1"/>
  <c r="IO44" i="1"/>
  <c r="IO41" i="1" a="1"/>
  <c r="IO41" i="1"/>
  <c r="IO36" i="1" a="1"/>
  <c r="IO36" i="1"/>
  <c r="IO33" i="1" a="1"/>
  <c r="IO33" i="1"/>
  <c r="IO28" i="1" a="1"/>
  <c r="IO28" i="1"/>
  <c r="IO25" i="1" a="1"/>
  <c r="IO25" i="1"/>
  <c r="IO20" i="1" a="1"/>
  <c r="IO20" i="1"/>
  <c r="IO17" i="1" a="1"/>
  <c r="IO17" i="1"/>
  <c r="IO12" i="1" a="1"/>
  <c r="IO12" i="1"/>
  <c r="IO62" i="1" a="1"/>
  <c r="IO62" i="1"/>
  <c r="IO59" i="1" a="1"/>
  <c r="IO59" i="1"/>
  <c r="IO54" i="1" a="1"/>
  <c r="IO54" i="1"/>
  <c r="IO51" i="1" a="1"/>
  <c r="IO51" i="1"/>
  <c r="IO46" i="1" a="1"/>
  <c r="IO46" i="1"/>
  <c r="IO43" i="1" a="1"/>
  <c r="IO43" i="1"/>
  <c r="IO38" i="1" a="1"/>
  <c r="IO38" i="1"/>
  <c r="IO35" i="1" a="1"/>
  <c r="IO35" i="1"/>
  <c r="IO30" i="1" a="1"/>
  <c r="IO30" i="1"/>
  <c r="IO27" i="1" a="1"/>
  <c r="IO27" i="1"/>
  <c r="IO22" i="1" a="1"/>
  <c r="IO22" i="1"/>
  <c r="IO19" i="1" a="1"/>
  <c r="IO19" i="1"/>
  <c r="IO14" i="1" a="1"/>
  <c r="IO14" i="1"/>
  <c r="IP11" i="1"/>
  <c r="IO61" i="1" a="1"/>
  <c r="IO61" i="1"/>
  <c r="IO56" i="1" a="1"/>
  <c r="IO56" i="1"/>
  <c r="IO53" i="1" a="1"/>
  <c r="IO53" i="1"/>
  <c r="IO48" i="1" a="1"/>
  <c r="IO48" i="1"/>
  <c r="IO45" i="1" a="1"/>
  <c r="IO45" i="1"/>
  <c r="IO40" i="1" a="1"/>
  <c r="IO40" i="1"/>
  <c r="IO37" i="1" a="1"/>
  <c r="IO37" i="1"/>
  <c r="IO32" i="1" a="1"/>
  <c r="IO32" i="1"/>
  <c r="IO29" i="1" a="1"/>
  <c r="IO29" i="1"/>
  <c r="IO24" i="1" a="1"/>
  <c r="IO24" i="1"/>
  <c r="IO21" i="1" a="1"/>
  <c r="IO21" i="1"/>
  <c r="IO16" i="1" a="1"/>
  <c r="IO16" i="1"/>
  <c r="IO13" i="1" a="1"/>
  <c r="IO13" i="1"/>
  <c r="IO58" i="1" a="1"/>
  <c r="IO58" i="1"/>
  <c r="IO55" i="1" a="1"/>
  <c r="IO55" i="1"/>
  <c r="IO50" i="1" a="1"/>
  <c r="IO50" i="1"/>
  <c r="IO47" i="1" a="1"/>
  <c r="IO47" i="1"/>
  <c r="IO42" i="1" a="1"/>
  <c r="IO42" i="1"/>
  <c r="IO39" i="1" a="1"/>
  <c r="IO39" i="1"/>
  <c r="IO34" i="1" a="1"/>
  <c r="IO34" i="1"/>
  <c r="IO31" i="1" a="1"/>
  <c r="IO31" i="1"/>
  <c r="IO26" i="1" a="1"/>
  <c r="IO26" i="1"/>
  <c r="IO23" i="1" a="1"/>
  <c r="IO23" i="1"/>
  <c r="IO18" i="1" a="1"/>
  <c r="IO18" i="1"/>
  <c r="IO15" i="1" a="1"/>
  <c r="IO15" i="1"/>
  <c r="CS22" i="1" a="1"/>
  <c r="CS22" i="1"/>
  <c r="CS52" i="1" a="1"/>
  <c r="CS52" i="1"/>
  <c r="CS47" i="1" a="1"/>
  <c r="CS47" i="1"/>
  <c r="CS59" i="1" a="1"/>
  <c r="CS59" i="1"/>
  <c r="CS45" i="1" a="1"/>
  <c r="CS45" i="1"/>
  <c r="CS20" i="1" a="1"/>
  <c r="CS20" i="1"/>
  <c r="CS27" i="1" a="1"/>
  <c r="CS27" i="1"/>
  <c r="CS39" i="1" a="1"/>
  <c r="CS39" i="1"/>
  <c r="CS16" i="1" a="1"/>
  <c r="CS16" i="1"/>
  <c r="CS42" i="1" a="1"/>
  <c r="CS42" i="1"/>
  <c r="CS24" i="1" a="1"/>
  <c r="CS24" i="1"/>
  <c r="CS53" i="1" a="1"/>
  <c r="CS53" i="1"/>
  <c r="CS49" i="1" a="1"/>
  <c r="CS49" i="1"/>
  <c r="CS37" i="1" a="1"/>
  <c r="CS37" i="1"/>
  <c r="CS13" i="1" a="1"/>
  <c r="CS13" i="1"/>
  <c r="CS56" i="1" a="1"/>
  <c r="CS56" i="1"/>
  <c r="CS50" i="1" a="1"/>
  <c r="CS50" i="1"/>
  <c r="CS43" i="1" a="1"/>
  <c r="CS43" i="1"/>
  <c r="CS19" i="1" a="1"/>
  <c r="CS19" i="1"/>
  <c r="CS31" i="1" a="1"/>
  <c r="CS31" i="1"/>
  <c r="CS28" i="1" a="1"/>
  <c r="CS28" i="1"/>
  <c r="CS34" i="1" a="1"/>
  <c r="CS34" i="1"/>
  <c r="CS14" i="1" a="1"/>
  <c r="CS14" i="1"/>
  <c r="CS15" i="1" a="1"/>
  <c r="CS15" i="1"/>
  <c r="CS33" i="1" a="1"/>
  <c r="CS33" i="1"/>
  <c r="CS36" i="1" a="1"/>
  <c r="CS36" i="1"/>
  <c r="CS46" i="1" a="1"/>
  <c r="CS46" i="1"/>
  <c r="CS41" i="1" a="1"/>
  <c r="CS41" i="1"/>
  <c r="CS44" i="1" a="1"/>
  <c r="CS44" i="1"/>
  <c r="CS32" i="1" a="1"/>
  <c r="CS32" i="1"/>
  <c r="CS38" i="1" a="1"/>
  <c r="CS38" i="1"/>
  <c r="CS21" i="1" a="1"/>
  <c r="CS21" i="1"/>
  <c r="CS26" i="1" a="1"/>
  <c r="CS26" i="1"/>
  <c r="CS25" i="1" a="1"/>
  <c r="CS25" i="1"/>
  <c r="CS12" i="1" a="1"/>
  <c r="CS12" i="1"/>
  <c r="CS62" i="1" a="1"/>
  <c r="CS62" i="1"/>
  <c r="CS57" i="1" a="1"/>
  <c r="CS57" i="1"/>
  <c r="CS48" i="1" a="1"/>
  <c r="CS48" i="1"/>
  <c r="CS40" i="1" a="1"/>
  <c r="CS40" i="1"/>
  <c r="CS60" i="1" a="1"/>
  <c r="CS60" i="1"/>
  <c r="CS54" i="1" a="1"/>
  <c r="CS54" i="1"/>
  <c r="CS58" i="1" a="1"/>
  <c r="CS58" i="1"/>
  <c r="CS30" i="1" a="1"/>
  <c r="CS30" i="1"/>
  <c r="CS29" i="1" a="1"/>
  <c r="CS29" i="1"/>
  <c r="CS18" i="1" a="1"/>
  <c r="CS18" i="1"/>
  <c r="CS17" i="1" a="1"/>
  <c r="CS17" i="1"/>
  <c r="CS23" i="1" a="1"/>
  <c r="CS23" i="1"/>
  <c r="CS35" i="1" a="1"/>
  <c r="CS35" i="1"/>
  <c r="CS51" i="1" a="1"/>
  <c r="CS51" i="1"/>
  <c r="CS61" i="1" a="1"/>
  <c r="CS61" i="1"/>
  <c r="CS55" i="1" a="1"/>
  <c r="CS55" i="1"/>
  <c r="CT57" i="1" a="1"/>
  <c r="CT57" i="1"/>
  <c r="CT16" i="1" a="1"/>
  <c r="CT16" i="1"/>
  <c r="CT27" i="1" a="1"/>
  <c r="CT27" i="1"/>
  <c r="CT41" i="1" a="1"/>
  <c r="CT41" i="1"/>
  <c r="CT25" i="1" a="1"/>
  <c r="CT25" i="1"/>
  <c r="CT62" i="1" a="1"/>
  <c r="CT62" i="1"/>
  <c r="CT54" i="1" a="1"/>
  <c r="CT54" i="1"/>
  <c r="CT59" i="1" a="1"/>
  <c r="CT59" i="1"/>
  <c r="CT37" i="1" a="1"/>
  <c r="CT37" i="1"/>
  <c r="CT22" i="1" a="1"/>
  <c r="CT22" i="1"/>
  <c r="CT46" i="1" a="1"/>
  <c r="CT46" i="1"/>
  <c r="CT47" i="1" a="1"/>
  <c r="CT47" i="1"/>
  <c r="CT42" i="1" a="1"/>
  <c r="CT42" i="1"/>
  <c r="CT45" i="1" a="1"/>
  <c r="CT45" i="1"/>
  <c r="CT18" i="1" a="1"/>
  <c r="CT18" i="1"/>
  <c r="CT33" i="1" a="1"/>
  <c r="CT33" i="1"/>
  <c r="CT19" i="1" a="1"/>
  <c r="CT19" i="1"/>
  <c r="CT23" i="1" a="1"/>
  <c r="CT23" i="1"/>
  <c r="CT52" i="1" a="1"/>
  <c r="CT52" i="1"/>
  <c r="CT51" i="1" a="1"/>
  <c r="CT51" i="1"/>
  <c r="CT49" i="1" a="1"/>
  <c r="CT49" i="1"/>
  <c r="CT44" i="1" a="1"/>
  <c r="CT44" i="1"/>
  <c r="CT15" i="1" a="1"/>
  <c r="CT15" i="1"/>
  <c r="CT55" i="1" a="1"/>
  <c r="CT55" i="1"/>
  <c r="CT35" i="1" a="1"/>
  <c r="CT35" i="1"/>
  <c r="CT56" i="1" a="1"/>
  <c r="CT56" i="1"/>
  <c r="CT30" i="1" a="1"/>
  <c r="CT30" i="1"/>
  <c r="CT20" i="1" a="1"/>
  <c r="CT20" i="1"/>
  <c r="CT13" i="1" a="1"/>
  <c r="CT13" i="1"/>
  <c r="CT17" i="1" a="1"/>
  <c r="CT17" i="1"/>
  <c r="CT14" i="1" a="1"/>
  <c r="CT14" i="1"/>
  <c r="CT50" i="1" a="1"/>
  <c r="CT50" i="1"/>
  <c r="CT32" i="1" a="1"/>
  <c r="CT32" i="1"/>
  <c r="CT43" i="1" a="1"/>
  <c r="CT43" i="1"/>
  <c r="CT31" i="1" a="1"/>
  <c r="CT31" i="1"/>
  <c r="CT21" i="1" a="1"/>
  <c r="CT21" i="1"/>
  <c r="CT40" i="1" a="1"/>
  <c r="CT40" i="1"/>
  <c r="CT58" i="1" a="1"/>
  <c r="CT58" i="1"/>
  <c r="CT48" i="1" a="1"/>
  <c r="CT48" i="1"/>
  <c r="CT36" i="1" a="1"/>
  <c r="CT36" i="1"/>
  <c r="CT24" i="1" a="1"/>
  <c r="CT24" i="1"/>
  <c r="CT38" i="1" a="1"/>
  <c r="CT38" i="1"/>
  <c r="CT28" i="1" a="1"/>
  <c r="CT28" i="1"/>
  <c r="CT34" i="1" a="1"/>
  <c r="CT34" i="1"/>
  <c r="CT12" i="1" a="1"/>
  <c r="CT12" i="1"/>
  <c r="CT39" i="1" a="1"/>
  <c r="CT39" i="1"/>
  <c r="CT53" i="1" a="1"/>
  <c r="CT53" i="1"/>
  <c r="CT26" i="1" a="1"/>
  <c r="CT26" i="1"/>
  <c r="CT29" i="1" a="1"/>
  <c r="CT29" i="1"/>
  <c r="CT61" i="1" a="1"/>
  <c r="CT61" i="1"/>
  <c r="CT60" i="1" a="1"/>
  <c r="CT60" i="1"/>
  <c r="IP61" i="1" a="1"/>
  <c r="IP61" i="1"/>
  <c r="IP59" i="1" a="1"/>
  <c r="IP59" i="1"/>
  <c r="IP57" i="1" a="1"/>
  <c r="IP57" i="1"/>
  <c r="IP55" i="1" a="1"/>
  <c r="IP55" i="1"/>
  <c r="IP53" i="1" a="1"/>
  <c r="IP53" i="1"/>
  <c r="IP49" i="1" a="1"/>
  <c r="IP49" i="1"/>
  <c r="IP51" i="1" a="1"/>
  <c r="IP51" i="1"/>
  <c r="IP45" i="1" a="1"/>
  <c r="IP45" i="1"/>
  <c r="IP43" i="1" a="1"/>
  <c r="IP43" i="1"/>
  <c r="IP41" i="1" a="1"/>
  <c r="IP41" i="1"/>
  <c r="IP46" i="1" a="1"/>
  <c r="IP46" i="1"/>
  <c r="IP35" i="1" a="1"/>
  <c r="IP35" i="1"/>
  <c r="IP33" i="1" a="1"/>
  <c r="IP33" i="1"/>
  <c r="IP38" i="1" a="1"/>
  <c r="IP38" i="1"/>
  <c r="IP36" i="1" a="1"/>
  <c r="IP36" i="1"/>
  <c r="IP31" i="1" a="1"/>
  <c r="IP31" i="1"/>
  <c r="IP29" i="1" a="1"/>
  <c r="IP29" i="1"/>
  <c r="IP27" i="1" a="1"/>
  <c r="IP27" i="1"/>
  <c r="IP25" i="1" a="1"/>
  <c r="IP25" i="1"/>
  <c r="IP23" i="1" a="1"/>
  <c r="IP23" i="1"/>
  <c r="IP21" i="1" a="1"/>
  <c r="IP21" i="1"/>
  <c r="IP19" i="1" a="1"/>
  <c r="IP19" i="1"/>
  <c r="IP17" i="1" a="1"/>
  <c r="IP17" i="1"/>
  <c r="IP15" i="1" a="1"/>
  <c r="IP15" i="1"/>
  <c r="IP13" i="1" a="1"/>
  <c r="IP13" i="1"/>
  <c r="IQ11" i="1"/>
  <c r="IP58" i="1" a="1"/>
  <c r="IP58" i="1"/>
  <c r="IP52" i="1" a="1"/>
  <c r="IP52" i="1"/>
  <c r="IP47" i="1" a="1"/>
  <c r="IP47" i="1"/>
  <c r="IP37" i="1" a="1"/>
  <c r="IP37" i="1"/>
  <c r="IP26" i="1" a="1"/>
  <c r="IP26" i="1"/>
  <c r="IP18" i="1" a="1"/>
  <c r="IP18" i="1"/>
  <c r="IP60" i="1" a="1"/>
  <c r="IP60" i="1"/>
  <c r="IP50" i="1" a="1"/>
  <c r="IP50" i="1"/>
  <c r="IP42" i="1" a="1"/>
  <c r="IP42" i="1"/>
  <c r="IP39" i="1" a="1"/>
  <c r="IP39" i="1"/>
  <c r="IP28" i="1" a="1"/>
  <c r="IP28" i="1"/>
  <c r="IP20" i="1" a="1"/>
  <c r="IP20" i="1"/>
  <c r="IP12" i="1" a="1"/>
  <c r="IP12" i="1"/>
  <c r="IP62" i="1" a="1"/>
  <c r="IP62" i="1"/>
  <c r="IP54" i="1" a="1"/>
  <c r="IP54" i="1"/>
  <c r="IP44" i="1" a="1"/>
  <c r="IP44" i="1"/>
  <c r="IP34" i="1" a="1"/>
  <c r="IP34" i="1"/>
  <c r="IP30" i="1" a="1"/>
  <c r="IP30" i="1"/>
  <c r="IP22" i="1" a="1"/>
  <c r="IP22" i="1"/>
  <c r="IP14" i="1" a="1"/>
  <c r="IP14" i="1"/>
  <c r="IP56" i="1" a="1"/>
  <c r="IP56" i="1"/>
  <c r="IP48" i="1" a="1"/>
  <c r="IP48" i="1"/>
  <c r="IP40" i="1" a="1"/>
  <c r="IP40" i="1"/>
  <c r="IP32" i="1" a="1"/>
  <c r="IP32" i="1"/>
  <c r="IP24" i="1" a="1"/>
  <c r="IP24" i="1"/>
  <c r="IP16" i="1" a="1"/>
  <c r="IP16" i="1"/>
  <c r="IQ62" i="1" a="1"/>
  <c r="IQ62" i="1"/>
  <c r="IQ55" i="1" a="1"/>
  <c r="IQ55" i="1"/>
  <c r="IQ56" i="1" a="1"/>
  <c r="IQ56" i="1"/>
  <c r="IQ49" i="1" a="1"/>
  <c r="IQ49" i="1"/>
  <c r="IQ46" i="1" a="1"/>
  <c r="IQ46" i="1"/>
  <c r="IQ41" i="1" a="1"/>
  <c r="IQ41" i="1"/>
  <c r="IQ38" i="1" a="1"/>
  <c r="IQ38" i="1"/>
  <c r="IQ33" i="1" a="1"/>
  <c r="IQ33" i="1"/>
  <c r="IQ30" i="1" a="1"/>
  <c r="IQ30" i="1"/>
  <c r="IQ25" i="1" a="1"/>
  <c r="IQ25" i="1"/>
  <c r="IQ22" i="1" a="1"/>
  <c r="IQ22" i="1"/>
  <c r="IQ17" i="1" a="1"/>
  <c r="IQ17" i="1"/>
  <c r="IQ14" i="1" a="1"/>
  <c r="IQ14" i="1"/>
  <c r="IQ59" i="1" a="1"/>
  <c r="IQ59" i="1"/>
  <c r="IQ54" i="1" a="1"/>
  <c r="IQ54" i="1"/>
  <c r="IQ53" i="1" a="1"/>
  <c r="IQ53" i="1"/>
  <c r="IQ48" i="1" a="1"/>
  <c r="IQ48" i="1"/>
  <c r="IQ43" i="1" a="1"/>
  <c r="IQ43" i="1"/>
  <c r="IQ40" i="1" a="1"/>
  <c r="IQ40" i="1"/>
  <c r="IQ35" i="1" a="1"/>
  <c r="IQ35" i="1"/>
  <c r="IQ32" i="1" a="1"/>
  <c r="IQ32" i="1"/>
  <c r="IQ27" i="1" a="1"/>
  <c r="IQ27" i="1"/>
  <c r="IQ24" i="1" a="1"/>
  <c r="IQ24" i="1"/>
  <c r="IQ19" i="1" a="1"/>
  <c r="IQ19" i="1"/>
  <c r="IQ16" i="1" a="1"/>
  <c r="IQ16" i="1"/>
  <c r="IR11" i="1"/>
  <c r="IQ61" i="1" a="1"/>
  <c r="IQ61" i="1"/>
  <c r="IQ58" i="1" a="1"/>
  <c r="IQ58" i="1"/>
  <c r="IQ52" i="1" a="1"/>
  <c r="IQ52" i="1"/>
  <c r="IQ50" i="1" a="1"/>
  <c r="IQ50" i="1"/>
  <c r="IQ45" i="1" a="1"/>
  <c r="IQ45" i="1"/>
  <c r="IQ42" i="1" a="1"/>
  <c r="IQ42" i="1"/>
  <c r="IQ37" i="1" a="1"/>
  <c r="IQ37" i="1"/>
  <c r="IQ34" i="1" a="1"/>
  <c r="IQ34" i="1"/>
  <c r="IQ29" i="1" a="1"/>
  <c r="IQ29" i="1"/>
  <c r="IQ26" i="1" a="1"/>
  <c r="IQ26" i="1"/>
  <c r="IQ21" i="1" a="1"/>
  <c r="IQ21" i="1"/>
  <c r="IQ18" i="1" a="1"/>
  <c r="IQ18" i="1"/>
  <c r="IQ13" i="1" a="1"/>
  <c r="IQ13" i="1"/>
  <c r="IQ60" i="1" a="1"/>
  <c r="IQ60" i="1"/>
  <c r="IQ57" i="1" a="1"/>
  <c r="IQ57" i="1"/>
  <c r="IQ51" i="1" a="1"/>
  <c r="IQ51" i="1"/>
  <c r="IQ47" i="1" a="1"/>
  <c r="IQ47" i="1"/>
  <c r="IQ44" i="1" a="1"/>
  <c r="IQ44" i="1"/>
  <c r="IQ39" i="1" a="1"/>
  <c r="IQ39" i="1"/>
  <c r="IQ36" i="1" a="1"/>
  <c r="IQ36" i="1"/>
  <c r="IQ31" i="1" a="1"/>
  <c r="IQ31" i="1"/>
  <c r="IQ28" i="1" a="1"/>
  <c r="IQ28" i="1"/>
  <c r="IQ23" i="1" a="1"/>
  <c r="IQ23" i="1"/>
  <c r="IQ20" i="1" a="1"/>
  <c r="IQ20" i="1"/>
  <c r="IQ15" i="1" a="1"/>
  <c r="IQ15" i="1"/>
  <c r="IQ12" i="1" a="1"/>
  <c r="IQ12" i="1"/>
  <c r="CU30" i="1" a="1"/>
  <c r="CU30" i="1"/>
  <c r="CU18" i="1" a="1"/>
  <c r="CU18" i="1"/>
  <c r="CU46" i="1" a="1"/>
  <c r="CU46" i="1"/>
  <c r="CU16" i="1" a="1"/>
  <c r="CU16" i="1"/>
  <c r="CU26" i="1" a="1"/>
  <c r="CU26" i="1"/>
  <c r="CU53" i="1" a="1"/>
  <c r="CU53" i="1"/>
  <c r="CU60" i="1" a="1"/>
  <c r="CU60" i="1"/>
  <c r="CU54" i="1" a="1"/>
  <c r="CU54" i="1"/>
  <c r="CU20" i="1" a="1"/>
  <c r="CU20" i="1"/>
  <c r="CU51" i="1" a="1"/>
  <c r="CU51" i="1"/>
  <c r="CU47" i="1" a="1"/>
  <c r="CU47" i="1"/>
  <c r="CU59" i="1" a="1"/>
  <c r="CU59" i="1"/>
  <c r="CU38" i="1" a="1"/>
  <c r="CU38" i="1"/>
  <c r="CU57" i="1" a="1"/>
  <c r="CU57" i="1"/>
  <c r="CU48" i="1" a="1"/>
  <c r="CU48" i="1"/>
  <c r="CU43" i="1" a="1"/>
  <c r="CU43" i="1"/>
  <c r="CU17" i="1" a="1"/>
  <c r="CU17" i="1"/>
  <c r="CU35" i="1" a="1"/>
  <c r="CU35" i="1"/>
  <c r="CU40" i="1" a="1"/>
  <c r="CU40" i="1"/>
  <c r="CU36" i="1" a="1"/>
  <c r="CU36" i="1"/>
  <c r="CU58" i="1" a="1"/>
  <c r="CU58" i="1"/>
  <c r="CU12" i="1" a="1"/>
  <c r="CU12" i="1"/>
  <c r="CU50" i="1" a="1"/>
  <c r="CU50" i="1"/>
  <c r="CU27" i="1" a="1"/>
  <c r="CU27" i="1"/>
  <c r="CU22" i="1" a="1"/>
  <c r="CU22" i="1"/>
  <c r="CU15" i="1" a="1"/>
  <c r="CU15" i="1"/>
  <c r="CU61" i="1" a="1"/>
  <c r="CU61" i="1"/>
  <c r="CU14" i="1" a="1"/>
  <c r="CU14" i="1"/>
  <c r="CU31" i="1" a="1"/>
  <c r="CU31" i="1"/>
  <c r="CU34" i="1" a="1"/>
  <c r="CU34" i="1"/>
  <c r="CU24" i="1" a="1"/>
  <c r="CU24" i="1"/>
  <c r="CU52" i="1" a="1"/>
  <c r="CU52" i="1"/>
  <c r="CU39" i="1" a="1"/>
  <c r="CU39" i="1"/>
  <c r="CU42" i="1" a="1"/>
  <c r="CU42" i="1"/>
  <c r="CU62" i="1" a="1"/>
  <c r="CU62" i="1"/>
  <c r="CU56" i="1" a="1"/>
  <c r="CU56" i="1"/>
  <c r="CU45" i="1" a="1"/>
  <c r="CU45" i="1"/>
  <c r="CU25" i="1" a="1"/>
  <c r="CU25" i="1"/>
  <c r="CU33" i="1" a="1"/>
  <c r="CU33" i="1"/>
  <c r="CU29" i="1" a="1"/>
  <c r="CU29" i="1"/>
  <c r="CU41" i="1" a="1"/>
  <c r="CU41" i="1"/>
  <c r="CU44" i="1" a="1"/>
  <c r="CU44" i="1"/>
  <c r="CU32" i="1" a="1"/>
  <c r="CU32" i="1"/>
  <c r="CU49" i="1" a="1"/>
  <c r="CU49" i="1"/>
  <c r="CU37" i="1" a="1"/>
  <c r="CU37" i="1"/>
  <c r="CU19" i="1" a="1"/>
  <c r="CU19" i="1"/>
  <c r="CU21" i="1" a="1"/>
  <c r="CU21" i="1"/>
  <c r="CU23" i="1" a="1"/>
  <c r="CU23" i="1"/>
  <c r="CU13" i="1" a="1"/>
  <c r="CU13" i="1"/>
  <c r="CU55" i="1" a="1"/>
  <c r="CU55" i="1"/>
  <c r="CU28" i="1" a="1"/>
  <c r="CU28" i="1"/>
  <c r="CV14" i="1" a="1"/>
  <c r="CV14" i="1"/>
  <c r="CV40" i="1" a="1"/>
  <c r="CV40" i="1"/>
  <c r="CV41" i="1" a="1"/>
  <c r="CV41" i="1"/>
  <c r="CV26" i="1" a="1"/>
  <c r="CV26" i="1"/>
  <c r="CV28" i="1" a="1"/>
  <c r="CV28" i="1"/>
  <c r="CV36" i="1" a="1"/>
  <c r="CV36" i="1"/>
  <c r="CV50" i="1" a="1"/>
  <c r="CV50" i="1"/>
  <c r="CV55" i="1" a="1"/>
  <c r="CV55" i="1"/>
  <c r="CV49" i="1" a="1"/>
  <c r="CV49" i="1"/>
  <c r="CV52" i="1" a="1"/>
  <c r="CV52" i="1"/>
  <c r="CV42" i="1" a="1"/>
  <c r="CV42" i="1"/>
  <c r="CV43" i="1" a="1"/>
  <c r="CV43" i="1"/>
  <c r="CV59" i="1" a="1"/>
  <c r="CV59" i="1"/>
  <c r="CV54" i="1" a="1"/>
  <c r="CV54" i="1"/>
  <c r="CV48" i="1" a="1"/>
  <c r="CV48" i="1"/>
  <c r="CV38" i="1" a="1"/>
  <c r="CV38" i="1"/>
  <c r="CV37" i="1" a="1"/>
  <c r="CV37" i="1"/>
  <c r="CV25" i="1" a="1"/>
  <c r="CV25" i="1"/>
  <c r="CV16" i="1" a="1"/>
  <c r="CV16" i="1"/>
  <c r="CV12" i="1" a="1"/>
  <c r="CV12" i="1"/>
  <c r="CV20" i="1" a="1"/>
  <c r="CV20" i="1"/>
  <c r="CV29" i="1" a="1"/>
  <c r="CV29" i="1"/>
  <c r="CV27" i="1" a="1"/>
  <c r="CV27" i="1"/>
  <c r="CV51" i="1" a="1"/>
  <c r="CV51" i="1"/>
  <c r="CV56" i="1" a="1"/>
  <c r="CV56" i="1"/>
  <c r="CV44" i="1" a="1"/>
  <c r="CV44" i="1"/>
  <c r="CV21" i="1" a="1"/>
  <c r="CV21" i="1"/>
  <c r="CV35" i="1" a="1"/>
  <c r="CV35" i="1"/>
  <c r="CV13" i="1" a="1"/>
  <c r="CV13" i="1"/>
  <c r="CV60" i="1" a="1"/>
  <c r="CV60" i="1"/>
  <c r="CV17" i="1" a="1"/>
  <c r="CV17" i="1"/>
  <c r="CV30" i="1" a="1"/>
  <c r="CV30" i="1"/>
  <c r="CV19" i="1" a="1"/>
  <c r="CV19" i="1"/>
  <c r="CV24" i="1" a="1"/>
  <c r="CV24" i="1"/>
  <c r="CV39" i="1" a="1"/>
  <c r="CV39" i="1"/>
  <c r="CV57" i="1" a="1"/>
  <c r="CV57" i="1"/>
  <c r="CV46" i="1" a="1"/>
  <c r="CV46" i="1"/>
  <c r="CV33" i="1" a="1"/>
  <c r="CV33" i="1"/>
  <c r="CV34" i="1" a="1"/>
  <c r="CV34" i="1"/>
  <c r="CV62" i="1" a="1"/>
  <c r="CV62" i="1"/>
  <c r="CV58" i="1" a="1"/>
  <c r="CV58" i="1"/>
  <c r="CV47" i="1" a="1"/>
  <c r="CV47" i="1"/>
  <c r="CV31" i="1" a="1"/>
  <c r="CV31" i="1"/>
  <c r="CV61" i="1" a="1"/>
  <c r="CV61" i="1"/>
  <c r="CV53" i="1" a="1"/>
  <c r="CV53" i="1"/>
  <c r="CV23" i="1" a="1"/>
  <c r="CV23" i="1"/>
  <c r="CV15" i="1" a="1"/>
  <c r="CV15" i="1"/>
  <c r="CV22" i="1" a="1"/>
  <c r="CV22" i="1"/>
  <c r="CV18" i="1" a="1"/>
  <c r="CV18" i="1"/>
  <c r="CV32" i="1" a="1"/>
  <c r="CV32" i="1"/>
  <c r="CV45" i="1" a="1"/>
  <c r="CV45" i="1"/>
  <c r="IR61" i="1" a="1"/>
  <c r="IR61" i="1"/>
  <c r="IR59" i="1" a="1"/>
  <c r="IR59" i="1"/>
  <c r="IR57" i="1" a="1"/>
  <c r="IR57" i="1"/>
  <c r="IR55" i="1" a="1"/>
  <c r="IR55" i="1"/>
  <c r="IR53" i="1" a="1"/>
  <c r="IR53" i="1"/>
  <c r="IR49" i="1" a="1"/>
  <c r="IR49" i="1"/>
  <c r="IR51" i="1" a="1"/>
  <c r="IR51" i="1"/>
  <c r="IR44" i="1" a="1"/>
  <c r="IR44" i="1"/>
  <c r="IR42" i="1" a="1"/>
  <c r="IR42" i="1"/>
  <c r="IR48" i="1" a="1"/>
  <c r="IR48" i="1"/>
  <c r="IR46" i="1" a="1"/>
  <c r="IR46" i="1"/>
  <c r="IR34" i="1" a="1"/>
  <c r="IR34" i="1"/>
  <c r="IR40" i="1" a="1"/>
  <c r="IR40" i="1"/>
  <c r="IR38" i="1" a="1"/>
  <c r="IR38" i="1"/>
  <c r="IR36" i="1" a="1"/>
  <c r="IR36" i="1"/>
  <c r="IR31" i="1" a="1"/>
  <c r="IR31" i="1"/>
  <c r="IR29" i="1" a="1"/>
  <c r="IR29" i="1"/>
  <c r="IR27" i="1" a="1"/>
  <c r="IR27" i="1"/>
  <c r="IR25" i="1" a="1"/>
  <c r="IR25" i="1"/>
  <c r="IR23" i="1" a="1"/>
  <c r="IR23" i="1"/>
  <c r="IR21" i="1" a="1"/>
  <c r="IR21" i="1"/>
  <c r="IR16" i="1" a="1"/>
  <c r="IR16" i="1"/>
  <c r="IR14" i="1" a="1"/>
  <c r="IR14" i="1"/>
  <c r="IR12" i="1" a="1"/>
  <c r="IR12" i="1"/>
  <c r="IR19" i="1" a="1"/>
  <c r="IR19" i="1"/>
  <c r="IS11" i="1"/>
  <c r="IR58" i="1" a="1"/>
  <c r="IR58" i="1"/>
  <c r="IR52" i="1" a="1"/>
  <c r="IR52" i="1"/>
  <c r="IR47" i="1" a="1"/>
  <c r="IR47" i="1"/>
  <c r="IR37" i="1" a="1"/>
  <c r="IR37" i="1"/>
  <c r="IR26" i="1" a="1"/>
  <c r="IR26" i="1"/>
  <c r="IR15" i="1" a="1"/>
  <c r="IR15" i="1"/>
  <c r="IR60" i="1" a="1"/>
  <c r="IR60" i="1"/>
  <c r="IR50" i="1" a="1"/>
  <c r="IR50" i="1"/>
  <c r="IR41" i="1" a="1"/>
  <c r="IR41" i="1"/>
  <c r="IR39" i="1" a="1"/>
  <c r="IR39" i="1"/>
  <c r="IR28" i="1" a="1"/>
  <c r="IR28" i="1"/>
  <c r="IR17" i="1" a="1"/>
  <c r="IR17" i="1"/>
  <c r="IR18" i="1" a="1"/>
  <c r="IR18" i="1"/>
  <c r="IR62" i="1" a="1"/>
  <c r="IR62" i="1"/>
  <c r="IR54" i="1" a="1"/>
  <c r="IR54" i="1"/>
  <c r="IR43" i="1" a="1"/>
  <c r="IR43" i="1"/>
  <c r="IR33" i="1" a="1"/>
  <c r="IR33" i="1"/>
  <c r="IR30" i="1" a="1"/>
  <c r="IR30" i="1"/>
  <c r="IR22" i="1" a="1"/>
  <c r="IR22" i="1"/>
  <c r="IR20" i="1" a="1"/>
  <c r="IR20" i="1"/>
  <c r="IR56" i="1" a="1"/>
  <c r="IR56" i="1"/>
  <c r="IR45" i="1" a="1"/>
  <c r="IR45" i="1"/>
  <c r="IR35" i="1" a="1"/>
  <c r="IR35" i="1"/>
  <c r="IR32" i="1" a="1"/>
  <c r="IR32" i="1"/>
  <c r="IR24" i="1" a="1"/>
  <c r="IR24" i="1"/>
  <c r="IR13" i="1" a="1"/>
  <c r="IR13" i="1"/>
  <c r="IS62" i="1" a="1"/>
  <c r="IS62" i="1"/>
  <c r="IS59" i="1" a="1"/>
  <c r="IS59" i="1"/>
  <c r="IS56" i="1" a="1"/>
  <c r="IS56" i="1"/>
  <c r="IS51" i="1" a="1"/>
  <c r="IS51" i="1"/>
  <c r="IS46" i="1" a="1"/>
  <c r="IS46" i="1"/>
  <c r="IS43" i="1" a="1"/>
  <c r="IS43" i="1"/>
  <c r="IS38" i="1" a="1"/>
  <c r="IS38" i="1"/>
  <c r="IS35" i="1" a="1"/>
  <c r="IS35" i="1"/>
  <c r="IS26" i="1" a="1"/>
  <c r="IS26" i="1"/>
  <c r="IS23" i="1" a="1"/>
  <c r="IS23" i="1"/>
  <c r="IS22" i="1" a="1"/>
  <c r="IS22" i="1"/>
  <c r="IS19" i="1" a="1"/>
  <c r="IS19" i="1"/>
  <c r="IS14" i="1" a="1"/>
  <c r="IS14" i="1"/>
  <c r="IT11" i="1"/>
  <c r="IS61" i="1" a="1"/>
  <c r="IS61" i="1"/>
  <c r="IS54" i="1" a="1"/>
  <c r="IS54" i="1"/>
  <c r="IS53" i="1" a="1"/>
  <c r="IS53" i="1"/>
  <c r="IS48" i="1" a="1"/>
  <c r="IS48" i="1"/>
  <c r="IS45" i="1" a="1"/>
  <c r="IS45" i="1"/>
  <c r="IS40" i="1" a="1"/>
  <c r="IS40" i="1"/>
  <c r="IS37" i="1" a="1"/>
  <c r="IS37" i="1"/>
  <c r="IS32" i="1" a="1"/>
  <c r="IS32" i="1"/>
  <c r="IS25" i="1" a="1"/>
  <c r="IS25" i="1"/>
  <c r="IS28" i="1" a="1"/>
  <c r="IS28" i="1"/>
  <c r="IS21" i="1" a="1"/>
  <c r="IS21" i="1"/>
  <c r="IS16" i="1" a="1"/>
  <c r="IS16" i="1"/>
  <c r="IS13" i="1" a="1"/>
  <c r="IS13" i="1"/>
  <c r="IS58" i="1" a="1"/>
  <c r="IS58" i="1"/>
  <c r="IS57" i="1" a="1"/>
  <c r="IS57" i="1"/>
  <c r="IS50" i="1" a="1"/>
  <c r="IS50" i="1"/>
  <c r="IS47" i="1" a="1"/>
  <c r="IS47" i="1"/>
  <c r="IS42" i="1" a="1"/>
  <c r="IS42" i="1"/>
  <c r="IS39" i="1" a="1"/>
  <c r="IS39" i="1"/>
  <c r="IS34" i="1" a="1"/>
  <c r="IS34" i="1"/>
  <c r="IS31" i="1" a="1"/>
  <c r="IS31" i="1"/>
  <c r="IS30" i="1" a="1"/>
  <c r="IS30" i="1"/>
  <c r="IS27" i="1" a="1"/>
  <c r="IS27" i="1"/>
  <c r="IS18" i="1" a="1"/>
  <c r="IS18" i="1"/>
  <c r="IS15" i="1" a="1"/>
  <c r="IS15" i="1"/>
  <c r="IS60" i="1" a="1"/>
  <c r="IS60" i="1"/>
  <c r="IS55" i="1" a="1"/>
  <c r="IS55" i="1"/>
  <c r="IS52" i="1" a="1"/>
  <c r="IS52" i="1"/>
  <c r="IS49" i="1" a="1"/>
  <c r="IS49" i="1"/>
  <c r="IS44" i="1" a="1"/>
  <c r="IS44" i="1"/>
  <c r="IS41" i="1" a="1"/>
  <c r="IS41" i="1"/>
  <c r="IS36" i="1" a="1"/>
  <c r="IS36" i="1"/>
  <c r="IS33" i="1" a="1"/>
  <c r="IS33" i="1"/>
  <c r="IS24" i="1" a="1"/>
  <c r="IS24" i="1"/>
  <c r="IS29" i="1" a="1"/>
  <c r="IS29" i="1"/>
  <c r="IS20" i="1" a="1"/>
  <c r="IS20" i="1"/>
  <c r="IS17" i="1" a="1"/>
  <c r="IS17" i="1"/>
  <c r="IS12" i="1" a="1"/>
  <c r="IS12" i="1"/>
  <c r="CW42" i="1" a="1"/>
  <c r="CW42" i="1"/>
  <c r="CW62" i="1" a="1"/>
  <c r="CW62" i="1"/>
  <c r="CW57" i="1" a="1"/>
  <c r="CW57" i="1"/>
  <c r="CW35" i="1" a="1"/>
  <c r="CW35" i="1"/>
  <c r="CW40" i="1" a="1"/>
  <c r="CW40" i="1"/>
  <c r="CW60" i="1" a="1"/>
  <c r="CW60" i="1"/>
  <c r="CW55" i="1" a="1"/>
  <c r="CW55" i="1"/>
  <c r="CW29" i="1" a="1"/>
  <c r="CW29" i="1"/>
  <c r="CW21" i="1" a="1"/>
  <c r="CW21" i="1"/>
  <c r="CW44" i="1" a="1"/>
  <c r="CW44" i="1"/>
  <c r="CW25" i="1" a="1"/>
  <c r="CW25" i="1"/>
  <c r="CW37" i="1" a="1"/>
  <c r="CW37" i="1"/>
  <c r="CW19" i="1" a="1"/>
  <c r="CW19" i="1"/>
  <c r="CW30" i="1" a="1"/>
  <c r="CW30" i="1"/>
  <c r="CW45" i="1" a="1"/>
  <c r="CW45" i="1"/>
  <c r="CW27" i="1" a="1"/>
  <c r="CW27" i="1"/>
  <c r="CW16" i="1" a="1"/>
  <c r="CW16" i="1"/>
  <c r="CW14" i="1" a="1"/>
  <c r="CW14" i="1"/>
  <c r="CW51" i="1" a="1"/>
  <c r="CW51" i="1"/>
  <c r="CW61" i="1" a="1"/>
  <c r="CW61" i="1"/>
  <c r="CW18" i="1" a="1"/>
  <c r="CW18" i="1"/>
  <c r="CW46" i="1" a="1"/>
  <c r="CW46" i="1"/>
  <c r="CW41" i="1" a="1"/>
  <c r="CW41" i="1"/>
  <c r="CW58" i="1" a="1"/>
  <c r="CW58" i="1"/>
  <c r="CW17" i="1" a="1"/>
  <c r="CW17" i="1"/>
  <c r="CW38" i="1" a="1"/>
  <c r="CW38" i="1"/>
  <c r="CW47" i="1" a="1"/>
  <c r="CW47" i="1"/>
  <c r="CW26" i="1" a="1"/>
  <c r="CW26" i="1"/>
  <c r="CW53" i="1" a="1"/>
  <c r="CW53" i="1"/>
  <c r="CW49" i="1" a="1"/>
  <c r="CW49" i="1"/>
  <c r="CW23" i="1" a="1"/>
  <c r="CW23" i="1"/>
  <c r="CW13" i="1" a="1"/>
  <c r="CW13" i="1"/>
  <c r="CW56" i="1" a="1"/>
  <c r="CW56" i="1"/>
  <c r="CW50" i="1" a="1"/>
  <c r="CW50" i="1"/>
  <c r="CW12" i="1" a="1"/>
  <c r="CW12" i="1"/>
  <c r="CW59" i="1" a="1"/>
  <c r="CW59" i="1"/>
  <c r="CW28" i="1" a="1"/>
  <c r="CW28" i="1"/>
  <c r="CW24" i="1" a="1"/>
  <c r="CW24" i="1"/>
  <c r="CW32" i="1" a="1"/>
  <c r="CW32" i="1"/>
  <c r="CW48" i="1" a="1"/>
  <c r="CW48" i="1"/>
  <c r="CW43" i="1" a="1"/>
  <c r="CW43" i="1"/>
  <c r="CW31" i="1" a="1"/>
  <c r="CW31" i="1"/>
  <c r="CW34" i="1" a="1"/>
  <c r="CW34" i="1"/>
  <c r="CW54" i="1" a="1"/>
  <c r="CW54" i="1"/>
  <c r="CW20" i="1" a="1"/>
  <c r="CW20" i="1"/>
  <c r="CW39" i="1" a="1"/>
  <c r="CW39" i="1"/>
  <c r="CW15" i="1" a="1"/>
  <c r="CW15" i="1"/>
  <c r="CW33" i="1" a="1"/>
  <c r="CW33" i="1"/>
  <c r="CW36" i="1" a="1"/>
  <c r="CW36" i="1"/>
  <c r="CW52" i="1" a="1"/>
  <c r="CW52" i="1"/>
  <c r="CW22" i="1" a="1"/>
  <c r="CW22" i="1"/>
  <c r="CX46" i="1" a="1"/>
  <c r="CX46" i="1"/>
  <c r="CX48" i="1" a="1"/>
  <c r="CX48" i="1"/>
  <c r="CX34" i="1" a="1"/>
  <c r="CX34" i="1"/>
  <c r="CX60" i="1" a="1"/>
  <c r="CX60" i="1"/>
  <c r="CX35" i="1" a="1"/>
  <c r="CX35" i="1"/>
  <c r="CX37" i="1" a="1"/>
  <c r="CX37" i="1"/>
  <c r="CX25" i="1" a="1"/>
  <c r="CX25" i="1"/>
  <c r="CX27" i="1" a="1"/>
  <c r="CX27" i="1"/>
  <c r="CX52" i="1" a="1"/>
  <c r="CX52" i="1"/>
  <c r="CX33" i="1" a="1"/>
  <c r="CX33" i="1"/>
  <c r="CX51" i="1" a="1"/>
  <c r="CX51" i="1"/>
  <c r="CX40" i="1" a="1"/>
  <c r="CX40" i="1"/>
  <c r="CX14" i="1" a="1"/>
  <c r="CX14" i="1"/>
  <c r="CX39" i="1" a="1"/>
  <c r="CX39" i="1"/>
  <c r="CX55" i="1" a="1"/>
  <c r="CX55" i="1"/>
  <c r="CX57" i="1" a="1"/>
  <c r="CX57" i="1"/>
  <c r="CX30" i="1" a="1"/>
  <c r="CX30" i="1"/>
  <c r="CX19" i="1" a="1"/>
  <c r="CX19" i="1"/>
  <c r="CX16" i="1" a="1"/>
  <c r="CX16" i="1"/>
  <c r="CX38" i="1" a="1"/>
  <c r="CX38" i="1"/>
  <c r="CX21" i="1" a="1"/>
  <c r="CX21" i="1"/>
  <c r="CX18" i="1" a="1"/>
  <c r="CX18" i="1"/>
  <c r="CX56" i="1" a="1"/>
  <c r="CX56" i="1"/>
  <c r="CX20" i="1" a="1"/>
  <c r="CX20" i="1"/>
  <c r="CX12" i="1" a="1"/>
  <c r="CX12" i="1"/>
  <c r="CX26" i="1" a="1"/>
  <c r="CX26" i="1"/>
  <c r="CX36" i="1" a="1"/>
  <c r="CX36" i="1"/>
  <c r="CX61" i="1" a="1"/>
  <c r="CX61" i="1"/>
  <c r="CX54" i="1" a="1"/>
  <c r="CX54" i="1"/>
  <c r="CX53" i="1" a="1"/>
  <c r="CX53" i="1"/>
  <c r="CX50" i="1" a="1"/>
  <c r="CX50" i="1"/>
  <c r="CX13" i="1" a="1"/>
  <c r="CX13" i="1"/>
  <c r="CX15" i="1" a="1"/>
  <c r="CX15" i="1"/>
  <c r="CX17" i="1" a="1"/>
  <c r="CX17" i="1"/>
  <c r="CX23" i="1" a="1"/>
  <c r="CX23" i="1"/>
  <c r="CX41" i="1" a="1"/>
  <c r="CX41" i="1"/>
  <c r="CX43" i="1" a="1"/>
  <c r="CX43" i="1"/>
  <c r="CX28" i="1" a="1"/>
  <c r="CX28" i="1"/>
  <c r="CX62" i="1" a="1"/>
  <c r="CX62" i="1"/>
  <c r="CX58" i="1" a="1"/>
  <c r="CX58" i="1"/>
  <c r="CX45" i="1" a="1"/>
  <c r="CX45" i="1"/>
  <c r="CX47" i="1" a="1"/>
  <c r="CX47" i="1"/>
  <c r="CX42" i="1" a="1"/>
  <c r="CX42" i="1"/>
  <c r="CX44" i="1" a="1"/>
  <c r="CX44" i="1"/>
  <c r="CX24" i="1" a="1"/>
  <c r="CX24" i="1"/>
  <c r="CX32" i="1" a="1"/>
  <c r="CX32" i="1"/>
  <c r="CX22" i="1" a="1"/>
  <c r="CX22" i="1"/>
  <c r="CX31" i="1" a="1"/>
  <c r="CX31" i="1"/>
  <c r="CX49" i="1" a="1"/>
  <c r="CX49" i="1"/>
  <c r="CX29" i="1" a="1"/>
  <c r="CX29" i="1"/>
  <c r="CX59" i="1" a="1"/>
  <c r="CX59" i="1"/>
  <c r="IT62" i="1" a="1"/>
  <c r="IT62" i="1"/>
  <c r="IT59" i="1" a="1"/>
  <c r="IT59" i="1"/>
  <c r="IT57" i="1" a="1"/>
  <c r="IT57" i="1"/>
  <c r="IT51" i="1" a="1"/>
  <c r="IT51" i="1"/>
  <c r="IT46" i="1" a="1"/>
  <c r="IT46" i="1"/>
  <c r="IT43" i="1" a="1"/>
  <c r="IT43" i="1"/>
  <c r="IT38" i="1" a="1"/>
  <c r="IT38" i="1"/>
  <c r="IT35" i="1" a="1"/>
  <c r="IT35" i="1"/>
  <c r="IT30" i="1" a="1"/>
  <c r="IT30" i="1"/>
  <c r="IT27" i="1" a="1"/>
  <c r="IT27" i="1"/>
  <c r="IT22" i="1" a="1"/>
  <c r="IT22" i="1"/>
  <c r="IT16" i="1" a="1"/>
  <c r="IT16" i="1"/>
  <c r="IT20" i="1" a="1"/>
  <c r="IT20" i="1"/>
  <c r="IU11" i="1"/>
  <c r="IT45" i="1" a="1"/>
  <c r="IT45" i="1"/>
  <c r="IT37" i="1" a="1"/>
  <c r="IT37" i="1"/>
  <c r="IT32" i="1" a="1"/>
  <c r="IT32" i="1"/>
  <c r="IT21" i="1" a="1"/>
  <c r="IT21" i="1"/>
  <c r="IT13" i="1" a="1"/>
  <c r="IT13" i="1"/>
  <c r="IT61" i="1" a="1"/>
  <c r="IT61" i="1"/>
  <c r="IT54" i="1" a="1"/>
  <c r="IT54" i="1"/>
  <c r="IT56" i="1" a="1"/>
  <c r="IT56" i="1"/>
  <c r="IT48" i="1" a="1"/>
  <c r="IT48" i="1"/>
  <c r="IT40" i="1" a="1"/>
  <c r="IT40" i="1"/>
  <c r="IT29" i="1" a="1"/>
  <c r="IT29" i="1"/>
  <c r="IT24" i="1" a="1"/>
  <c r="IT24" i="1"/>
  <c r="IT19" i="1" a="1"/>
  <c r="IT19" i="1"/>
  <c r="IT58" i="1" a="1"/>
  <c r="IT58" i="1"/>
  <c r="IT53" i="1" a="1"/>
  <c r="IT53" i="1"/>
  <c r="IT50" i="1" a="1"/>
  <c r="IT50" i="1"/>
  <c r="IT47" i="1" a="1"/>
  <c r="IT47" i="1"/>
  <c r="IT42" i="1" a="1"/>
  <c r="IT42" i="1"/>
  <c r="IT39" i="1" a="1"/>
  <c r="IT39" i="1"/>
  <c r="IT34" i="1" a="1"/>
  <c r="IT34" i="1"/>
  <c r="IT31" i="1" a="1"/>
  <c r="IT31" i="1"/>
  <c r="IT26" i="1" a="1"/>
  <c r="IT26" i="1"/>
  <c r="IT23" i="1" a="1"/>
  <c r="IT23" i="1"/>
  <c r="IT15" i="1" a="1"/>
  <c r="IT15" i="1"/>
  <c r="IT12" i="1" a="1"/>
  <c r="IT12" i="1"/>
  <c r="IT60" i="1" a="1"/>
  <c r="IT60" i="1"/>
  <c r="IT55" i="1" a="1"/>
  <c r="IT55" i="1"/>
  <c r="IT52" i="1" a="1"/>
  <c r="IT52" i="1"/>
  <c r="IT49" i="1" a="1"/>
  <c r="IT49" i="1"/>
  <c r="IT44" i="1" a="1"/>
  <c r="IT44" i="1"/>
  <c r="IT41" i="1" a="1"/>
  <c r="IT41" i="1"/>
  <c r="IT36" i="1" a="1"/>
  <c r="IT36" i="1"/>
  <c r="IT33" i="1" a="1"/>
  <c r="IT33" i="1"/>
  <c r="IT28" i="1" a="1"/>
  <c r="IT28" i="1"/>
  <c r="IT25" i="1" a="1"/>
  <c r="IT25" i="1"/>
  <c r="IT17" i="1" a="1"/>
  <c r="IT17" i="1"/>
  <c r="IT14" i="1" a="1"/>
  <c r="IT14" i="1"/>
  <c r="IT18" i="1" a="1"/>
  <c r="IT18" i="1"/>
  <c r="IU61" i="1" a="1"/>
  <c r="IU61" i="1"/>
  <c r="IU59" i="1" a="1"/>
  <c r="IU59" i="1"/>
  <c r="IU55" i="1" a="1"/>
  <c r="IU55" i="1"/>
  <c r="IU57" i="1" a="1"/>
  <c r="IU57" i="1"/>
  <c r="IU53" i="1" a="1"/>
  <c r="IU53" i="1"/>
  <c r="IU51" i="1" a="1"/>
  <c r="IU51" i="1"/>
  <c r="IU49" i="1" a="1"/>
  <c r="IU49" i="1"/>
  <c r="IU47" i="1" a="1"/>
  <c r="IU47" i="1"/>
  <c r="IU45" i="1" a="1"/>
  <c r="IU45" i="1"/>
  <c r="IU43" i="1" a="1"/>
  <c r="IU43" i="1"/>
  <c r="IU41" i="1" a="1"/>
  <c r="IU41" i="1"/>
  <c r="IU39" i="1" a="1"/>
  <c r="IU39" i="1"/>
  <c r="IU37" i="1" a="1"/>
  <c r="IU37" i="1"/>
  <c r="IU35" i="1" a="1"/>
  <c r="IU35" i="1"/>
  <c r="IU33" i="1" a="1"/>
  <c r="IU33" i="1"/>
  <c r="IU31" i="1" a="1"/>
  <c r="IU31" i="1"/>
  <c r="IU25" i="1" a="1"/>
  <c r="IU25" i="1"/>
  <c r="IU23" i="1" a="1"/>
  <c r="IU23" i="1"/>
  <c r="IU29" i="1" a="1"/>
  <c r="IU29" i="1"/>
  <c r="IU27" i="1" a="1"/>
  <c r="IU27" i="1"/>
  <c r="IU19" i="1" a="1"/>
  <c r="IU19" i="1"/>
  <c r="IU22" i="1" a="1"/>
  <c r="IU22" i="1"/>
  <c r="IU17" i="1" a="1"/>
  <c r="IU17" i="1"/>
  <c r="IU15" i="1" a="1"/>
  <c r="IU15" i="1"/>
  <c r="IU13" i="1" a="1"/>
  <c r="IU13" i="1"/>
  <c r="IV11" i="1"/>
  <c r="IU60" i="1" a="1"/>
  <c r="IU60" i="1"/>
  <c r="IU52" i="1" a="1"/>
  <c r="IU52" i="1"/>
  <c r="IU44" i="1" a="1"/>
  <c r="IU44" i="1"/>
  <c r="IU36" i="1" a="1"/>
  <c r="IU36" i="1"/>
  <c r="IU24" i="1" a="1"/>
  <c r="IU24" i="1"/>
  <c r="IU18" i="1" a="1"/>
  <c r="IU18" i="1"/>
  <c r="IU12" i="1" a="1"/>
  <c r="IU12" i="1"/>
  <c r="IU62" i="1" a="1"/>
  <c r="IU62" i="1"/>
  <c r="IU38" i="1" a="1"/>
  <c r="IU38" i="1"/>
  <c r="IU14" i="1" a="1"/>
  <c r="IU14" i="1"/>
  <c r="IU56" i="1" a="1"/>
  <c r="IU56" i="1"/>
  <c r="IU46" i="1" a="1"/>
  <c r="IU46" i="1"/>
  <c r="IU26" i="1" a="1"/>
  <c r="IU26" i="1"/>
  <c r="IU20" i="1" a="1"/>
  <c r="IU20" i="1"/>
  <c r="IU54" i="1" a="1"/>
  <c r="IU54" i="1"/>
  <c r="IU48" i="1" a="1"/>
  <c r="IU48" i="1"/>
  <c r="IU40" i="1" a="1"/>
  <c r="IU40" i="1"/>
  <c r="IU32" i="1" a="1"/>
  <c r="IU32" i="1"/>
  <c r="IU28" i="1" a="1"/>
  <c r="IU28" i="1"/>
  <c r="IU16" i="1" a="1"/>
  <c r="IU16" i="1"/>
  <c r="IU58" i="1" a="1"/>
  <c r="IU58" i="1"/>
  <c r="IU50" i="1" a="1"/>
  <c r="IU50" i="1"/>
  <c r="IU42" i="1" a="1"/>
  <c r="IU42" i="1"/>
  <c r="IU34" i="1" a="1"/>
  <c r="IU34" i="1"/>
  <c r="IU30" i="1" a="1"/>
  <c r="IU30" i="1"/>
  <c r="IU21" i="1" a="1"/>
  <c r="IU21" i="1"/>
  <c r="CY27" i="1" a="1"/>
  <c r="CY27" i="1"/>
  <c r="CY16" i="1" a="1"/>
  <c r="CY16" i="1"/>
  <c r="CY26" i="1" a="1"/>
  <c r="CY26" i="1"/>
  <c r="CY33" i="1" a="1"/>
  <c r="CY33" i="1"/>
  <c r="CY36" i="1" a="1"/>
  <c r="CY36" i="1"/>
  <c r="CY58" i="1" a="1"/>
  <c r="CY58" i="1"/>
  <c r="CY47" i="1" a="1"/>
  <c r="CY47" i="1"/>
  <c r="CY48" i="1" a="1"/>
  <c r="CY48" i="1"/>
  <c r="CY56" i="1" a="1"/>
  <c r="CY56" i="1"/>
  <c r="CY50" i="1" a="1"/>
  <c r="CY50" i="1"/>
  <c r="CY45" i="1" a="1"/>
  <c r="CY45" i="1"/>
  <c r="CY29" i="1" a="1"/>
  <c r="CY29" i="1"/>
  <c r="CY21" i="1" a="1"/>
  <c r="CY21" i="1"/>
  <c r="CY23" i="1" a="1"/>
  <c r="CY23" i="1"/>
  <c r="CY13" i="1" a="1"/>
  <c r="CY13" i="1"/>
  <c r="CY22" i="1" a="1"/>
  <c r="CY22" i="1"/>
  <c r="CY25" i="1" a="1"/>
  <c r="CY25" i="1"/>
  <c r="CY15" i="1" a="1"/>
  <c r="CY15" i="1"/>
  <c r="CY19" i="1" a="1"/>
  <c r="CY19" i="1"/>
  <c r="CY30" i="1" a="1"/>
  <c r="CY30" i="1"/>
  <c r="CY18" i="1" a="1"/>
  <c r="CY18" i="1"/>
  <c r="CY55" i="1" a="1"/>
  <c r="CY55" i="1"/>
  <c r="CY46" i="1" a="1"/>
  <c r="CY46" i="1"/>
  <c r="CY44" i="1" a="1"/>
  <c r="CY44" i="1"/>
  <c r="CY53" i="1" a="1"/>
  <c r="CY53" i="1"/>
  <c r="CY37" i="1" a="1"/>
  <c r="CY37" i="1"/>
  <c r="CY31" i="1" a="1"/>
  <c r="CY31" i="1"/>
  <c r="CY59" i="1" a="1"/>
  <c r="CY59" i="1"/>
  <c r="CY43" i="1" a="1"/>
  <c r="CY43" i="1"/>
  <c r="CY20" i="1" a="1"/>
  <c r="CY20" i="1"/>
  <c r="CY39" i="1" a="1"/>
  <c r="CY39" i="1"/>
  <c r="CY42" i="1" a="1"/>
  <c r="CY42" i="1"/>
  <c r="CY51" i="1" a="1"/>
  <c r="CY51" i="1"/>
  <c r="CY61" i="1" a="1"/>
  <c r="CY61" i="1"/>
  <c r="CY41" i="1" a="1"/>
  <c r="CY41" i="1"/>
  <c r="CY32" i="1" a="1"/>
  <c r="CY32" i="1"/>
  <c r="CY49" i="1" a="1"/>
  <c r="CY49" i="1"/>
  <c r="CY34" i="1" a="1"/>
  <c r="CY34" i="1"/>
  <c r="CY57" i="1" a="1"/>
  <c r="CY57" i="1"/>
  <c r="CY40" i="1" a="1"/>
  <c r="CY40" i="1"/>
  <c r="CY60" i="1" a="1"/>
  <c r="CY60" i="1"/>
  <c r="CY54" i="1" a="1"/>
  <c r="CY54" i="1"/>
  <c r="CY12" i="1" a="1"/>
  <c r="CY12" i="1"/>
  <c r="CY17" i="1" a="1"/>
  <c r="CY17" i="1"/>
  <c r="CY35" i="1" a="1"/>
  <c r="CY35" i="1"/>
  <c r="CY38" i="1" a="1"/>
  <c r="CY38" i="1"/>
  <c r="CY28" i="1" a="1"/>
  <c r="CY28" i="1"/>
  <c r="CY14" i="1" a="1"/>
  <c r="CY14" i="1"/>
  <c r="CY24" i="1" a="1"/>
  <c r="CY24" i="1"/>
  <c r="CY52" i="1" a="1"/>
  <c r="CY52" i="1"/>
  <c r="CY62" i="1" a="1"/>
  <c r="CY62" i="1"/>
  <c r="CZ62" i="1" a="1"/>
  <c r="CZ62" i="1"/>
  <c r="C62" i="1"/>
  <c r="CZ41" i="1" a="1"/>
  <c r="CZ41" i="1"/>
  <c r="C41" i="1"/>
  <c r="CZ57" i="1" a="1"/>
  <c r="CZ57" i="1"/>
  <c r="C57" i="1"/>
  <c r="CZ14" i="1" a="1"/>
  <c r="CZ14" i="1"/>
  <c r="C14" i="1"/>
  <c r="CZ45" i="1" a="1"/>
  <c r="CZ45" i="1"/>
  <c r="C45" i="1"/>
  <c r="CZ52" i="1" a="1"/>
  <c r="CZ52" i="1"/>
  <c r="C52" i="1"/>
  <c r="CZ55" i="1" a="1"/>
  <c r="CZ55" i="1"/>
  <c r="C55" i="1"/>
  <c r="CZ25" i="1" a="1"/>
  <c r="CZ25" i="1"/>
  <c r="C25" i="1"/>
  <c r="CZ24" i="1" a="1"/>
  <c r="CZ24" i="1"/>
  <c r="C24" i="1"/>
  <c r="CZ16" i="1" a="1"/>
  <c r="CZ16" i="1"/>
  <c r="C16" i="1"/>
  <c r="CZ49" i="1" a="1"/>
  <c r="CZ49" i="1"/>
  <c r="C49" i="1"/>
  <c r="CZ23" i="1" a="1"/>
  <c r="CZ23" i="1"/>
  <c r="C23" i="1"/>
  <c r="CZ34" i="1" a="1"/>
  <c r="CZ34" i="1"/>
  <c r="C34" i="1"/>
  <c r="CZ26" i="1" a="1"/>
  <c r="CZ26" i="1"/>
  <c r="C26" i="1"/>
  <c r="CZ22" i="1" a="1"/>
  <c r="CZ22" i="1"/>
  <c r="C22" i="1"/>
  <c r="CZ37" i="1" a="1"/>
  <c r="CZ37" i="1"/>
  <c r="C37" i="1"/>
  <c r="CZ61" i="1" a="1"/>
  <c r="CZ61" i="1"/>
  <c r="C61" i="1"/>
  <c r="CZ46" i="1" a="1"/>
  <c r="CZ46" i="1"/>
  <c r="C46" i="1"/>
  <c r="CZ32" i="1" a="1"/>
  <c r="CZ32" i="1"/>
  <c r="C32" i="1"/>
  <c r="CZ36" i="1" a="1"/>
  <c r="CZ36" i="1"/>
  <c r="C36" i="1"/>
  <c r="CZ54" i="1" a="1"/>
  <c r="CZ54" i="1"/>
  <c r="C54" i="1"/>
  <c r="CZ33" i="1" a="1"/>
  <c r="CZ33" i="1"/>
  <c r="C33" i="1"/>
  <c r="CZ47" i="1" a="1"/>
  <c r="CZ47" i="1"/>
  <c r="C47" i="1"/>
  <c r="CZ58" i="1" a="1"/>
  <c r="CZ58" i="1"/>
  <c r="C58" i="1"/>
  <c r="CZ17" i="1" a="1"/>
  <c r="CZ17" i="1"/>
  <c r="C17" i="1"/>
  <c r="CZ40" i="1" a="1"/>
  <c r="CZ40" i="1"/>
  <c r="C40" i="1"/>
  <c r="CZ38" i="1" a="1"/>
  <c r="CZ38" i="1"/>
  <c r="C38" i="1"/>
  <c r="CZ31" i="1" a="1"/>
  <c r="CZ31" i="1"/>
  <c r="C31" i="1"/>
  <c r="CZ51" i="1" a="1"/>
  <c r="CZ51" i="1"/>
  <c r="C51" i="1"/>
  <c r="CZ28" i="1" a="1"/>
  <c r="CZ28" i="1"/>
  <c r="C28" i="1"/>
  <c r="CZ39" i="1" a="1"/>
  <c r="CZ39" i="1"/>
  <c r="C39" i="1"/>
  <c r="CZ56" i="1" a="1"/>
  <c r="CZ56" i="1"/>
  <c r="C56" i="1"/>
  <c r="CZ30" i="1" a="1"/>
  <c r="CZ30" i="1"/>
  <c r="C30" i="1"/>
  <c r="CZ35" i="1" a="1"/>
  <c r="CZ35" i="1"/>
  <c r="C35" i="1"/>
  <c r="CZ12" i="1" a="1"/>
  <c r="CZ12" i="1"/>
  <c r="C12" i="1"/>
  <c r="CZ29" i="1" a="1"/>
  <c r="CZ29" i="1"/>
  <c r="C29" i="1"/>
  <c r="CZ50" i="1" a="1"/>
  <c r="CZ50" i="1"/>
  <c r="C50" i="1"/>
  <c r="CZ20" i="1" a="1"/>
  <c r="CZ20" i="1"/>
  <c r="C20" i="1"/>
  <c r="CZ60" i="1" a="1"/>
  <c r="CZ60" i="1"/>
  <c r="C60" i="1"/>
  <c r="CZ44" i="1" a="1"/>
  <c r="CZ44" i="1"/>
  <c r="C44" i="1"/>
  <c r="CZ42" i="1" a="1"/>
  <c r="CZ42" i="1"/>
  <c r="C42" i="1"/>
  <c r="CZ18" i="1" a="1"/>
  <c r="CZ18" i="1"/>
  <c r="C18" i="1"/>
  <c r="CZ53" i="1" a="1"/>
  <c r="CZ53" i="1"/>
  <c r="C53" i="1"/>
  <c r="CZ21" i="1" a="1"/>
  <c r="CZ21" i="1"/>
  <c r="C21" i="1"/>
  <c r="CZ13" i="1" a="1"/>
  <c r="CZ13" i="1"/>
  <c r="C13" i="1"/>
  <c r="CZ19" i="1" a="1"/>
  <c r="CZ19" i="1"/>
  <c r="C19" i="1"/>
  <c r="CZ59" i="1" a="1"/>
  <c r="CZ59" i="1"/>
  <c r="C59" i="1"/>
  <c r="CZ15" i="1" a="1"/>
  <c r="CZ15" i="1"/>
  <c r="C15" i="1"/>
  <c r="CZ48" i="1" a="1"/>
  <c r="CZ48" i="1"/>
  <c r="C48" i="1"/>
  <c r="CZ27" i="1" a="1"/>
  <c r="CZ27" i="1"/>
  <c r="C27" i="1"/>
  <c r="CZ43" i="1" a="1"/>
  <c r="CZ43" i="1"/>
  <c r="C43" i="1"/>
  <c r="IV61" i="1" a="1"/>
  <c r="IV61" i="1"/>
  <c r="IV58" i="1" a="1"/>
  <c r="IV58" i="1"/>
  <c r="IV53" i="1" a="1"/>
  <c r="IV53" i="1"/>
  <c r="IV50" i="1" a="1"/>
  <c r="IV50" i="1"/>
  <c r="IV44" i="1" a="1"/>
  <c r="IV44" i="1"/>
  <c r="IV41" i="1" a="1"/>
  <c r="IV41" i="1"/>
  <c r="IV36" i="1" a="1"/>
  <c r="IV36" i="1"/>
  <c r="IV33" i="1" a="1"/>
  <c r="IV33" i="1"/>
  <c r="IV27" i="1" a="1"/>
  <c r="IV27" i="1"/>
  <c r="IV26" i="1" a="1"/>
  <c r="IV26" i="1"/>
  <c r="IV21" i="1" a="1"/>
  <c r="IV21" i="1"/>
  <c r="IV18" i="1" a="1"/>
  <c r="IV18" i="1"/>
  <c r="IV13" i="1" a="1"/>
  <c r="IV13" i="1"/>
  <c r="IV55" i="1" a="1"/>
  <c r="IV55" i="1"/>
  <c r="IV46" i="1" a="1"/>
  <c r="IV46" i="1"/>
  <c r="IV35" i="1" a="1"/>
  <c r="IV35" i="1"/>
  <c r="IV29" i="1" a="1"/>
  <c r="IV29" i="1"/>
  <c r="IV20" i="1" a="1"/>
  <c r="IV20" i="1"/>
  <c r="IV12" i="1" a="1"/>
  <c r="IV12" i="1"/>
  <c r="IV60" i="1" a="1"/>
  <c r="IV60" i="1"/>
  <c r="IV52" i="1" a="1"/>
  <c r="IV52" i="1"/>
  <c r="IV43" i="1" a="1"/>
  <c r="IV43" i="1"/>
  <c r="IV38" i="1" a="1"/>
  <c r="IV38" i="1"/>
  <c r="IV32" i="1" a="1"/>
  <c r="IV32" i="1"/>
  <c r="IV23" i="1" a="1"/>
  <c r="IV23" i="1"/>
  <c r="IV15" i="1" a="1"/>
  <c r="IV15" i="1"/>
  <c r="IV62" i="1" a="1"/>
  <c r="IV62" i="1"/>
  <c r="IV57" i="1" a="1"/>
  <c r="IV57" i="1"/>
  <c r="IV54" i="1" a="1"/>
  <c r="IV54" i="1"/>
  <c r="IV49" i="1" a="1"/>
  <c r="IV49" i="1"/>
  <c r="IV45" i="1" a="1"/>
  <c r="IV45" i="1"/>
  <c r="IV48" i="1" a="1"/>
  <c r="IV48" i="1"/>
  <c r="IV37" i="1" a="1"/>
  <c r="IV37" i="1"/>
  <c r="IV40" i="1" a="1"/>
  <c r="IV40" i="1"/>
  <c r="IV28" i="1" a="1"/>
  <c r="IV28" i="1"/>
  <c r="IV25" i="1" a="1"/>
  <c r="IV25" i="1"/>
  <c r="IV22" i="1" a="1"/>
  <c r="IV22" i="1"/>
  <c r="IV17" i="1" a="1"/>
  <c r="IV17" i="1"/>
  <c r="IV14" i="1" a="1"/>
  <c r="IV14" i="1"/>
  <c r="IV59" i="1" a="1"/>
  <c r="IV59" i="1"/>
  <c r="IV56" i="1" a="1"/>
  <c r="IV56" i="1"/>
  <c r="IV51" i="1" a="1"/>
  <c r="IV51" i="1"/>
  <c r="IV47" i="1" a="1"/>
  <c r="IV47" i="1"/>
  <c r="IV42" i="1" a="1"/>
  <c r="IV42" i="1"/>
  <c r="IV39" i="1" a="1"/>
  <c r="IV39" i="1"/>
  <c r="IV34" i="1" a="1"/>
  <c r="IV34" i="1"/>
  <c r="IV30" i="1" a="1"/>
  <c r="IV30" i="1"/>
  <c r="IV31" i="1" a="1"/>
  <c r="IV31" i="1"/>
  <c r="IV24" i="1" a="1"/>
  <c r="IV24" i="1"/>
  <c r="IV19" i="1" a="1"/>
  <c r="IV19" i="1"/>
  <c r="IV16" i="1" a="1"/>
  <c r="IV16" i="1"/>
</calcChain>
</file>

<file path=xl/sharedStrings.xml><?xml version="1.0" encoding="utf-8"?>
<sst xmlns="http://schemas.openxmlformats.org/spreadsheetml/2006/main" count="19" uniqueCount="17">
  <si>
    <t>G Inverse :</t>
  </si>
  <si>
    <t>Matrix G :</t>
  </si>
  <si>
    <r>
      <t>imax</t>
    </r>
    <r>
      <rPr>
        <b/>
        <sz val="10"/>
        <rFont val="Times New Roman"/>
        <family val="1"/>
      </rPr>
      <t xml:space="preserve"> =</t>
    </r>
  </si>
  <si>
    <r>
      <t xml:space="preserve"> (</t>
    </r>
    <r>
      <rPr>
        <i/>
        <sz val="10"/>
        <rFont val="Times New Roman"/>
        <family val="1"/>
      </rPr>
      <t>year</t>
    </r>
    <r>
      <rPr>
        <sz val="10"/>
        <rFont val="Times New Roman"/>
        <family val="1"/>
      </rPr>
      <t>)</t>
    </r>
  </si>
  <si>
    <r>
      <t xml:space="preserve"> (</t>
    </r>
    <r>
      <rPr>
        <i/>
        <sz val="10"/>
        <rFont val="Times New Roman"/>
        <family val="1"/>
      </rPr>
      <t>per year</t>
    </r>
    <r>
      <rPr>
        <sz val="10"/>
        <rFont val="Times New Roman"/>
        <family val="1"/>
      </rPr>
      <t>)</t>
    </r>
  </si>
  <si>
    <r>
      <t>L</t>
    </r>
    <r>
      <rPr>
        <b/>
        <i/>
        <vertAlign val="subscript"/>
        <sz val="10"/>
        <rFont val="Times New Roman"/>
        <family val="1"/>
      </rPr>
      <t xml:space="preserve">r </t>
    </r>
    <r>
      <rPr>
        <b/>
        <i/>
        <sz val="10"/>
        <rFont val="Times New Roman"/>
        <family val="1"/>
      </rPr>
      <t>\</t>
    </r>
    <r>
      <rPr>
        <b/>
        <i/>
        <vertAlign val="subscript"/>
        <sz val="10"/>
        <rFont val="Times New Roman"/>
        <family val="1"/>
      </rPr>
      <t xml:space="preserve"> </t>
    </r>
    <r>
      <rPr>
        <b/>
        <i/>
        <sz val="10"/>
        <rFont val="Times New Roman"/>
        <family val="1"/>
      </rPr>
      <t>L</t>
    </r>
    <r>
      <rPr>
        <b/>
        <i/>
        <vertAlign val="subscript"/>
        <sz val="10"/>
        <rFont val="Times New Roman"/>
        <family val="1"/>
      </rPr>
      <t>c</t>
    </r>
  </si>
  <si>
    <r>
      <t>L</t>
    </r>
    <r>
      <rPr>
        <i/>
        <vertAlign val="subscript"/>
        <sz val="10"/>
        <rFont val="Times New Roman"/>
        <family val="1"/>
      </rPr>
      <t>r</t>
    </r>
  </si>
  <si>
    <t>Asset</t>
  </si>
  <si>
    <t>Option</t>
  </si>
  <si>
    <r>
      <t>Maturity</t>
    </r>
    <r>
      <rPr>
        <sz val="10"/>
        <rFont val="Times New Roman"/>
        <family val="1"/>
      </rPr>
      <t xml:space="preserve"> (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</si>
  <si>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Strike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K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</si>
  <si>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Risk-free Rate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r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</si>
  <si>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Volatility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s</t>
    </r>
    <r>
      <rPr>
        <sz val="10"/>
        <rFont val="Times New Roman"/>
        <family val="1"/>
      </rPr>
      <t>) =</t>
    </r>
  </si>
  <si>
    <r>
      <t>Price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S</t>
    </r>
    <r>
      <rPr>
        <sz val="10"/>
        <rFont val="Times New Roman"/>
        <family val="1"/>
      </rPr>
      <t>) =</t>
    </r>
  </si>
  <si>
    <r>
      <t>Time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 =</t>
    </r>
  </si>
  <si>
    <r>
      <t>jmax</t>
    </r>
    <r>
      <rPr>
        <b/>
        <sz val="10"/>
        <rFont val="Times New Roman"/>
        <family val="1"/>
      </rPr>
      <t xml:space="preserve"> =</t>
    </r>
  </si>
  <si>
    <r>
      <t>Min</t>
    </r>
    <r>
      <rPr>
        <sz val="10"/>
        <rFont val="Times New Roman"/>
        <family val="1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</si>
</sst>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2" formatCode="0.0"/>
    <numFmt numFmtId="174" formatCode="0.0000"/>
  </numFmts>
  <fonts count="8" x14ac:knownFonts="1">
    <font>
      <sz val="10"/>
      <name val="Arial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i/>
      <sz val="10"/>
      <name val="Times New Roman"/>
      <family val="1"/>
    </font>
    <font>
      <b/>
      <i/>
      <vertAlign val="subscript"/>
      <sz val="10"/>
      <name val="Times New Roman"/>
      <family val="1"/>
    </font>
    <font>
      <i/>
      <vertAlign val="subscript"/>
      <sz val="10"/>
      <name val="Times New Roman"/>
      <family val="1"/>
    </font>
    <font>
      <sz val="10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0" borderId="0" xfId="0" applyFon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2" fontId="1" fillId="0" borderId="0" xfId="0" applyNumberFormat="1" applyFont="1"/>
    <xf numFmtId="1" fontId="2" fillId="3" borderId="0" xfId="0" applyNumberFormat="1" applyFont="1" applyFill="1" applyAlignment="1">
      <alignment horizontal="center"/>
    </xf>
    <xf numFmtId="2" fontId="1" fillId="4" borderId="0" xfId="0" applyNumberFormat="1" applyFont="1" applyFill="1" applyAlignment="1">
      <alignment horizontal="center"/>
    </xf>
    <xf numFmtId="172" fontId="2" fillId="3" borderId="0" xfId="0" applyNumberFormat="1" applyFont="1" applyFill="1" applyAlignment="1">
      <alignment horizontal="center"/>
    </xf>
    <xf numFmtId="2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2" fillId="3" borderId="0" xfId="0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1" fillId="0" borderId="0" xfId="0" applyFont="1" applyFill="1"/>
    <xf numFmtId="174" fontId="1" fillId="5" borderId="0" xfId="0" applyNumberFormat="1" applyFont="1" applyFill="1" applyBorder="1" applyAlignment="1">
      <alignment horizontal="center"/>
    </xf>
    <xf numFmtId="174" fontId="1" fillId="3" borderId="0" xfId="0" applyNumberFormat="1" applyFont="1" applyFill="1" applyBorder="1" applyAlignment="1">
      <alignment horizontal="center"/>
    </xf>
    <xf numFmtId="174" fontId="1" fillId="0" borderId="0" xfId="0" applyNumberFormat="1" applyFont="1" applyFill="1" applyBorder="1" applyAlignment="1">
      <alignment horizontal="center"/>
    </xf>
    <xf numFmtId="172" fontId="1" fillId="0" borderId="0" xfId="0" applyNumberFormat="1" applyFont="1"/>
    <xf numFmtId="2" fontId="1" fillId="3" borderId="0" xfId="0" applyNumberFormat="1" applyFont="1" applyFill="1"/>
    <xf numFmtId="0" fontId="2" fillId="0" borderId="0" xfId="0" applyFont="1" applyAlignment="1">
      <alignment horizontal="center"/>
    </xf>
    <xf numFmtId="0" fontId="1" fillId="2" borderId="0" xfId="0" applyFont="1" applyFill="1" applyBorder="1"/>
    <xf numFmtId="0" fontId="1" fillId="6" borderId="0" xfId="0" applyFont="1" applyFill="1"/>
    <xf numFmtId="0" fontId="3" fillId="6" borderId="0" xfId="0" applyFont="1" applyFill="1" applyAlignment="1">
      <alignment horizontal="right"/>
    </xf>
    <xf numFmtId="0" fontId="1" fillId="6" borderId="0" xfId="0" applyFont="1" applyFill="1" applyAlignment="1">
      <alignment horizontal="center"/>
    </xf>
    <xf numFmtId="0" fontId="2" fillId="6" borderId="0" xfId="0" applyFont="1" applyFill="1" applyAlignment="1">
      <alignment horizontal="right"/>
    </xf>
    <xf numFmtId="0" fontId="1" fillId="6" borderId="0" xfId="0" applyFont="1" applyFill="1" applyAlignment="1">
      <alignment horizontal="left"/>
    </xf>
    <xf numFmtId="2" fontId="3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2" fontId="1" fillId="4" borderId="2" xfId="0" applyNumberFormat="1" applyFont="1" applyFill="1" applyBorder="1" applyAlignment="1">
      <alignment horizontal="center"/>
    </xf>
    <xf numFmtId="2" fontId="4" fillId="3" borderId="0" xfId="0" applyNumberFormat="1" applyFont="1" applyFill="1" applyAlignment="1">
      <alignment horizontal="center"/>
    </xf>
    <xf numFmtId="2" fontId="3" fillId="3" borderId="3" xfId="0" applyNumberFormat="1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11"/>
  <sheetViews>
    <sheetView tabSelected="1" workbookViewId="0">
      <selection activeCell="M6" sqref="M6"/>
    </sheetView>
  </sheetViews>
  <sheetFormatPr defaultRowHeight="12.75" x14ac:dyDescent="0.2"/>
  <cols>
    <col min="1" max="1" width="18.7109375" style="2" customWidth="1"/>
    <col min="2" max="2" width="10.42578125" style="2" customWidth="1"/>
    <col min="3" max="3" width="11.140625" style="2" customWidth="1"/>
    <col min="4" max="5" width="9.5703125" style="2" customWidth="1"/>
    <col min="6" max="6" width="9.42578125" style="2" customWidth="1"/>
    <col min="7" max="7" width="9.5703125" style="2" customWidth="1"/>
    <col min="8" max="8" width="9" style="2" customWidth="1"/>
    <col min="9" max="9" width="7.85546875" style="2" customWidth="1"/>
    <col min="10" max="10" width="9.28515625" style="2" customWidth="1"/>
    <col min="11" max="11" width="8.7109375" style="2" customWidth="1"/>
    <col min="12" max="12" width="9" style="2" customWidth="1"/>
    <col min="13" max="13" width="12.7109375" style="2" customWidth="1"/>
    <col min="14" max="14" width="14.28515625" style="2" bestFit="1" customWidth="1"/>
    <col min="15" max="18" width="14.140625" style="2" bestFit="1" customWidth="1"/>
    <col min="19" max="19" width="15" style="2" bestFit="1" customWidth="1"/>
    <col min="20" max="20" width="14.140625" style="2" bestFit="1" customWidth="1"/>
    <col min="21" max="21" width="15" style="2" bestFit="1" customWidth="1"/>
    <col min="22" max="22" width="14.140625" style="2" bestFit="1" customWidth="1"/>
    <col min="23" max="23" width="15" style="2" bestFit="1" customWidth="1"/>
    <col min="24" max="27" width="14.85546875" style="2" customWidth="1"/>
    <col min="28" max="50" width="12.42578125" style="2" bestFit="1" customWidth="1"/>
    <col min="51" max="52" width="12.5703125" style="2" bestFit="1" customWidth="1"/>
    <col min="53" max="53" width="12.42578125" style="2" bestFit="1" customWidth="1"/>
    <col min="54" max="56" width="9.42578125" style="2" bestFit="1" customWidth="1"/>
    <col min="57" max="58" width="9.85546875" style="2" bestFit="1" customWidth="1"/>
    <col min="59" max="60" width="9.42578125" style="2" bestFit="1" customWidth="1"/>
    <col min="61" max="78" width="9.85546875" style="2" bestFit="1" customWidth="1"/>
    <col min="79" max="80" width="9.42578125" style="2" bestFit="1" customWidth="1"/>
    <col min="81" max="98" width="9.85546875" style="2" bestFit="1" customWidth="1"/>
    <col min="99" max="100" width="9.42578125" style="2" bestFit="1" customWidth="1"/>
    <col min="101" max="118" width="9.85546875" style="2" bestFit="1" customWidth="1"/>
    <col min="119" max="120" width="9.42578125" style="2" bestFit="1" customWidth="1"/>
    <col min="121" max="138" width="9.85546875" style="2" bestFit="1" customWidth="1"/>
    <col min="139" max="140" width="9.42578125" style="2" bestFit="1" customWidth="1"/>
    <col min="141" max="158" width="9.85546875" style="2" bestFit="1" customWidth="1"/>
    <col min="159" max="160" width="9.42578125" style="2" bestFit="1" customWidth="1"/>
    <col min="161" max="161" width="9.85546875" style="2" bestFit="1" customWidth="1"/>
    <col min="162" max="16384" width="9.140625" style="2"/>
  </cols>
  <sheetData>
    <row r="1" spans="1:256" x14ac:dyDescent="0.2">
      <c r="A1" s="23"/>
      <c r="B1" s="23"/>
      <c r="C1" s="23"/>
      <c r="D1" s="23"/>
      <c r="E1" s="23"/>
    </row>
    <row r="2" spans="1:256" x14ac:dyDescent="0.2">
      <c r="A2" s="24" t="s">
        <v>15</v>
      </c>
      <c r="B2" s="25">
        <v>50</v>
      </c>
      <c r="C2" s="23"/>
      <c r="D2" s="23"/>
      <c r="E2" s="23"/>
    </row>
    <row r="3" spans="1:256" x14ac:dyDescent="0.2">
      <c r="A3" s="24" t="s">
        <v>2</v>
      </c>
      <c r="B3" s="3">
        <v>100</v>
      </c>
      <c r="C3" s="23"/>
      <c r="D3" s="23"/>
      <c r="E3" s="23"/>
    </row>
    <row r="4" spans="1:256" x14ac:dyDescent="0.2">
      <c r="A4" s="24" t="s">
        <v>9</v>
      </c>
      <c r="B4" s="3">
        <v>5</v>
      </c>
      <c r="C4" s="27" t="s">
        <v>3</v>
      </c>
      <c r="D4" s="23"/>
      <c r="E4" s="23"/>
    </row>
    <row r="5" spans="1:256" x14ac:dyDescent="0.2">
      <c r="A5" s="24" t="s">
        <v>10</v>
      </c>
      <c r="B5" s="3">
        <v>5</v>
      </c>
      <c r="C5" s="23"/>
      <c r="D5" s="23"/>
      <c r="E5" s="23"/>
    </row>
    <row r="6" spans="1:256" x14ac:dyDescent="0.2">
      <c r="A6" s="24" t="s">
        <v>11</v>
      </c>
      <c r="B6" s="3">
        <v>0.05</v>
      </c>
      <c r="C6" s="27" t="s">
        <v>4</v>
      </c>
      <c r="D6" s="23"/>
      <c r="E6" s="23"/>
    </row>
    <row r="7" spans="1:256" x14ac:dyDescent="0.2">
      <c r="A7" s="24" t="s">
        <v>12</v>
      </c>
      <c r="B7" s="3">
        <v>0.25</v>
      </c>
      <c r="C7" s="27" t="s">
        <v>4</v>
      </c>
      <c r="D7" s="23"/>
      <c r="E7" s="23"/>
    </row>
    <row r="8" spans="1:256" x14ac:dyDescent="0.2">
      <c r="A8" s="24" t="s">
        <v>13</v>
      </c>
      <c r="B8" s="4">
        <v>0.25</v>
      </c>
      <c r="C8" s="24"/>
      <c r="D8" s="28" t="s">
        <v>16</v>
      </c>
      <c r="E8" s="25">
        <f>2*B5/B2</f>
        <v>0.2</v>
      </c>
    </row>
    <row r="9" spans="1:256" x14ac:dyDescent="0.2">
      <c r="A9" s="24" t="s">
        <v>14</v>
      </c>
      <c r="B9" s="29">
        <f>B4/B3</f>
        <v>0.05</v>
      </c>
      <c r="C9" s="27" t="s">
        <v>3</v>
      </c>
      <c r="D9" s="23"/>
      <c r="E9" s="23"/>
    </row>
    <row r="10" spans="1:256" ht="13.5" thickBot="1" x14ac:dyDescent="0.25">
      <c r="A10" s="26"/>
      <c r="B10" s="23"/>
      <c r="C10" s="23"/>
      <c r="D10" s="23"/>
      <c r="E10" s="23"/>
    </row>
    <row r="11" spans="1:256" s="7" customFormat="1" ht="14.25" x14ac:dyDescent="0.25">
      <c r="A11" s="5" t="s">
        <v>6</v>
      </c>
      <c r="B11" s="5" t="s">
        <v>7</v>
      </c>
      <c r="C11" s="33" t="s">
        <v>8</v>
      </c>
      <c r="D11" s="6">
        <f>B4</f>
        <v>5</v>
      </c>
      <c r="E11" s="6">
        <f t="shared" ref="E11:BP11" si="0">ROUND(D11-dtime,8)</f>
        <v>4.95</v>
      </c>
      <c r="F11" s="6">
        <f t="shared" si="0"/>
        <v>4.9000000000000004</v>
      </c>
      <c r="G11" s="6">
        <f t="shared" si="0"/>
        <v>4.8499999999999996</v>
      </c>
      <c r="H11" s="6">
        <f t="shared" si="0"/>
        <v>4.8</v>
      </c>
      <c r="I11" s="6">
        <f t="shared" si="0"/>
        <v>4.75</v>
      </c>
      <c r="J11" s="6">
        <f t="shared" si="0"/>
        <v>4.7</v>
      </c>
      <c r="K11" s="6">
        <f t="shared" si="0"/>
        <v>4.6500000000000004</v>
      </c>
      <c r="L11" s="6">
        <f t="shared" si="0"/>
        <v>4.5999999999999996</v>
      </c>
      <c r="M11" s="6">
        <f t="shared" si="0"/>
        <v>4.55</v>
      </c>
      <c r="N11" s="6">
        <f t="shared" si="0"/>
        <v>4.5</v>
      </c>
      <c r="O11" s="6">
        <f t="shared" si="0"/>
        <v>4.45</v>
      </c>
      <c r="P11" s="6">
        <f t="shared" si="0"/>
        <v>4.4000000000000004</v>
      </c>
      <c r="Q11" s="6">
        <f t="shared" si="0"/>
        <v>4.3499999999999996</v>
      </c>
      <c r="R11" s="6">
        <f t="shared" si="0"/>
        <v>4.3</v>
      </c>
      <c r="S11" s="6">
        <f t="shared" si="0"/>
        <v>4.25</v>
      </c>
      <c r="T11" s="6">
        <f t="shared" si="0"/>
        <v>4.2</v>
      </c>
      <c r="U11" s="6">
        <f t="shared" si="0"/>
        <v>4.1500000000000004</v>
      </c>
      <c r="V11" s="6">
        <f t="shared" si="0"/>
        <v>4.0999999999999996</v>
      </c>
      <c r="W11" s="6">
        <f t="shared" si="0"/>
        <v>4.05</v>
      </c>
      <c r="X11" s="6">
        <f t="shared" si="0"/>
        <v>4</v>
      </c>
      <c r="Y11" s="6">
        <f t="shared" si="0"/>
        <v>3.95</v>
      </c>
      <c r="Z11" s="6">
        <f t="shared" si="0"/>
        <v>3.9</v>
      </c>
      <c r="AA11" s="6">
        <f t="shared" si="0"/>
        <v>3.85</v>
      </c>
      <c r="AB11" s="6">
        <f t="shared" si="0"/>
        <v>3.8</v>
      </c>
      <c r="AC11" s="6">
        <f t="shared" si="0"/>
        <v>3.75</v>
      </c>
      <c r="AD11" s="6">
        <f t="shared" si="0"/>
        <v>3.7</v>
      </c>
      <c r="AE11" s="6">
        <f t="shared" si="0"/>
        <v>3.65</v>
      </c>
      <c r="AF11" s="6">
        <f t="shared" si="0"/>
        <v>3.6</v>
      </c>
      <c r="AG11" s="6">
        <f t="shared" si="0"/>
        <v>3.55</v>
      </c>
      <c r="AH11" s="6">
        <f t="shared" si="0"/>
        <v>3.5</v>
      </c>
      <c r="AI11" s="6">
        <f t="shared" si="0"/>
        <v>3.45</v>
      </c>
      <c r="AJ11" s="6">
        <f t="shared" si="0"/>
        <v>3.4</v>
      </c>
      <c r="AK11" s="6">
        <f t="shared" si="0"/>
        <v>3.35</v>
      </c>
      <c r="AL11" s="6">
        <f t="shared" si="0"/>
        <v>3.3</v>
      </c>
      <c r="AM11" s="6">
        <f t="shared" si="0"/>
        <v>3.25</v>
      </c>
      <c r="AN11" s="6">
        <f t="shared" si="0"/>
        <v>3.2</v>
      </c>
      <c r="AO11" s="6">
        <f t="shared" si="0"/>
        <v>3.15</v>
      </c>
      <c r="AP11" s="6">
        <f t="shared" si="0"/>
        <v>3.1</v>
      </c>
      <c r="AQ11" s="6">
        <f t="shared" si="0"/>
        <v>3.05</v>
      </c>
      <c r="AR11" s="6">
        <f t="shared" si="0"/>
        <v>3</v>
      </c>
      <c r="AS11" s="6">
        <f t="shared" si="0"/>
        <v>2.95</v>
      </c>
      <c r="AT11" s="6">
        <f t="shared" si="0"/>
        <v>2.9</v>
      </c>
      <c r="AU11" s="6">
        <f t="shared" si="0"/>
        <v>2.85</v>
      </c>
      <c r="AV11" s="6">
        <f t="shared" si="0"/>
        <v>2.8</v>
      </c>
      <c r="AW11" s="6">
        <f t="shared" si="0"/>
        <v>2.75</v>
      </c>
      <c r="AX11" s="6">
        <f t="shared" si="0"/>
        <v>2.7</v>
      </c>
      <c r="AY11" s="6">
        <f t="shared" si="0"/>
        <v>2.65</v>
      </c>
      <c r="AZ11" s="6">
        <f t="shared" si="0"/>
        <v>2.6</v>
      </c>
      <c r="BA11" s="6">
        <f t="shared" si="0"/>
        <v>2.5499999999999998</v>
      </c>
      <c r="BB11" s="6">
        <f t="shared" si="0"/>
        <v>2.5</v>
      </c>
      <c r="BC11" s="6">
        <f t="shared" si="0"/>
        <v>2.4500000000000002</v>
      </c>
      <c r="BD11" s="6">
        <f t="shared" si="0"/>
        <v>2.4</v>
      </c>
      <c r="BE11" s="6">
        <f t="shared" si="0"/>
        <v>2.35</v>
      </c>
      <c r="BF11" s="6">
        <f t="shared" si="0"/>
        <v>2.2999999999999998</v>
      </c>
      <c r="BG11" s="6">
        <f t="shared" si="0"/>
        <v>2.25</v>
      </c>
      <c r="BH11" s="6">
        <f t="shared" si="0"/>
        <v>2.2000000000000002</v>
      </c>
      <c r="BI11" s="6">
        <f t="shared" si="0"/>
        <v>2.15</v>
      </c>
      <c r="BJ11" s="6">
        <f t="shared" si="0"/>
        <v>2.1</v>
      </c>
      <c r="BK11" s="6">
        <f t="shared" si="0"/>
        <v>2.0499999999999998</v>
      </c>
      <c r="BL11" s="6">
        <f t="shared" si="0"/>
        <v>2</v>
      </c>
      <c r="BM11" s="6">
        <f t="shared" si="0"/>
        <v>1.95</v>
      </c>
      <c r="BN11" s="6">
        <f t="shared" si="0"/>
        <v>1.9</v>
      </c>
      <c r="BO11" s="6">
        <f t="shared" si="0"/>
        <v>1.85</v>
      </c>
      <c r="BP11" s="6">
        <f t="shared" si="0"/>
        <v>1.8</v>
      </c>
      <c r="BQ11" s="6">
        <f t="shared" ref="BQ11:EB11" si="1">ROUND(BP11-dtime,8)</f>
        <v>1.75</v>
      </c>
      <c r="BR11" s="6">
        <f t="shared" si="1"/>
        <v>1.7</v>
      </c>
      <c r="BS11" s="6">
        <f t="shared" si="1"/>
        <v>1.65</v>
      </c>
      <c r="BT11" s="6">
        <f t="shared" si="1"/>
        <v>1.6</v>
      </c>
      <c r="BU11" s="6">
        <f t="shared" si="1"/>
        <v>1.55</v>
      </c>
      <c r="BV11" s="6">
        <f t="shared" si="1"/>
        <v>1.5</v>
      </c>
      <c r="BW11" s="6">
        <f t="shared" si="1"/>
        <v>1.45</v>
      </c>
      <c r="BX11" s="6">
        <f t="shared" si="1"/>
        <v>1.4</v>
      </c>
      <c r="BY11" s="6">
        <f t="shared" si="1"/>
        <v>1.35</v>
      </c>
      <c r="BZ11" s="6">
        <f t="shared" si="1"/>
        <v>1.3</v>
      </c>
      <c r="CA11" s="6">
        <f t="shared" si="1"/>
        <v>1.25</v>
      </c>
      <c r="CB11" s="6">
        <f t="shared" si="1"/>
        <v>1.2</v>
      </c>
      <c r="CC11" s="6">
        <f t="shared" si="1"/>
        <v>1.1499999999999999</v>
      </c>
      <c r="CD11" s="6">
        <f t="shared" si="1"/>
        <v>1.1000000000000001</v>
      </c>
      <c r="CE11" s="6">
        <f t="shared" si="1"/>
        <v>1.05</v>
      </c>
      <c r="CF11" s="6">
        <f t="shared" si="1"/>
        <v>1</v>
      </c>
      <c r="CG11" s="6">
        <f t="shared" si="1"/>
        <v>0.95</v>
      </c>
      <c r="CH11" s="6">
        <f t="shared" si="1"/>
        <v>0.9</v>
      </c>
      <c r="CI11" s="6">
        <f t="shared" si="1"/>
        <v>0.85</v>
      </c>
      <c r="CJ11" s="6">
        <f t="shared" si="1"/>
        <v>0.8</v>
      </c>
      <c r="CK11" s="6">
        <f t="shared" si="1"/>
        <v>0.75</v>
      </c>
      <c r="CL11" s="6">
        <f t="shared" si="1"/>
        <v>0.7</v>
      </c>
      <c r="CM11" s="6">
        <f t="shared" si="1"/>
        <v>0.65</v>
      </c>
      <c r="CN11" s="6">
        <f t="shared" si="1"/>
        <v>0.6</v>
      </c>
      <c r="CO11" s="6">
        <f t="shared" si="1"/>
        <v>0.55000000000000004</v>
      </c>
      <c r="CP11" s="6">
        <f t="shared" si="1"/>
        <v>0.5</v>
      </c>
      <c r="CQ11" s="6">
        <f t="shared" si="1"/>
        <v>0.45</v>
      </c>
      <c r="CR11" s="6">
        <f t="shared" si="1"/>
        <v>0.4</v>
      </c>
      <c r="CS11" s="6">
        <f t="shared" si="1"/>
        <v>0.35</v>
      </c>
      <c r="CT11" s="6">
        <f t="shared" si="1"/>
        <v>0.3</v>
      </c>
      <c r="CU11" s="6">
        <f t="shared" si="1"/>
        <v>0.25</v>
      </c>
      <c r="CV11" s="6">
        <f t="shared" si="1"/>
        <v>0.2</v>
      </c>
      <c r="CW11" s="6">
        <f t="shared" si="1"/>
        <v>0.15</v>
      </c>
      <c r="CX11" s="6">
        <f t="shared" si="1"/>
        <v>0.1</v>
      </c>
      <c r="CY11" s="6">
        <f t="shared" si="1"/>
        <v>0.05</v>
      </c>
      <c r="CZ11" s="6">
        <f t="shared" si="1"/>
        <v>0</v>
      </c>
      <c r="DA11" s="6">
        <f t="shared" si="1"/>
        <v>-0.05</v>
      </c>
      <c r="DB11" s="6">
        <f t="shared" si="1"/>
        <v>-0.1</v>
      </c>
      <c r="DC11" s="6">
        <f t="shared" si="1"/>
        <v>-0.15</v>
      </c>
      <c r="DD11" s="6">
        <f t="shared" si="1"/>
        <v>-0.2</v>
      </c>
      <c r="DE11" s="6">
        <f t="shared" si="1"/>
        <v>-0.25</v>
      </c>
      <c r="DF11" s="6">
        <f t="shared" si="1"/>
        <v>-0.3</v>
      </c>
      <c r="DG11" s="6">
        <f t="shared" si="1"/>
        <v>-0.35</v>
      </c>
      <c r="DH11" s="6">
        <f t="shared" si="1"/>
        <v>-0.4</v>
      </c>
      <c r="DI11" s="6">
        <f t="shared" si="1"/>
        <v>-0.45</v>
      </c>
      <c r="DJ11" s="6">
        <f t="shared" si="1"/>
        <v>-0.5</v>
      </c>
      <c r="DK11" s="6">
        <f t="shared" si="1"/>
        <v>-0.55000000000000004</v>
      </c>
      <c r="DL11" s="6">
        <f t="shared" si="1"/>
        <v>-0.6</v>
      </c>
      <c r="DM11" s="6">
        <f t="shared" si="1"/>
        <v>-0.65</v>
      </c>
      <c r="DN11" s="6">
        <f t="shared" si="1"/>
        <v>-0.7</v>
      </c>
      <c r="DO11" s="6">
        <f t="shared" si="1"/>
        <v>-0.75</v>
      </c>
      <c r="DP11" s="6">
        <f t="shared" si="1"/>
        <v>-0.8</v>
      </c>
      <c r="DQ11" s="6">
        <f t="shared" si="1"/>
        <v>-0.85</v>
      </c>
      <c r="DR11" s="6">
        <f t="shared" si="1"/>
        <v>-0.9</v>
      </c>
      <c r="DS11" s="6">
        <f t="shared" si="1"/>
        <v>-0.95</v>
      </c>
      <c r="DT11" s="6">
        <f t="shared" si="1"/>
        <v>-1</v>
      </c>
      <c r="DU11" s="6">
        <f t="shared" si="1"/>
        <v>-1.05</v>
      </c>
      <c r="DV11" s="6">
        <f t="shared" si="1"/>
        <v>-1.1000000000000001</v>
      </c>
      <c r="DW11" s="6">
        <f t="shared" si="1"/>
        <v>-1.1499999999999999</v>
      </c>
      <c r="DX11" s="6">
        <f t="shared" si="1"/>
        <v>-1.2</v>
      </c>
      <c r="DY11" s="6">
        <f t="shared" si="1"/>
        <v>-1.25</v>
      </c>
      <c r="DZ11" s="6">
        <f t="shared" si="1"/>
        <v>-1.3</v>
      </c>
      <c r="EA11" s="6">
        <f t="shared" si="1"/>
        <v>-1.35</v>
      </c>
      <c r="EB11" s="6">
        <f t="shared" si="1"/>
        <v>-1.4</v>
      </c>
      <c r="EC11" s="6">
        <f t="shared" ref="EC11:GN11" si="2">ROUND(EB11-dtime,8)</f>
        <v>-1.45</v>
      </c>
      <c r="ED11" s="6">
        <f t="shared" si="2"/>
        <v>-1.5</v>
      </c>
      <c r="EE11" s="6">
        <f t="shared" si="2"/>
        <v>-1.55</v>
      </c>
      <c r="EF11" s="6">
        <f t="shared" si="2"/>
        <v>-1.6</v>
      </c>
      <c r="EG11" s="6">
        <f t="shared" si="2"/>
        <v>-1.65</v>
      </c>
      <c r="EH11" s="6">
        <f t="shared" si="2"/>
        <v>-1.7</v>
      </c>
      <c r="EI11" s="6">
        <f t="shared" si="2"/>
        <v>-1.75</v>
      </c>
      <c r="EJ11" s="6">
        <f t="shared" si="2"/>
        <v>-1.8</v>
      </c>
      <c r="EK11" s="6">
        <f t="shared" si="2"/>
        <v>-1.85</v>
      </c>
      <c r="EL11" s="6">
        <f t="shared" si="2"/>
        <v>-1.9</v>
      </c>
      <c r="EM11" s="6">
        <f t="shared" si="2"/>
        <v>-1.95</v>
      </c>
      <c r="EN11" s="6">
        <f t="shared" si="2"/>
        <v>-2</v>
      </c>
      <c r="EO11" s="6">
        <f t="shared" si="2"/>
        <v>-2.0499999999999998</v>
      </c>
      <c r="EP11" s="6">
        <f t="shared" si="2"/>
        <v>-2.1</v>
      </c>
      <c r="EQ11" s="6">
        <f t="shared" si="2"/>
        <v>-2.15</v>
      </c>
      <c r="ER11" s="6">
        <f t="shared" si="2"/>
        <v>-2.2000000000000002</v>
      </c>
      <c r="ES11" s="6">
        <f t="shared" si="2"/>
        <v>-2.25</v>
      </c>
      <c r="ET11" s="6">
        <f t="shared" si="2"/>
        <v>-2.2999999999999998</v>
      </c>
      <c r="EU11" s="6">
        <f t="shared" si="2"/>
        <v>-2.35</v>
      </c>
      <c r="EV11" s="6">
        <f t="shared" si="2"/>
        <v>-2.4</v>
      </c>
      <c r="EW11" s="6">
        <f t="shared" si="2"/>
        <v>-2.4500000000000002</v>
      </c>
      <c r="EX11" s="6">
        <f t="shared" si="2"/>
        <v>-2.5</v>
      </c>
      <c r="EY11" s="6">
        <f t="shared" si="2"/>
        <v>-2.5499999999999998</v>
      </c>
      <c r="EZ11" s="6">
        <f t="shared" si="2"/>
        <v>-2.6</v>
      </c>
      <c r="FA11" s="6">
        <f t="shared" si="2"/>
        <v>-2.65</v>
      </c>
      <c r="FB11" s="6">
        <f t="shared" si="2"/>
        <v>-2.7</v>
      </c>
      <c r="FC11" s="6">
        <f t="shared" si="2"/>
        <v>-2.75</v>
      </c>
      <c r="FD11" s="6">
        <f t="shared" si="2"/>
        <v>-2.8</v>
      </c>
      <c r="FE11" s="6">
        <f t="shared" si="2"/>
        <v>-2.85</v>
      </c>
      <c r="FF11" s="6">
        <f t="shared" si="2"/>
        <v>-2.9</v>
      </c>
      <c r="FG11" s="6">
        <f t="shared" si="2"/>
        <v>-2.95</v>
      </c>
      <c r="FH11" s="6">
        <f t="shared" si="2"/>
        <v>-3</v>
      </c>
      <c r="FI11" s="6">
        <f t="shared" si="2"/>
        <v>-3.05</v>
      </c>
      <c r="FJ11" s="6">
        <f t="shared" si="2"/>
        <v>-3.1</v>
      </c>
      <c r="FK11" s="6">
        <f t="shared" si="2"/>
        <v>-3.15</v>
      </c>
      <c r="FL11" s="6">
        <f t="shared" si="2"/>
        <v>-3.2</v>
      </c>
      <c r="FM11" s="6">
        <f t="shared" si="2"/>
        <v>-3.25</v>
      </c>
      <c r="FN11" s="6">
        <f t="shared" si="2"/>
        <v>-3.3</v>
      </c>
      <c r="FO11" s="6">
        <f t="shared" si="2"/>
        <v>-3.35</v>
      </c>
      <c r="FP11" s="6">
        <f t="shared" si="2"/>
        <v>-3.4</v>
      </c>
      <c r="FQ11" s="6">
        <f t="shared" si="2"/>
        <v>-3.45</v>
      </c>
      <c r="FR11" s="6">
        <f t="shared" si="2"/>
        <v>-3.5</v>
      </c>
      <c r="FS11" s="6">
        <f t="shared" si="2"/>
        <v>-3.55</v>
      </c>
      <c r="FT11" s="6">
        <f t="shared" si="2"/>
        <v>-3.6</v>
      </c>
      <c r="FU11" s="6">
        <f t="shared" si="2"/>
        <v>-3.65</v>
      </c>
      <c r="FV11" s="6">
        <f t="shared" si="2"/>
        <v>-3.7</v>
      </c>
      <c r="FW11" s="6">
        <f t="shared" si="2"/>
        <v>-3.75</v>
      </c>
      <c r="FX11" s="6">
        <f t="shared" si="2"/>
        <v>-3.8</v>
      </c>
      <c r="FY11" s="6">
        <f t="shared" si="2"/>
        <v>-3.85</v>
      </c>
      <c r="FZ11" s="6">
        <f t="shared" si="2"/>
        <v>-3.9</v>
      </c>
      <c r="GA11" s="6">
        <f t="shared" si="2"/>
        <v>-3.95</v>
      </c>
      <c r="GB11" s="6">
        <f t="shared" si="2"/>
        <v>-4</v>
      </c>
      <c r="GC11" s="6">
        <f t="shared" si="2"/>
        <v>-4.05</v>
      </c>
      <c r="GD11" s="6">
        <f t="shared" si="2"/>
        <v>-4.0999999999999996</v>
      </c>
      <c r="GE11" s="6">
        <f t="shared" si="2"/>
        <v>-4.1500000000000004</v>
      </c>
      <c r="GF11" s="6">
        <f t="shared" si="2"/>
        <v>-4.2</v>
      </c>
      <c r="GG11" s="6">
        <f t="shared" si="2"/>
        <v>-4.25</v>
      </c>
      <c r="GH11" s="6">
        <f t="shared" si="2"/>
        <v>-4.3</v>
      </c>
      <c r="GI11" s="6">
        <f t="shared" si="2"/>
        <v>-4.3499999999999996</v>
      </c>
      <c r="GJ11" s="6">
        <f t="shared" si="2"/>
        <v>-4.4000000000000004</v>
      </c>
      <c r="GK11" s="6">
        <f t="shared" si="2"/>
        <v>-4.45</v>
      </c>
      <c r="GL11" s="6">
        <f t="shared" si="2"/>
        <v>-4.5</v>
      </c>
      <c r="GM11" s="6">
        <f t="shared" si="2"/>
        <v>-4.55</v>
      </c>
      <c r="GN11" s="6">
        <f t="shared" si="2"/>
        <v>-4.5999999999999996</v>
      </c>
      <c r="GO11" s="6">
        <f t="shared" ref="GO11:IV11" si="3">ROUND(GN11-dtime,8)</f>
        <v>-4.6500000000000004</v>
      </c>
      <c r="GP11" s="6">
        <f t="shared" si="3"/>
        <v>-4.7</v>
      </c>
      <c r="GQ11" s="6">
        <f t="shared" si="3"/>
        <v>-4.75</v>
      </c>
      <c r="GR11" s="6">
        <f t="shared" si="3"/>
        <v>-4.8</v>
      </c>
      <c r="GS11" s="6">
        <f t="shared" si="3"/>
        <v>-4.8499999999999996</v>
      </c>
      <c r="GT11" s="6">
        <f t="shared" si="3"/>
        <v>-4.9000000000000004</v>
      </c>
      <c r="GU11" s="6">
        <f t="shared" si="3"/>
        <v>-4.95</v>
      </c>
      <c r="GV11" s="6">
        <f t="shared" si="3"/>
        <v>-5</v>
      </c>
      <c r="GW11" s="6">
        <f t="shared" si="3"/>
        <v>-5.05</v>
      </c>
      <c r="GX11" s="6">
        <f t="shared" si="3"/>
        <v>-5.0999999999999996</v>
      </c>
      <c r="GY11" s="6">
        <f t="shared" si="3"/>
        <v>-5.15</v>
      </c>
      <c r="GZ11" s="6">
        <f t="shared" si="3"/>
        <v>-5.2</v>
      </c>
      <c r="HA11" s="6">
        <f t="shared" si="3"/>
        <v>-5.25</v>
      </c>
      <c r="HB11" s="6">
        <f t="shared" si="3"/>
        <v>-5.3</v>
      </c>
      <c r="HC11" s="6">
        <f t="shared" si="3"/>
        <v>-5.35</v>
      </c>
      <c r="HD11" s="6">
        <f t="shared" si="3"/>
        <v>-5.4</v>
      </c>
      <c r="HE11" s="6">
        <f t="shared" si="3"/>
        <v>-5.45</v>
      </c>
      <c r="HF11" s="6">
        <f t="shared" si="3"/>
        <v>-5.5</v>
      </c>
      <c r="HG11" s="6">
        <f t="shared" si="3"/>
        <v>-5.55</v>
      </c>
      <c r="HH11" s="6">
        <f t="shared" si="3"/>
        <v>-5.6</v>
      </c>
      <c r="HI11" s="6">
        <f t="shared" si="3"/>
        <v>-5.65</v>
      </c>
      <c r="HJ11" s="6">
        <f t="shared" si="3"/>
        <v>-5.7</v>
      </c>
      <c r="HK11" s="6">
        <f t="shared" si="3"/>
        <v>-5.75</v>
      </c>
      <c r="HL11" s="6">
        <f t="shared" si="3"/>
        <v>-5.8</v>
      </c>
      <c r="HM11" s="6">
        <f t="shared" si="3"/>
        <v>-5.85</v>
      </c>
      <c r="HN11" s="6">
        <f t="shared" si="3"/>
        <v>-5.9</v>
      </c>
      <c r="HO11" s="6">
        <f t="shared" si="3"/>
        <v>-5.95</v>
      </c>
      <c r="HP11" s="6">
        <f t="shared" si="3"/>
        <v>-6</v>
      </c>
      <c r="HQ11" s="6">
        <f t="shared" si="3"/>
        <v>-6.05</v>
      </c>
      <c r="HR11" s="6">
        <f t="shared" si="3"/>
        <v>-6.1</v>
      </c>
      <c r="HS11" s="6">
        <f t="shared" si="3"/>
        <v>-6.15</v>
      </c>
      <c r="HT11" s="6">
        <f t="shared" si="3"/>
        <v>-6.2</v>
      </c>
      <c r="HU11" s="6">
        <f t="shared" si="3"/>
        <v>-6.25</v>
      </c>
      <c r="HV11" s="6">
        <f t="shared" si="3"/>
        <v>-6.3</v>
      </c>
      <c r="HW11" s="6">
        <f t="shared" si="3"/>
        <v>-6.35</v>
      </c>
      <c r="HX11" s="6">
        <f t="shared" si="3"/>
        <v>-6.4</v>
      </c>
      <c r="HY11" s="6">
        <f t="shared" si="3"/>
        <v>-6.45</v>
      </c>
      <c r="HZ11" s="6">
        <f t="shared" si="3"/>
        <v>-6.5</v>
      </c>
      <c r="IA11" s="6">
        <f t="shared" si="3"/>
        <v>-6.55</v>
      </c>
      <c r="IB11" s="6">
        <f t="shared" si="3"/>
        <v>-6.6</v>
      </c>
      <c r="IC11" s="6">
        <f t="shared" si="3"/>
        <v>-6.65</v>
      </c>
      <c r="ID11" s="6">
        <f t="shared" si="3"/>
        <v>-6.7</v>
      </c>
      <c r="IE11" s="6">
        <f t="shared" si="3"/>
        <v>-6.75</v>
      </c>
      <c r="IF11" s="6">
        <f t="shared" si="3"/>
        <v>-6.8</v>
      </c>
      <c r="IG11" s="6">
        <f t="shared" si="3"/>
        <v>-6.85</v>
      </c>
      <c r="IH11" s="6">
        <f t="shared" si="3"/>
        <v>-6.9</v>
      </c>
      <c r="II11" s="6">
        <f t="shared" si="3"/>
        <v>-6.95</v>
      </c>
      <c r="IJ11" s="6">
        <f t="shared" si="3"/>
        <v>-7</v>
      </c>
      <c r="IK11" s="6">
        <f t="shared" si="3"/>
        <v>-7.05</v>
      </c>
      <c r="IL11" s="6">
        <f t="shared" si="3"/>
        <v>-7.1</v>
      </c>
      <c r="IM11" s="6">
        <f t="shared" si="3"/>
        <v>-7.15</v>
      </c>
      <c r="IN11" s="6">
        <f t="shared" si="3"/>
        <v>-7.2</v>
      </c>
      <c r="IO11" s="6">
        <f t="shared" si="3"/>
        <v>-7.25</v>
      </c>
      <c r="IP11" s="6">
        <f t="shared" si="3"/>
        <v>-7.3</v>
      </c>
      <c r="IQ11" s="6">
        <f t="shared" si="3"/>
        <v>-7.35</v>
      </c>
      <c r="IR11" s="6">
        <f t="shared" si="3"/>
        <v>-7.4</v>
      </c>
      <c r="IS11" s="6">
        <f t="shared" si="3"/>
        <v>-7.45</v>
      </c>
      <c r="IT11" s="6">
        <f t="shared" si="3"/>
        <v>-7.5</v>
      </c>
      <c r="IU11" s="6">
        <f t="shared" si="3"/>
        <v>-7.55</v>
      </c>
      <c r="IV11" s="6">
        <f t="shared" si="3"/>
        <v>-7.6</v>
      </c>
    </row>
    <row r="12" spans="1:256" x14ac:dyDescent="0.2">
      <c r="A12" s="8">
        <v>0</v>
      </c>
      <c r="B12" s="6">
        <f t="shared" ref="B12:B43" si="4">$A12*dprice</f>
        <v>0</v>
      </c>
      <c r="C12" s="30">
        <f ca="1">OFFSET(D12,0,$B$3)</f>
        <v>5</v>
      </c>
      <c r="D12" s="9">
        <f t="shared" ref="D12:D43" si="5">MAX(strike-$B12,0)</f>
        <v>5</v>
      </c>
      <c r="E12" s="9">
        <f t="array" ref="E12">IF(E$11&gt;=0,MAX(INDEX(MMULT(inverseG,D$12:D$62),$A12+1,1),MAX(strike-$B12,0)),"")</f>
        <v>5</v>
      </c>
      <c r="F12" s="9">
        <f t="array" ref="F12">IF(F$11&gt;=0,MAX(INDEX(MMULT(inverseG,E$12:E$62),$A12+1,1),MAX(strike-$B12,0)),"")</f>
        <v>5</v>
      </c>
      <c r="G12" s="9">
        <f t="array" ref="G12">IF(G$11&gt;=0,MAX(INDEX(MMULT(inverseG,F$12:F$62),$A12+1,1),MAX(strike-$B12,0)),"")</f>
        <v>5</v>
      </c>
      <c r="H12" s="9">
        <f t="array" ref="H12">IF(H$11&gt;=0,MAX(INDEX(MMULT(inverseG,G$12:G$62),$A12+1,1),MAX(strike-$B12,0)),"")</f>
        <v>5</v>
      </c>
      <c r="I12" s="9">
        <f t="array" ref="I12">IF(I$11&gt;=0,MAX(INDEX(MMULT(inverseG,H$12:H$62),$A12+1,1),MAX(strike-$B12,0)),"")</f>
        <v>5</v>
      </c>
      <c r="J12" s="9">
        <f t="array" ref="J12">IF(J$11&gt;=0,MAX(INDEX(MMULT(inverseG,I$12:I$62),$A12+1,1),MAX(strike-$B12,0)),"")</f>
        <v>5</v>
      </c>
      <c r="K12" s="9">
        <f t="array" ref="K12">IF(K$11&gt;=0,MAX(INDEX(MMULT(inverseG,J$12:J$62),$A12+1,1),MAX(strike-$B12,0)),"")</f>
        <v>5</v>
      </c>
      <c r="L12" s="9">
        <f t="array" ref="L12">IF(L$11&gt;=0,MAX(INDEX(MMULT(inverseG,K$12:K$62),$A12+1,1),MAX(strike-$B12,0)),"")</f>
        <v>5</v>
      </c>
      <c r="M12" s="9">
        <f t="array" ref="M12">IF(M$11&gt;=0,MAX(INDEX(MMULT(inverseG,L$12:L$62),$A12+1,1),MAX(strike-$B12,0)),"")</f>
        <v>5</v>
      </c>
      <c r="N12" s="9">
        <f t="array" ref="N12">IF(N$11&gt;=0,MAX(INDEX(MMULT(inverseG,M$12:M$62),$A12+1,1),MAX(strike-$B12,0)),"")</f>
        <v>5</v>
      </c>
      <c r="O12" s="9">
        <f t="array" ref="O12">IF(O$11&gt;=0,MAX(INDEX(MMULT(inverseG,N$12:N$62),$A12+1,1),MAX(strike-$B12,0)),"")</f>
        <v>5</v>
      </c>
      <c r="P12" s="9">
        <f t="array" ref="P12">IF(P$11&gt;=0,MAX(INDEX(MMULT(inverseG,O$12:O$62),$A12+1,1),MAX(strike-$B12,0)),"")</f>
        <v>5</v>
      </c>
      <c r="Q12" s="9">
        <f t="array" ref="Q12">IF(Q$11&gt;=0,MAX(INDEX(MMULT(inverseG,P$12:P$62),$A12+1,1),MAX(strike-$B12,0)),"")</f>
        <v>5</v>
      </c>
      <c r="R12" s="9">
        <f t="array" ref="R12">IF(R$11&gt;=0,MAX(INDEX(MMULT(inverseG,Q$12:Q$62),$A12+1,1),MAX(strike-$B12,0)),"")</f>
        <v>5</v>
      </c>
      <c r="S12" s="9">
        <f t="array" ref="S12">IF(S$11&gt;=0,MAX(INDEX(MMULT(inverseG,R$12:R$62),$A12+1,1),MAX(strike-$B12,0)),"")</f>
        <v>5</v>
      </c>
      <c r="T12" s="9">
        <f t="array" ref="T12">IF(T$11&gt;=0,MAX(INDEX(MMULT(inverseG,S$12:S$62),$A12+1,1),MAX(strike-$B12,0)),"")</f>
        <v>5</v>
      </c>
      <c r="U12" s="9">
        <f t="array" ref="U12">IF(U$11&gt;=0,MAX(INDEX(MMULT(inverseG,T$12:T$62),$A12+1,1),MAX(strike-$B12,0)),"")</f>
        <v>5</v>
      </c>
      <c r="V12" s="9">
        <f t="array" ref="V12">IF(V$11&gt;=0,MAX(INDEX(MMULT(inverseG,U$12:U$62),$A12+1,1),MAX(strike-$B12,0)),"")</f>
        <v>5</v>
      </c>
      <c r="W12" s="9">
        <f t="array" ref="W12">IF(W$11&gt;=0,MAX(INDEX(MMULT(inverseG,V$12:V$62),$A12+1,1),MAX(strike-$B12,0)),"")</f>
        <v>5</v>
      </c>
      <c r="X12" s="9">
        <f t="array" ref="X12">IF(X$11&gt;=0,MAX(INDEX(MMULT(inverseG,W$12:W$62),$A12+1,1),MAX(strike-$B12,0)),"")</f>
        <v>5</v>
      </c>
      <c r="Y12" s="9">
        <f t="array" ref="Y12">IF(Y$11&gt;=0,MAX(INDEX(MMULT(inverseG,X$12:X$62),$A12+1,1),MAX(strike-$B12,0)),"")</f>
        <v>5</v>
      </c>
      <c r="Z12" s="9">
        <f t="array" ref="Z12">IF(Z$11&gt;=0,MAX(INDEX(MMULT(inverseG,Y$12:Y$62),$A12+1,1),MAX(strike-$B12,0)),"")</f>
        <v>5</v>
      </c>
      <c r="AA12" s="9">
        <f t="array" ref="AA12">IF(AA$11&gt;=0,MAX(INDEX(MMULT(inverseG,Z$12:Z$62),$A12+1,1),MAX(strike-$B12,0)),"")</f>
        <v>5</v>
      </c>
      <c r="AB12" s="9">
        <f t="array" ref="AB12">IF(AB$11&gt;=0,MAX(INDEX(MMULT(inverseG,AA$12:AA$62),$A12+1,1),MAX(strike-$B12,0)),"")</f>
        <v>5</v>
      </c>
      <c r="AC12" s="9">
        <f t="array" ref="AC12">IF(AC$11&gt;=0,MAX(INDEX(MMULT(inverseG,AB$12:AB$62),$A12+1,1),MAX(strike-$B12,0)),"")</f>
        <v>5</v>
      </c>
      <c r="AD12" s="9">
        <f t="array" ref="AD12">IF(AD$11&gt;=0,MAX(INDEX(MMULT(inverseG,AC$12:AC$62),$A12+1,1),MAX(strike-$B12,0)),"")</f>
        <v>5</v>
      </c>
      <c r="AE12" s="9">
        <f t="array" ref="AE12">IF(AE$11&gt;=0,MAX(INDEX(MMULT(inverseG,AD$12:AD$62),$A12+1,1),MAX(strike-$B12,0)),"")</f>
        <v>5</v>
      </c>
      <c r="AF12" s="9">
        <f t="array" ref="AF12">IF(AF$11&gt;=0,MAX(INDEX(MMULT(inverseG,AE$12:AE$62),$A12+1,1),MAX(strike-$B12,0)),"")</f>
        <v>5</v>
      </c>
      <c r="AG12" s="9">
        <f t="array" ref="AG12">IF(AG$11&gt;=0,MAX(INDEX(MMULT(inverseG,AF$12:AF$62),$A12+1,1),MAX(strike-$B12,0)),"")</f>
        <v>5</v>
      </c>
      <c r="AH12" s="9">
        <f t="array" ref="AH12">IF(AH$11&gt;=0,MAX(INDEX(MMULT(inverseG,AG$12:AG$62),$A12+1,1),MAX(strike-$B12,0)),"")</f>
        <v>5</v>
      </c>
      <c r="AI12" s="9">
        <f t="array" ref="AI12">IF(AI$11&gt;=0,MAX(INDEX(MMULT(inverseG,AH$12:AH$62),$A12+1,1),MAX(strike-$B12,0)),"")</f>
        <v>5</v>
      </c>
      <c r="AJ12" s="9">
        <f t="array" ref="AJ12">IF(AJ$11&gt;=0,MAX(INDEX(MMULT(inverseG,AI$12:AI$62),$A12+1,1),MAX(strike-$B12,0)),"")</f>
        <v>5</v>
      </c>
      <c r="AK12" s="9">
        <f t="array" ref="AK12">IF(AK$11&gt;=0,MAX(INDEX(MMULT(inverseG,AJ$12:AJ$62),$A12+1,1),MAX(strike-$B12,0)),"")</f>
        <v>5</v>
      </c>
      <c r="AL12" s="9">
        <f t="array" ref="AL12">IF(AL$11&gt;=0,MAX(INDEX(MMULT(inverseG,AK$12:AK$62),$A12+1,1),MAX(strike-$B12,0)),"")</f>
        <v>5</v>
      </c>
      <c r="AM12" s="9">
        <f t="array" ref="AM12">IF(AM$11&gt;=0,MAX(INDEX(MMULT(inverseG,AL$12:AL$62),$A12+1,1),MAX(strike-$B12,0)),"")</f>
        <v>5</v>
      </c>
      <c r="AN12" s="9">
        <f t="array" ref="AN12">IF(AN$11&gt;=0,MAX(INDEX(MMULT(inverseG,AM$12:AM$62),$A12+1,1),MAX(strike-$B12,0)),"")</f>
        <v>5</v>
      </c>
      <c r="AO12" s="9">
        <f t="array" ref="AO12">IF(AO$11&gt;=0,MAX(INDEX(MMULT(inverseG,AN$12:AN$62),$A12+1,1),MAX(strike-$B12,0)),"")</f>
        <v>5</v>
      </c>
      <c r="AP12" s="9">
        <f t="array" ref="AP12">IF(AP$11&gt;=0,MAX(INDEX(MMULT(inverseG,AO$12:AO$62),$A12+1,1),MAX(strike-$B12,0)),"")</f>
        <v>5</v>
      </c>
      <c r="AQ12" s="9">
        <f t="array" ref="AQ12">IF(AQ$11&gt;=0,MAX(INDEX(MMULT(inverseG,AP$12:AP$62),$A12+1,1),MAX(strike-$B12,0)),"")</f>
        <v>5</v>
      </c>
      <c r="AR12" s="9">
        <f t="array" ref="AR12">IF(AR$11&gt;=0,MAX(INDEX(MMULT(inverseG,AQ$12:AQ$62),$A12+1,1),MAX(strike-$B12,0)),"")</f>
        <v>5</v>
      </c>
      <c r="AS12" s="9">
        <f t="array" ref="AS12">IF(AS$11&gt;=0,MAX(INDEX(MMULT(inverseG,AR$12:AR$62),$A12+1,1),MAX(strike-$B12,0)),"")</f>
        <v>5</v>
      </c>
      <c r="AT12" s="9">
        <f t="array" ref="AT12">IF(AT$11&gt;=0,MAX(INDEX(MMULT(inverseG,AS$12:AS$62),$A12+1,1),MAX(strike-$B12,0)),"")</f>
        <v>5</v>
      </c>
      <c r="AU12" s="9">
        <f t="array" ref="AU12">IF(AU$11&gt;=0,MAX(INDEX(MMULT(inverseG,AT$12:AT$62),$A12+1,1),MAX(strike-$B12,0)),"")</f>
        <v>5</v>
      </c>
      <c r="AV12" s="9">
        <f t="array" ref="AV12">IF(AV$11&gt;=0,MAX(INDEX(MMULT(inverseG,AU$12:AU$62),$A12+1,1),MAX(strike-$B12,0)),"")</f>
        <v>5</v>
      </c>
      <c r="AW12" s="9">
        <f t="array" ref="AW12">IF(AW$11&gt;=0,MAX(INDEX(MMULT(inverseG,AV$12:AV$62),$A12+1,1),MAX(strike-$B12,0)),"")</f>
        <v>5</v>
      </c>
      <c r="AX12" s="9">
        <f t="array" ref="AX12">IF(AX$11&gt;=0,MAX(INDEX(MMULT(inverseG,AW$12:AW$62),$A12+1,1),MAX(strike-$B12,0)),"")</f>
        <v>5</v>
      </c>
      <c r="AY12" s="9">
        <f t="array" ref="AY12">IF(AY$11&gt;=0,MAX(INDEX(MMULT(inverseG,AX$12:AX$62),$A12+1,1),MAX(strike-$B12,0)),"")</f>
        <v>5</v>
      </c>
      <c r="AZ12" s="9">
        <f t="array" ref="AZ12">IF(AZ$11&gt;=0,MAX(INDEX(MMULT(inverseG,AY$12:AY$62),$A12+1,1),MAX(strike-$B12,0)),"")</f>
        <v>5</v>
      </c>
      <c r="BA12" s="9">
        <f t="array" ref="BA12">IF(BA$11&gt;=0,MAX(INDEX(MMULT(inverseG,AZ$12:AZ$62),$A12+1,1),MAX(strike-$B12,0)),"")</f>
        <v>5</v>
      </c>
      <c r="BB12" s="9">
        <f t="array" ref="BB12">IF(BB$11&gt;=0,MAX(INDEX(MMULT(inverseG,BA$12:BA$62),$A12+1,1),MAX(strike-$B12,0)),"")</f>
        <v>5</v>
      </c>
      <c r="BC12" s="9">
        <f t="array" ref="BC12">IF(BC$11&gt;=0,MAX(INDEX(MMULT(inverseG,BB$12:BB$62),$A12+1,1),MAX(strike-$B12,0)),"")</f>
        <v>5</v>
      </c>
      <c r="BD12" s="9">
        <f t="array" ref="BD12">IF(BD$11&gt;=0,MAX(INDEX(MMULT(inverseG,BC$12:BC$62),$A12+1,1),MAX(strike-$B12,0)),"")</f>
        <v>5</v>
      </c>
      <c r="BE12" s="9">
        <f t="array" ref="BE12">IF(BE$11&gt;=0,MAX(INDEX(MMULT(inverseG,BD$12:BD$62),$A12+1,1),MAX(strike-$B12,0)),"")</f>
        <v>5</v>
      </c>
      <c r="BF12" s="9">
        <f t="array" ref="BF12">IF(BF$11&gt;=0,MAX(INDEX(MMULT(inverseG,BE$12:BE$62),$A12+1,1),MAX(strike-$B12,0)),"")</f>
        <v>5</v>
      </c>
      <c r="BG12" s="9">
        <f t="array" ref="BG12">IF(BG$11&gt;=0,MAX(INDEX(MMULT(inverseG,BF$12:BF$62),$A12+1,1),MAX(strike-$B12,0)),"")</f>
        <v>5</v>
      </c>
      <c r="BH12" s="9">
        <f t="array" ref="BH12">IF(BH$11&gt;=0,MAX(INDEX(MMULT(inverseG,BG$12:BG$62),$A12+1,1),MAX(strike-$B12,0)),"")</f>
        <v>5</v>
      </c>
      <c r="BI12" s="9">
        <f t="array" ref="BI12">IF(BI$11&gt;=0,MAX(INDEX(MMULT(inverseG,BH$12:BH$62),$A12+1,1),MAX(strike-$B12,0)),"")</f>
        <v>5</v>
      </c>
      <c r="BJ12" s="9">
        <f t="array" ref="BJ12">IF(BJ$11&gt;=0,MAX(INDEX(MMULT(inverseG,BI$12:BI$62),$A12+1,1),MAX(strike-$B12,0)),"")</f>
        <v>5</v>
      </c>
      <c r="BK12" s="9">
        <f t="array" ref="BK12">IF(BK$11&gt;=0,MAX(INDEX(MMULT(inverseG,BJ$12:BJ$62),$A12+1,1),MAX(strike-$B12,0)),"")</f>
        <v>5</v>
      </c>
      <c r="BL12" s="9">
        <f t="array" ref="BL12">IF(BL$11&gt;=0,MAX(INDEX(MMULT(inverseG,BK$12:BK$62),$A12+1,1),MAX(strike-$B12,0)),"")</f>
        <v>5</v>
      </c>
      <c r="BM12" s="9">
        <f t="array" ref="BM12">IF(BM$11&gt;=0,MAX(INDEX(MMULT(inverseG,BL$12:BL$62),$A12+1,1),MAX(strike-$B12,0)),"")</f>
        <v>5</v>
      </c>
      <c r="BN12" s="9">
        <f t="array" ref="BN12">IF(BN$11&gt;=0,MAX(INDEX(MMULT(inverseG,BM$12:BM$62),$A12+1,1),MAX(strike-$B12,0)),"")</f>
        <v>5</v>
      </c>
      <c r="BO12" s="9">
        <f t="array" ref="BO12">IF(BO$11&gt;=0,MAX(INDEX(MMULT(inverseG,BN$12:BN$62),$A12+1,1),MAX(strike-$B12,0)),"")</f>
        <v>5</v>
      </c>
      <c r="BP12" s="9">
        <f t="array" ref="BP12">IF(BP$11&gt;=0,MAX(INDEX(MMULT(inverseG,BO$12:BO$62),$A12+1,1),MAX(strike-$B12,0)),"")</f>
        <v>5</v>
      </c>
      <c r="BQ12" s="9">
        <f t="array" ref="BQ12">IF(BQ$11&gt;=0,MAX(INDEX(MMULT(inverseG,BP$12:BP$62),$A12+1,1),MAX(strike-$B12,0)),"")</f>
        <v>5</v>
      </c>
      <c r="BR12" s="9">
        <f t="array" ref="BR12">IF(BR$11&gt;=0,MAX(INDEX(MMULT(inverseG,BQ$12:BQ$62),$A12+1,1),MAX(strike-$B12,0)),"")</f>
        <v>5</v>
      </c>
      <c r="BS12" s="9">
        <f t="array" ref="BS12">IF(BS$11&gt;=0,MAX(INDEX(MMULT(inverseG,BR$12:BR$62),$A12+1,1),MAX(strike-$B12,0)),"")</f>
        <v>5</v>
      </c>
      <c r="BT12" s="9">
        <f t="array" ref="BT12">IF(BT$11&gt;=0,MAX(INDEX(MMULT(inverseG,BS$12:BS$62),$A12+1,1),MAX(strike-$B12,0)),"")</f>
        <v>5</v>
      </c>
      <c r="BU12" s="9">
        <f t="array" ref="BU12">IF(BU$11&gt;=0,MAX(INDEX(MMULT(inverseG,BT$12:BT$62),$A12+1,1),MAX(strike-$B12,0)),"")</f>
        <v>5</v>
      </c>
      <c r="BV12" s="9">
        <f t="array" ref="BV12">IF(BV$11&gt;=0,MAX(INDEX(MMULT(inverseG,BU$12:BU$62),$A12+1,1),MAX(strike-$B12,0)),"")</f>
        <v>5</v>
      </c>
      <c r="BW12" s="9">
        <f t="array" ref="BW12">IF(BW$11&gt;=0,MAX(INDEX(MMULT(inverseG,BV$12:BV$62),$A12+1,1),MAX(strike-$B12,0)),"")</f>
        <v>5</v>
      </c>
      <c r="BX12" s="9">
        <f t="array" ref="BX12">IF(BX$11&gt;=0,MAX(INDEX(MMULT(inverseG,BW$12:BW$62),$A12+1,1),MAX(strike-$B12,0)),"")</f>
        <v>5</v>
      </c>
      <c r="BY12" s="9">
        <f t="array" ref="BY12">IF(BY$11&gt;=0,MAX(INDEX(MMULT(inverseG,BX$12:BX$62),$A12+1,1),MAX(strike-$B12,0)),"")</f>
        <v>5</v>
      </c>
      <c r="BZ12" s="9">
        <f t="array" ref="BZ12">IF(BZ$11&gt;=0,MAX(INDEX(MMULT(inverseG,BY$12:BY$62),$A12+1,1),MAX(strike-$B12,0)),"")</f>
        <v>5</v>
      </c>
      <c r="CA12" s="9">
        <f t="array" ref="CA12">IF(CA$11&gt;=0,MAX(INDEX(MMULT(inverseG,BZ$12:BZ$62),$A12+1,1),MAX(strike-$B12,0)),"")</f>
        <v>5</v>
      </c>
      <c r="CB12" s="9">
        <f t="array" ref="CB12">IF(CB$11&gt;=0,MAX(INDEX(MMULT(inverseG,CA$12:CA$62),$A12+1,1),MAX(strike-$B12,0)),"")</f>
        <v>5</v>
      </c>
      <c r="CC12" s="9">
        <f t="array" ref="CC12">IF(CC$11&gt;=0,MAX(INDEX(MMULT(inverseG,CB$12:CB$62),$A12+1,1),MAX(strike-$B12,0)),"")</f>
        <v>5</v>
      </c>
      <c r="CD12" s="9">
        <f t="array" ref="CD12">IF(CD$11&gt;=0,MAX(INDEX(MMULT(inverseG,CC$12:CC$62),$A12+1,1),MAX(strike-$B12,0)),"")</f>
        <v>5</v>
      </c>
      <c r="CE12" s="9">
        <f t="array" ref="CE12">IF(CE$11&gt;=0,MAX(INDEX(MMULT(inverseG,CD$12:CD$62),$A12+1,1),MAX(strike-$B12,0)),"")</f>
        <v>5</v>
      </c>
      <c r="CF12" s="9">
        <f t="array" ref="CF12">IF(CF$11&gt;=0,MAX(INDEX(MMULT(inverseG,CE$12:CE$62),$A12+1,1),MAX(strike-$B12,0)),"")</f>
        <v>5</v>
      </c>
      <c r="CG12" s="9">
        <f t="array" ref="CG12">IF(CG$11&gt;=0,MAX(INDEX(MMULT(inverseG,CF$12:CF$62),$A12+1,1),MAX(strike-$B12,0)),"")</f>
        <v>5</v>
      </c>
      <c r="CH12" s="9">
        <f t="array" ref="CH12">IF(CH$11&gt;=0,MAX(INDEX(MMULT(inverseG,CG$12:CG$62),$A12+1,1),MAX(strike-$B12,0)),"")</f>
        <v>5</v>
      </c>
      <c r="CI12" s="9">
        <f t="array" ref="CI12">IF(CI$11&gt;=0,MAX(INDEX(MMULT(inverseG,CH$12:CH$62),$A12+1,1),MAX(strike-$B12,0)),"")</f>
        <v>5</v>
      </c>
      <c r="CJ12" s="9">
        <f t="array" ref="CJ12">IF(CJ$11&gt;=0,MAX(INDEX(MMULT(inverseG,CI$12:CI$62),$A12+1,1),MAX(strike-$B12,0)),"")</f>
        <v>5</v>
      </c>
      <c r="CK12" s="9">
        <f t="array" ref="CK12">IF(CK$11&gt;=0,MAX(INDEX(MMULT(inverseG,CJ$12:CJ$62),$A12+1,1),MAX(strike-$B12,0)),"")</f>
        <v>5</v>
      </c>
      <c r="CL12" s="9">
        <f t="array" ref="CL12">IF(CL$11&gt;=0,MAX(INDEX(MMULT(inverseG,CK$12:CK$62),$A12+1,1),MAX(strike-$B12,0)),"")</f>
        <v>5</v>
      </c>
      <c r="CM12" s="9">
        <f t="array" ref="CM12">IF(CM$11&gt;=0,MAX(INDEX(MMULT(inverseG,CL$12:CL$62),$A12+1,1),MAX(strike-$B12,0)),"")</f>
        <v>5</v>
      </c>
      <c r="CN12" s="9">
        <f t="array" ref="CN12">IF(CN$11&gt;=0,MAX(INDEX(MMULT(inverseG,CM$12:CM$62),$A12+1,1),MAX(strike-$B12,0)),"")</f>
        <v>5</v>
      </c>
      <c r="CO12" s="9">
        <f t="array" ref="CO12">IF(CO$11&gt;=0,MAX(INDEX(MMULT(inverseG,CN$12:CN$62),$A12+1,1),MAX(strike-$B12,0)),"")</f>
        <v>5</v>
      </c>
      <c r="CP12" s="9">
        <f t="array" ref="CP12">IF(CP$11&gt;=0,MAX(INDEX(MMULT(inverseG,CO$12:CO$62),$A12+1,1),MAX(strike-$B12,0)),"")</f>
        <v>5</v>
      </c>
      <c r="CQ12" s="9">
        <f t="array" ref="CQ12">IF(CQ$11&gt;=0,MAX(INDEX(MMULT(inverseG,CP$12:CP$62),$A12+1,1),MAX(strike-$B12,0)),"")</f>
        <v>5</v>
      </c>
      <c r="CR12" s="9">
        <f t="array" ref="CR12">IF(CR$11&gt;=0,MAX(INDEX(MMULT(inverseG,CQ$12:CQ$62),$A12+1,1),MAX(strike-$B12,0)),"")</f>
        <v>5</v>
      </c>
      <c r="CS12" s="9">
        <f t="array" ref="CS12">IF(CS$11&gt;=0,MAX(INDEX(MMULT(inverseG,CR$12:CR$62),$A12+1,1),MAX(strike-$B12,0)),"")</f>
        <v>5</v>
      </c>
      <c r="CT12" s="9">
        <f t="array" ref="CT12">IF(CT$11&gt;=0,MAX(INDEX(MMULT(inverseG,CS$12:CS$62),$A12+1,1),MAX(strike-$B12,0)),"")</f>
        <v>5</v>
      </c>
      <c r="CU12" s="9">
        <f t="array" ref="CU12">IF(CU$11&gt;=0,MAX(INDEX(MMULT(inverseG,CT$12:CT$62),$A12+1,1),MAX(strike-$B12,0)),"")</f>
        <v>5</v>
      </c>
      <c r="CV12" s="9">
        <f t="array" ref="CV12">IF(CV$11&gt;=0,MAX(INDEX(MMULT(inverseG,CU$12:CU$62),$A12+1,1),MAX(strike-$B12,0)),"")</f>
        <v>5</v>
      </c>
      <c r="CW12" s="9">
        <f t="array" ref="CW12">IF(CW$11&gt;=0,MAX(INDEX(MMULT(inverseG,CV$12:CV$62),$A12+1,1),MAX(strike-$B12,0)),"")</f>
        <v>5</v>
      </c>
      <c r="CX12" s="9">
        <f t="array" ref="CX12">IF(CX$11&gt;=0,MAX(INDEX(MMULT(inverseG,CW$12:CW$62),$A12+1,1),MAX(strike-$B12,0)),"")</f>
        <v>5</v>
      </c>
      <c r="CY12" s="9">
        <f t="array" ref="CY12">IF(CY$11&gt;=0,MAX(INDEX(MMULT(inverseG,CX$12:CX$62),$A12+1,1),MAX(strike-$B12,0)),"")</f>
        <v>5</v>
      </c>
      <c r="CZ12" s="9">
        <f t="array" ref="CZ12">IF(CZ$11&gt;=0,MAX(INDEX(MMULT(inverseG,CY$12:CY$62),$A12+1,1),MAX(strike-$B12,0)),"")</f>
        <v>5</v>
      </c>
      <c r="DA12" s="9" t="str">
        <f t="array" ref="DA12">IF(DA$11&gt;=0,MAX(INDEX(MMULT(inverseG,CZ$12:CZ$62),$A12+1,1),MAX(strike-$B12,0)),"")</f>
        <v/>
      </c>
      <c r="DB12" s="9" t="str">
        <f t="array" ref="DB12">IF(DB$11&gt;=0,MAX(INDEX(MMULT(inverseG,DA$12:DA$62),$A12+1,1),MAX(strike-$B12,0)),"")</f>
        <v/>
      </c>
      <c r="DC12" s="9" t="str">
        <f t="array" ref="DC12">IF(DC$11&gt;=0,MAX(INDEX(MMULT(inverseG,DB$12:DB$62),$A12+1,1),MAX(strike-$B12,0)),"")</f>
        <v/>
      </c>
      <c r="DD12" s="9" t="str">
        <f t="array" ref="DD12">IF(DD$11&gt;=0,MAX(INDEX(MMULT(inverseG,DC$12:DC$62),$A12+1,1),MAX(strike-$B12,0)),"")</f>
        <v/>
      </c>
      <c r="DE12" s="9" t="str">
        <f t="array" ref="DE12">IF(DE$11&gt;=0,MAX(INDEX(MMULT(inverseG,DD$12:DD$62),$A12+1,1),MAX(strike-$B12,0)),"")</f>
        <v/>
      </c>
      <c r="DF12" s="9" t="str">
        <f t="array" ref="DF12">IF(DF$11&gt;=0,MAX(INDEX(MMULT(inverseG,DE$12:DE$62),$A12+1,1),MAX(strike-$B12,0)),"")</f>
        <v/>
      </c>
      <c r="DG12" s="9" t="str">
        <f t="array" ref="DG12">IF(DG$11&gt;=0,MAX(INDEX(MMULT(inverseG,DF$12:DF$62),$A12+1,1),MAX(strike-$B12,0)),"")</f>
        <v/>
      </c>
      <c r="DH12" s="9" t="str">
        <f t="array" ref="DH12">IF(DH$11&gt;=0,MAX(INDEX(MMULT(inverseG,DG$12:DG$62),$A12+1,1),MAX(strike-$B12,0)),"")</f>
        <v/>
      </c>
      <c r="DI12" s="9" t="str">
        <f t="array" ref="DI12">IF(DI$11&gt;=0,MAX(INDEX(MMULT(inverseG,DH$12:DH$62),$A12+1,1),MAX(strike-$B12,0)),"")</f>
        <v/>
      </c>
      <c r="DJ12" s="9" t="str">
        <f t="array" ref="DJ12">IF(DJ$11&gt;=0,MAX(INDEX(MMULT(inverseG,DI$12:DI$62),$A12+1,1),MAX(strike-$B12,0)),"")</f>
        <v/>
      </c>
      <c r="DK12" s="9" t="str">
        <f t="array" ref="DK12">IF(DK$11&gt;=0,MAX(INDEX(MMULT(inverseG,DJ$12:DJ$62),$A12+1,1),MAX(strike-$B12,0)),"")</f>
        <v/>
      </c>
      <c r="DL12" s="9" t="str">
        <f t="array" ref="DL12">IF(DL$11&gt;=0,MAX(INDEX(MMULT(inverseG,DK$12:DK$62),$A12+1,1),MAX(strike-$B12,0)),"")</f>
        <v/>
      </c>
      <c r="DM12" s="9" t="str">
        <f t="array" ref="DM12">IF(DM$11&gt;=0,MAX(INDEX(MMULT(inverseG,DL$12:DL$62),$A12+1,1),MAX(strike-$B12,0)),"")</f>
        <v/>
      </c>
      <c r="DN12" s="9" t="str">
        <f t="array" ref="DN12">IF(DN$11&gt;=0,MAX(INDEX(MMULT(inverseG,DM$12:DM$62),$A12+1,1),MAX(strike-$B12,0)),"")</f>
        <v/>
      </c>
      <c r="DO12" s="9" t="str">
        <f t="array" ref="DO12">IF(DO$11&gt;=0,MAX(INDEX(MMULT(inverseG,DN$12:DN$62),$A12+1,1),MAX(strike-$B12,0)),"")</f>
        <v/>
      </c>
      <c r="DP12" s="9" t="str">
        <f t="array" ref="DP12">IF(DP$11&gt;=0,MAX(INDEX(MMULT(inverseG,DO$12:DO$62),$A12+1,1),MAX(strike-$B12,0)),"")</f>
        <v/>
      </c>
      <c r="DQ12" s="9" t="str">
        <f t="array" ref="DQ12">IF(DQ$11&gt;=0,MAX(INDEX(MMULT(inverseG,DP$12:DP$62),$A12+1,1),MAX(strike-$B12,0)),"")</f>
        <v/>
      </c>
      <c r="DR12" s="9" t="str">
        <f t="array" ref="DR12">IF(DR$11&gt;=0,MAX(INDEX(MMULT(inverseG,DQ$12:DQ$62),$A12+1,1),MAX(strike-$B12,0)),"")</f>
        <v/>
      </c>
      <c r="DS12" s="9" t="str">
        <f t="array" ref="DS12">IF(DS$11&gt;=0,MAX(INDEX(MMULT(inverseG,DR$12:DR$62),$A12+1,1),MAX(strike-$B12,0)),"")</f>
        <v/>
      </c>
      <c r="DT12" s="9" t="str">
        <f t="array" ref="DT12">IF(DT$11&gt;=0,MAX(INDEX(MMULT(inverseG,DS$12:DS$62),$A12+1,1),MAX(strike-$B12,0)),"")</f>
        <v/>
      </c>
      <c r="DU12" s="9" t="str">
        <f t="array" ref="DU12">IF(DU$11&gt;=0,MAX(INDEX(MMULT(inverseG,DT$12:DT$62),$A12+1,1),MAX(strike-$B12,0)),"")</f>
        <v/>
      </c>
      <c r="DV12" s="9" t="str">
        <f t="array" ref="DV12">IF(DV$11&gt;=0,MAX(INDEX(MMULT(inverseG,DU$12:DU$62),$A12+1,1),MAX(strike-$B12,0)),"")</f>
        <v/>
      </c>
      <c r="DW12" s="9" t="str">
        <f t="array" ref="DW12">IF(DW$11&gt;=0,MAX(INDEX(MMULT(inverseG,DV$12:DV$62),$A12+1,1),MAX(strike-$B12,0)),"")</f>
        <v/>
      </c>
      <c r="DX12" s="9" t="str">
        <f t="array" ref="DX12">IF(DX$11&gt;=0,MAX(INDEX(MMULT(inverseG,DW$12:DW$62),$A12+1,1),MAX(strike-$B12,0)),"")</f>
        <v/>
      </c>
      <c r="DY12" s="9" t="str">
        <f t="array" ref="DY12">IF(DY$11&gt;=0,MAX(INDEX(MMULT(inverseG,DX$12:DX$62),$A12+1,1),MAX(strike-$B12,0)),"")</f>
        <v/>
      </c>
      <c r="DZ12" s="9" t="str">
        <f t="array" ref="DZ12">IF(DZ$11&gt;=0,MAX(INDEX(MMULT(inverseG,DY$12:DY$62),$A12+1,1),MAX(strike-$B12,0)),"")</f>
        <v/>
      </c>
      <c r="EA12" s="9" t="str">
        <f t="array" ref="EA12">IF(EA$11&gt;=0,MAX(INDEX(MMULT(inverseG,DZ$12:DZ$62),$A12+1,1),MAX(strike-$B12,0)),"")</f>
        <v/>
      </c>
      <c r="EB12" s="9" t="str">
        <f t="array" ref="EB12">IF(EB$11&gt;=0,MAX(INDEX(MMULT(inverseG,EA$12:EA$62),$A12+1,1),MAX(strike-$B12,0)),"")</f>
        <v/>
      </c>
      <c r="EC12" s="9" t="str">
        <f t="array" ref="EC12">IF(EC$11&gt;=0,MAX(INDEX(MMULT(inverseG,EB$12:EB$62),$A12+1,1),MAX(strike-$B12,0)),"")</f>
        <v/>
      </c>
      <c r="ED12" s="9" t="str">
        <f t="array" ref="ED12">IF(ED$11&gt;=0,MAX(INDEX(MMULT(inverseG,EC$12:EC$62),$A12+1,1),MAX(strike-$B12,0)),"")</f>
        <v/>
      </c>
      <c r="EE12" s="9" t="str">
        <f t="array" ref="EE12">IF(EE$11&gt;=0,MAX(INDEX(MMULT(inverseG,ED$12:ED$62),$A12+1,1),MAX(strike-$B12,0)),"")</f>
        <v/>
      </c>
      <c r="EF12" s="9" t="str">
        <f t="array" ref="EF12">IF(EF$11&gt;=0,MAX(INDEX(MMULT(inverseG,EE$12:EE$62),$A12+1,1),MAX(strike-$B12,0)),"")</f>
        <v/>
      </c>
      <c r="EG12" s="9" t="str">
        <f t="array" ref="EG12">IF(EG$11&gt;=0,MAX(INDEX(MMULT(inverseG,EF$12:EF$62),$A12+1,1),MAX(strike-$B12,0)),"")</f>
        <v/>
      </c>
      <c r="EH12" s="9" t="str">
        <f t="array" ref="EH12">IF(EH$11&gt;=0,MAX(INDEX(MMULT(inverseG,EG$12:EG$62),$A12+1,1),MAX(strike-$B12,0)),"")</f>
        <v/>
      </c>
      <c r="EI12" s="9" t="str">
        <f t="array" ref="EI12">IF(EI$11&gt;=0,MAX(INDEX(MMULT(inverseG,EH$12:EH$62),$A12+1,1),MAX(strike-$B12,0)),"")</f>
        <v/>
      </c>
      <c r="EJ12" s="9" t="str">
        <f t="array" ref="EJ12">IF(EJ$11&gt;=0,MAX(INDEX(MMULT(inverseG,EI$12:EI$62),$A12+1,1),MAX(strike-$B12,0)),"")</f>
        <v/>
      </c>
      <c r="EK12" s="9" t="str">
        <f t="array" ref="EK12">IF(EK$11&gt;=0,MAX(INDEX(MMULT(inverseG,EJ$12:EJ$62),$A12+1,1),MAX(strike-$B12,0)),"")</f>
        <v/>
      </c>
      <c r="EL12" s="9" t="str">
        <f t="array" ref="EL12">IF(EL$11&gt;=0,MAX(INDEX(MMULT(inverseG,EK$12:EK$62),$A12+1,1),MAX(strike-$B12,0)),"")</f>
        <v/>
      </c>
      <c r="EM12" s="9" t="str">
        <f t="array" ref="EM12">IF(EM$11&gt;=0,MAX(INDEX(MMULT(inverseG,EL$12:EL$62),$A12+1,1),MAX(strike-$B12,0)),"")</f>
        <v/>
      </c>
      <c r="EN12" s="9" t="str">
        <f t="array" ref="EN12">IF(EN$11&gt;=0,MAX(INDEX(MMULT(inverseG,EM$12:EM$62),$A12+1,1),MAX(strike-$B12,0)),"")</f>
        <v/>
      </c>
      <c r="EO12" s="9" t="str">
        <f t="array" ref="EO12">IF(EO$11&gt;=0,MAX(INDEX(MMULT(inverseG,EN$12:EN$62),$A12+1,1),MAX(strike-$B12,0)),"")</f>
        <v/>
      </c>
      <c r="EP12" s="9" t="str">
        <f t="array" ref="EP12">IF(EP$11&gt;=0,MAX(INDEX(MMULT(inverseG,EO$12:EO$62),$A12+1,1),MAX(strike-$B12,0)),"")</f>
        <v/>
      </c>
      <c r="EQ12" s="9" t="str">
        <f t="array" ref="EQ12">IF(EQ$11&gt;=0,MAX(INDEX(MMULT(inverseG,EP$12:EP$62),$A12+1,1),MAX(strike-$B12,0)),"")</f>
        <v/>
      </c>
      <c r="ER12" s="9" t="str">
        <f t="array" ref="ER12">IF(ER$11&gt;=0,MAX(INDEX(MMULT(inverseG,EQ$12:EQ$62),$A12+1,1),MAX(strike-$B12,0)),"")</f>
        <v/>
      </c>
      <c r="ES12" s="9" t="str">
        <f t="array" ref="ES12">IF(ES$11&gt;=0,MAX(INDEX(MMULT(inverseG,ER$12:ER$62),$A12+1,1),MAX(strike-$B12,0)),"")</f>
        <v/>
      </c>
      <c r="ET12" s="9" t="str">
        <f t="array" ref="ET12">IF(ET$11&gt;=0,MAX(INDEX(MMULT(inverseG,ES$12:ES$62),$A12+1,1),MAX(strike-$B12,0)),"")</f>
        <v/>
      </c>
      <c r="EU12" s="9" t="str">
        <f t="array" ref="EU12">IF(EU$11&gt;=0,MAX(INDEX(MMULT(inverseG,ET$12:ET$62),$A12+1,1),MAX(strike-$B12,0)),"")</f>
        <v/>
      </c>
      <c r="EV12" s="9" t="str">
        <f t="array" ref="EV12">IF(EV$11&gt;=0,MAX(INDEX(MMULT(inverseG,EU$12:EU$62),$A12+1,1),MAX(strike-$B12,0)),"")</f>
        <v/>
      </c>
      <c r="EW12" s="9" t="str">
        <f t="array" ref="EW12">IF(EW$11&gt;=0,MAX(INDEX(MMULT(inverseG,EV$12:EV$62),$A12+1,1),MAX(strike-$B12,0)),"")</f>
        <v/>
      </c>
      <c r="EX12" s="9" t="str">
        <f t="array" ref="EX12">IF(EX$11&gt;=0,MAX(INDEX(MMULT(inverseG,EW$12:EW$62),$A12+1,1),MAX(strike-$B12,0)),"")</f>
        <v/>
      </c>
      <c r="EY12" s="9" t="str">
        <f t="array" ref="EY12">IF(EY$11&gt;=0,MAX(INDEX(MMULT(inverseG,EX$12:EX$62),$A12+1,1),MAX(strike-$B12,0)),"")</f>
        <v/>
      </c>
      <c r="EZ12" s="9" t="str">
        <f t="array" ref="EZ12">IF(EZ$11&gt;=0,MAX(INDEX(MMULT(inverseG,EY$12:EY$62),$A12+1,1),MAX(strike-$B12,0)),"")</f>
        <v/>
      </c>
      <c r="FA12" s="9" t="str">
        <f t="array" ref="FA12">IF(FA$11&gt;=0,MAX(INDEX(MMULT(inverseG,EZ$12:EZ$62),$A12+1,1),MAX(strike-$B12,0)),"")</f>
        <v/>
      </c>
      <c r="FB12" s="9" t="str">
        <f t="array" ref="FB12">IF(FB$11&gt;=0,MAX(INDEX(MMULT(inverseG,FA$12:FA$62),$A12+1,1),MAX(strike-$B12,0)),"")</f>
        <v/>
      </c>
      <c r="FC12" s="9" t="str">
        <f t="array" ref="FC12">IF(FC$11&gt;=0,MAX(INDEX(MMULT(inverseG,FB$12:FB$62),$A12+1,1),MAX(strike-$B12,0)),"")</f>
        <v/>
      </c>
      <c r="FD12" s="9" t="str">
        <f t="array" ref="FD12">IF(FD$11&gt;=0,MAX(INDEX(MMULT(inverseG,FC$12:FC$62),$A12+1,1),MAX(strike-$B12,0)),"")</f>
        <v/>
      </c>
      <c r="FE12" s="9" t="str">
        <f t="array" ref="FE12">IF(FE$11&gt;=0,MAX(INDEX(MMULT(inverseG,FD$12:FD$62),$A12+1,1),MAX(strike-$B12,0)),"")</f>
        <v/>
      </c>
      <c r="FF12" s="9" t="str">
        <f t="array" ref="FF12">IF(FF$11&gt;=0,MAX(INDEX(MMULT(inverseG,FE$12:FE$62),$A12+1,1),MAX(strike-$B12,0)),"")</f>
        <v/>
      </c>
      <c r="FG12" s="9" t="str">
        <f t="array" ref="FG12">IF(FG$11&gt;=0,MAX(INDEX(MMULT(inverseG,FF$12:FF$62),$A12+1,1),MAX(strike-$B12,0)),"")</f>
        <v/>
      </c>
      <c r="FH12" s="9" t="str">
        <f t="array" ref="FH12">IF(FH$11&gt;=0,MAX(INDEX(MMULT(inverseG,FG$12:FG$62),$A12+1,1),MAX(strike-$B12,0)),"")</f>
        <v/>
      </c>
      <c r="FI12" s="9" t="str">
        <f t="array" ref="FI12">IF(FI$11&gt;=0,MAX(INDEX(MMULT(inverseG,FH$12:FH$62),$A12+1,1),MAX(strike-$B12,0)),"")</f>
        <v/>
      </c>
      <c r="FJ12" s="9" t="str">
        <f t="array" ref="FJ12">IF(FJ$11&gt;=0,MAX(INDEX(MMULT(inverseG,FI$12:FI$62),$A12+1,1),MAX(strike-$B12,0)),"")</f>
        <v/>
      </c>
      <c r="FK12" s="9" t="str">
        <f t="array" ref="FK12">IF(FK$11&gt;=0,MAX(INDEX(MMULT(inverseG,FJ$12:FJ$62),$A12+1,1),MAX(strike-$B12,0)),"")</f>
        <v/>
      </c>
      <c r="FL12" s="9" t="str">
        <f t="array" ref="FL12">IF(FL$11&gt;=0,MAX(INDEX(MMULT(inverseG,FK$12:FK$62),$A12+1,1),MAX(strike-$B12,0)),"")</f>
        <v/>
      </c>
      <c r="FM12" s="9" t="str">
        <f t="array" ref="FM12">IF(FM$11&gt;=0,MAX(INDEX(MMULT(inverseG,FL$12:FL$62),$A12+1,1),MAX(strike-$B12,0)),"")</f>
        <v/>
      </c>
      <c r="FN12" s="9" t="str">
        <f t="array" ref="FN12">IF(FN$11&gt;=0,MAX(INDEX(MMULT(inverseG,FM$12:FM$62),$A12+1,1),MAX(strike-$B12,0)),"")</f>
        <v/>
      </c>
      <c r="FO12" s="9" t="str">
        <f t="array" ref="FO12">IF(FO$11&gt;=0,MAX(INDEX(MMULT(inverseG,FN$12:FN$62),$A12+1,1),MAX(strike-$B12,0)),"")</f>
        <v/>
      </c>
      <c r="FP12" s="9" t="str">
        <f t="array" ref="FP12">IF(FP$11&gt;=0,MAX(INDEX(MMULT(inverseG,FO$12:FO$62),$A12+1,1),MAX(strike-$B12,0)),"")</f>
        <v/>
      </c>
      <c r="FQ12" s="9" t="str">
        <f t="array" ref="FQ12">IF(FQ$11&gt;=0,MAX(INDEX(MMULT(inverseG,FP$12:FP$62),$A12+1,1),MAX(strike-$B12,0)),"")</f>
        <v/>
      </c>
      <c r="FR12" s="9" t="str">
        <f t="array" ref="FR12">IF(FR$11&gt;=0,MAX(INDEX(MMULT(inverseG,FQ$12:FQ$62),$A12+1,1),MAX(strike-$B12,0)),"")</f>
        <v/>
      </c>
      <c r="FS12" s="9" t="str">
        <f t="array" ref="FS12">IF(FS$11&gt;=0,MAX(INDEX(MMULT(inverseG,FR$12:FR$62),$A12+1,1),MAX(strike-$B12,0)),"")</f>
        <v/>
      </c>
      <c r="FT12" s="9" t="str">
        <f t="array" ref="FT12">IF(FT$11&gt;=0,MAX(INDEX(MMULT(inverseG,FS$12:FS$62),$A12+1,1),MAX(strike-$B12,0)),"")</f>
        <v/>
      </c>
      <c r="FU12" s="9" t="str">
        <f t="array" ref="FU12">IF(FU$11&gt;=0,MAX(INDEX(MMULT(inverseG,FT$12:FT$62),$A12+1,1),MAX(strike-$B12,0)),"")</f>
        <v/>
      </c>
      <c r="FV12" s="9" t="str">
        <f t="array" ref="FV12">IF(FV$11&gt;=0,MAX(INDEX(MMULT(inverseG,FU$12:FU$62),$A12+1,1),MAX(strike-$B12,0)),"")</f>
        <v/>
      </c>
      <c r="FW12" s="9" t="str">
        <f t="array" ref="FW12">IF(FW$11&gt;=0,MAX(INDEX(MMULT(inverseG,FV$12:FV$62),$A12+1,1),MAX(strike-$B12,0)),"")</f>
        <v/>
      </c>
      <c r="FX12" s="9" t="str">
        <f t="array" ref="FX12">IF(FX$11&gt;=0,MAX(INDEX(MMULT(inverseG,FW$12:FW$62),$A12+1,1),MAX(strike-$B12,0)),"")</f>
        <v/>
      </c>
      <c r="FY12" s="9" t="str">
        <f t="array" ref="FY12">IF(FY$11&gt;=0,MAX(INDEX(MMULT(inverseG,FX$12:FX$62),$A12+1,1),MAX(strike-$B12,0)),"")</f>
        <v/>
      </c>
      <c r="FZ12" s="9" t="str">
        <f t="array" ref="FZ12">IF(FZ$11&gt;=0,MAX(INDEX(MMULT(inverseG,FY$12:FY$62),$A12+1,1),MAX(strike-$B12,0)),"")</f>
        <v/>
      </c>
      <c r="GA12" s="9" t="str">
        <f t="array" ref="GA12">IF(GA$11&gt;=0,MAX(INDEX(MMULT(inverseG,FZ$12:FZ$62),$A12+1,1),MAX(strike-$B12,0)),"")</f>
        <v/>
      </c>
      <c r="GB12" s="9" t="str">
        <f t="array" ref="GB12">IF(GB$11&gt;=0,MAX(INDEX(MMULT(inverseG,GA$12:GA$62),$A12+1,1),MAX(strike-$B12,0)),"")</f>
        <v/>
      </c>
      <c r="GC12" s="9" t="str">
        <f t="array" ref="GC12">IF(GC$11&gt;=0,MAX(INDEX(MMULT(inverseG,GB$12:GB$62),$A12+1,1),MAX(strike-$B12,0)),"")</f>
        <v/>
      </c>
      <c r="GD12" s="9" t="str">
        <f t="array" ref="GD12">IF(GD$11&gt;=0,MAX(INDEX(MMULT(inverseG,GC$12:GC$62),$A12+1,1),MAX(strike-$B12,0)),"")</f>
        <v/>
      </c>
      <c r="GE12" s="9" t="str">
        <f t="array" ref="GE12">IF(GE$11&gt;=0,MAX(INDEX(MMULT(inverseG,GD$12:GD$62),$A12+1,1),MAX(strike-$B12,0)),"")</f>
        <v/>
      </c>
      <c r="GF12" s="9" t="str">
        <f t="array" ref="GF12">IF(GF$11&gt;=0,MAX(INDEX(MMULT(inverseG,GE$12:GE$62),$A12+1,1),MAX(strike-$B12,0)),"")</f>
        <v/>
      </c>
      <c r="GG12" s="9" t="str">
        <f t="array" ref="GG12">IF(GG$11&gt;=0,MAX(INDEX(MMULT(inverseG,GF$12:GF$62),$A12+1,1),MAX(strike-$B12,0)),"")</f>
        <v/>
      </c>
      <c r="GH12" s="9" t="str">
        <f t="array" ref="GH12">IF(GH$11&gt;=0,MAX(INDEX(MMULT(inverseG,GG$12:GG$62),$A12+1,1),MAX(strike-$B12,0)),"")</f>
        <v/>
      </c>
      <c r="GI12" s="9" t="str">
        <f t="array" ref="GI12">IF(GI$11&gt;=0,MAX(INDEX(MMULT(inverseG,GH$12:GH$62),$A12+1,1),MAX(strike-$B12,0)),"")</f>
        <v/>
      </c>
      <c r="GJ12" s="9" t="str">
        <f t="array" ref="GJ12">IF(GJ$11&gt;=0,MAX(INDEX(MMULT(inverseG,GI$12:GI$62),$A12+1,1),MAX(strike-$B12,0)),"")</f>
        <v/>
      </c>
      <c r="GK12" s="9" t="str">
        <f t="array" ref="GK12">IF(GK$11&gt;=0,MAX(INDEX(MMULT(inverseG,GJ$12:GJ$62),$A12+1,1),MAX(strike-$B12,0)),"")</f>
        <v/>
      </c>
      <c r="GL12" s="9" t="str">
        <f t="array" ref="GL12">IF(GL$11&gt;=0,MAX(INDEX(MMULT(inverseG,GK$12:GK$62),$A12+1,1),MAX(strike-$B12,0)),"")</f>
        <v/>
      </c>
      <c r="GM12" s="9" t="str">
        <f t="array" ref="GM12">IF(GM$11&gt;=0,MAX(INDEX(MMULT(inverseG,GL$12:GL$62),$A12+1,1),MAX(strike-$B12,0)),"")</f>
        <v/>
      </c>
      <c r="GN12" s="9" t="str">
        <f t="array" ref="GN12">IF(GN$11&gt;=0,MAX(INDEX(MMULT(inverseG,GM$12:GM$62),$A12+1,1),MAX(strike-$B12,0)),"")</f>
        <v/>
      </c>
      <c r="GO12" s="9" t="str">
        <f t="array" ref="GO12">IF(GO$11&gt;=0,MAX(INDEX(MMULT(inverseG,GN$12:GN$62),$A12+1,1),MAX(strike-$B12,0)),"")</f>
        <v/>
      </c>
      <c r="GP12" s="9" t="str">
        <f t="array" ref="GP12">IF(GP$11&gt;=0,MAX(INDEX(MMULT(inverseG,GO$12:GO$62),$A12+1,1),MAX(strike-$B12,0)),"")</f>
        <v/>
      </c>
      <c r="GQ12" s="9" t="str">
        <f t="array" ref="GQ12">IF(GQ$11&gt;=0,MAX(INDEX(MMULT(inverseG,GP$12:GP$62),$A12+1,1),MAX(strike-$B12,0)),"")</f>
        <v/>
      </c>
      <c r="GR12" s="9" t="str">
        <f t="array" ref="GR12">IF(GR$11&gt;=0,MAX(INDEX(MMULT(inverseG,GQ$12:GQ$62),$A12+1,1),MAX(strike-$B12,0)),"")</f>
        <v/>
      </c>
      <c r="GS12" s="9" t="str">
        <f t="array" ref="GS12">IF(GS$11&gt;=0,MAX(INDEX(MMULT(inverseG,GR$12:GR$62),$A12+1,1),MAX(strike-$B12,0)),"")</f>
        <v/>
      </c>
      <c r="GT12" s="9" t="str">
        <f t="array" ref="GT12">IF(GT$11&gt;=0,MAX(INDEX(MMULT(inverseG,GS$12:GS$62),$A12+1,1),MAX(strike-$B12,0)),"")</f>
        <v/>
      </c>
      <c r="GU12" s="9" t="str">
        <f t="array" ref="GU12">IF(GU$11&gt;=0,MAX(INDEX(MMULT(inverseG,GT$12:GT$62),$A12+1,1),MAX(strike-$B12,0)),"")</f>
        <v/>
      </c>
      <c r="GV12" s="9" t="str">
        <f t="array" ref="GV12">IF(GV$11&gt;=0,MAX(INDEX(MMULT(inverseG,GU$12:GU$62),$A12+1,1),MAX(strike-$B12,0)),"")</f>
        <v/>
      </c>
      <c r="GW12" s="9" t="str">
        <f t="array" ref="GW12">IF(GW$11&gt;=0,MAX(INDEX(MMULT(inverseG,GV$12:GV$62),$A12+1,1),MAX(strike-$B12,0)),"")</f>
        <v/>
      </c>
      <c r="GX12" s="9" t="str">
        <f t="array" ref="GX12">IF(GX$11&gt;=0,MAX(INDEX(MMULT(inverseG,GW$12:GW$62),$A12+1,1),MAX(strike-$B12,0)),"")</f>
        <v/>
      </c>
      <c r="GY12" s="9" t="str">
        <f t="array" ref="GY12">IF(GY$11&gt;=0,MAX(INDEX(MMULT(inverseG,GX$12:GX$62),$A12+1,1),MAX(strike-$B12,0)),"")</f>
        <v/>
      </c>
      <c r="GZ12" s="9" t="str">
        <f t="array" ref="GZ12">IF(GZ$11&gt;=0,MAX(INDEX(MMULT(inverseG,GY$12:GY$62),$A12+1,1),MAX(strike-$B12,0)),"")</f>
        <v/>
      </c>
      <c r="HA12" s="9" t="str">
        <f t="array" ref="HA12">IF(HA$11&gt;=0,MAX(INDEX(MMULT(inverseG,GZ$12:GZ$62),$A12+1,1),MAX(strike-$B12,0)),"")</f>
        <v/>
      </c>
      <c r="HB12" s="9" t="str">
        <f t="array" ref="HB12">IF(HB$11&gt;=0,MAX(INDEX(MMULT(inverseG,HA$12:HA$62),$A12+1,1),MAX(strike-$B12,0)),"")</f>
        <v/>
      </c>
      <c r="HC12" s="9" t="str">
        <f t="array" ref="HC12">IF(HC$11&gt;=0,MAX(INDEX(MMULT(inverseG,HB$12:HB$62),$A12+1,1),MAX(strike-$B12,0)),"")</f>
        <v/>
      </c>
      <c r="HD12" s="9" t="str">
        <f t="array" ref="HD12">IF(HD$11&gt;=0,MAX(INDEX(MMULT(inverseG,HC$12:HC$62),$A12+1,1),MAX(strike-$B12,0)),"")</f>
        <v/>
      </c>
      <c r="HE12" s="9" t="str">
        <f t="array" ref="HE12">IF(HE$11&gt;=0,MAX(INDEX(MMULT(inverseG,HD$12:HD$62),$A12+1,1),MAX(strike-$B12,0)),"")</f>
        <v/>
      </c>
      <c r="HF12" s="9" t="str">
        <f t="array" ref="HF12">IF(HF$11&gt;=0,MAX(INDEX(MMULT(inverseG,HE$12:HE$62),$A12+1,1),MAX(strike-$B12,0)),"")</f>
        <v/>
      </c>
      <c r="HG12" s="9" t="str">
        <f t="array" ref="HG12">IF(HG$11&gt;=0,MAX(INDEX(MMULT(inverseG,HF$12:HF$62),$A12+1,1),MAX(strike-$B12,0)),"")</f>
        <v/>
      </c>
      <c r="HH12" s="9" t="str">
        <f t="array" ref="HH12">IF(HH$11&gt;=0,MAX(INDEX(MMULT(inverseG,HG$12:HG$62),$A12+1,1),MAX(strike-$B12,0)),"")</f>
        <v/>
      </c>
      <c r="HI12" s="9" t="str">
        <f t="array" ref="HI12">IF(HI$11&gt;=0,MAX(INDEX(MMULT(inverseG,HH$12:HH$62),$A12+1,1),MAX(strike-$B12,0)),"")</f>
        <v/>
      </c>
      <c r="HJ12" s="9" t="str">
        <f t="array" ref="HJ12">IF(HJ$11&gt;=0,MAX(INDEX(MMULT(inverseG,HI$12:HI$62),$A12+1,1),MAX(strike-$B12,0)),"")</f>
        <v/>
      </c>
      <c r="HK12" s="9" t="str">
        <f t="array" ref="HK12">IF(HK$11&gt;=0,MAX(INDEX(MMULT(inverseG,HJ$12:HJ$62),$A12+1,1),MAX(strike-$B12,0)),"")</f>
        <v/>
      </c>
      <c r="HL12" s="9" t="str">
        <f t="array" ref="HL12">IF(HL$11&gt;=0,MAX(INDEX(MMULT(inverseG,HK$12:HK$62),$A12+1,1),MAX(strike-$B12,0)),"")</f>
        <v/>
      </c>
      <c r="HM12" s="9" t="str">
        <f t="array" ref="HM12">IF(HM$11&gt;=0,MAX(INDEX(MMULT(inverseG,HL$12:HL$62),$A12+1,1),MAX(strike-$B12,0)),"")</f>
        <v/>
      </c>
      <c r="HN12" s="9" t="str">
        <f t="array" ref="HN12">IF(HN$11&gt;=0,MAX(INDEX(MMULT(inverseG,HM$12:HM$62),$A12+1,1),MAX(strike-$B12,0)),"")</f>
        <v/>
      </c>
      <c r="HO12" s="9" t="str">
        <f t="array" ref="HO12">IF(HO$11&gt;=0,MAX(INDEX(MMULT(inverseG,HN$12:HN$62),$A12+1,1),MAX(strike-$B12,0)),"")</f>
        <v/>
      </c>
      <c r="HP12" s="9" t="str">
        <f t="array" ref="HP12">IF(HP$11&gt;=0,MAX(INDEX(MMULT(inverseG,HO$12:HO$62),$A12+1,1),MAX(strike-$B12,0)),"")</f>
        <v/>
      </c>
      <c r="HQ12" s="9" t="str">
        <f t="array" ref="HQ12">IF(HQ$11&gt;=0,MAX(INDEX(MMULT(inverseG,HP$12:HP$62),$A12+1,1),MAX(strike-$B12,0)),"")</f>
        <v/>
      </c>
      <c r="HR12" s="9" t="str">
        <f t="array" ref="HR12">IF(HR$11&gt;=0,MAX(INDEX(MMULT(inverseG,HQ$12:HQ$62),$A12+1,1),MAX(strike-$B12,0)),"")</f>
        <v/>
      </c>
      <c r="HS12" s="9" t="str">
        <f t="array" ref="HS12">IF(HS$11&gt;=0,MAX(INDEX(MMULT(inverseG,HR$12:HR$62),$A12+1,1),MAX(strike-$B12,0)),"")</f>
        <v/>
      </c>
      <c r="HT12" s="9" t="str">
        <f t="array" ref="HT12">IF(HT$11&gt;=0,MAX(INDEX(MMULT(inverseG,HS$12:HS$62),$A12+1,1),MAX(strike-$B12,0)),"")</f>
        <v/>
      </c>
      <c r="HU12" s="9" t="str">
        <f t="array" ref="HU12">IF(HU$11&gt;=0,MAX(INDEX(MMULT(inverseG,HT$12:HT$62),$A12+1,1),MAX(strike-$B12,0)),"")</f>
        <v/>
      </c>
      <c r="HV12" s="9" t="str">
        <f t="array" ref="HV12">IF(HV$11&gt;=0,MAX(INDEX(MMULT(inverseG,HU$12:HU$62),$A12+1,1),MAX(strike-$B12,0)),"")</f>
        <v/>
      </c>
      <c r="HW12" s="9" t="str">
        <f t="array" ref="HW12">IF(HW$11&gt;=0,MAX(INDEX(MMULT(inverseG,HV$12:HV$62),$A12+1,1),MAX(strike-$B12,0)),"")</f>
        <v/>
      </c>
      <c r="HX12" s="9" t="str">
        <f t="array" ref="HX12">IF(HX$11&gt;=0,MAX(INDEX(MMULT(inverseG,HW$12:HW$62),$A12+1,1),MAX(strike-$B12,0)),"")</f>
        <v/>
      </c>
      <c r="HY12" s="9" t="str">
        <f t="array" ref="HY12">IF(HY$11&gt;=0,MAX(INDEX(MMULT(inverseG,HX$12:HX$62),$A12+1,1),MAX(strike-$B12,0)),"")</f>
        <v/>
      </c>
      <c r="HZ12" s="9" t="str">
        <f t="array" ref="HZ12">IF(HZ$11&gt;=0,MAX(INDEX(MMULT(inverseG,HY$12:HY$62),$A12+1,1),MAX(strike-$B12,0)),"")</f>
        <v/>
      </c>
      <c r="IA12" s="9" t="str">
        <f t="array" ref="IA12">IF(IA$11&gt;=0,MAX(INDEX(MMULT(inverseG,HZ$12:HZ$62),$A12+1,1),MAX(strike-$B12,0)),"")</f>
        <v/>
      </c>
      <c r="IB12" s="9" t="str">
        <f t="array" ref="IB12">IF(IB$11&gt;=0,MAX(INDEX(MMULT(inverseG,IA$12:IA$62),$A12+1,1),MAX(strike-$B12,0)),"")</f>
        <v/>
      </c>
      <c r="IC12" s="9" t="str">
        <f t="array" ref="IC12">IF(IC$11&gt;=0,MAX(INDEX(MMULT(inverseG,IB$12:IB$62),$A12+1,1),MAX(strike-$B12,0)),"")</f>
        <v/>
      </c>
      <c r="ID12" s="9" t="str">
        <f t="array" ref="ID12">IF(ID$11&gt;=0,MAX(INDEX(MMULT(inverseG,IC$12:IC$62),$A12+1,1),MAX(strike-$B12,0)),"")</f>
        <v/>
      </c>
      <c r="IE12" s="9" t="str">
        <f t="array" ref="IE12">IF(IE$11&gt;=0,MAX(INDEX(MMULT(inverseG,ID$12:ID$62),$A12+1,1),MAX(strike-$B12,0)),"")</f>
        <v/>
      </c>
      <c r="IF12" s="9" t="str">
        <f t="array" ref="IF12">IF(IF$11&gt;=0,MAX(INDEX(MMULT(inverseG,IE$12:IE$62),$A12+1,1),MAX(strike-$B12,0)),"")</f>
        <v/>
      </c>
      <c r="IG12" s="9" t="str">
        <f t="array" ref="IG12">IF(IG$11&gt;=0,MAX(INDEX(MMULT(inverseG,IF$12:IF$62),$A12+1,1),MAX(strike-$B12,0)),"")</f>
        <v/>
      </c>
      <c r="IH12" s="9" t="str">
        <f t="array" ref="IH12">IF(IH$11&gt;=0,MAX(INDEX(MMULT(inverseG,IG$12:IG$62),$A12+1,1),MAX(strike-$B12,0)),"")</f>
        <v/>
      </c>
      <c r="II12" s="9" t="str">
        <f t="array" ref="II12">IF(II$11&gt;=0,MAX(INDEX(MMULT(inverseG,IH$12:IH$62),$A12+1,1),MAX(strike-$B12,0)),"")</f>
        <v/>
      </c>
      <c r="IJ12" s="9" t="str">
        <f t="array" ref="IJ12">IF(IJ$11&gt;=0,MAX(INDEX(MMULT(inverseG,II$12:II$62),$A12+1,1),MAX(strike-$B12,0)),"")</f>
        <v/>
      </c>
      <c r="IK12" s="9" t="str">
        <f t="array" ref="IK12">IF(IK$11&gt;=0,MAX(INDEX(MMULT(inverseG,IJ$12:IJ$62),$A12+1,1),MAX(strike-$B12,0)),"")</f>
        <v/>
      </c>
      <c r="IL12" s="9" t="str">
        <f t="array" ref="IL12">IF(IL$11&gt;=0,MAX(INDEX(MMULT(inverseG,IK$12:IK$62),$A12+1,1),MAX(strike-$B12,0)),"")</f>
        <v/>
      </c>
      <c r="IM12" s="9" t="str">
        <f t="array" ref="IM12">IF(IM$11&gt;=0,MAX(INDEX(MMULT(inverseG,IL$12:IL$62),$A12+1,1),MAX(strike-$B12,0)),"")</f>
        <v/>
      </c>
      <c r="IN12" s="9" t="str">
        <f t="array" ref="IN12">IF(IN$11&gt;=0,MAX(INDEX(MMULT(inverseG,IM$12:IM$62),$A12+1,1),MAX(strike-$B12,0)),"")</f>
        <v/>
      </c>
      <c r="IO12" s="9" t="str">
        <f t="array" ref="IO12">IF(IO$11&gt;=0,MAX(INDEX(MMULT(inverseG,IN$12:IN$62),$A12+1,1),MAX(strike-$B12,0)),"")</f>
        <v/>
      </c>
      <c r="IP12" s="9" t="str">
        <f t="array" ref="IP12">IF(IP$11&gt;=0,MAX(INDEX(MMULT(inverseG,IO$12:IO$62),$A12+1,1),MAX(strike-$B12,0)),"")</f>
        <v/>
      </c>
      <c r="IQ12" s="9" t="str">
        <f t="array" ref="IQ12">IF(IQ$11&gt;=0,MAX(INDEX(MMULT(inverseG,IP$12:IP$62),$A12+1,1),MAX(strike-$B12,0)),"")</f>
        <v/>
      </c>
      <c r="IR12" s="9" t="str">
        <f t="array" ref="IR12">IF(IR$11&gt;=0,MAX(INDEX(MMULT(inverseG,IQ$12:IQ$62),$A12+1,1),MAX(strike-$B12,0)),"")</f>
        <v/>
      </c>
      <c r="IS12" s="9" t="str">
        <f t="array" ref="IS12">IF(IS$11&gt;=0,MAX(INDEX(MMULT(inverseG,IR$12:IR$62),$A12+1,1),MAX(strike-$B12,0)),"")</f>
        <v/>
      </c>
      <c r="IT12" s="9" t="str">
        <f t="array" ref="IT12">IF(IT$11&gt;=0,MAX(INDEX(MMULT(inverseG,IS$12:IS$62),$A12+1,1),MAX(strike-$B12,0)),"")</f>
        <v/>
      </c>
      <c r="IU12" s="9" t="str">
        <f t="array" ref="IU12">IF(IU$11&gt;=0,MAX(INDEX(MMULT(inverseG,IT$12:IT$62),$A12+1,1),MAX(strike-$B12,0)),"")</f>
        <v/>
      </c>
      <c r="IV12" s="9" t="str">
        <f t="array" ref="IV12">IF(IV$11&gt;=0,MAX(INDEX(MMULT(inverseG,IU$12:IU$62),$A12+1,1),MAX(strike-$B12,0)),"")</f>
        <v/>
      </c>
    </row>
    <row r="13" spans="1:256" x14ac:dyDescent="0.2">
      <c r="A13" s="8">
        <f>A12+1</f>
        <v>1</v>
      </c>
      <c r="B13" s="6">
        <f t="shared" si="4"/>
        <v>0.25</v>
      </c>
      <c r="C13" s="30">
        <f t="shared" ref="C13:C62" ca="1" si="6">OFFSET(D13,0,$B$3)</f>
        <v>4.75</v>
      </c>
      <c r="D13" s="9">
        <f t="shared" si="5"/>
        <v>4.75</v>
      </c>
      <c r="E13" s="9">
        <f t="array" ref="E13">IF(E$11&gt;=0,MAX(INDEX(MMULT(inverseG,D$12:D$62),$A13+1,1),MAX(strike-$B13,0)),"")</f>
        <v>4.75</v>
      </c>
      <c r="F13" s="9">
        <f t="array" ref="F13">IF(F$11&gt;=0,MAX(INDEX(MMULT(inverseG,E$12:E$62),$A13+1,1),MAX(strike-$B13,0)),"")</f>
        <v>4.75</v>
      </c>
      <c r="G13" s="9">
        <f t="array" ref="G13">IF(G$11&gt;=0,MAX(INDEX(MMULT(inverseG,F$12:F$62),$A13+1,1),MAX(strike-$B13,0)),"")</f>
        <v>4.75</v>
      </c>
      <c r="H13" s="9">
        <f t="array" ref="H13">IF(H$11&gt;=0,MAX(INDEX(MMULT(inverseG,G$12:G$62),$A13+1,1),MAX(strike-$B13,0)),"")</f>
        <v>4.75</v>
      </c>
      <c r="I13" s="9">
        <f t="array" ref="I13">IF(I$11&gt;=0,MAX(INDEX(MMULT(inverseG,H$12:H$62),$A13+1,1),MAX(strike-$B13,0)),"")</f>
        <v>4.75</v>
      </c>
      <c r="J13" s="9">
        <f t="array" ref="J13">IF(J$11&gt;=0,MAX(INDEX(MMULT(inverseG,I$12:I$62),$A13+1,1),MAX(strike-$B13,0)),"")</f>
        <v>4.75</v>
      </c>
      <c r="K13" s="9">
        <f t="array" ref="K13">IF(K$11&gt;=0,MAX(INDEX(MMULT(inverseG,J$12:J$62),$A13+1,1),MAX(strike-$B13,0)),"")</f>
        <v>4.75</v>
      </c>
      <c r="L13" s="9">
        <f t="array" ref="L13">IF(L$11&gt;=0,MAX(INDEX(MMULT(inverseG,K$12:K$62),$A13+1,1),MAX(strike-$B13,0)),"")</f>
        <v>4.75</v>
      </c>
      <c r="M13" s="9">
        <f t="array" ref="M13">IF(M$11&gt;=0,MAX(INDEX(MMULT(inverseG,L$12:L$62),$A13+1,1),MAX(strike-$B13,0)),"")</f>
        <v>4.75</v>
      </c>
      <c r="N13" s="9">
        <f t="array" ref="N13">IF(N$11&gt;=0,MAX(INDEX(MMULT(inverseG,M$12:M$62),$A13+1,1),MAX(strike-$B13,0)),"")</f>
        <v>4.75</v>
      </c>
      <c r="O13" s="9">
        <f t="array" ref="O13">IF(O$11&gt;=0,MAX(INDEX(MMULT(inverseG,N$12:N$62),$A13+1,1),MAX(strike-$B13,0)),"")</f>
        <v>4.75</v>
      </c>
      <c r="P13" s="9">
        <f t="array" ref="P13">IF(P$11&gt;=0,MAX(INDEX(MMULT(inverseG,O$12:O$62),$A13+1,1),MAX(strike-$B13,0)),"")</f>
        <v>4.75</v>
      </c>
      <c r="Q13" s="9">
        <f t="array" ref="Q13">IF(Q$11&gt;=0,MAX(INDEX(MMULT(inverseG,P$12:P$62),$A13+1,1),MAX(strike-$B13,0)),"")</f>
        <v>4.75</v>
      </c>
      <c r="R13" s="9">
        <f t="array" ref="R13">IF(R$11&gt;=0,MAX(INDEX(MMULT(inverseG,Q$12:Q$62),$A13+1,1),MAX(strike-$B13,0)),"")</f>
        <v>4.75</v>
      </c>
      <c r="S13" s="9">
        <f t="array" ref="S13">IF(S$11&gt;=0,MAX(INDEX(MMULT(inverseG,R$12:R$62),$A13+1,1),MAX(strike-$B13,0)),"")</f>
        <v>4.75</v>
      </c>
      <c r="T13" s="9">
        <f t="array" ref="T13">IF(T$11&gt;=0,MAX(INDEX(MMULT(inverseG,S$12:S$62),$A13+1,1),MAX(strike-$B13,0)),"")</f>
        <v>4.75</v>
      </c>
      <c r="U13" s="9">
        <f t="array" ref="U13">IF(U$11&gt;=0,MAX(INDEX(MMULT(inverseG,T$12:T$62),$A13+1,1),MAX(strike-$B13,0)),"")</f>
        <v>4.75</v>
      </c>
      <c r="V13" s="9">
        <f t="array" ref="V13">IF(V$11&gt;=0,MAX(INDEX(MMULT(inverseG,U$12:U$62),$A13+1,1),MAX(strike-$B13,0)),"")</f>
        <v>4.75</v>
      </c>
      <c r="W13" s="9">
        <f t="array" ref="W13">IF(W$11&gt;=0,MAX(INDEX(MMULT(inverseG,V$12:V$62),$A13+1,1),MAX(strike-$B13,0)),"")</f>
        <v>4.75</v>
      </c>
      <c r="X13" s="9">
        <f t="array" ref="X13">IF(X$11&gt;=0,MAX(INDEX(MMULT(inverseG,W$12:W$62),$A13+1,1),MAX(strike-$B13,0)),"")</f>
        <v>4.75</v>
      </c>
      <c r="Y13" s="9">
        <f t="array" ref="Y13">IF(Y$11&gt;=0,MAX(INDEX(MMULT(inverseG,X$12:X$62),$A13+1,1),MAX(strike-$B13,0)),"")</f>
        <v>4.75</v>
      </c>
      <c r="Z13" s="9">
        <f t="array" ref="Z13">IF(Z$11&gt;=0,MAX(INDEX(MMULT(inverseG,Y$12:Y$62),$A13+1,1),MAX(strike-$B13,0)),"")</f>
        <v>4.75</v>
      </c>
      <c r="AA13" s="9">
        <f t="array" ref="AA13">IF(AA$11&gt;=0,MAX(INDEX(MMULT(inverseG,Z$12:Z$62),$A13+1,1),MAX(strike-$B13,0)),"")</f>
        <v>4.75</v>
      </c>
      <c r="AB13" s="9">
        <f t="array" ref="AB13">IF(AB$11&gt;=0,MAX(INDEX(MMULT(inverseG,AA$12:AA$62),$A13+1,1),MAX(strike-$B13,0)),"")</f>
        <v>4.75</v>
      </c>
      <c r="AC13" s="9">
        <f t="array" ref="AC13">IF(AC$11&gt;=0,MAX(INDEX(MMULT(inverseG,AB$12:AB$62),$A13+1,1),MAX(strike-$B13,0)),"")</f>
        <v>4.75</v>
      </c>
      <c r="AD13" s="9">
        <f t="array" ref="AD13">IF(AD$11&gt;=0,MAX(INDEX(MMULT(inverseG,AC$12:AC$62),$A13+1,1),MAX(strike-$B13,0)),"")</f>
        <v>4.75</v>
      </c>
      <c r="AE13" s="9">
        <f t="array" ref="AE13">IF(AE$11&gt;=0,MAX(INDEX(MMULT(inverseG,AD$12:AD$62),$A13+1,1),MAX(strike-$B13,0)),"")</f>
        <v>4.75</v>
      </c>
      <c r="AF13" s="9">
        <f t="array" ref="AF13">IF(AF$11&gt;=0,MAX(INDEX(MMULT(inverseG,AE$12:AE$62),$A13+1,1),MAX(strike-$B13,0)),"")</f>
        <v>4.75</v>
      </c>
      <c r="AG13" s="9">
        <f t="array" ref="AG13">IF(AG$11&gt;=0,MAX(INDEX(MMULT(inverseG,AF$12:AF$62),$A13+1,1),MAX(strike-$B13,0)),"")</f>
        <v>4.75</v>
      </c>
      <c r="AH13" s="9">
        <f t="array" ref="AH13">IF(AH$11&gt;=0,MAX(INDEX(MMULT(inverseG,AG$12:AG$62),$A13+1,1),MAX(strike-$B13,0)),"")</f>
        <v>4.75</v>
      </c>
      <c r="AI13" s="9">
        <f t="array" ref="AI13">IF(AI$11&gt;=0,MAX(INDEX(MMULT(inverseG,AH$12:AH$62),$A13+1,1),MAX(strike-$B13,0)),"")</f>
        <v>4.75</v>
      </c>
      <c r="AJ13" s="9">
        <f t="array" ref="AJ13">IF(AJ$11&gt;=0,MAX(INDEX(MMULT(inverseG,AI$12:AI$62),$A13+1,1),MAX(strike-$B13,0)),"")</f>
        <v>4.75</v>
      </c>
      <c r="AK13" s="9">
        <f t="array" ref="AK13">IF(AK$11&gt;=0,MAX(INDEX(MMULT(inverseG,AJ$12:AJ$62),$A13+1,1),MAX(strike-$B13,0)),"")</f>
        <v>4.75</v>
      </c>
      <c r="AL13" s="9">
        <f t="array" ref="AL13">IF(AL$11&gt;=0,MAX(INDEX(MMULT(inverseG,AK$12:AK$62),$A13+1,1),MAX(strike-$B13,0)),"")</f>
        <v>4.75</v>
      </c>
      <c r="AM13" s="9">
        <f t="array" ref="AM13">IF(AM$11&gt;=0,MAX(INDEX(MMULT(inverseG,AL$12:AL$62),$A13+1,1),MAX(strike-$B13,0)),"")</f>
        <v>4.75</v>
      </c>
      <c r="AN13" s="9">
        <f t="array" ref="AN13">IF(AN$11&gt;=0,MAX(INDEX(MMULT(inverseG,AM$12:AM$62),$A13+1,1),MAX(strike-$B13,0)),"")</f>
        <v>4.75</v>
      </c>
      <c r="AO13" s="9">
        <f t="array" ref="AO13">IF(AO$11&gt;=0,MAX(INDEX(MMULT(inverseG,AN$12:AN$62),$A13+1,1),MAX(strike-$B13,0)),"")</f>
        <v>4.75</v>
      </c>
      <c r="AP13" s="9">
        <f t="array" ref="AP13">IF(AP$11&gt;=0,MAX(INDEX(MMULT(inverseG,AO$12:AO$62),$A13+1,1),MAX(strike-$B13,0)),"")</f>
        <v>4.75</v>
      </c>
      <c r="AQ13" s="9">
        <f t="array" ref="AQ13">IF(AQ$11&gt;=0,MAX(INDEX(MMULT(inverseG,AP$12:AP$62),$A13+1,1),MAX(strike-$B13,0)),"")</f>
        <v>4.75</v>
      </c>
      <c r="AR13" s="9">
        <f t="array" ref="AR13">IF(AR$11&gt;=0,MAX(INDEX(MMULT(inverseG,AQ$12:AQ$62),$A13+1,1),MAX(strike-$B13,0)),"")</f>
        <v>4.75</v>
      </c>
      <c r="AS13" s="9">
        <f t="array" ref="AS13">IF(AS$11&gt;=0,MAX(INDEX(MMULT(inverseG,AR$12:AR$62),$A13+1,1),MAX(strike-$B13,0)),"")</f>
        <v>4.75</v>
      </c>
      <c r="AT13" s="9">
        <f t="array" ref="AT13">IF(AT$11&gt;=0,MAX(INDEX(MMULT(inverseG,AS$12:AS$62),$A13+1,1),MAX(strike-$B13,0)),"")</f>
        <v>4.75</v>
      </c>
      <c r="AU13" s="9">
        <f t="array" ref="AU13">IF(AU$11&gt;=0,MAX(INDEX(MMULT(inverseG,AT$12:AT$62),$A13+1,1),MAX(strike-$B13,0)),"")</f>
        <v>4.75</v>
      </c>
      <c r="AV13" s="9">
        <f t="array" ref="AV13">IF(AV$11&gt;=0,MAX(INDEX(MMULT(inverseG,AU$12:AU$62),$A13+1,1),MAX(strike-$B13,0)),"")</f>
        <v>4.75</v>
      </c>
      <c r="AW13" s="9">
        <f t="array" ref="AW13">IF(AW$11&gt;=0,MAX(INDEX(MMULT(inverseG,AV$12:AV$62),$A13+1,1),MAX(strike-$B13,0)),"")</f>
        <v>4.75</v>
      </c>
      <c r="AX13" s="9">
        <f t="array" ref="AX13">IF(AX$11&gt;=0,MAX(INDEX(MMULT(inverseG,AW$12:AW$62),$A13+1,1),MAX(strike-$B13,0)),"")</f>
        <v>4.75</v>
      </c>
      <c r="AY13" s="9">
        <f t="array" ref="AY13">IF(AY$11&gt;=0,MAX(INDEX(MMULT(inverseG,AX$12:AX$62),$A13+1,1),MAX(strike-$B13,0)),"")</f>
        <v>4.75</v>
      </c>
      <c r="AZ13" s="9">
        <f t="array" ref="AZ13">IF(AZ$11&gt;=0,MAX(INDEX(MMULT(inverseG,AY$12:AY$62),$A13+1,1),MAX(strike-$B13,0)),"")</f>
        <v>4.75</v>
      </c>
      <c r="BA13" s="9">
        <f t="array" ref="BA13">IF(BA$11&gt;=0,MAX(INDEX(MMULT(inverseG,AZ$12:AZ$62),$A13+1,1),MAX(strike-$B13,0)),"")</f>
        <v>4.75</v>
      </c>
      <c r="BB13" s="9">
        <f t="array" ref="BB13">IF(BB$11&gt;=0,MAX(INDEX(MMULT(inverseG,BA$12:BA$62),$A13+1,1),MAX(strike-$B13,0)),"")</f>
        <v>4.75</v>
      </c>
      <c r="BC13" s="9">
        <f t="array" ref="BC13">IF(BC$11&gt;=0,MAX(INDEX(MMULT(inverseG,BB$12:BB$62),$A13+1,1),MAX(strike-$B13,0)),"")</f>
        <v>4.75</v>
      </c>
      <c r="BD13" s="9">
        <f t="array" ref="BD13">IF(BD$11&gt;=0,MAX(INDEX(MMULT(inverseG,BC$12:BC$62),$A13+1,1),MAX(strike-$B13,0)),"")</f>
        <v>4.75</v>
      </c>
      <c r="BE13" s="9">
        <f t="array" ref="BE13">IF(BE$11&gt;=0,MAX(INDEX(MMULT(inverseG,BD$12:BD$62),$A13+1,1),MAX(strike-$B13,0)),"")</f>
        <v>4.75</v>
      </c>
      <c r="BF13" s="9">
        <f t="array" ref="BF13">IF(BF$11&gt;=0,MAX(INDEX(MMULT(inverseG,BE$12:BE$62),$A13+1,1),MAX(strike-$B13,0)),"")</f>
        <v>4.75</v>
      </c>
      <c r="BG13" s="9">
        <f t="array" ref="BG13">IF(BG$11&gt;=0,MAX(INDEX(MMULT(inverseG,BF$12:BF$62),$A13+1,1),MAX(strike-$B13,0)),"")</f>
        <v>4.75</v>
      </c>
      <c r="BH13" s="9">
        <f t="array" ref="BH13">IF(BH$11&gt;=0,MAX(INDEX(MMULT(inverseG,BG$12:BG$62),$A13+1,1),MAX(strike-$B13,0)),"")</f>
        <v>4.75</v>
      </c>
      <c r="BI13" s="9">
        <f t="array" ref="BI13">IF(BI$11&gt;=0,MAX(INDEX(MMULT(inverseG,BH$12:BH$62),$A13+1,1),MAX(strike-$B13,0)),"")</f>
        <v>4.75</v>
      </c>
      <c r="BJ13" s="9">
        <f t="array" ref="BJ13">IF(BJ$11&gt;=0,MAX(INDEX(MMULT(inverseG,BI$12:BI$62),$A13+1,1),MAX(strike-$B13,0)),"")</f>
        <v>4.75</v>
      </c>
      <c r="BK13" s="9">
        <f t="array" ref="BK13">IF(BK$11&gt;=0,MAX(INDEX(MMULT(inverseG,BJ$12:BJ$62),$A13+1,1),MAX(strike-$B13,0)),"")</f>
        <v>4.75</v>
      </c>
      <c r="BL13" s="9">
        <f t="array" ref="BL13">IF(BL$11&gt;=0,MAX(INDEX(MMULT(inverseG,BK$12:BK$62),$A13+1,1),MAX(strike-$B13,0)),"")</f>
        <v>4.75</v>
      </c>
      <c r="BM13" s="9">
        <f t="array" ref="BM13">IF(BM$11&gt;=0,MAX(INDEX(MMULT(inverseG,BL$12:BL$62),$A13+1,1),MAX(strike-$B13,0)),"")</f>
        <v>4.75</v>
      </c>
      <c r="BN13" s="9">
        <f t="array" ref="BN13">IF(BN$11&gt;=0,MAX(INDEX(MMULT(inverseG,BM$12:BM$62),$A13+1,1),MAX(strike-$B13,0)),"")</f>
        <v>4.75</v>
      </c>
      <c r="BO13" s="9">
        <f t="array" ref="BO13">IF(BO$11&gt;=0,MAX(INDEX(MMULT(inverseG,BN$12:BN$62),$A13+1,1),MAX(strike-$B13,0)),"")</f>
        <v>4.75</v>
      </c>
      <c r="BP13" s="9">
        <f t="array" ref="BP13">IF(BP$11&gt;=0,MAX(INDEX(MMULT(inverseG,BO$12:BO$62),$A13+1,1),MAX(strike-$B13,0)),"")</f>
        <v>4.75</v>
      </c>
      <c r="BQ13" s="9">
        <f t="array" ref="BQ13">IF(BQ$11&gt;=0,MAX(INDEX(MMULT(inverseG,BP$12:BP$62),$A13+1,1),MAX(strike-$B13,0)),"")</f>
        <v>4.75</v>
      </c>
      <c r="BR13" s="9">
        <f t="array" ref="BR13">IF(BR$11&gt;=0,MAX(INDEX(MMULT(inverseG,BQ$12:BQ$62),$A13+1,1),MAX(strike-$B13,0)),"")</f>
        <v>4.75</v>
      </c>
      <c r="BS13" s="9">
        <f t="array" ref="BS13">IF(BS$11&gt;=0,MAX(INDEX(MMULT(inverseG,BR$12:BR$62),$A13+1,1),MAX(strike-$B13,0)),"")</f>
        <v>4.75</v>
      </c>
      <c r="BT13" s="9">
        <f t="array" ref="BT13">IF(BT$11&gt;=0,MAX(INDEX(MMULT(inverseG,BS$12:BS$62),$A13+1,1),MAX(strike-$B13,0)),"")</f>
        <v>4.75</v>
      </c>
      <c r="BU13" s="9">
        <f t="array" ref="BU13">IF(BU$11&gt;=0,MAX(INDEX(MMULT(inverseG,BT$12:BT$62),$A13+1,1),MAX(strike-$B13,0)),"")</f>
        <v>4.75</v>
      </c>
      <c r="BV13" s="9">
        <f t="array" ref="BV13">IF(BV$11&gt;=0,MAX(INDEX(MMULT(inverseG,BU$12:BU$62),$A13+1,1),MAX(strike-$B13,0)),"")</f>
        <v>4.75</v>
      </c>
      <c r="BW13" s="9">
        <f t="array" ref="BW13">IF(BW$11&gt;=0,MAX(INDEX(MMULT(inverseG,BV$12:BV$62),$A13+1,1),MAX(strike-$B13,0)),"")</f>
        <v>4.75</v>
      </c>
      <c r="BX13" s="9">
        <f t="array" ref="BX13">IF(BX$11&gt;=0,MAX(INDEX(MMULT(inverseG,BW$12:BW$62),$A13+1,1),MAX(strike-$B13,0)),"")</f>
        <v>4.75</v>
      </c>
      <c r="BY13" s="9">
        <f t="array" ref="BY13">IF(BY$11&gt;=0,MAX(INDEX(MMULT(inverseG,BX$12:BX$62),$A13+1,1),MAX(strike-$B13,0)),"")</f>
        <v>4.75</v>
      </c>
      <c r="BZ13" s="9">
        <f t="array" ref="BZ13">IF(BZ$11&gt;=0,MAX(INDEX(MMULT(inverseG,BY$12:BY$62),$A13+1,1),MAX(strike-$B13,0)),"")</f>
        <v>4.75</v>
      </c>
      <c r="CA13" s="9">
        <f t="array" ref="CA13">IF(CA$11&gt;=0,MAX(INDEX(MMULT(inverseG,BZ$12:BZ$62),$A13+1,1),MAX(strike-$B13,0)),"")</f>
        <v>4.75</v>
      </c>
      <c r="CB13" s="9">
        <f t="array" ref="CB13">IF(CB$11&gt;=0,MAX(INDEX(MMULT(inverseG,CA$12:CA$62),$A13+1,1),MAX(strike-$B13,0)),"")</f>
        <v>4.75</v>
      </c>
      <c r="CC13" s="9">
        <f t="array" ref="CC13">IF(CC$11&gt;=0,MAX(INDEX(MMULT(inverseG,CB$12:CB$62),$A13+1,1),MAX(strike-$B13,0)),"")</f>
        <v>4.75</v>
      </c>
      <c r="CD13" s="9">
        <f t="array" ref="CD13">IF(CD$11&gt;=0,MAX(INDEX(MMULT(inverseG,CC$12:CC$62),$A13+1,1),MAX(strike-$B13,0)),"")</f>
        <v>4.75</v>
      </c>
      <c r="CE13" s="9">
        <f t="array" ref="CE13">IF(CE$11&gt;=0,MAX(INDEX(MMULT(inverseG,CD$12:CD$62),$A13+1,1),MAX(strike-$B13,0)),"")</f>
        <v>4.75</v>
      </c>
      <c r="CF13" s="9">
        <f t="array" ref="CF13">IF(CF$11&gt;=0,MAX(INDEX(MMULT(inverseG,CE$12:CE$62),$A13+1,1),MAX(strike-$B13,0)),"")</f>
        <v>4.75</v>
      </c>
      <c r="CG13" s="9">
        <f t="array" ref="CG13">IF(CG$11&gt;=0,MAX(INDEX(MMULT(inverseG,CF$12:CF$62),$A13+1,1),MAX(strike-$B13,0)),"")</f>
        <v>4.75</v>
      </c>
      <c r="CH13" s="9">
        <f t="array" ref="CH13">IF(CH$11&gt;=0,MAX(INDEX(MMULT(inverseG,CG$12:CG$62),$A13+1,1),MAX(strike-$B13,0)),"")</f>
        <v>4.75</v>
      </c>
      <c r="CI13" s="9">
        <f t="array" ref="CI13">IF(CI$11&gt;=0,MAX(INDEX(MMULT(inverseG,CH$12:CH$62),$A13+1,1),MAX(strike-$B13,0)),"")</f>
        <v>4.75</v>
      </c>
      <c r="CJ13" s="9">
        <f t="array" ref="CJ13">IF(CJ$11&gt;=0,MAX(INDEX(MMULT(inverseG,CI$12:CI$62),$A13+1,1),MAX(strike-$B13,0)),"")</f>
        <v>4.75</v>
      </c>
      <c r="CK13" s="9">
        <f t="array" ref="CK13">IF(CK$11&gt;=0,MAX(INDEX(MMULT(inverseG,CJ$12:CJ$62),$A13+1,1),MAX(strike-$B13,0)),"")</f>
        <v>4.75</v>
      </c>
      <c r="CL13" s="9">
        <f t="array" ref="CL13">IF(CL$11&gt;=0,MAX(INDEX(MMULT(inverseG,CK$12:CK$62),$A13+1,1),MAX(strike-$B13,0)),"")</f>
        <v>4.75</v>
      </c>
      <c r="CM13" s="9">
        <f t="array" ref="CM13">IF(CM$11&gt;=0,MAX(INDEX(MMULT(inverseG,CL$12:CL$62),$A13+1,1),MAX(strike-$B13,0)),"")</f>
        <v>4.75</v>
      </c>
      <c r="CN13" s="9">
        <f t="array" ref="CN13">IF(CN$11&gt;=0,MAX(INDEX(MMULT(inverseG,CM$12:CM$62),$A13+1,1),MAX(strike-$B13,0)),"")</f>
        <v>4.75</v>
      </c>
      <c r="CO13" s="9">
        <f t="array" ref="CO13">IF(CO$11&gt;=0,MAX(INDEX(MMULT(inverseG,CN$12:CN$62),$A13+1,1),MAX(strike-$B13,0)),"")</f>
        <v>4.75</v>
      </c>
      <c r="CP13" s="9">
        <f t="array" ref="CP13">IF(CP$11&gt;=0,MAX(INDEX(MMULT(inverseG,CO$12:CO$62),$A13+1,1),MAX(strike-$B13,0)),"")</f>
        <v>4.75</v>
      </c>
      <c r="CQ13" s="9">
        <f t="array" ref="CQ13">IF(CQ$11&gt;=0,MAX(INDEX(MMULT(inverseG,CP$12:CP$62),$A13+1,1),MAX(strike-$B13,0)),"")</f>
        <v>4.75</v>
      </c>
      <c r="CR13" s="9">
        <f t="array" ref="CR13">IF(CR$11&gt;=0,MAX(INDEX(MMULT(inverseG,CQ$12:CQ$62),$A13+1,1),MAX(strike-$B13,0)),"")</f>
        <v>4.75</v>
      </c>
      <c r="CS13" s="9">
        <f t="array" ref="CS13">IF(CS$11&gt;=0,MAX(INDEX(MMULT(inverseG,CR$12:CR$62),$A13+1,1),MAX(strike-$B13,0)),"")</f>
        <v>4.75</v>
      </c>
      <c r="CT13" s="9">
        <f t="array" ref="CT13">IF(CT$11&gt;=0,MAX(INDEX(MMULT(inverseG,CS$12:CS$62),$A13+1,1),MAX(strike-$B13,0)),"")</f>
        <v>4.75</v>
      </c>
      <c r="CU13" s="9">
        <f t="array" ref="CU13">IF(CU$11&gt;=0,MAX(INDEX(MMULT(inverseG,CT$12:CT$62),$A13+1,1),MAX(strike-$B13,0)),"")</f>
        <v>4.75</v>
      </c>
      <c r="CV13" s="9">
        <f t="array" ref="CV13">IF(CV$11&gt;=0,MAX(INDEX(MMULT(inverseG,CU$12:CU$62),$A13+1,1),MAX(strike-$B13,0)),"")</f>
        <v>4.75</v>
      </c>
      <c r="CW13" s="9">
        <f t="array" ref="CW13">IF(CW$11&gt;=0,MAX(INDEX(MMULT(inverseG,CV$12:CV$62),$A13+1,1),MAX(strike-$B13,0)),"")</f>
        <v>4.75</v>
      </c>
      <c r="CX13" s="9">
        <f t="array" ref="CX13">IF(CX$11&gt;=0,MAX(INDEX(MMULT(inverseG,CW$12:CW$62),$A13+1,1),MAX(strike-$B13,0)),"")</f>
        <v>4.75</v>
      </c>
      <c r="CY13" s="9">
        <f t="array" ref="CY13">IF(CY$11&gt;=0,MAX(INDEX(MMULT(inverseG,CX$12:CX$62),$A13+1,1),MAX(strike-$B13,0)),"")</f>
        <v>4.75</v>
      </c>
      <c r="CZ13" s="9">
        <f t="array" ref="CZ13">IF(CZ$11&gt;=0,MAX(INDEX(MMULT(inverseG,CY$12:CY$62),$A13+1,1),MAX(strike-$B13,0)),"")</f>
        <v>4.75</v>
      </c>
      <c r="DA13" s="9" t="str">
        <f t="array" ref="DA13">IF(DA$11&gt;=0,MAX(INDEX(MMULT(inverseG,CZ$12:CZ$62),$A13+1,1),MAX(strike-$B13,0)),"")</f>
        <v/>
      </c>
      <c r="DB13" s="9" t="str">
        <f t="array" ref="DB13">IF(DB$11&gt;=0,MAX(INDEX(MMULT(inverseG,DA$12:DA$62),$A13+1,1),MAX(strike-$B13,0)),"")</f>
        <v/>
      </c>
      <c r="DC13" s="9" t="str">
        <f t="array" ref="DC13">IF(DC$11&gt;=0,MAX(INDEX(MMULT(inverseG,DB$12:DB$62),$A13+1,1),MAX(strike-$B13,0)),"")</f>
        <v/>
      </c>
      <c r="DD13" s="9" t="str">
        <f t="array" ref="DD13">IF(DD$11&gt;=0,MAX(INDEX(MMULT(inverseG,DC$12:DC$62),$A13+1,1),MAX(strike-$B13,0)),"")</f>
        <v/>
      </c>
      <c r="DE13" s="9" t="str">
        <f t="array" ref="DE13">IF(DE$11&gt;=0,MAX(INDEX(MMULT(inverseG,DD$12:DD$62),$A13+1,1),MAX(strike-$B13,0)),"")</f>
        <v/>
      </c>
      <c r="DF13" s="9" t="str">
        <f t="array" ref="DF13">IF(DF$11&gt;=0,MAX(INDEX(MMULT(inverseG,DE$12:DE$62),$A13+1,1),MAX(strike-$B13,0)),"")</f>
        <v/>
      </c>
      <c r="DG13" s="9" t="str">
        <f t="array" ref="DG13">IF(DG$11&gt;=0,MAX(INDEX(MMULT(inverseG,DF$12:DF$62),$A13+1,1),MAX(strike-$B13,0)),"")</f>
        <v/>
      </c>
      <c r="DH13" s="9" t="str">
        <f t="array" ref="DH13">IF(DH$11&gt;=0,MAX(INDEX(MMULT(inverseG,DG$12:DG$62),$A13+1,1),MAX(strike-$B13,0)),"")</f>
        <v/>
      </c>
      <c r="DI13" s="9" t="str">
        <f t="array" ref="DI13">IF(DI$11&gt;=0,MAX(INDEX(MMULT(inverseG,DH$12:DH$62),$A13+1,1),MAX(strike-$B13,0)),"")</f>
        <v/>
      </c>
      <c r="DJ13" s="9" t="str">
        <f t="array" ref="DJ13">IF(DJ$11&gt;=0,MAX(INDEX(MMULT(inverseG,DI$12:DI$62),$A13+1,1),MAX(strike-$B13,0)),"")</f>
        <v/>
      </c>
      <c r="DK13" s="9" t="str">
        <f t="array" ref="DK13">IF(DK$11&gt;=0,MAX(INDEX(MMULT(inverseG,DJ$12:DJ$62),$A13+1,1),MAX(strike-$B13,0)),"")</f>
        <v/>
      </c>
      <c r="DL13" s="9" t="str">
        <f t="array" ref="DL13">IF(DL$11&gt;=0,MAX(INDEX(MMULT(inverseG,DK$12:DK$62),$A13+1,1),MAX(strike-$B13,0)),"")</f>
        <v/>
      </c>
      <c r="DM13" s="9" t="str">
        <f t="array" ref="DM13">IF(DM$11&gt;=0,MAX(INDEX(MMULT(inverseG,DL$12:DL$62),$A13+1,1),MAX(strike-$B13,0)),"")</f>
        <v/>
      </c>
      <c r="DN13" s="9" t="str">
        <f t="array" ref="DN13">IF(DN$11&gt;=0,MAX(INDEX(MMULT(inverseG,DM$12:DM$62),$A13+1,1),MAX(strike-$B13,0)),"")</f>
        <v/>
      </c>
      <c r="DO13" s="9" t="str">
        <f t="array" ref="DO13">IF(DO$11&gt;=0,MAX(INDEX(MMULT(inverseG,DN$12:DN$62),$A13+1,1),MAX(strike-$B13,0)),"")</f>
        <v/>
      </c>
      <c r="DP13" s="9" t="str">
        <f t="array" ref="DP13">IF(DP$11&gt;=0,MAX(INDEX(MMULT(inverseG,DO$12:DO$62),$A13+1,1),MAX(strike-$B13,0)),"")</f>
        <v/>
      </c>
      <c r="DQ13" s="9" t="str">
        <f t="array" ref="DQ13">IF(DQ$11&gt;=0,MAX(INDEX(MMULT(inverseG,DP$12:DP$62),$A13+1,1),MAX(strike-$B13,0)),"")</f>
        <v/>
      </c>
      <c r="DR13" s="9" t="str">
        <f t="array" ref="DR13">IF(DR$11&gt;=0,MAX(INDEX(MMULT(inverseG,DQ$12:DQ$62),$A13+1,1),MAX(strike-$B13,0)),"")</f>
        <v/>
      </c>
      <c r="DS13" s="9" t="str">
        <f t="array" ref="DS13">IF(DS$11&gt;=0,MAX(INDEX(MMULT(inverseG,DR$12:DR$62),$A13+1,1),MAX(strike-$B13,0)),"")</f>
        <v/>
      </c>
      <c r="DT13" s="9" t="str">
        <f t="array" ref="DT13">IF(DT$11&gt;=0,MAX(INDEX(MMULT(inverseG,DS$12:DS$62),$A13+1,1),MAX(strike-$B13,0)),"")</f>
        <v/>
      </c>
      <c r="DU13" s="9" t="str">
        <f t="array" ref="DU13">IF(DU$11&gt;=0,MAX(INDEX(MMULT(inverseG,DT$12:DT$62),$A13+1,1),MAX(strike-$B13,0)),"")</f>
        <v/>
      </c>
      <c r="DV13" s="9" t="str">
        <f t="array" ref="DV13">IF(DV$11&gt;=0,MAX(INDEX(MMULT(inverseG,DU$12:DU$62),$A13+1,1),MAX(strike-$B13,0)),"")</f>
        <v/>
      </c>
      <c r="DW13" s="9" t="str">
        <f t="array" ref="DW13">IF(DW$11&gt;=0,MAX(INDEX(MMULT(inverseG,DV$12:DV$62),$A13+1,1),MAX(strike-$B13,0)),"")</f>
        <v/>
      </c>
      <c r="DX13" s="9" t="str">
        <f t="array" ref="DX13">IF(DX$11&gt;=0,MAX(INDEX(MMULT(inverseG,DW$12:DW$62),$A13+1,1),MAX(strike-$B13,0)),"")</f>
        <v/>
      </c>
      <c r="DY13" s="9" t="str">
        <f t="array" ref="DY13">IF(DY$11&gt;=0,MAX(INDEX(MMULT(inverseG,DX$12:DX$62),$A13+1,1),MAX(strike-$B13,0)),"")</f>
        <v/>
      </c>
      <c r="DZ13" s="9" t="str">
        <f t="array" ref="DZ13">IF(DZ$11&gt;=0,MAX(INDEX(MMULT(inverseG,DY$12:DY$62),$A13+1,1),MAX(strike-$B13,0)),"")</f>
        <v/>
      </c>
      <c r="EA13" s="9" t="str">
        <f t="array" ref="EA13">IF(EA$11&gt;=0,MAX(INDEX(MMULT(inverseG,DZ$12:DZ$62),$A13+1,1),MAX(strike-$B13,0)),"")</f>
        <v/>
      </c>
      <c r="EB13" s="9" t="str">
        <f t="array" ref="EB13">IF(EB$11&gt;=0,MAX(INDEX(MMULT(inverseG,EA$12:EA$62),$A13+1,1),MAX(strike-$B13,0)),"")</f>
        <v/>
      </c>
      <c r="EC13" s="9" t="str">
        <f t="array" ref="EC13">IF(EC$11&gt;=0,MAX(INDEX(MMULT(inverseG,EB$12:EB$62),$A13+1,1),MAX(strike-$B13,0)),"")</f>
        <v/>
      </c>
      <c r="ED13" s="9" t="str">
        <f t="array" ref="ED13">IF(ED$11&gt;=0,MAX(INDEX(MMULT(inverseG,EC$12:EC$62),$A13+1,1),MAX(strike-$B13,0)),"")</f>
        <v/>
      </c>
      <c r="EE13" s="9" t="str">
        <f t="array" ref="EE13">IF(EE$11&gt;=0,MAX(INDEX(MMULT(inverseG,ED$12:ED$62),$A13+1,1),MAX(strike-$B13,0)),"")</f>
        <v/>
      </c>
      <c r="EF13" s="9" t="str">
        <f t="array" ref="EF13">IF(EF$11&gt;=0,MAX(INDEX(MMULT(inverseG,EE$12:EE$62),$A13+1,1),MAX(strike-$B13,0)),"")</f>
        <v/>
      </c>
      <c r="EG13" s="9" t="str">
        <f t="array" ref="EG13">IF(EG$11&gt;=0,MAX(INDEX(MMULT(inverseG,EF$12:EF$62),$A13+1,1),MAX(strike-$B13,0)),"")</f>
        <v/>
      </c>
      <c r="EH13" s="9" t="str">
        <f t="array" ref="EH13">IF(EH$11&gt;=0,MAX(INDEX(MMULT(inverseG,EG$12:EG$62),$A13+1,1),MAX(strike-$B13,0)),"")</f>
        <v/>
      </c>
      <c r="EI13" s="9" t="str">
        <f t="array" ref="EI13">IF(EI$11&gt;=0,MAX(INDEX(MMULT(inverseG,EH$12:EH$62),$A13+1,1),MAX(strike-$B13,0)),"")</f>
        <v/>
      </c>
      <c r="EJ13" s="9" t="str">
        <f t="array" ref="EJ13">IF(EJ$11&gt;=0,MAX(INDEX(MMULT(inverseG,EI$12:EI$62),$A13+1,1),MAX(strike-$B13,0)),"")</f>
        <v/>
      </c>
      <c r="EK13" s="9" t="str">
        <f t="array" ref="EK13">IF(EK$11&gt;=0,MAX(INDEX(MMULT(inverseG,EJ$12:EJ$62),$A13+1,1),MAX(strike-$B13,0)),"")</f>
        <v/>
      </c>
      <c r="EL13" s="9" t="str">
        <f t="array" ref="EL13">IF(EL$11&gt;=0,MAX(INDEX(MMULT(inverseG,EK$12:EK$62),$A13+1,1),MAX(strike-$B13,0)),"")</f>
        <v/>
      </c>
      <c r="EM13" s="9" t="str">
        <f t="array" ref="EM13">IF(EM$11&gt;=0,MAX(INDEX(MMULT(inverseG,EL$12:EL$62),$A13+1,1),MAX(strike-$B13,0)),"")</f>
        <v/>
      </c>
      <c r="EN13" s="9" t="str">
        <f t="array" ref="EN13">IF(EN$11&gt;=0,MAX(INDEX(MMULT(inverseG,EM$12:EM$62),$A13+1,1),MAX(strike-$B13,0)),"")</f>
        <v/>
      </c>
      <c r="EO13" s="9" t="str">
        <f t="array" ref="EO13">IF(EO$11&gt;=0,MAX(INDEX(MMULT(inverseG,EN$12:EN$62),$A13+1,1),MAX(strike-$B13,0)),"")</f>
        <v/>
      </c>
      <c r="EP13" s="9" t="str">
        <f t="array" ref="EP13">IF(EP$11&gt;=0,MAX(INDEX(MMULT(inverseG,EO$12:EO$62),$A13+1,1),MAX(strike-$B13,0)),"")</f>
        <v/>
      </c>
      <c r="EQ13" s="9" t="str">
        <f t="array" ref="EQ13">IF(EQ$11&gt;=0,MAX(INDEX(MMULT(inverseG,EP$12:EP$62),$A13+1,1),MAX(strike-$B13,0)),"")</f>
        <v/>
      </c>
      <c r="ER13" s="9" t="str">
        <f t="array" ref="ER13">IF(ER$11&gt;=0,MAX(INDEX(MMULT(inverseG,EQ$12:EQ$62),$A13+1,1),MAX(strike-$B13,0)),"")</f>
        <v/>
      </c>
      <c r="ES13" s="9" t="str">
        <f t="array" ref="ES13">IF(ES$11&gt;=0,MAX(INDEX(MMULT(inverseG,ER$12:ER$62),$A13+1,1),MAX(strike-$B13,0)),"")</f>
        <v/>
      </c>
      <c r="ET13" s="9" t="str">
        <f t="array" ref="ET13">IF(ET$11&gt;=0,MAX(INDEX(MMULT(inverseG,ES$12:ES$62),$A13+1,1),MAX(strike-$B13,0)),"")</f>
        <v/>
      </c>
      <c r="EU13" s="9" t="str">
        <f t="array" ref="EU13">IF(EU$11&gt;=0,MAX(INDEX(MMULT(inverseG,ET$12:ET$62),$A13+1,1),MAX(strike-$B13,0)),"")</f>
        <v/>
      </c>
      <c r="EV13" s="9" t="str">
        <f t="array" ref="EV13">IF(EV$11&gt;=0,MAX(INDEX(MMULT(inverseG,EU$12:EU$62),$A13+1,1),MAX(strike-$B13,0)),"")</f>
        <v/>
      </c>
      <c r="EW13" s="9" t="str">
        <f t="array" ref="EW13">IF(EW$11&gt;=0,MAX(INDEX(MMULT(inverseG,EV$12:EV$62),$A13+1,1),MAX(strike-$B13,0)),"")</f>
        <v/>
      </c>
      <c r="EX13" s="9" t="str">
        <f t="array" ref="EX13">IF(EX$11&gt;=0,MAX(INDEX(MMULT(inverseG,EW$12:EW$62),$A13+1,1),MAX(strike-$B13,0)),"")</f>
        <v/>
      </c>
      <c r="EY13" s="9" t="str">
        <f t="array" ref="EY13">IF(EY$11&gt;=0,MAX(INDEX(MMULT(inverseG,EX$12:EX$62),$A13+1,1),MAX(strike-$B13,0)),"")</f>
        <v/>
      </c>
      <c r="EZ13" s="9" t="str">
        <f t="array" ref="EZ13">IF(EZ$11&gt;=0,MAX(INDEX(MMULT(inverseG,EY$12:EY$62),$A13+1,1),MAX(strike-$B13,0)),"")</f>
        <v/>
      </c>
      <c r="FA13" s="9" t="str">
        <f t="array" ref="FA13">IF(FA$11&gt;=0,MAX(INDEX(MMULT(inverseG,EZ$12:EZ$62),$A13+1,1),MAX(strike-$B13,0)),"")</f>
        <v/>
      </c>
      <c r="FB13" s="9" t="str">
        <f t="array" ref="FB13">IF(FB$11&gt;=0,MAX(INDEX(MMULT(inverseG,FA$12:FA$62),$A13+1,1),MAX(strike-$B13,0)),"")</f>
        <v/>
      </c>
      <c r="FC13" s="9" t="str">
        <f t="array" ref="FC13">IF(FC$11&gt;=0,MAX(INDEX(MMULT(inverseG,FB$12:FB$62),$A13+1,1),MAX(strike-$B13,0)),"")</f>
        <v/>
      </c>
      <c r="FD13" s="9" t="str">
        <f t="array" ref="FD13">IF(FD$11&gt;=0,MAX(INDEX(MMULT(inverseG,FC$12:FC$62),$A13+1,1),MAX(strike-$B13,0)),"")</f>
        <v/>
      </c>
      <c r="FE13" s="9" t="str">
        <f t="array" ref="FE13">IF(FE$11&gt;=0,MAX(INDEX(MMULT(inverseG,FD$12:FD$62),$A13+1,1),MAX(strike-$B13,0)),"")</f>
        <v/>
      </c>
      <c r="FF13" s="9" t="str">
        <f t="array" ref="FF13">IF(FF$11&gt;=0,MAX(INDEX(MMULT(inverseG,FE$12:FE$62),$A13+1,1),MAX(strike-$B13,0)),"")</f>
        <v/>
      </c>
      <c r="FG13" s="9" t="str">
        <f t="array" ref="FG13">IF(FG$11&gt;=0,MAX(INDEX(MMULT(inverseG,FF$12:FF$62),$A13+1,1),MAX(strike-$B13,0)),"")</f>
        <v/>
      </c>
      <c r="FH13" s="9" t="str">
        <f t="array" ref="FH13">IF(FH$11&gt;=0,MAX(INDEX(MMULT(inverseG,FG$12:FG$62),$A13+1,1),MAX(strike-$B13,0)),"")</f>
        <v/>
      </c>
      <c r="FI13" s="9" t="str">
        <f t="array" ref="FI13">IF(FI$11&gt;=0,MAX(INDEX(MMULT(inverseG,FH$12:FH$62),$A13+1,1),MAX(strike-$B13,0)),"")</f>
        <v/>
      </c>
      <c r="FJ13" s="9" t="str">
        <f t="array" ref="FJ13">IF(FJ$11&gt;=0,MAX(INDEX(MMULT(inverseG,FI$12:FI$62),$A13+1,1),MAX(strike-$B13,0)),"")</f>
        <v/>
      </c>
      <c r="FK13" s="9" t="str">
        <f t="array" ref="FK13">IF(FK$11&gt;=0,MAX(INDEX(MMULT(inverseG,FJ$12:FJ$62),$A13+1,1),MAX(strike-$B13,0)),"")</f>
        <v/>
      </c>
      <c r="FL13" s="9" t="str">
        <f t="array" ref="FL13">IF(FL$11&gt;=0,MAX(INDEX(MMULT(inverseG,FK$12:FK$62),$A13+1,1),MAX(strike-$B13,0)),"")</f>
        <v/>
      </c>
      <c r="FM13" s="9" t="str">
        <f t="array" ref="FM13">IF(FM$11&gt;=0,MAX(INDEX(MMULT(inverseG,FL$12:FL$62),$A13+1,1),MAX(strike-$B13,0)),"")</f>
        <v/>
      </c>
      <c r="FN13" s="9" t="str">
        <f t="array" ref="FN13">IF(FN$11&gt;=0,MAX(INDEX(MMULT(inverseG,FM$12:FM$62),$A13+1,1),MAX(strike-$B13,0)),"")</f>
        <v/>
      </c>
      <c r="FO13" s="9" t="str">
        <f t="array" ref="FO13">IF(FO$11&gt;=0,MAX(INDEX(MMULT(inverseG,FN$12:FN$62),$A13+1,1),MAX(strike-$B13,0)),"")</f>
        <v/>
      </c>
      <c r="FP13" s="9" t="str">
        <f t="array" ref="FP13">IF(FP$11&gt;=0,MAX(INDEX(MMULT(inverseG,FO$12:FO$62),$A13+1,1),MAX(strike-$B13,0)),"")</f>
        <v/>
      </c>
      <c r="FQ13" s="9" t="str">
        <f t="array" ref="FQ13">IF(FQ$11&gt;=0,MAX(INDEX(MMULT(inverseG,FP$12:FP$62),$A13+1,1),MAX(strike-$B13,0)),"")</f>
        <v/>
      </c>
      <c r="FR13" s="9" t="str">
        <f t="array" ref="FR13">IF(FR$11&gt;=0,MAX(INDEX(MMULT(inverseG,FQ$12:FQ$62),$A13+1,1),MAX(strike-$B13,0)),"")</f>
        <v/>
      </c>
      <c r="FS13" s="9" t="str">
        <f t="array" ref="FS13">IF(FS$11&gt;=0,MAX(INDEX(MMULT(inverseG,FR$12:FR$62),$A13+1,1),MAX(strike-$B13,0)),"")</f>
        <v/>
      </c>
      <c r="FT13" s="9" t="str">
        <f t="array" ref="FT13">IF(FT$11&gt;=0,MAX(INDEX(MMULT(inverseG,FS$12:FS$62),$A13+1,1),MAX(strike-$B13,0)),"")</f>
        <v/>
      </c>
      <c r="FU13" s="9" t="str">
        <f t="array" ref="FU13">IF(FU$11&gt;=0,MAX(INDEX(MMULT(inverseG,FT$12:FT$62),$A13+1,1),MAX(strike-$B13,0)),"")</f>
        <v/>
      </c>
      <c r="FV13" s="9" t="str">
        <f t="array" ref="FV13">IF(FV$11&gt;=0,MAX(INDEX(MMULT(inverseG,FU$12:FU$62),$A13+1,1),MAX(strike-$B13,0)),"")</f>
        <v/>
      </c>
      <c r="FW13" s="9" t="str">
        <f t="array" ref="FW13">IF(FW$11&gt;=0,MAX(INDEX(MMULT(inverseG,FV$12:FV$62),$A13+1,1),MAX(strike-$B13,0)),"")</f>
        <v/>
      </c>
      <c r="FX13" s="9" t="str">
        <f t="array" ref="FX13">IF(FX$11&gt;=0,MAX(INDEX(MMULT(inverseG,FW$12:FW$62),$A13+1,1),MAX(strike-$B13,0)),"")</f>
        <v/>
      </c>
      <c r="FY13" s="9" t="str">
        <f t="array" ref="FY13">IF(FY$11&gt;=0,MAX(INDEX(MMULT(inverseG,FX$12:FX$62),$A13+1,1),MAX(strike-$B13,0)),"")</f>
        <v/>
      </c>
      <c r="FZ13" s="9" t="str">
        <f t="array" ref="FZ13">IF(FZ$11&gt;=0,MAX(INDEX(MMULT(inverseG,FY$12:FY$62),$A13+1,1),MAX(strike-$B13,0)),"")</f>
        <v/>
      </c>
      <c r="GA13" s="9" t="str">
        <f t="array" ref="GA13">IF(GA$11&gt;=0,MAX(INDEX(MMULT(inverseG,FZ$12:FZ$62),$A13+1,1),MAX(strike-$B13,0)),"")</f>
        <v/>
      </c>
      <c r="GB13" s="9" t="str">
        <f t="array" ref="GB13">IF(GB$11&gt;=0,MAX(INDEX(MMULT(inverseG,GA$12:GA$62),$A13+1,1),MAX(strike-$B13,0)),"")</f>
        <v/>
      </c>
      <c r="GC13" s="9" t="str">
        <f t="array" ref="GC13">IF(GC$11&gt;=0,MAX(INDEX(MMULT(inverseG,GB$12:GB$62),$A13+1,1),MAX(strike-$B13,0)),"")</f>
        <v/>
      </c>
      <c r="GD13" s="9" t="str">
        <f t="array" ref="GD13">IF(GD$11&gt;=0,MAX(INDEX(MMULT(inverseG,GC$12:GC$62),$A13+1,1),MAX(strike-$B13,0)),"")</f>
        <v/>
      </c>
      <c r="GE13" s="9" t="str">
        <f t="array" ref="GE13">IF(GE$11&gt;=0,MAX(INDEX(MMULT(inverseG,GD$12:GD$62),$A13+1,1),MAX(strike-$B13,0)),"")</f>
        <v/>
      </c>
      <c r="GF13" s="9" t="str">
        <f t="array" ref="GF13">IF(GF$11&gt;=0,MAX(INDEX(MMULT(inverseG,GE$12:GE$62),$A13+1,1),MAX(strike-$B13,0)),"")</f>
        <v/>
      </c>
      <c r="GG13" s="9" t="str">
        <f t="array" ref="GG13">IF(GG$11&gt;=0,MAX(INDEX(MMULT(inverseG,GF$12:GF$62),$A13+1,1),MAX(strike-$B13,0)),"")</f>
        <v/>
      </c>
      <c r="GH13" s="9" t="str">
        <f t="array" ref="GH13">IF(GH$11&gt;=0,MAX(INDEX(MMULT(inverseG,GG$12:GG$62),$A13+1,1),MAX(strike-$B13,0)),"")</f>
        <v/>
      </c>
      <c r="GI13" s="9" t="str">
        <f t="array" ref="GI13">IF(GI$11&gt;=0,MAX(INDEX(MMULT(inverseG,GH$12:GH$62),$A13+1,1),MAX(strike-$B13,0)),"")</f>
        <v/>
      </c>
      <c r="GJ13" s="9" t="str">
        <f t="array" ref="GJ13">IF(GJ$11&gt;=0,MAX(INDEX(MMULT(inverseG,GI$12:GI$62),$A13+1,1),MAX(strike-$B13,0)),"")</f>
        <v/>
      </c>
      <c r="GK13" s="9" t="str">
        <f t="array" ref="GK13">IF(GK$11&gt;=0,MAX(INDEX(MMULT(inverseG,GJ$12:GJ$62),$A13+1,1),MAX(strike-$B13,0)),"")</f>
        <v/>
      </c>
      <c r="GL13" s="9" t="str">
        <f t="array" ref="GL13">IF(GL$11&gt;=0,MAX(INDEX(MMULT(inverseG,GK$12:GK$62),$A13+1,1),MAX(strike-$B13,0)),"")</f>
        <v/>
      </c>
      <c r="GM13" s="9" t="str">
        <f t="array" ref="GM13">IF(GM$11&gt;=0,MAX(INDEX(MMULT(inverseG,GL$12:GL$62),$A13+1,1),MAX(strike-$B13,0)),"")</f>
        <v/>
      </c>
      <c r="GN13" s="9" t="str">
        <f t="array" ref="GN13">IF(GN$11&gt;=0,MAX(INDEX(MMULT(inverseG,GM$12:GM$62),$A13+1,1),MAX(strike-$B13,0)),"")</f>
        <v/>
      </c>
      <c r="GO13" s="9" t="str">
        <f t="array" ref="GO13">IF(GO$11&gt;=0,MAX(INDEX(MMULT(inverseG,GN$12:GN$62),$A13+1,1),MAX(strike-$B13,0)),"")</f>
        <v/>
      </c>
      <c r="GP13" s="9" t="str">
        <f t="array" ref="GP13">IF(GP$11&gt;=0,MAX(INDEX(MMULT(inverseG,GO$12:GO$62),$A13+1,1),MAX(strike-$B13,0)),"")</f>
        <v/>
      </c>
      <c r="GQ13" s="9" t="str">
        <f t="array" ref="GQ13">IF(GQ$11&gt;=0,MAX(INDEX(MMULT(inverseG,GP$12:GP$62),$A13+1,1),MAX(strike-$B13,0)),"")</f>
        <v/>
      </c>
      <c r="GR13" s="9" t="str">
        <f t="array" ref="GR13">IF(GR$11&gt;=0,MAX(INDEX(MMULT(inverseG,GQ$12:GQ$62),$A13+1,1),MAX(strike-$B13,0)),"")</f>
        <v/>
      </c>
      <c r="GS13" s="9" t="str">
        <f t="array" ref="GS13">IF(GS$11&gt;=0,MAX(INDEX(MMULT(inverseG,GR$12:GR$62),$A13+1,1),MAX(strike-$B13,0)),"")</f>
        <v/>
      </c>
      <c r="GT13" s="9" t="str">
        <f t="array" ref="GT13">IF(GT$11&gt;=0,MAX(INDEX(MMULT(inverseG,GS$12:GS$62),$A13+1,1),MAX(strike-$B13,0)),"")</f>
        <v/>
      </c>
      <c r="GU13" s="9" t="str">
        <f t="array" ref="GU13">IF(GU$11&gt;=0,MAX(INDEX(MMULT(inverseG,GT$12:GT$62),$A13+1,1),MAX(strike-$B13,0)),"")</f>
        <v/>
      </c>
      <c r="GV13" s="9" t="str">
        <f t="array" ref="GV13">IF(GV$11&gt;=0,MAX(INDEX(MMULT(inverseG,GU$12:GU$62),$A13+1,1),MAX(strike-$B13,0)),"")</f>
        <v/>
      </c>
      <c r="GW13" s="9" t="str">
        <f t="array" ref="GW13">IF(GW$11&gt;=0,MAX(INDEX(MMULT(inverseG,GV$12:GV$62),$A13+1,1),MAX(strike-$B13,0)),"")</f>
        <v/>
      </c>
      <c r="GX13" s="9" t="str">
        <f t="array" ref="GX13">IF(GX$11&gt;=0,MAX(INDEX(MMULT(inverseG,GW$12:GW$62),$A13+1,1),MAX(strike-$B13,0)),"")</f>
        <v/>
      </c>
      <c r="GY13" s="9" t="str">
        <f t="array" ref="GY13">IF(GY$11&gt;=0,MAX(INDEX(MMULT(inverseG,GX$12:GX$62),$A13+1,1),MAX(strike-$B13,0)),"")</f>
        <v/>
      </c>
      <c r="GZ13" s="9" t="str">
        <f t="array" ref="GZ13">IF(GZ$11&gt;=0,MAX(INDEX(MMULT(inverseG,GY$12:GY$62),$A13+1,1),MAX(strike-$B13,0)),"")</f>
        <v/>
      </c>
      <c r="HA13" s="9" t="str">
        <f t="array" ref="HA13">IF(HA$11&gt;=0,MAX(INDEX(MMULT(inverseG,GZ$12:GZ$62),$A13+1,1),MAX(strike-$B13,0)),"")</f>
        <v/>
      </c>
      <c r="HB13" s="9" t="str">
        <f t="array" ref="HB13">IF(HB$11&gt;=0,MAX(INDEX(MMULT(inverseG,HA$12:HA$62),$A13+1,1),MAX(strike-$B13,0)),"")</f>
        <v/>
      </c>
      <c r="HC13" s="9" t="str">
        <f t="array" ref="HC13">IF(HC$11&gt;=0,MAX(INDEX(MMULT(inverseG,HB$12:HB$62),$A13+1,1),MAX(strike-$B13,0)),"")</f>
        <v/>
      </c>
      <c r="HD13" s="9" t="str">
        <f t="array" ref="HD13">IF(HD$11&gt;=0,MAX(INDEX(MMULT(inverseG,HC$12:HC$62),$A13+1,1),MAX(strike-$B13,0)),"")</f>
        <v/>
      </c>
      <c r="HE13" s="9" t="str">
        <f t="array" ref="HE13">IF(HE$11&gt;=0,MAX(INDEX(MMULT(inverseG,HD$12:HD$62),$A13+1,1),MAX(strike-$B13,0)),"")</f>
        <v/>
      </c>
      <c r="HF13" s="9" t="str">
        <f t="array" ref="HF13">IF(HF$11&gt;=0,MAX(INDEX(MMULT(inverseG,HE$12:HE$62),$A13+1,1),MAX(strike-$B13,0)),"")</f>
        <v/>
      </c>
      <c r="HG13" s="9" t="str">
        <f t="array" ref="HG13">IF(HG$11&gt;=0,MAX(INDEX(MMULT(inverseG,HF$12:HF$62),$A13+1,1),MAX(strike-$B13,0)),"")</f>
        <v/>
      </c>
      <c r="HH13" s="9" t="str">
        <f t="array" ref="HH13">IF(HH$11&gt;=0,MAX(INDEX(MMULT(inverseG,HG$12:HG$62),$A13+1,1),MAX(strike-$B13,0)),"")</f>
        <v/>
      </c>
      <c r="HI13" s="9" t="str">
        <f t="array" ref="HI13">IF(HI$11&gt;=0,MAX(INDEX(MMULT(inverseG,HH$12:HH$62),$A13+1,1),MAX(strike-$B13,0)),"")</f>
        <v/>
      </c>
      <c r="HJ13" s="9" t="str">
        <f t="array" ref="HJ13">IF(HJ$11&gt;=0,MAX(INDEX(MMULT(inverseG,HI$12:HI$62),$A13+1,1),MAX(strike-$B13,0)),"")</f>
        <v/>
      </c>
      <c r="HK13" s="9" t="str">
        <f t="array" ref="HK13">IF(HK$11&gt;=0,MAX(INDEX(MMULT(inverseG,HJ$12:HJ$62),$A13+1,1),MAX(strike-$B13,0)),"")</f>
        <v/>
      </c>
      <c r="HL13" s="9" t="str">
        <f t="array" ref="HL13">IF(HL$11&gt;=0,MAX(INDEX(MMULT(inverseG,HK$12:HK$62),$A13+1,1),MAX(strike-$B13,0)),"")</f>
        <v/>
      </c>
      <c r="HM13" s="9" t="str">
        <f t="array" ref="HM13">IF(HM$11&gt;=0,MAX(INDEX(MMULT(inverseG,HL$12:HL$62),$A13+1,1),MAX(strike-$B13,0)),"")</f>
        <v/>
      </c>
      <c r="HN13" s="9" t="str">
        <f t="array" ref="HN13">IF(HN$11&gt;=0,MAX(INDEX(MMULT(inverseG,HM$12:HM$62),$A13+1,1),MAX(strike-$B13,0)),"")</f>
        <v/>
      </c>
      <c r="HO13" s="9" t="str">
        <f t="array" ref="HO13">IF(HO$11&gt;=0,MAX(INDEX(MMULT(inverseG,HN$12:HN$62),$A13+1,1),MAX(strike-$B13,0)),"")</f>
        <v/>
      </c>
      <c r="HP13" s="9" t="str">
        <f t="array" ref="HP13">IF(HP$11&gt;=0,MAX(INDEX(MMULT(inverseG,HO$12:HO$62),$A13+1,1),MAX(strike-$B13,0)),"")</f>
        <v/>
      </c>
      <c r="HQ13" s="9" t="str">
        <f t="array" ref="HQ13">IF(HQ$11&gt;=0,MAX(INDEX(MMULT(inverseG,HP$12:HP$62),$A13+1,1),MAX(strike-$B13,0)),"")</f>
        <v/>
      </c>
      <c r="HR13" s="9" t="str">
        <f t="array" ref="HR13">IF(HR$11&gt;=0,MAX(INDEX(MMULT(inverseG,HQ$12:HQ$62),$A13+1,1),MAX(strike-$B13,0)),"")</f>
        <v/>
      </c>
      <c r="HS13" s="9" t="str">
        <f t="array" ref="HS13">IF(HS$11&gt;=0,MAX(INDEX(MMULT(inverseG,HR$12:HR$62),$A13+1,1),MAX(strike-$B13,0)),"")</f>
        <v/>
      </c>
      <c r="HT13" s="9" t="str">
        <f t="array" ref="HT13">IF(HT$11&gt;=0,MAX(INDEX(MMULT(inverseG,HS$12:HS$62),$A13+1,1),MAX(strike-$B13,0)),"")</f>
        <v/>
      </c>
      <c r="HU13" s="9" t="str">
        <f t="array" ref="HU13">IF(HU$11&gt;=0,MAX(INDEX(MMULT(inverseG,HT$12:HT$62),$A13+1,1),MAX(strike-$B13,0)),"")</f>
        <v/>
      </c>
      <c r="HV13" s="9" t="str">
        <f t="array" ref="HV13">IF(HV$11&gt;=0,MAX(INDEX(MMULT(inverseG,HU$12:HU$62),$A13+1,1),MAX(strike-$B13,0)),"")</f>
        <v/>
      </c>
      <c r="HW13" s="9" t="str">
        <f t="array" ref="HW13">IF(HW$11&gt;=0,MAX(INDEX(MMULT(inverseG,HV$12:HV$62),$A13+1,1),MAX(strike-$B13,0)),"")</f>
        <v/>
      </c>
      <c r="HX13" s="9" t="str">
        <f t="array" ref="HX13">IF(HX$11&gt;=0,MAX(INDEX(MMULT(inverseG,HW$12:HW$62),$A13+1,1),MAX(strike-$B13,0)),"")</f>
        <v/>
      </c>
      <c r="HY13" s="9" t="str">
        <f t="array" ref="HY13">IF(HY$11&gt;=0,MAX(INDEX(MMULT(inverseG,HX$12:HX$62),$A13+1,1),MAX(strike-$B13,0)),"")</f>
        <v/>
      </c>
      <c r="HZ13" s="9" t="str">
        <f t="array" ref="HZ13">IF(HZ$11&gt;=0,MAX(INDEX(MMULT(inverseG,HY$12:HY$62),$A13+1,1),MAX(strike-$B13,0)),"")</f>
        <v/>
      </c>
      <c r="IA13" s="9" t="str">
        <f t="array" ref="IA13">IF(IA$11&gt;=0,MAX(INDEX(MMULT(inverseG,HZ$12:HZ$62),$A13+1,1),MAX(strike-$B13,0)),"")</f>
        <v/>
      </c>
      <c r="IB13" s="9" t="str">
        <f t="array" ref="IB13">IF(IB$11&gt;=0,MAX(INDEX(MMULT(inverseG,IA$12:IA$62),$A13+1,1),MAX(strike-$B13,0)),"")</f>
        <v/>
      </c>
      <c r="IC13" s="9" t="str">
        <f t="array" ref="IC13">IF(IC$11&gt;=0,MAX(INDEX(MMULT(inverseG,IB$12:IB$62),$A13+1,1),MAX(strike-$B13,0)),"")</f>
        <v/>
      </c>
      <c r="ID13" s="9" t="str">
        <f t="array" ref="ID13">IF(ID$11&gt;=0,MAX(INDEX(MMULT(inverseG,IC$12:IC$62),$A13+1,1),MAX(strike-$B13,0)),"")</f>
        <v/>
      </c>
      <c r="IE13" s="9" t="str">
        <f t="array" ref="IE13">IF(IE$11&gt;=0,MAX(INDEX(MMULT(inverseG,ID$12:ID$62),$A13+1,1),MAX(strike-$B13,0)),"")</f>
        <v/>
      </c>
      <c r="IF13" s="9" t="str">
        <f t="array" ref="IF13">IF(IF$11&gt;=0,MAX(INDEX(MMULT(inverseG,IE$12:IE$62),$A13+1,1),MAX(strike-$B13,0)),"")</f>
        <v/>
      </c>
      <c r="IG13" s="9" t="str">
        <f t="array" ref="IG13">IF(IG$11&gt;=0,MAX(INDEX(MMULT(inverseG,IF$12:IF$62),$A13+1,1),MAX(strike-$B13,0)),"")</f>
        <v/>
      </c>
      <c r="IH13" s="9" t="str">
        <f t="array" ref="IH13">IF(IH$11&gt;=0,MAX(INDEX(MMULT(inverseG,IG$12:IG$62),$A13+1,1),MAX(strike-$B13,0)),"")</f>
        <v/>
      </c>
      <c r="II13" s="9" t="str">
        <f t="array" ref="II13">IF(II$11&gt;=0,MAX(INDEX(MMULT(inverseG,IH$12:IH$62),$A13+1,1),MAX(strike-$B13,0)),"")</f>
        <v/>
      </c>
      <c r="IJ13" s="9" t="str">
        <f t="array" ref="IJ13">IF(IJ$11&gt;=0,MAX(INDEX(MMULT(inverseG,II$12:II$62),$A13+1,1),MAX(strike-$B13,0)),"")</f>
        <v/>
      </c>
      <c r="IK13" s="9" t="str">
        <f t="array" ref="IK13">IF(IK$11&gt;=0,MAX(INDEX(MMULT(inverseG,IJ$12:IJ$62),$A13+1,1),MAX(strike-$B13,0)),"")</f>
        <v/>
      </c>
      <c r="IL13" s="9" t="str">
        <f t="array" ref="IL13">IF(IL$11&gt;=0,MAX(INDEX(MMULT(inverseG,IK$12:IK$62),$A13+1,1),MAX(strike-$B13,0)),"")</f>
        <v/>
      </c>
      <c r="IM13" s="9" t="str">
        <f t="array" ref="IM13">IF(IM$11&gt;=0,MAX(INDEX(MMULT(inverseG,IL$12:IL$62),$A13+1,1),MAX(strike-$B13,0)),"")</f>
        <v/>
      </c>
      <c r="IN13" s="9" t="str">
        <f t="array" ref="IN13">IF(IN$11&gt;=0,MAX(INDEX(MMULT(inverseG,IM$12:IM$62),$A13+1,1),MAX(strike-$B13,0)),"")</f>
        <v/>
      </c>
      <c r="IO13" s="9" t="str">
        <f t="array" ref="IO13">IF(IO$11&gt;=0,MAX(INDEX(MMULT(inverseG,IN$12:IN$62),$A13+1,1),MAX(strike-$B13,0)),"")</f>
        <v/>
      </c>
      <c r="IP13" s="9" t="str">
        <f t="array" ref="IP13">IF(IP$11&gt;=0,MAX(INDEX(MMULT(inverseG,IO$12:IO$62),$A13+1,1),MAX(strike-$B13,0)),"")</f>
        <v/>
      </c>
      <c r="IQ13" s="9" t="str">
        <f t="array" ref="IQ13">IF(IQ$11&gt;=0,MAX(INDEX(MMULT(inverseG,IP$12:IP$62),$A13+1,1),MAX(strike-$B13,0)),"")</f>
        <v/>
      </c>
      <c r="IR13" s="9" t="str">
        <f t="array" ref="IR13">IF(IR$11&gt;=0,MAX(INDEX(MMULT(inverseG,IQ$12:IQ$62),$A13+1,1),MAX(strike-$B13,0)),"")</f>
        <v/>
      </c>
      <c r="IS13" s="9" t="str">
        <f t="array" ref="IS13">IF(IS$11&gt;=0,MAX(INDEX(MMULT(inverseG,IR$12:IR$62),$A13+1,1),MAX(strike-$B13,0)),"")</f>
        <v/>
      </c>
      <c r="IT13" s="9" t="str">
        <f t="array" ref="IT13">IF(IT$11&gt;=0,MAX(INDEX(MMULT(inverseG,IS$12:IS$62),$A13+1,1),MAX(strike-$B13,0)),"")</f>
        <v/>
      </c>
      <c r="IU13" s="9" t="str">
        <f t="array" ref="IU13">IF(IU$11&gt;=0,MAX(INDEX(MMULT(inverseG,IT$12:IT$62),$A13+1,1),MAX(strike-$B13,0)),"")</f>
        <v/>
      </c>
      <c r="IV13" s="9" t="str">
        <f t="array" ref="IV13">IF(IV$11&gt;=0,MAX(INDEX(MMULT(inverseG,IU$12:IU$62),$A13+1,1),MAX(strike-$B13,0)),"")</f>
        <v/>
      </c>
    </row>
    <row r="14" spans="1:256" x14ac:dyDescent="0.2">
      <c r="A14" s="8">
        <f t="shared" ref="A14:A62" si="7">A13+1</f>
        <v>2</v>
      </c>
      <c r="B14" s="6">
        <f t="shared" si="4"/>
        <v>0.5</v>
      </c>
      <c r="C14" s="30">
        <f t="shared" ca="1" si="6"/>
        <v>4.5</v>
      </c>
      <c r="D14" s="9">
        <f t="shared" si="5"/>
        <v>4.5</v>
      </c>
      <c r="E14" s="9">
        <f t="array" ref="E14">IF(E$11&gt;=0,MAX(INDEX(MMULT(inverseG,D$12:D$62),$A14+1,1),MAX(strike-$B14,0)),"")</f>
        <v>4.5</v>
      </c>
      <c r="F14" s="9">
        <f t="array" ref="F14">IF(F$11&gt;=0,MAX(INDEX(MMULT(inverseG,E$12:E$62),$A14+1,1),MAX(strike-$B14,0)),"")</f>
        <v>4.5</v>
      </c>
      <c r="G14" s="9">
        <f t="array" ref="G14">IF(G$11&gt;=0,MAX(INDEX(MMULT(inverseG,F$12:F$62),$A14+1,1),MAX(strike-$B14,0)),"")</f>
        <v>4.5</v>
      </c>
      <c r="H14" s="9">
        <f t="array" ref="H14">IF(H$11&gt;=0,MAX(INDEX(MMULT(inverseG,G$12:G$62),$A14+1,1),MAX(strike-$B14,0)),"")</f>
        <v>4.5</v>
      </c>
      <c r="I14" s="9">
        <f t="array" ref="I14">IF(I$11&gt;=0,MAX(INDEX(MMULT(inverseG,H$12:H$62),$A14+1,1),MAX(strike-$B14,0)),"")</f>
        <v>4.5</v>
      </c>
      <c r="J14" s="9">
        <f t="array" ref="J14">IF(J$11&gt;=0,MAX(INDEX(MMULT(inverseG,I$12:I$62),$A14+1,1),MAX(strike-$B14,0)),"")</f>
        <v>4.5</v>
      </c>
      <c r="K14" s="9">
        <f t="array" ref="K14">IF(K$11&gt;=0,MAX(INDEX(MMULT(inverseG,J$12:J$62),$A14+1,1),MAX(strike-$B14,0)),"")</f>
        <v>4.5</v>
      </c>
      <c r="L14" s="9">
        <f t="array" ref="L14">IF(L$11&gt;=0,MAX(INDEX(MMULT(inverseG,K$12:K$62),$A14+1,1),MAX(strike-$B14,0)),"")</f>
        <v>4.5</v>
      </c>
      <c r="M14" s="9">
        <f t="array" ref="M14">IF(M$11&gt;=0,MAX(INDEX(MMULT(inverseG,L$12:L$62),$A14+1,1),MAX(strike-$B14,0)),"")</f>
        <v>4.5</v>
      </c>
      <c r="N14" s="9">
        <f t="array" ref="N14">IF(N$11&gt;=0,MAX(INDEX(MMULT(inverseG,M$12:M$62),$A14+1,1),MAX(strike-$B14,0)),"")</f>
        <v>4.5</v>
      </c>
      <c r="O14" s="9">
        <f t="array" ref="O14">IF(O$11&gt;=0,MAX(INDEX(MMULT(inverseG,N$12:N$62),$A14+1,1),MAX(strike-$B14,0)),"")</f>
        <v>4.5</v>
      </c>
      <c r="P14" s="9">
        <f t="array" ref="P14">IF(P$11&gt;=0,MAX(INDEX(MMULT(inverseG,O$12:O$62),$A14+1,1),MAX(strike-$B14,0)),"")</f>
        <v>4.5</v>
      </c>
      <c r="Q14" s="9">
        <f t="array" ref="Q14">IF(Q$11&gt;=0,MAX(INDEX(MMULT(inverseG,P$12:P$62),$A14+1,1),MAX(strike-$B14,0)),"")</f>
        <v>4.5</v>
      </c>
      <c r="R14" s="9">
        <f t="array" ref="R14">IF(R$11&gt;=0,MAX(INDEX(MMULT(inverseG,Q$12:Q$62),$A14+1,1),MAX(strike-$B14,0)),"")</f>
        <v>4.5</v>
      </c>
      <c r="S14" s="9">
        <f t="array" ref="S14">IF(S$11&gt;=0,MAX(INDEX(MMULT(inverseG,R$12:R$62),$A14+1,1),MAX(strike-$B14,0)),"")</f>
        <v>4.5</v>
      </c>
      <c r="T14" s="9">
        <f t="array" ref="T14">IF(T$11&gt;=0,MAX(INDEX(MMULT(inverseG,S$12:S$62),$A14+1,1),MAX(strike-$B14,0)),"")</f>
        <v>4.5</v>
      </c>
      <c r="U14" s="9">
        <f t="array" ref="U14">IF(U$11&gt;=0,MAX(INDEX(MMULT(inverseG,T$12:T$62),$A14+1,1),MAX(strike-$B14,0)),"")</f>
        <v>4.5</v>
      </c>
      <c r="V14" s="9">
        <f t="array" ref="V14">IF(V$11&gt;=0,MAX(INDEX(MMULT(inverseG,U$12:U$62),$A14+1,1),MAX(strike-$B14,0)),"")</f>
        <v>4.5</v>
      </c>
      <c r="W14" s="9">
        <f t="array" ref="W14">IF(W$11&gt;=0,MAX(INDEX(MMULT(inverseG,V$12:V$62),$A14+1,1),MAX(strike-$B14,0)),"")</f>
        <v>4.5</v>
      </c>
      <c r="X14" s="9">
        <f t="array" ref="X14">IF(X$11&gt;=0,MAX(INDEX(MMULT(inverseG,W$12:W$62),$A14+1,1),MAX(strike-$B14,0)),"")</f>
        <v>4.5</v>
      </c>
      <c r="Y14" s="9">
        <f t="array" ref="Y14">IF(Y$11&gt;=0,MAX(INDEX(MMULT(inverseG,X$12:X$62),$A14+1,1),MAX(strike-$B14,0)),"")</f>
        <v>4.5</v>
      </c>
      <c r="Z14" s="9">
        <f t="array" ref="Z14">IF(Z$11&gt;=0,MAX(INDEX(MMULT(inverseG,Y$12:Y$62),$A14+1,1),MAX(strike-$B14,0)),"")</f>
        <v>4.5</v>
      </c>
      <c r="AA14" s="9">
        <f t="array" ref="AA14">IF(AA$11&gt;=0,MAX(INDEX(MMULT(inverseG,Z$12:Z$62),$A14+1,1),MAX(strike-$B14,0)),"")</f>
        <v>4.5</v>
      </c>
      <c r="AB14" s="9">
        <f t="array" ref="AB14">IF(AB$11&gt;=0,MAX(INDEX(MMULT(inverseG,AA$12:AA$62),$A14+1,1),MAX(strike-$B14,0)),"")</f>
        <v>4.5</v>
      </c>
      <c r="AC14" s="9">
        <f t="array" ref="AC14">IF(AC$11&gt;=0,MAX(INDEX(MMULT(inverseG,AB$12:AB$62),$A14+1,1),MAX(strike-$B14,0)),"")</f>
        <v>4.5</v>
      </c>
      <c r="AD14" s="9">
        <f t="array" ref="AD14">IF(AD$11&gt;=0,MAX(INDEX(MMULT(inverseG,AC$12:AC$62),$A14+1,1),MAX(strike-$B14,0)),"")</f>
        <v>4.5</v>
      </c>
      <c r="AE14" s="9">
        <f t="array" ref="AE14">IF(AE$11&gt;=0,MAX(INDEX(MMULT(inverseG,AD$12:AD$62),$A14+1,1),MAX(strike-$B14,0)),"")</f>
        <v>4.5</v>
      </c>
      <c r="AF14" s="9">
        <f t="array" ref="AF14">IF(AF$11&gt;=0,MAX(INDEX(MMULT(inverseG,AE$12:AE$62),$A14+1,1),MAX(strike-$B14,0)),"")</f>
        <v>4.5</v>
      </c>
      <c r="AG14" s="9">
        <f t="array" ref="AG14">IF(AG$11&gt;=0,MAX(INDEX(MMULT(inverseG,AF$12:AF$62),$A14+1,1),MAX(strike-$B14,0)),"")</f>
        <v>4.5</v>
      </c>
      <c r="AH14" s="9">
        <f t="array" ref="AH14">IF(AH$11&gt;=0,MAX(INDEX(MMULT(inverseG,AG$12:AG$62),$A14+1,1),MAX(strike-$B14,0)),"")</f>
        <v>4.5</v>
      </c>
      <c r="AI14" s="9">
        <f t="array" ref="AI14">IF(AI$11&gt;=0,MAX(INDEX(MMULT(inverseG,AH$12:AH$62),$A14+1,1),MAX(strike-$B14,0)),"")</f>
        <v>4.5</v>
      </c>
      <c r="AJ14" s="9">
        <f t="array" ref="AJ14">IF(AJ$11&gt;=0,MAX(INDEX(MMULT(inverseG,AI$12:AI$62),$A14+1,1),MAX(strike-$B14,0)),"")</f>
        <v>4.5</v>
      </c>
      <c r="AK14" s="9">
        <f t="array" ref="AK14">IF(AK$11&gt;=0,MAX(INDEX(MMULT(inverseG,AJ$12:AJ$62),$A14+1,1),MAX(strike-$B14,0)),"")</f>
        <v>4.5</v>
      </c>
      <c r="AL14" s="9">
        <f t="array" ref="AL14">IF(AL$11&gt;=0,MAX(INDEX(MMULT(inverseG,AK$12:AK$62),$A14+1,1),MAX(strike-$B14,0)),"")</f>
        <v>4.5</v>
      </c>
      <c r="AM14" s="9">
        <f t="array" ref="AM14">IF(AM$11&gt;=0,MAX(INDEX(MMULT(inverseG,AL$12:AL$62),$A14+1,1),MAX(strike-$B14,0)),"")</f>
        <v>4.5</v>
      </c>
      <c r="AN14" s="9">
        <f t="array" ref="AN14">IF(AN$11&gt;=0,MAX(INDEX(MMULT(inverseG,AM$12:AM$62),$A14+1,1),MAX(strike-$B14,0)),"")</f>
        <v>4.5</v>
      </c>
      <c r="AO14" s="9">
        <f t="array" ref="AO14">IF(AO$11&gt;=0,MAX(INDEX(MMULT(inverseG,AN$12:AN$62),$A14+1,1),MAX(strike-$B14,0)),"")</f>
        <v>4.5</v>
      </c>
      <c r="AP14" s="9">
        <f t="array" ref="AP14">IF(AP$11&gt;=0,MAX(INDEX(MMULT(inverseG,AO$12:AO$62),$A14+1,1),MAX(strike-$B14,0)),"")</f>
        <v>4.5</v>
      </c>
      <c r="AQ14" s="9">
        <f t="array" ref="AQ14">IF(AQ$11&gt;=0,MAX(INDEX(MMULT(inverseG,AP$12:AP$62),$A14+1,1),MAX(strike-$B14,0)),"")</f>
        <v>4.5</v>
      </c>
      <c r="AR14" s="9">
        <f t="array" ref="AR14">IF(AR$11&gt;=0,MAX(INDEX(MMULT(inverseG,AQ$12:AQ$62),$A14+1,1),MAX(strike-$B14,0)),"")</f>
        <v>4.5</v>
      </c>
      <c r="AS14" s="9">
        <f t="array" ref="AS14">IF(AS$11&gt;=0,MAX(INDEX(MMULT(inverseG,AR$12:AR$62),$A14+1,1),MAX(strike-$B14,0)),"")</f>
        <v>4.5</v>
      </c>
      <c r="AT14" s="9">
        <f t="array" ref="AT14">IF(AT$11&gt;=0,MAX(INDEX(MMULT(inverseG,AS$12:AS$62),$A14+1,1),MAX(strike-$B14,0)),"")</f>
        <v>4.5</v>
      </c>
      <c r="AU14" s="9">
        <f t="array" ref="AU14">IF(AU$11&gt;=0,MAX(INDEX(MMULT(inverseG,AT$12:AT$62),$A14+1,1),MAX(strike-$B14,0)),"")</f>
        <v>4.5</v>
      </c>
      <c r="AV14" s="9">
        <f t="array" ref="AV14">IF(AV$11&gt;=0,MAX(INDEX(MMULT(inverseG,AU$12:AU$62),$A14+1,1),MAX(strike-$B14,0)),"")</f>
        <v>4.5</v>
      </c>
      <c r="AW14" s="9">
        <f t="array" ref="AW14">IF(AW$11&gt;=0,MAX(INDEX(MMULT(inverseG,AV$12:AV$62),$A14+1,1),MAX(strike-$B14,0)),"")</f>
        <v>4.5</v>
      </c>
      <c r="AX14" s="9">
        <f t="array" ref="AX14">IF(AX$11&gt;=0,MAX(INDEX(MMULT(inverseG,AW$12:AW$62),$A14+1,1),MAX(strike-$B14,0)),"")</f>
        <v>4.5</v>
      </c>
      <c r="AY14" s="9">
        <f t="array" ref="AY14">IF(AY$11&gt;=0,MAX(INDEX(MMULT(inverseG,AX$12:AX$62),$A14+1,1),MAX(strike-$B14,0)),"")</f>
        <v>4.5</v>
      </c>
      <c r="AZ14" s="9">
        <f t="array" ref="AZ14">IF(AZ$11&gt;=0,MAX(INDEX(MMULT(inverseG,AY$12:AY$62),$A14+1,1),MAX(strike-$B14,0)),"")</f>
        <v>4.5</v>
      </c>
      <c r="BA14" s="9">
        <f t="array" ref="BA14">IF(BA$11&gt;=0,MAX(INDEX(MMULT(inverseG,AZ$12:AZ$62),$A14+1,1),MAX(strike-$B14,0)),"")</f>
        <v>4.5</v>
      </c>
      <c r="BB14" s="9">
        <f t="array" ref="BB14">IF(BB$11&gt;=0,MAX(INDEX(MMULT(inverseG,BA$12:BA$62),$A14+1,1),MAX(strike-$B14,0)),"")</f>
        <v>4.5</v>
      </c>
      <c r="BC14" s="9">
        <f t="array" ref="BC14">IF(BC$11&gt;=0,MAX(INDEX(MMULT(inverseG,BB$12:BB$62),$A14+1,1),MAX(strike-$B14,0)),"")</f>
        <v>4.5</v>
      </c>
      <c r="BD14" s="9">
        <f t="array" ref="BD14">IF(BD$11&gt;=0,MAX(INDEX(MMULT(inverseG,BC$12:BC$62),$A14+1,1),MAX(strike-$B14,0)),"")</f>
        <v>4.5</v>
      </c>
      <c r="BE14" s="9">
        <f t="array" ref="BE14">IF(BE$11&gt;=0,MAX(INDEX(MMULT(inverseG,BD$12:BD$62),$A14+1,1),MAX(strike-$B14,0)),"")</f>
        <v>4.5</v>
      </c>
      <c r="BF14" s="9">
        <f t="array" ref="BF14">IF(BF$11&gt;=0,MAX(INDEX(MMULT(inverseG,BE$12:BE$62),$A14+1,1),MAX(strike-$B14,0)),"")</f>
        <v>4.5</v>
      </c>
      <c r="BG14" s="9">
        <f t="array" ref="BG14">IF(BG$11&gt;=0,MAX(INDEX(MMULT(inverseG,BF$12:BF$62),$A14+1,1),MAX(strike-$B14,0)),"")</f>
        <v>4.5</v>
      </c>
      <c r="BH14" s="9">
        <f t="array" ref="BH14">IF(BH$11&gt;=0,MAX(INDEX(MMULT(inverseG,BG$12:BG$62),$A14+1,1),MAX(strike-$B14,0)),"")</f>
        <v>4.5</v>
      </c>
      <c r="BI14" s="9">
        <f t="array" ref="BI14">IF(BI$11&gt;=0,MAX(INDEX(MMULT(inverseG,BH$12:BH$62),$A14+1,1),MAX(strike-$B14,0)),"")</f>
        <v>4.5</v>
      </c>
      <c r="BJ14" s="9">
        <f t="array" ref="BJ14">IF(BJ$11&gt;=0,MAX(INDEX(MMULT(inverseG,BI$12:BI$62),$A14+1,1),MAX(strike-$B14,0)),"")</f>
        <v>4.5</v>
      </c>
      <c r="BK14" s="9">
        <f t="array" ref="BK14">IF(BK$11&gt;=0,MAX(INDEX(MMULT(inverseG,BJ$12:BJ$62),$A14+1,1),MAX(strike-$B14,0)),"")</f>
        <v>4.5</v>
      </c>
      <c r="BL14" s="9">
        <f t="array" ref="BL14">IF(BL$11&gt;=0,MAX(INDEX(MMULT(inverseG,BK$12:BK$62),$A14+1,1),MAX(strike-$B14,0)),"")</f>
        <v>4.5</v>
      </c>
      <c r="BM14" s="9">
        <f t="array" ref="BM14">IF(BM$11&gt;=0,MAX(INDEX(MMULT(inverseG,BL$12:BL$62),$A14+1,1),MAX(strike-$B14,0)),"")</f>
        <v>4.5</v>
      </c>
      <c r="BN14" s="9">
        <f t="array" ref="BN14">IF(BN$11&gt;=0,MAX(INDEX(MMULT(inverseG,BM$12:BM$62),$A14+1,1),MAX(strike-$B14,0)),"")</f>
        <v>4.5</v>
      </c>
      <c r="BO14" s="9">
        <f t="array" ref="BO14">IF(BO$11&gt;=0,MAX(INDEX(MMULT(inverseG,BN$12:BN$62),$A14+1,1),MAX(strike-$B14,0)),"")</f>
        <v>4.5</v>
      </c>
      <c r="BP14" s="9">
        <f t="array" ref="BP14">IF(BP$11&gt;=0,MAX(INDEX(MMULT(inverseG,BO$12:BO$62),$A14+1,1),MAX(strike-$B14,0)),"")</f>
        <v>4.5</v>
      </c>
      <c r="BQ14" s="9">
        <f t="array" ref="BQ14">IF(BQ$11&gt;=0,MAX(INDEX(MMULT(inverseG,BP$12:BP$62),$A14+1,1),MAX(strike-$B14,0)),"")</f>
        <v>4.5</v>
      </c>
      <c r="BR14" s="9">
        <f t="array" ref="BR14">IF(BR$11&gt;=0,MAX(INDEX(MMULT(inverseG,BQ$12:BQ$62),$A14+1,1),MAX(strike-$B14,0)),"")</f>
        <v>4.5</v>
      </c>
      <c r="BS14" s="9">
        <f t="array" ref="BS14">IF(BS$11&gt;=0,MAX(INDEX(MMULT(inverseG,BR$12:BR$62),$A14+1,1),MAX(strike-$B14,0)),"")</f>
        <v>4.5</v>
      </c>
      <c r="BT14" s="9">
        <f t="array" ref="BT14">IF(BT$11&gt;=0,MAX(INDEX(MMULT(inverseG,BS$12:BS$62),$A14+1,1),MAX(strike-$B14,0)),"")</f>
        <v>4.5</v>
      </c>
      <c r="BU14" s="9">
        <f t="array" ref="BU14">IF(BU$11&gt;=0,MAX(INDEX(MMULT(inverseG,BT$12:BT$62),$A14+1,1),MAX(strike-$B14,0)),"")</f>
        <v>4.5</v>
      </c>
      <c r="BV14" s="9">
        <f t="array" ref="BV14">IF(BV$11&gt;=0,MAX(INDEX(MMULT(inverseG,BU$12:BU$62),$A14+1,1),MAX(strike-$B14,0)),"")</f>
        <v>4.5</v>
      </c>
      <c r="BW14" s="9">
        <f t="array" ref="BW14">IF(BW$11&gt;=0,MAX(INDEX(MMULT(inverseG,BV$12:BV$62),$A14+1,1),MAX(strike-$B14,0)),"")</f>
        <v>4.5</v>
      </c>
      <c r="BX14" s="9">
        <f t="array" ref="BX14">IF(BX$11&gt;=0,MAX(INDEX(MMULT(inverseG,BW$12:BW$62),$A14+1,1),MAX(strike-$B14,0)),"")</f>
        <v>4.5</v>
      </c>
      <c r="BY14" s="9">
        <f t="array" ref="BY14">IF(BY$11&gt;=0,MAX(INDEX(MMULT(inverseG,BX$12:BX$62),$A14+1,1),MAX(strike-$B14,0)),"")</f>
        <v>4.5</v>
      </c>
      <c r="BZ14" s="9">
        <f t="array" ref="BZ14">IF(BZ$11&gt;=0,MAX(INDEX(MMULT(inverseG,BY$12:BY$62),$A14+1,1),MAX(strike-$B14,0)),"")</f>
        <v>4.5</v>
      </c>
      <c r="CA14" s="9">
        <f t="array" ref="CA14">IF(CA$11&gt;=0,MAX(INDEX(MMULT(inverseG,BZ$12:BZ$62),$A14+1,1),MAX(strike-$B14,0)),"")</f>
        <v>4.5</v>
      </c>
      <c r="CB14" s="9">
        <f t="array" ref="CB14">IF(CB$11&gt;=0,MAX(INDEX(MMULT(inverseG,CA$12:CA$62),$A14+1,1),MAX(strike-$B14,0)),"")</f>
        <v>4.5</v>
      </c>
      <c r="CC14" s="9">
        <f t="array" ref="CC14">IF(CC$11&gt;=0,MAX(INDEX(MMULT(inverseG,CB$12:CB$62),$A14+1,1),MAX(strike-$B14,0)),"")</f>
        <v>4.5</v>
      </c>
      <c r="CD14" s="9">
        <f t="array" ref="CD14">IF(CD$11&gt;=0,MAX(INDEX(MMULT(inverseG,CC$12:CC$62),$A14+1,1),MAX(strike-$B14,0)),"")</f>
        <v>4.5</v>
      </c>
      <c r="CE14" s="9">
        <f t="array" ref="CE14">IF(CE$11&gt;=0,MAX(INDEX(MMULT(inverseG,CD$12:CD$62),$A14+1,1),MAX(strike-$B14,0)),"")</f>
        <v>4.5</v>
      </c>
      <c r="CF14" s="9">
        <f t="array" ref="CF14">IF(CF$11&gt;=0,MAX(INDEX(MMULT(inverseG,CE$12:CE$62),$A14+1,1),MAX(strike-$B14,0)),"")</f>
        <v>4.5</v>
      </c>
      <c r="CG14" s="9">
        <f t="array" ref="CG14">IF(CG$11&gt;=0,MAX(INDEX(MMULT(inverseG,CF$12:CF$62),$A14+1,1),MAX(strike-$B14,0)),"")</f>
        <v>4.5</v>
      </c>
      <c r="CH14" s="9">
        <f t="array" ref="CH14">IF(CH$11&gt;=0,MAX(INDEX(MMULT(inverseG,CG$12:CG$62),$A14+1,1),MAX(strike-$B14,0)),"")</f>
        <v>4.5</v>
      </c>
      <c r="CI14" s="9">
        <f t="array" ref="CI14">IF(CI$11&gt;=0,MAX(INDEX(MMULT(inverseG,CH$12:CH$62),$A14+1,1),MAX(strike-$B14,0)),"")</f>
        <v>4.5</v>
      </c>
      <c r="CJ14" s="9">
        <f t="array" ref="CJ14">IF(CJ$11&gt;=0,MAX(INDEX(MMULT(inverseG,CI$12:CI$62),$A14+1,1),MAX(strike-$B14,0)),"")</f>
        <v>4.5</v>
      </c>
      <c r="CK14" s="9">
        <f t="array" ref="CK14">IF(CK$11&gt;=0,MAX(INDEX(MMULT(inverseG,CJ$12:CJ$62),$A14+1,1),MAX(strike-$B14,0)),"")</f>
        <v>4.5</v>
      </c>
      <c r="CL14" s="9">
        <f t="array" ref="CL14">IF(CL$11&gt;=0,MAX(INDEX(MMULT(inverseG,CK$12:CK$62),$A14+1,1),MAX(strike-$B14,0)),"")</f>
        <v>4.5</v>
      </c>
      <c r="CM14" s="9">
        <f t="array" ref="CM14">IF(CM$11&gt;=0,MAX(INDEX(MMULT(inverseG,CL$12:CL$62),$A14+1,1),MAX(strike-$B14,0)),"")</f>
        <v>4.5</v>
      </c>
      <c r="CN14" s="9">
        <f t="array" ref="CN14">IF(CN$11&gt;=0,MAX(INDEX(MMULT(inverseG,CM$12:CM$62),$A14+1,1),MAX(strike-$B14,0)),"")</f>
        <v>4.5</v>
      </c>
      <c r="CO14" s="9">
        <f t="array" ref="CO14">IF(CO$11&gt;=0,MAX(INDEX(MMULT(inverseG,CN$12:CN$62),$A14+1,1),MAX(strike-$B14,0)),"")</f>
        <v>4.5</v>
      </c>
      <c r="CP14" s="9">
        <f t="array" ref="CP14">IF(CP$11&gt;=0,MAX(INDEX(MMULT(inverseG,CO$12:CO$62),$A14+1,1),MAX(strike-$B14,0)),"")</f>
        <v>4.5</v>
      </c>
      <c r="CQ14" s="9">
        <f t="array" ref="CQ14">IF(CQ$11&gt;=0,MAX(INDEX(MMULT(inverseG,CP$12:CP$62),$A14+1,1),MAX(strike-$B14,0)),"")</f>
        <v>4.5</v>
      </c>
      <c r="CR14" s="9">
        <f t="array" ref="CR14">IF(CR$11&gt;=0,MAX(INDEX(MMULT(inverseG,CQ$12:CQ$62),$A14+1,1),MAX(strike-$B14,0)),"")</f>
        <v>4.5</v>
      </c>
      <c r="CS14" s="9">
        <f t="array" ref="CS14">IF(CS$11&gt;=0,MAX(INDEX(MMULT(inverseG,CR$12:CR$62),$A14+1,1),MAX(strike-$B14,0)),"")</f>
        <v>4.5</v>
      </c>
      <c r="CT14" s="9">
        <f t="array" ref="CT14">IF(CT$11&gt;=0,MAX(INDEX(MMULT(inverseG,CS$12:CS$62),$A14+1,1),MAX(strike-$B14,0)),"")</f>
        <v>4.5</v>
      </c>
      <c r="CU14" s="9">
        <f t="array" ref="CU14">IF(CU$11&gt;=0,MAX(INDEX(MMULT(inverseG,CT$12:CT$62),$A14+1,1),MAX(strike-$B14,0)),"")</f>
        <v>4.5</v>
      </c>
      <c r="CV14" s="9">
        <f t="array" ref="CV14">IF(CV$11&gt;=0,MAX(INDEX(MMULT(inverseG,CU$12:CU$62),$A14+1,1),MAX(strike-$B14,0)),"")</f>
        <v>4.5</v>
      </c>
      <c r="CW14" s="9">
        <f t="array" ref="CW14">IF(CW$11&gt;=0,MAX(INDEX(MMULT(inverseG,CV$12:CV$62),$A14+1,1),MAX(strike-$B14,0)),"")</f>
        <v>4.5</v>
      </c>
      <c r="CX14" s="9">
        <f t="array" ref="CX14">IF(CX$11&gt;=0,MAX(INDEX(MMULT(inverseG,CW$12:CW$62),$A14+1,1),MAX(strike-$B14,0)),"")</f>
        <v>4.5</v>
      </c>
      <c r="CY14" s="9">
        <f t="array" ref="CY14">IF(CY$11&gt;=0,MAX(INDEX(MMULT(inverseG,CX$12:CX$62),$A14+1,1),MAX(strike-$B14,0)),"")</f>
        <v>4.5</v>
      </c>
      <c r="CZ14" s="9">
        <f t="array" ref="CZ14">IF(CZ$11&gt;=0,MAX(INDEX(MMULT(inverseG,CY$12:CY$62),$A14+1,1),MAX(strike-$B14,0)),"")</f>
        <v>4.5</v>
      </c>
      <c r="DA14" s="9" t="str">
        <f t="array" ref="DA14">IF(DA$11&gt;=0,MAX(INDEX(MMULT(inverseG,CZ$12:CZ$62),$A14+1,1),MAX(strike-$B14,0)),"")</f>
        <v/>
      </c>
      <c r="DB14" s="9" t="str">
        <f t="array" ref="DB14">IF(DB$11&gt;=0,MAX(INDEX(MMULT(inverseG,DA$12:DA$62),$A14+1,1),MAX(strike-$B14,0)),"")</f>
        <v/>
      </c>
      <c r="DC14" s="9" t="str">
        <f t="array" ref="DC14">IF(DC$11&gt;=0,MAX(INDEX(MMULT(inverseG,DB$12:DB$62),$A14+1,1),MAX(strike-$B14,0)),"")</f>
        <v/>
      </c>
      <c r="DD14" s="9" t="str">
        <f t="array" ref="DD14">IF(DD$11&gt;=0,MAX(INDEX(MMULT(inverseG,DC$12:DC$62),$A14+1,1),MAX(strike-$B14,0)),"")</f>
        <v/>
      </c>
      <c r="DE14" s="9" t="str">
        <f t="array" ref="DE14">IF(DE$11&gt;=0,MAX(INDEX(MMULT(inverseG,DD$12:DD$62),$A14+1,1),MAX(strike-$B14,0)),"")</f>
        <v/>
      </c>
      <c r="DF14" s="9" t="str">
        <f t="array" ref="DF14">IF(DF$11&gt;=0,MAX(INDEX(MMULT(inverseG,DE$12:DE$62),$A14+1,1),MAX(strike-$B14,0)),"")</f>
        <v/>
      </c>
      <c r="DG14" s="9" t="str">
        <f t="array" ref="DG14">IF(DG$11&gt;=0,MAX(INDEX(MMULT(inverseG,DF$12:DF$62),$A14+1,1),MAX(strike-$B14,0)),"")</f>
        <v/>
      </c>
      <c r="DH14" s="9" t="str">
        <f t="array" ref="DH14">IF(DH$11&gt;=0,MAX(INDEX(MMULT(inverseG,DG$12:DG$62),$A14+1,1),MAX(strike-$B14,0)),"")</f>
        <v/>
      </c>
      <c r="DI14" s="9" t="str">
        <f t="array" ref="DI14">IF(DI$11&gt;=0,MAX(INDEX(MMULT(inverseG,DH$12:DH$62),$A14+1,1),MAX(strike-$B14,0)),"")</f>
        <v/>
      </c>
      <c r="DJ14" s="9" t="str">
        <f t="array" ref="DJ14">IF(DJ$11&gt;=0,MAX(INDEX(MMULT(inverseG,DI$12:DI$62),$A14+1,1),MAX(strike-$B14,0)),"")</f>
        <v/>
      </c>
      <c r="DK14" s="9" t="str">
        <f t="array" ref="DK14">IF(DK$11&gt;=0,MAX(INDEX(MMULT(inverseG,DJ$12:DJ$62),$A14+1,1),MAX(strike-$B14,0)),"")</f>
        <v/>
      </c>
      <c r="DL14" s="9" t="str">
        <f t="array" ref="DL14">IF(DL$11&gt;=0,MAX(INDEX(MMULT(inverseG,DK$12:DK$62),$A14+1,1),MAX(strike-$B14,0)),"")</f>
        <v/>
      </c>
      <c r="DM14" s="9" t="str">
        <f t="array" ref="DM14">IF(DM$11&gt;=0,MAX(INDEX(MMULT(inverseG,DL$12:DL$62),$A14+1,1),MAX(strike-$B14,0)),"")</f>
        <v/>
      </c>
      <c r="DN14" s="9" t="str">
        <f t="array" ref="DN14">IF(DN$11&gt;=0,MAX(INDEX(MMULT(inverseG,DM$12:DM$62),$A14+1,1),MAX(strike-$B14,0)),"")</f>
        <v/>
      </c>
      <c r="DO14" s="9" t="str">
        <f t="array" ref="DO14">IF(DO$11&gt;=0,MAX(INDEX(MMULT(inverseG,DN$12:DN$62),$A14+1,1),MAX(strike-$B14,0)),"")</f>
        <v/>
      </c>
      <c r="DP14" s="9" t="str">
        <f t="array" ref="DP14">IF(DP$11&gt;=0,MAX(INDEX(MMULT(inverseG,DO$12:DO$62),$A14+1,1),MAX(strike-$B14,0)),"")</f>
        <v/>
      </c>
      <c r="DQ14" s="9" t="str">
        <f t="array" ref="DQ14">IF(DQ$11&gt;=0,MAX(INDEX(MMULT(inverseG,DP$12:DP$62),$A14+1,1),MAX(strike-$B14,0)),"")</f>
        <v/>
      </c>
      <c r="DR14" s="9" t="str">
        <f t="array" ref="DR14">IF(DR$11&gt;=0,MAX(INDEX(MMULT(inverseG,DQ$12:DQ$62),$A14+1,1),MAX(strike-$B14,0)),"")</f>
        <v/>
      </c>
      <c r="DS14" s="9" t="str">
        <f t="array" ref="DS14">IF(DS$11&gt;=0,MAX(INDEX(MMULT(inverseG,DR$12:DR$62),$A14+1,1),MAX(strike-$B14,0)),"")</f>
        <v/>
      </c>
      <c r="DT14" s="9" t="str">
        <f t="array" ref="DT14">IF(DT$11&gt;=0,MAX(INDEX(MMULT(inverseG,DS$12:DS$62),$A14+1,1),MAX(strike-$B14,0)),"")</f>
        <v/>
      </c>
      <c r="DU14" s="9" t="str">
        <f t="array" ref="DU14">IF(DU$11&gt;=0,MAX(INDEX(MMULT(inverseG,DT$12:DT$62),$A14+1,1),MAX(strike-$B14,0)),"")</f>
        <v/>
      </c>
      <c r="DV14" s="9" t="str">
        <f t="array" ref="DV14">IF(DV$11&gt;=0,MAX(INDEX(MMULT(inverseG,DU$12:DU$62),$A14+1,1),MAX(strike-$B14,0)),"")</f>
        <v/>
      </c>
      <c r="DW14" s="9" t="str">
        <f t="array" ref="DW14">IF(DW$11&gt;=0,MAX(INDEX(MMULT(inverseG,DV$12:DV$62),$A14+1,1),MAX(strike-$B14,0)),"")</f>
        <v/>
      </c>
      <c r="DX14" s="9" t="str">
        <f t="array" ref="DX14">IF(DX$11&gt;=0,MAX(INDEX(MMULT(inverseG,DW$12:DW$62),$A14+1,1),MAX(strike-$B14,0)),"")</f>
        <v/>
      </c>
      <c r="DY14" s="9" t="str">
        <f t="array" ref="DY14">IF(DY$11&gt;=0,MAX(INDEX(MMULT(inverseG,DX$12:DX$62),$A14+1,1),MAX(strike-$B14,0)),"")</f>
        <v/>
      </c>
      <c r="DZ14" s="9" t="str">
        <f t="array" ref="DZ14">IF(DZ$11&gt;=0,MAX(INDEX(MMULT(inverseG,DY$12:DY$62),$A14+1,1),MAX(strike-$B14,0)),"")</f>
        <v/>
      </c>
      <c r="EA14" s="9" t="str">
        <f t="array" ref="EA14">IF(EA$11&gt;=0,MAX(INDEX(MMULT(inverseG,DZ$12:DZ$62),$A14+1,1),MAX(strike-$B14,0)),"")</f>
        <v/>
      </c>
      <c r="EB14" s="9" t="str">
        <f t="array" ref="EB14">IF(EB$11&gt;=0,MAX(INDEX(MMULT(inverseG,EA$12:EA$62),$A14+1,1),MAX(strike-$B14,0)),"")</f>
        <v/>
      </c>
      <c r="EC14" s="9" t="str">
        <f t="array" ref="EC14">IF(EC$11&gt;=0,MAX(INDEX(MMULT(inverseG,EB$12:EB$62),$A14+1,1),MAX(strike-$B14,0)),"")</f>
        <v/>
      </c>
      <c r="ED14" s="9" t="str">
        <f t="array" ref="ED14">IF(ED$11&gt;=0,MAX(INDEX(MMULT(inverseG,EC$12:EC$62),$A14+1,1),MAX(strike-$B14,0)),"")</f>
        <v/>
      </c>
      <c r="EE14" s="9" t="str">
        <f t="array" ref="EE14">IF(EE$11&gt;=0,MAX(INDEX(MMULT(inverseG,ED$12:ED$62),$A14+1,1),MAX(strike-$B14,0)),"")</f>
        <v/>
      </c>
      <c r="EF14" s="9" t="str">
        <f t="array" ref="EF14">IF(EF$11&gt;=0,MAX(INDEX(MMULT(inverseG,EE$12:EE$62),$A14+1,1),MAX(strike-$B14,0)),"")</f>
        <v/>
      </c>
      <c r="EG14" s="9" t="str">
        <f t="array" ref="EG14">IF(EG$11&gt;=0,MAX(INDEX(MMULT(inverseG,EF$12:EF$62),$A14+1,1),MAX(strike-$B14,0)),"")</f>
        <v/>
      </c>
      <c r="EH14" s="9" t="str">
        <f t="array" ref="EH14">IF(EH$11&gt;=0,MAX(INDEX(MMULT(inverseG,EG$12:EG$62),$A14+1,1),MAX(strike-$B14,0)),"")</f>
        <v/>
      </c>
      <c r="EI14" s="9" t="str">
        <f t="array" ref="EI14">IF(EI$11&gt;=0,MAX(INDEX(MMULT(inverseG,EH$12:EH$62),$A14+1,1),MAX(strike-$B14,0)),"")</f>
        <v/>
      </c>
      <c r="EJ14" s="9" t="str">
        <f t="array" ref="EJ14">IF(EJ$11&gt;=0,MAX(INDEX(MMULT(inverseG,EI$12:EI$62),$A14+1,1),MAX(strike-$B14,0)),"")</f>
        <v/>
      </c>
      <c r="EK14" s="9" t="str">
        <f t="array" ref="EK14">IF(EK$11&gt;=0,MAX(INDEX(MMULT(inverseG,EJ$12:EJ$62),$A14+1,1),MAX(strike-$B14,0)),"")</f>
        <v/>
      </c>
      <c r="EL14" s="9" t="str">
        <f t="array" ref="EL14">IF(EL$11&gt;=0,MAX(INDEX(MMULT(inverseG,EK$12:EK$62),$A14+1,1),MAX(strike-$B14,0)),"")</f>
        <v/>
      </c>
      <c r="EM14" s="9" t="str">
        <f t="array" ref="EM14">IF(EM$11&gt;=0,MAX(INDEX(MMULT(inverseG,EL$12:EL$62),$A14+1,1),MAX(strike-$B14,0)),"")</f>
        <v/>
      </c>
      <c r="EN14" s="9" t="str">
        <f t="array" ref="EN14">IF(EN$11&gt;=0,MAX(INDEX(MMULT(inverseG,EM$12:EM$62),$A14+1,1),MAX(strike-$B14,0)),"")</f>
        <v/>
      </c>
      <c r="EO14" s="9" t="str">
        <f t="array" ref="EO14">IF(EO$11&gt;=0,MAX(INDEX(MMULT(inverseG,EN$12:EN$62),$A14+1,1),MAX(strike-$B14,0)),"")</f>
        <v/>
      </c>
      <c r="EP14" s="9" t="str">
        <f t="array" ref="EP14">IF(EP$11&gt;=0,MAX(INDEX(MMULT(inverseG,EO$12:EO$62),$A14+1,1),MAX(strike-$B14,0)),"")</f>
        <v/>
      </c>
      <c r="EQ14" s="9" t="str">
        <f t="array" ref="EQ14">IF(EQ$11&gt;=0,MAX(INDEX(MMULT(inverseG,EP$12:EP$62),$A14+1,1),MAX(strike-$B14,0)),"")</f>
        <v/>
      </c>
      <c r="ER14" s="9" t="str">
        <f t="array" ref="ER14">IF(ER$11&gt;=0,MAX(INDEX(MMULT(inverseG,EQ$12:EQ$62),$A14+1,1),MAX(strike-$B14,0)),"")</f>
        <v/>
      </c>
      <c r="ES14" s="9" t="str">
        <f t="array" ref="ES14">IF(ES$11&gt;=0,MAX(INDEX(MMULT(inverseG,ER$12:ER$62),$A14+1,1),MAX(strike-$B14,0)),"")</f>
        <v/>
      </c>
      <c r="ET14" s="9" t="str">
        <f t="array" ref="ET14">IF(ET$11&gt;=0,MAX(INDEX(MMULT(inverseG,ES$12:ES$62),$A14+1,1),MAX(strike-$B14,0)),"")</f>
        <v/>
      </c>
      <c r="EU14" s="9" t="str">
        <f t="array" ref="EU14">IF(EU$11&gt;=0,MAX(INDEX(MMULT(inverseG,ET$12:ET$62),$A14+1,1),MAX(strike-$B14,0)),"")</f>
        <v/>
      </c>
      <c r="EV14" s="9" t="str">
        <f t="array" ref="EV14">IF(EV$11&gt;=0,MAX(INDEX(MMULT(inverseG,EU$12:EU$62),$A14+1,1),MAX(strike-$B14,0)),"")</f>
        <v/>
      </c>
      <c r="EW14" s="9" t="str">
        <f t="array" ref="EW14">IF(EW$11&gt;=0,MAX(INDEX(MMULT(inverseG,EV$12:EV$62),$A14+1,1),MAX(strike-$B14,0)),"")</f>
        <v/>
      </c>
      <c r="EX14" s="9" t="str">
        <f t="array" ref="EX14">IF(EX$11&gt;=0,MAX(INDEX(MMULT(inverseG,EW$12:EW$62),$A14+1,1),MAX(strike-$B14,0)),"")</f>
        <v/>
      </c>
      <c r="EY14" s="9" t="str">
        <f t="array" ref="EY14">IF(EY$11&gt;=0,MAX(INDEX(MMULT(inverseG,EX$12:EX$62),$A14+1,1),MAX(strike-$B14,0)),"")</f>
        <v/>
      </c>
      <c r="EZ14" s="9" t="str">
        <f t="array" ref="EZ14">IF(EZ$11&gt;=0,MAX(INDEX(MMULT(inverseG,EY$12:EY$62),$A14+1,1),MAX(strike-$B14,0)),"")</f>
        <v/>
      </c>
      <c r="FA14" s="9" t="str">
        <f t="array" ref="FA14">IF(FA$11&gt;=0,MAX(INDEX(MMULT(inverseG,EZ$12:EZ$62),$A14+1,1),MAX(strike-$B14,0)),"")</f>
        <v/>
      </c>
      <c r="FB14" s="9" t="str">
        <f t="array" ref="FB14">IF(FB$11&gt;=0,MAX(INDEX(MMULT(inverseG,FA$12:FA$62),$A14+1,1),MAX(strike-$B14,0)),"")</f>
        <v/>
      </c>
      <c r="FC14" s="9" t="str">
        <f t="array" ref="FC14">IF(FC$11&gt;=0,MAX(INDEX(MMULT(inverseG,FB$12:FB$62),$A14+1,1),MAX(strike-$B14,0)),"")</f>
        <v/>
      </c>
      <c r="FD14" s="9" t="str">
        <f t="array" ref="FD14">IF(FD$11&gt;=0,MAX(INDEX(MMULT(inverseG,FC$12:FC$62),$A14+1,1),MAX(strike-$B14,0)),"")</f>
        <v/>
      </c>
      <c r="FE14" s="9" t="str">
        <f t="array" ref="FE14">IF(FE$11&gt;=0,MAX(INDEX(MMULT(inverseG,FD$12:FD$62),$A14+1,1),MAX(strike-$B14,0)),"")</f>
        <v/>
      </c>
      <c r="FF14" s="9" t="str">
        <f t="array" ref="FF14">IF(FF$11&gt;=0,MAX(INDEX(MMULT(inverseG,FE$12:FE$62),$A14+1,1),MAX(strike-$B14,0)),"")</f>
        <v/>
      </c>
      <c r="FG14" s="9" t="str">
        <f t="array" ref="FG14">IF(FG$11&gt;=0,MAX(INDEX(MMULT(inverseG,FF$12:FF$62),$A14+1,1),MAX(strike-$B14,0)),"")</f>
        <v/>
      </c>
      <c r="FH14" s="9" t="str">
        <f t="array" ref="FH14">IF(FH$11&gt;=0,MAX(INDEX(MMULT(inverseG,FG$12:FG$62),$A14+1,1),MAX(strike-$B14,0)),"")</f>
        <v/>
      </c>
      <c r="FI14" s="9" t="str">
        <f t="array" ref="FI14">IF(FI$11&gt;=0,MAX(INDEX(MMULT(inverseG,FH$12:FH$62),$A14+1,1),MAX(strike-$B14,0)),"")</f>
        <v/>
      </c>
      <c r="FJ14" s="9" t="str">
        <f t="array" ref="FJ14">IF(FJ$11&gt;=0,MAX(INDEX(MMULT(inverseG,FI$12:FI$62),$A14+1,1),MAX(strike-$B14,0)),"")</f>
        <v/>
      </c>
      <c r="FK14" s="9" t="str">
        <f t="array" ref="FK14">IF(FK$11&gt;=0,MAX(INDEX(MMULT(inverseG,FJ$12:FJ$62),$A14+1,1),MAX(strike-$B14,0)),"")</f>
        <v/>
      </c>
      <c r="FL14" s="9" t="str">
        <f t="array" ref="FL14">IF(FL$11&gt;=0,MAX(INDEX(MMULT(inverseG,FK$12:FK$62),$A14+1,1),MAX(strike-$B14,0)),"")</f>
        <v/>
      </c>
      <c r="FM14" s="9" t="str">
        <f t="array" ref="FM14">IF(FM$11&gt;=0,MAX(INDEX(MMULT(inverseG,FL$12:FL$62),$A14+1,1),MAX(strike-$B14,0)),"")</f>
        <v/>
      </c>
      <c r="FN14" s="9" t="str">
        <f t="array" ref="FN14">IF(FN$11&gt;=0,MAX(INDEX(MMULT(inverseG,FM$12:FM$62),$A14+1,1),MAX(strike-$B14,0)),"")</f>
        <v/>
      </c>
      <c r="FO14" s="9" t="str">
        <f t="array" ref="FO14">IF(FO$11&gt;=0,MAX(INDEX(MMULT(inverseG,FN$12:FN$62),$A14+1,1),MAX(strike-$B14,0)),"")</f>
        <v/>
      </c>
      <c r="FP14" s="9" t="str">
        <f t="array" ref="FP14">IF(FP$11&gt;=0,MAX(INDEX(MMULT(inverseG,FO$12:FO$62),$A14+1,1),MAX(strike-$B14,0)),"")</f>
        <v/>
      </c>
      <c r="FQ14" s="9" t="str">
        <f t="array" ref="FQ14">IF(FQ$11&gt;=0,MAX(INDEX(MMULT(inverseG,FP$12:FP$62),$A14+1,1),MAX(strike-$B14,0)),"")</f>
        <v/>
      </c>
      <c r="FR14" s="9" t="str">
        <f t="array" ref="FR14">IF(FR$11&gt;=0,MAX(INDEX(MMULT(inverseG,FQ$12:FQ$62),$A14+1,1),MAX(strike-$B14,0)),"")</f>
        <v/>
      </c>
      <c r="FS14" s="9" t="str">
        <f t="array" ref="FS14">IF(FS$11&gt;=0,MAX(INDEX(MMULT(inverseG,FR$12:FR$62),$A14+1,1),MAX(strike-$B14,0)),"")</f>
        <v/>
      </c>
      <c r="FT14" s="9" t="str">
        <f t="array" ref="FT14">IF(FT$11&gt;=0,MAX(INDEX(MMULT(inverseG,FS$12:FS$62),$A14+1,1),MAX(strike-$B14,0)),"")</f>
        <v/>
      </c>
      <c r="FU14" s="9" t="str">
        <f t="array" ref="FU14">IF(FU$11&gt;=0,MAX(INDEX(MMULT(inverseG,FT$12:FT$62),$A14+1,1),MAX(strike-$B14,0)),"")</f>
        <v/>
      </c>
      <c r="FV14" s="9" t="str">
        <f t="array" ref="FV14">IF(FV$11&gt;=0,MAX(INDEX(MMULT(inverseG,FU$12:FU$62),$A14+1,1),MAX(strike-$B14,0)),"")</f>
        <v/>
      </c>
      <c r="FW14" s="9" t="str">
        <f t="array" ref="FW14">IF(FW$11&gt;=0,MAX(INDEX(MMULT(inverseG,FV$12:FV$62),$A14+1,1),MAX(strike-$B14,0)),"")</f>
        <v/>
      </c>
      <c r="FX14" s="9" t="str">
        <f t="array" ref="FX14">IF(FX$11&gt;=0,MAX(INDEX(MMULT(inverseG,FW$12:FW$62),$A14+1,1),MAX(strike-$B14,0)),"")</f>
        <v/>
      </c>
      <c r="FY14" s="9" t="str">
        <f t="array" ref="FY14">IF(FY$11&gt;=0,MAX(INDEX(MMULT(inverseG,FX$12:FX$62),$A14+1,1),MAX(strike-$B14,0)),"")</f>
        <v/>
      </c>
      <c r="FZ14" s="9" t="str">
        <f t="array" ref="FZ14">IF(FZ$11&gt;=0,MAX(INDEX(MMULT(inverseG,FY$12:FY$62),$A14+1,1),MAX(strike-$B14,0)),"")</f>
        <v/>
      </c>
      <c r="GA14" s="9" t="str">
        <f t="array" ref="GA14">IF(GA$11&gt;=0,MAX(INDEX(MMULT(inverseG,FZ$12:FZ$62),$A14+1,1),MAX(strike-$B14,0)),"")</f>
        <v/>
      </c>
      <c r="GB14" s="9" t="str">
        <f t="array" ref="GB14">IF(GB$11&gt;=0,MAX(INDEX(MMULT(inverseG,GA$12:GA$62),$A14+1,1),MAX(strike-$B14,0)),"")</f>
        <v/>
      </c>
      <c r="GC14" s="9" t="str">
        <f t="array" ref="GC14">IF(GC$11&gt;=0,MAX(INDEX(MMULT(inverseG,GB$12:GB$62),$A14+1,1),MAX(strike-$B14,0)),"")</f>
        <v/>
      </c>
      <c r="GD14" s="9" t="str">
        <f t="array" ref="GD14">IF(GD$11&gt;=0,MAX(INDEX(MMULT(inverseG,GC$12:GC$62),$A14+1,1),MAX(strike-$B14,0)),"")</f>
        <v/>
      </c>
      <c r="GE14" s="9" t="str">
        <f t="array" ref="GE14">IF(GE$11&gt;=0,MAX(INDEX(MMULT(inverseG,GD$12:GD$62),$A14+1,1),MAX(strike-$B14,0)),"")</f>
        <v/>
      </c>
      <c r="GF14" s="9" t="str">
        <f t="array" ref="GF14">IF(GF$11&gt;=0,MAX(INDEX(MMULT(inverseG,GE$12:GE$62),$A14+1,1),MAX(strike-$B14,0)),"")</f>
        <v/>
      </c>
      <c r="GG14" s="9" t="str">
        <f t="array" ref="GG14">IF(GG$11&gt;=0,MAX(INDEX(MMULT(inverseG,GF$12:GF$62),$A14+1,1),MAX(strike-$B14,0)),"")</f>
        <v/>
      </c>
      <c r="GH14" s="9" t="str">
        <f t="array" ref="GH14">IF(GH$11&gt;=0,MAX(INDEX(MMULT(inverseG,GG$12:GG$62),$A14+1,1),MAX(strike-$B14,0)),"")</f>
        <v/>
      </c>
      <c r="GI14" s="9" t="str">
        <f t="array" ref="GI14">IF(GI$11&gt;=0,MAX(INDEX(MMULT(inverseG,GH$12:GH$62),$A14+1,1),MAX(strike-$B14,0)),"")</f>
        <v/>
      </c>
      <c r="GJ14" s="9" t="str">
        <f t="array" ref="GJ14">IF(GJ$11&gt;=0,MAX(INDEX(MMULT(inverseG,GI$12:GI$62),$A14+1,1),MAX(strike-$B14,0)),"")</f>
        <v/>
      </c>
      <c r="GK14" s="9" t="str">
        <f t="array" ref="GK14">IF(GK$11&gt;=0,MAX(INDEX(MMULT(inverseG,GJ$12:GJ$62),$A14+1,1),MAX(strike-$B14,0)),"")</f>
        <v/>
      </c>
      <c r="GL14" s="9" t="str">
        <f t="array" ref="GL14">IF(GL$11&gt;=0,MAX(INDEX(MMULT(inverseG,GK$12:GK$62),$A14+1,1),MAX(strike-$B14,0)),"")</f>
        <v/>
      </c>
      <c r="GM14" s="9" t="str">
        <f t="array" ref="GM14">IF(GM$11&gt;=0,MAX(INDEX(MMULT(inverseG,GL$12:GL$62),$A14+1,1),MAX(strike-$B14,0)),"")</f>
        <v/>
      </c>
      <c r="GN14" s="9" t="str">
        <f t="array" ref="GN14">IF(GN$11&gt;=0,MAX(INDEX(MMULT(inverseG,GM$12:GM$62),$A14+1,1),MAX(strike-$B14,0)),"")</f>
        <v/>
      </c>
      <c r="GO14" s="9" t="str">
        <f t="array" ref="GO14">IF(GO$11&gt;=0,MAX(INDEX(MMULT(inverseG,GN$12:GN$62),$A14+1,1),MAX(strike-$B14,0)),"")</f>
        <v/>
      </c>
      <c r="GP14" s="9" t="str">
        <f t="array" ref="GP14">IF(GP$11&gt;=0,MAX(INDEX(MMULT(inverseG,GO$12:GO$62),$A14+1,1),MAX(strike-$B14,0)),"")</f>
        <v/>
      </c>
      <c r="GQ14" s="9" t="str">
        <f t="array" ref="GQ14">IF(GQ$11&gt;=0,MAX(INDEX(MMULT(inverseG,GP$12:GP$62),$A14+1,1),MAX(strike-$B14,0)),"")</f>
        <v/>
      </c>
      <c r="GR14" s="9" t="str">
        <f t="array" ref="GR14">IF(GR$11&gt;=0,MAX(INDEX(MMULT(inverseG,GQ$12:GQ$62),$A14+1,1),MAX(strike-$B14,0)),"")</f>
        <v/>
      </c>
      <c r="GS14" s="9" t="str">
        <f t="array" ref="GS14">IF(GS$11&gt;=0,MAX(INDEX(MMULT(inverseG,GR$12:GR$62),$A14+1,1),MAX(strike-$B14,0)),"")</f>
        <v/>
      </c>
      <c r="GT14" s="9" t="str">
        <f t="array" ref="GT14">IF(GT$11&gt;=0,MAX(INDEX(MMULT(inverseG,GS$12:GS$62),$A14+1,1),MAX(strike-$B14,0)),"")</f>
        <v/>
      </c>
      <c r="GU14" s="9" t="str">
        <f t="array" ref="GU14">IF(GU$11&gt;=0,MAX(INDEX(MMULT(inverseG,GT$12:GT$62),$A14+1,1),MAX(strike-$B14,0)),"")</f>
        <v/>
      </c>
      <c r="GV14" s="9" t="str">
        <f t="array" ref="GV14">IF(GV$11&gt;=0,MAX(INDEX(MMULT(inverseG,GU$12:GU$62),$A14+1,1),MAX(strike-$B14,0)),"")</f>
        <v/>
      </c>
      <c r="GW14" s="9" t="str">
        <f t="array" ref="GW14">IF(GW$11&gt;=0,MAX(INDEX(MMULT(inverseG,GV$12:GV$62),$A14+1,1),MAX(strike-$B14,0)),"")</f>
        <v/>
      </c>
      <c r="GX14" s="9" t="str">
        <f t="array" ref="GX14">IF(GX$11&gt;=0,MAX(INDEX(MMULT(inverseG,GW$12:GW$62),$A14+1,1),MAX(strike-$B14,0)),"")</f>
        <v/>
      </c>
      <c r="GY14" s="9" t="str">
        <f t="array" ref="GY14">IF(GY$11&gt;=0,MAX(INDEX(MMULT(inverseG,GX$12:GX$62),$A14+1,1),MAX(strike-$B14,0)),"")</f>
        <v/>
      </c>
      <c r="GZ14" s="9" t="str">
        <f t="array" ref="GZ14">IF(GZ$11&gt;=0,MAX(INDEX(MMULT(inverseG,GY$12:GY$62),$A14+1,1),MAX(strike-$B14,0)),"")</f>
        <v/>
      </c>
      <c r="HA14" s="9" t="str">
        <f t="array" ref="HA14">IF(HA$11&gt;=0,MAX(INDEX(MMULT(inverseG,GZ$12:GZ$62),$A14+1,1),MAX(strike-$B14,0)),"")</f>
        <v/>
      </c>
      <c r="HB14" s="9" t="str">
        <f t="array" ref="HB14">IF(HB$11&gt;=0,MAX(INDEX(MMULT(inverseG,HA$12:HA$62),$A14+1,1),MAX(strike-$B14,0)),"")</f>
        <v/>
      </c>
      <c r="HC14" s="9" t="str">
        <f t="array" ref="HC14">IF(HC$11&gt;=0,MAX(INDEX(MMULT(inverseG,HB$12:HB$62),$A14+1,1),MAX(strike-$B14,0)),"")</f>
        <v/>
      </c>
      <c r="HD14" s="9" t="str">
        <f t="array" ref="HD14">IF(HD$11&gt;=0,MAX(INDEX(MMULT(inverseG,HC$12:HC$62),$A14+1,1),MAX(strike-$B14,0)),"")</f>
        <v/>
      </c>
      <c r="HE14" s="9" t="str">
        <f t="array" ref="HE14">IF(HE$11&gt;=0,MAX(INDEX(MMULT(inverseG,HD$12:HD$62),$A14+1,1),MAX(strike-$B14,0)),"")</f>
        <v/>
      </c>
      <c r="HF14" s="9" t="str">
        <f t="array" ref="HF14">IF(HF$11&gt;=0,MAX(INDEX(MMULT(inverseG,HE$12:HE$62),$A14+1,1),MAX(strike-$B14,0)),"")</f>
        <v/>
      </c>
      <c r="HG14" s="9" t="str">
        <f t="array" ref="HG14">IF(HG$11&gt;=0,MAX(INDEX(MMULT(inverseG,HF$12:HF$62),$A14+1,1),MAX(strike-$B14,0)),"")</f>
        <v/>
      </c>
      <c r="HH14" s="9" t="str">
        <f t="array" ref="HH14">IF(HH$11&gt;=0,MAX(INDEX(MMULT(inverseG,HG$12:HG$62),$A14+1,1),MAX(strike-$B14,0)),"")</f>
        <v/>
      </c>
      <c r="HI14" s="9" t="str">
        <f t="array" ref="HI14">IF(HI$11&gt;=0,MAX(INDEX(MMULT(inverseG,HH$12:HH$62),$A14+1,1),MAX(strike-$B14,0)),"")</f>
        <v/>
      </c>
      <c r="HJ14" s="9" t="str">
        <f t="array" ref="HJ14">IF(HJ$11&gt;=0,MAX(INDEX(MMULT(inverseG,HI$12:HI$62),$A14+1,1),MAX(strike-$B14,0)),"")</f>
        <v/>
      </c>
      <c r="HK14" s="9" t="str">
        <f t="array" ref="HK14">IF(HK$11&gt;=0,MAX(INDEX(MMULT(inverseG,HJ$12:HJ$62),$A14+1,1),MAX(strike-$B14,0)),"")</f>
        <v/>
      </c>
      <c r="HL14" s="9" t="str">
        <f t="array" ref="HL14">IF(HL$11&gt;=0,MAX(INDEX(MMULT(inverseG,HK$12:HK$62),$A14+1,1),MAX(strike-$B14,0)),"")</f>
        <v/>
      </c>
      <c r="HM14" s="9" t="str">
        <f t="array" ref="HM14">IF(HM$11&gt;=0,MAX(INDEX(MMULT(inverseG,HL$12:HL$62),$A14+1,1),MAX(strike-$B14,0)),"")</f>
        <v/>
      </c>
      <c r="HN14" s="9" t="str">
        <f t="array" ref="HN14">IF(HN$11&gt;=0,MAX(INDEX(MMULT(inverseG,HM$12:HM$62),$A14+1,1),MAX(strike-$B14,0)),"")</f>
        <v/>
      </c>
      <c r="HO14" s="9" t="str">
        <f t="array" ref="HO14">IF(HO$11&gt;=0,MAX(INDEX(MMULT(inverseG,HN$12:HN$62),$A14+1,1),MAX(strike-$B14,0)),"")</f>
        <v/>
      </c>
      <c r="HP14" s="9" t="str">
        <f t="array" ref="HP14">IF(HP$11&gt;=0,MAX(INDEX(MMULT(inverseG,HO$12:HO$62),$A14+1,1),MAX(strike-$B14,0)),"")</f>
        <v/>
      </c>
      <c r="HQ14" s="9" t="str">
        <f t="array" ref="HQ14">IF(HQ$11&gt;=0,MAX(INDEX(MMULT(inverseG,HP$12:HP$62),$A14+1,1),MAX(strike-$B14,0)),"")</f>
        <v/>
      </c>
      <c r="HR14" s="9" t="str">
        <f t="array" ref="HR14">IF(HR$11&gt;=0,MAX(INDEX(MMULT(inverseG,HQ$12:HQ$62),$A14+1,1),MAX(strike-$B14,0)),"")</f>
        <v/>
      </c>
      <c r="HS14" s="9" t="str">
        <f t="array" ref="HS14">IF(HS$11&gt;=0,MAX(INDEX(MMULT(inverseG,HR$12:HR$62),$A14+1,1),MAX(strike-$B14,0)),"")</f>
        <v/>
      </c>
      <c r="HT14" s="9" t="str">
        <f t="array" ref="HT14">IF(HT$11&gt;=0,MAX(INDEX(MMULT(inverseG,HS$12:HS$62),$A14+1,1),MAX(strike-$B14,0)),"")</f>
        <v/>
      </c>
      <c r="HU14" s="9" t="str">
        <f t="array" ref="HU14">IF(HU$11&gt;=0,MAX(INDEX(MMULT(inverseG,HT$12:HT$62),$A14+1,1),MAX(strike-$B14,0)),"")</f>
        <v/>
      </c>
      <c r="HV14" s="9" t="str">
        <f t="array" ref="HV14">IF(HV$11&gt;=0,MAX(INDEX(MMULT(inverseG,HU$12:HU$62),$A14+1,1),MAX(strike-$B14,0)),"")</f>
        <v/>
      </c>
      <c r="HW14" s="9" t="str">
        <f t="array" ref="HW14">IF(HW$11&gt;=0,MAX(INDEX(MMULT(inverseG,HV$12:HV$62),$A14+1,1),MAX(strike-$B14,0)),"")</f>
        <v/>
      </c>
      <c r="HX14" s="9" t="str">
        <f t="array" ref="HX14">IF(HX$11&gt;=0,MAX(INDEX(MMULT(inverseG,HW$12:HW$62),$A14+1,1),MAX(strike-$B14,0)),"")</f>
        <v/>
      </c>
      <c r="HY14" s="9" t="str">
        <f t="array" ref="HY14">IF(HY$11&gt;=0,MAX(INDEX(MMULT(inverseG,HX$12:HX$62),$A14+1,1),MAX(strike-$B14,0)),"")</f>
        <v/>
      </c>
      <c r="HZ14" s="9" t="str">
        <f t="array" ref="HZ14">IF(HZ$11&gt;=0,MAX(INDEX(MMULT(inverseG,HY$12:HY$62),$A14+1,1),MAX(strike-$B14,0)),"")</f>
        <v/>
      </c>
      <c r="IA14" s="9" t="str">
        <f t="array" ref="IA14">IF(IA$11&gt;=0,MAX(INDEX(MMULT(inverseG,HZ$12:HZ$62),$A14+1,1),MAX(strike-$B14,0)),"")</f>
        <v/>
      </c>
      <c r="IB14" s="9" t="str">
        <f t="array" ref="IB14">IF(IB$11&gt;=0,MAX(INDEX(MMULT(inverseG,IA$12:IA$62),$A14+1,1),MAX(strike-$B14,0)),"")</f>
        <v/>
      </c>
      <c r="IC14" s="9" t="str">
        <f t="array" ref="IC14">IF(IC$11&gt;=0,MAX(INDEX(MMULT(inverseG,IB$12:IB$62),$A14+1,1),MAX(strike-$B14,0)),"")</f>
        <v/>
      </c>
      <c r="ID14" s="9" t="str">
        <f t="array" ref="ID14">IF(ID$11&gt;=0,MAX(INDEX(MMULT(inverseG,IC$12:IC$62),$A14+1,1),MAX(strike-$B14,0)),"")</f>
        <v/>
      </c>
      <c r="IE14" s="9" t="str">
        <f t="array" ref="IE14">IF(IE$11&gt;=0,MAX(INDEX(MMULT(inverseG,ID$12:ID$62),$A14+1,1),MAX(strike-$B14,0)),"")</f>
        <v/>
      </c>
      <c r="IF14" s="9" t="str">
        <f t="array" ref="IF14">IF(IF$11&gt;=0,MAX(INDEX(MMULT(inverseG,IE$12:IE$62),$A14+1,1),MAX(strike-$B14,0)),"")</f>
        <v/>
      </c>
      <c r="IG14" s="9" t="str">
        <f t="array" ref="IG14">IF(IG$11&gt;=0,MAX(INDEX(MMULT(inverseG,IF$12:IF$62),$A14+1,1),MAX(strike-$B14,0)),"")</f>
        <v/>
      </c>
      <c r="IH14" s="9" t="str">
        <f t="array" ref="IH14">IF(IH$11&gt;=0,MAX(INDEX(MMULT(inverseG,IG$12:IG$62),$A14+1,1),MAX(strike-$B14,0)),"")</f>
        <v/>
      </c>
      <c r="II14" s="9" t="str">
        <f t="array" ref="II14">IF(II$11&gt;=0,MAX(INDEX(MMULT(inverseG,IH$12:IH$62),$A14+1,1),MAX(strike-$B14,0)),"")</f>
        <v/>
      </c>
      <c r="IJ14" s="9" t="str">
        <f t="array" ref="IJ14">IF(IJ$11&gt;=0,MAX(INDEX(MMULT(inverseG,II$12:II$62),$A14+1,1),MAX(strike-$B14,0)),"")</f>
        <v/>
      </c>
      <c r="IK14" s="9" t="str">
        <f t="array" ref="IK14">IF(IK$11&gt;=0,MAX(INDEX(MMULT(inverseG,IJ$12:IJ$62),$A14+1,1),MAX(strike-$B14,0)),"")</f>
        <v/>
      </c>
      <c r="IL14" s="9" t="str">
        <f t="array" ref="IL14">IF(IL$11&gt;=0,MAX(INDEX(MMULT(inverseG,IK$12:IK$62),$A14+1,1),MAX(strike-$B14,0)),"")</f>
        <v/>
      </c>
      <c r="IM14" s="9" t="str">
        <f t="array" ref="IM14">IF(IM$11&gt;=0,MAX(INDEX(MMULT(inverseG,IL$12:IL$62),$A14+1,1),MAX(strike-$B14,0)),"")</f>
        <v/>
      </c>
      <c r="IN14" s="9" t="str">
        <f t="array" ref="IN14">IF(IN$11&gt;=0,MAX(INDEX(MMULT(inverseG,IM$12:IM$62),$A14+1,1),MAX(strike-$B14,0)),"")</f>
        <v/>
      </c>
      <c r="IO14" s="9" t="str">
        <f t="array" ref="IO14">IF(IO$11&gt;=0,MAX(INDEX(MMULT(inverseG,IN$12:IN$62),$A14+1,1),MAX(strike-$B14,0)),"")</f>
        <v/>
      </c>
      <c r="IP14" s="9" t="str">
        <f t="array" ref="IP14">IF(IP$11&gt;=0,MAX(INDEX(MMULT(inverseG,IO$12:IO$62),$A14+1,1),MAX(strike-$B14,0)),"")</f>
        <v/>
      </c>
      <c r="IQ14" s="9" t="str">
        <f t="array" ref="IQ14">IF(IQ$11&gt;=0,MAX(INDEX(MMULT(inverseG,IP$12:IP$62),$A14+1,1),MAX(strike-$B14,0)),"")</f>
        <v/>
      </c>
      <c r="IR14" s="9" t="str">
        <f t="array" ref="IR14">IF(IR$11&gt;=0,MAX(INDEX(MMULT(inverseG,IQ$12:IQ$62),$A14+1,1),MAX(strike-$B14,0)),"")</f>
        <v/>
      </c>
      <c r="IS14" s="9" t="str">
        <f t="array" ref="IS14">IF(IS$11&gt;=0,MAX(INDEX(MMULT(inverseG,IR$12:IR$62),$A14+1,1),MAX(strike-$B14,0)),"")</f>
        <v/>
      </c>
      <c r="IT14" s="9" t="str">
        <f t="array" ref="IT14">IF(IT$11&gt;=0,MAX(INDEX(MMULT(inverseG,IS$12:IS$62),$A14+1,1),MAX(strike-$B14,0)),"")</f>
        <v/>
      </c>
      <c r="IU14" s="9" t="str">
        <f t="array" ref="IU14">IF(IU$11&gt;=0,MAX(INDEX(MMULT(inverseG,IT$12:IT$62),$A14+1,1),MAX(strike-$B14,0)),"")</f>
        <v/>
      </c>
      <c r="IV14" s="9" t="str">
        <f t="array" ref="IV14">IF(IV$11&gt;=0,MAX(INDEX(MMULT(inverseG,IU$12:IU$62),$A14+1,1),MAX(strike-$B14,0)),"")</f>
        <v/>
      </c>
    </row>
    <row r="15" spans="1:256" x14ac:dyDescent="0.2">
      <c r="A15" s="8">
        <f t="shared" si="7"/>
        <v>3</v>
      </c>
      <c r="B15" s="6">
        <f t="shared" si="4"/>
        <v>0.75</v>
      </c>
      <c r="C15" s="30">
        <f t="shared" ca="1" si="6"/>
        <v>4.25</v>
      </c>
      <c r="D15" s="9">
        <f t="shared" si="5"/>
        <v>4.25</v>
      </c>
      <c r="E15" s="9">
        <f t="array" ref="E15">IF(E$11&gt;=0,MAX(INDEX(MMULT(inverseG,D$12:D$62),$A15+1,1),MAX(strike-$B15,0)),"")</f>
        <v>4.25</v>
      </c>
      <c r="F15" s="9">
        <f t="array" ref="F15">IF(F$11&gt;=0,MAX(INDEX(MMULT(inverseG,E$12:E$62),$A15+1,1),MAX(strike-$B15,0)),"")</f>
        <v>4.25</v>
      </c>
      <c r="G15" s="9">
        <f t="array" ref="G15">IF(G$11&gt;=0,MAX(INDEX(MMULT(inverseG,F$12:F$62),$A15+1,1),MAX(strike-$B15,0)),"")</f>
        <v>4.25</v>
      </c>
      <c r="H15" s="9">
        <f t="array" ref="H15">IF(H$11&gt;=0,MAX(INDEX(MMULT(inverseG,G$12:G$62),$A15+1,1),MAX(strike-$B15,0)),"")</f>
        <v>4.25</v>
      </c>
      <c r="I15" s="9">
        <f t="array" ref="I15">IF(I$11&gt;=0,MAX(INDEX(MMULT(inverseG,H$12:H$62),$A15+1,1),MAX(strike-$B15,0)),"")</f>
        <v>4.25</v>
      </c>
      <c r="J15" s="9">
        <f t="array" ref="J15">IF(J$11&gt;=0,MAX(INDEX(MMULT(inverseG,I$12:I$62),$A15+1,1),MAX(strike-$B15,0)),"")</f>
        <v>4.25</v>
      </c>
      <c r="K15" s="9">
        <f t="array" ref="K15">IF(K$11&gt;=0,MAX(INDEX(MMULT(inverseG,J$12:J$62),$A15+1,1),MAX(strike-$B15,0)),"")</f>
        <v>4.25</v>
      </c>
      <c r="L15" s="9">
        <f t="array" ref="L15">IF(L$11&gt;=0,MAX(INDEX(MMULT(inverseG,K$12:K$62),$A15+1,1),MAX(strike-$B15,0)),"")</f>
        <v>4.25</v>
      </c>
      <c r="M15" s="9">
        <f t="array" ref="M15">IF(M$11&gt;=0,MAX(INDEX(MMULT(inverseG,L$12:L$62),$A15+1,1),MAX(strike-$B15,0)),"")</f>
        <v>4.25</v>
      </c>
      <c r="N15" s="9">
        <f t="array" ref="N15">IF(N$11&gt;=0,MAX(INDEX(MMULT(inverseG,M$12:M$62),$A15+1,1),MAX(strike-$B15,0)),"")</f>
        <v>4.25</v>
      </c>
      <c r="O15" s="9">
        <f t="array" ref="O15">IF(O$11&gt;=0,MAX(INDEX(MMULT(inverseG,N$12:N$62),$A15+1,1),MAX(strike-$B15,0)),"")</f>
        <v>4.25</v>
      </c>
      <c r="P15" s="9">
        <f t="array" ref="P15">IF(P$11&gt;=0,MAX(INDEX(MMULT(inverseG,O$12:O$62),$A15+1,1),MAX(strike-$B15,0)),"")</f>
        <v>4.25</v>
      </c>
      <c r="Q15" s="9">
        <f t="array" ref="Q15">IF(Q$11&gt;=0,MAX(INDEX(MMULT(inverseG,P$12:P$62),$A15+1,1),MAX(strike-$B15,0)),"")</f>
        <v>4.25</v>
      </c>
      <c r="R15" s="9">
        <f t="array" ref="R15">IF(R$11&gt;=0,MAX(INDEX(MMULT(inverseG,Q$12:Q$62),$A15+1,1),MAX(strike-$B15,0)),"")</f>
        <v>4.25</v>
      </c>
      <c r="S15" s="9">
        <f t="array" ref="S15">IF(S$11&gt;=0,MAX(INDEX(MMULT(inverseG,R$12:R$62),$A15+1,1),MAX(strike-$B15,0)),"")</f>
        <v>4.25</v>
      </c>
      <c r="T15" s="9">
        <f t="array" ref="T15">IF(T$11&gt;=0,MAX(INDEX(MMULT(inverseG,S$12:S$62),$A15+1,1),MAX(strike-$B15,0)),"")</f>
        <v>4.25</v>
      </c>
      <c r="U15" s="9">
        <f t="array" ref="U15">IF(U$11&gt;=0,MAX(INDEX(MMULT(inverseG,T$12:T$62),$A15+1,1),MAX(strike-$B15,0)),"")</f>
        <v>4.25</v>
      </c>
      <c r="V15" s="9">
        <f t="array" ref="V15">IF(V$11&gt;=0,MAX(INDEX(MMULT(inverseG,U$12:U$62),$A15+1,1),MAX(strike-$B15,0)),"")</f>
        <v>4.25</v>
      </c>
      <c r="W15" s="9">
        <f t="array" ref="W15">IF(W$11&gt;=0,MAX(INDEX(MMULT(inverseG,V$12:V$62),$A15+1,1),MAX(strike-$B15,0)),"")</f>
        <v>4.25</v>
      </c>
      <c r="X15" s="9">
        <f t="array" ref="X15">IF(X$11&gt;=0,MAX(INDEX(MMULT(inverseG,W$12:W$62),$A15+1,1),MAX(strike-$B15,0)),"")</f>
        <v>4.25</v>
      </c>
      <c r="Y15" s="9">
        <f t="array" ref="Y15">IF(Y$11&gt;=0,MAX(INDEX(MMULT(inverseG,X$12:X$62),$A15+1,1),MAX(strike-$B15,0)),"")</f>
        <v>4.25</v>
      </c>
      <c r="Z15" s="9">
        <f t="array" ref="Z15">IF(Z$11&gt;=0,MAX(INDEX(MMULT(inverseG,Y$12:Y$62),$A15+1,1),MAX(strike-$B15,0)),"")</f>
        <v>4.25</v>
      </c>
      <c r="AA15" s="9">
        <f t="array" ref="AA15">IF(AA$11&gt;=0,MAX(INDEX(MMULT(inverseG,Z$12:Z$62),$A15+1,1),MAX(strike-$B15,0)),"")</f>
        <v>4.25</v>
      </c>
      <c r="AB15" s="9">
        <f t="array" ref="AB15">IF(AB$11&gt;=0,MAX(INDEX(MMULT(inverseG,AA$12:AA$62),$A15+1,1),MAX(strike-$B15,0)),"")</f>
        <v>4.25</v>
      </c>
      <c r="AC15" s="9">
        <f t="array" ref="AC15">IF(AC$11&gt;=0,MAX(INDEX(MMULT(inverseG,AB$12:AB$62),$A15+1,1),MAX(strike-$B15,0)),"")</f>
        <v>4.25</v>
      </c>
      <c r="AD15" s="9">
        <f t="array" ref="AD15">IF(AD$11&gt;=0,MAX(INDEX(MMULT(inverseG,AC$12:AC$62),$A15+1,1),MAX(strike-$B15,0)),"")</f>
        <v>4.25</v>
      </c>
      <c r="AE15" s="9">
        <f t="array" ref="AE15">IF(AE$11&gt;=0,MAX(INDEX(MMULT(inverseG,AD$12:AD$62),$A15+1,1),MAX(strike-$B15,0)),"")</f>
        <v>4.25</v>
      </c>
      <c r="AF15" s="9">
        <f t="array" ref="AF15">IF(AF$11&gt;=0,MAX(INDEX(MMULT(inverseG,AE$12:AE$62),$A15+1,1),MAX(strike-$B15,0)),"")</f>
        <v>4.25</v>
      </c>
      <c r="AG15" s="9">
        <f t="array" ref="AG15">IF(AG$11&gt;=0,MAX(INDEX(MMULT(inverseG,AF$12:AF$62),$A15+1,1),MAX(strike-$B15,0)),"")</f>
        <v>4.25</v>
      </c>
      <c r="AH15" s="9">
        <f t="array" ref="AH15">IF(AH$11&gt;=0,MAX(INDEX(MMULT(inverseG,AG$12:AG$62),$A15+1,1),MAX(strike-$B15,0)),"")</f>
        <v>4.25</v>
      </c>
      <c r="AI15" s="9">
        <f t="array" ref="AI15">IF(AI$11&gt;=0,MAX(INDEX(MMULT(inverseG,AH$12:AH$62),$A15+1,1),MAX(strike-$B15,0)),"")</f>
        <v>4.25</v>
      </c>
      <c r="AJ15" s="9">
        <f t="array" ref="AJ15">IF(AJ$11&gt;=0,MAX(INDEX(MMULT(inverseG,AI$12:AI$62),$A15+1,1),MAX(strike-$B15,0)),"")</f>
        <v>4.25</v>
      </c>
      <c r="AK15" s="9">
        <f t="array" ref="AK15">IF(AK$11&gt;=0,MAX(INDEX(MMULT(inverseG,AJ$12:AJ$62),$A15+1,1),MAX(strike-$B15,0)),"")</f>
        <v>4.25</v>
      </c>
      <c r="AL15" s="9">
        <f t="array" ref="AL15">IF(AL$11&gt;=0,MAX(INDEX(MMULT(inverseG,AK$12:AK$62),$A15+1,1),MAX(strike-$B15,0)),"")</f>
        <v>4.25</v>
      </c>
      <c r="AM15" s="9">
        <f t="array" ref="AM15">IF(AM$11&gt;=0,MAX(INDEX(MMULT(inverseG,AL$12:AL$62),$A15+1,1),MAX(strike-$B15,0)),"")</f>
        <v>4.25</v>
      </c>
      <c r="AN15" s="9">
        <f t="array" ref="AN15">IF(AN$11&gt;=0,MAX(INDEX(MMULT(inverseG,AM$12:AM$62),$A15+1,1),MAX(strike-$B15,0)),"")</f>
        <v>4.25</v>
      </c>
      <c r="AO15" s="9">
        <f t="array" ref="AO15">IF(AO$11&gt;=0,MAX(INDEX(MMULT(inverseG,AN$12:AN$62),$A15+1,1),MAX(strike-$B15,0)),"")</f>
        <v>4.25</v>
      </c>
      <c r="AP15" s="9">
        <f t="array" ref="AP15">IF(AP$11&gt;=0,MAX(INDEX(MMULT(inverseG,AO$12:AO$62),$A15+1,1),MAX(strike-$B15,0)),"")</f>
        <v>4.25</v>
      </c>
      <c r="AQ15" s="9">
        <f t="array" ref="AQ15">IF(AQ$11&gt;=0,MAX(INDEX(MMULT(inverseG,AP$12:AP$62),$A15+1,1),MAX(strike-$B15,0)),"")</f>
        <v>4.25</v>
      </c>
      <c r="AR15" s="9">
        <f t="array" ref="AR15">IF(AR$11&gt;=0,MAX(INDEX(MMULT(inverseG,AQ$12:AQ$62),$A15+1,1),MAX(strike-$B15,0)),"")</f>
        <v>4.25</v>
      </c>
      <c r="AS15" s="9">
        <f t="array" ref="AS15">IF(AS$11&gt;=0,MAX(INDEX(MMULT(inverseG,AR$12:AR$62),$A15+1,1),MAX(strike-$B15,0)),"")</f>
        <v>4.25</v>
      </c>
      <c r="AT15" s="9">
        <f t="array" ref="AT15">IF(AT$11&gt;=0,MAX(INDEX(MMULT(inverseG,AS$12:AS$62),$A15+1,1),MAX(strike-$B15,0)),"")</f>
        <v>4.25</v>
      </c>
      <c r="AU15" s="9">
        <f t="array" ref="AU15">IF(AU$11&gt;=0,MAX(INDEX(MMULT(inverseG,AT$12:AT$62),$A15+1,1),MAX(strike-$B15,0)),"")</f>
        <v>4.25</v>
      </c>
      <c r="AV15" s="9">
        <f t="array" ref="AV15">IF(AV$11&gt;=0,MAX(INDEX(MMULT(inverseG,AU$12:AU$62),$A15+1,1),MAX(strike-$B15,0)),"")</f>
        <v>4.25</v>
      </c>
      <c r="AW15" s="9">
        <f t="array" ref="AW15">IF(AW$11&gt;=0,MAX(INDEX(MMULT(inverseG,AV$12:AV$62),$A15+1,1),MAX(strike-$B15,0)),"")</f>
        <v>4.25</v>
      </c>
      <c r="AX15" s="9">
        <f t="array" ref="AX15">IF(AX$11&gt;=0,MAX(INDEX(MMULT(inverseG,AW$12:AW$62),$A15+1,1),MAX(strike-$B15,0)),"")</f>
        <v>4.25</v>
      </c>
      <c r="AY15" s="9">
        <f t="array" ref="AY15">IF(AY$11&gt;=0,MAX(INDEX(MMULT(inverseG,AX$12:AX$62),$A15+1,1),MAX(strike-$B15,0)),"")</f>
        <v>4.25</v>
      </c>
      <c r="AZ15" s="9">
        <f t="array" ref="AZ15">IF(AZ$11&gt;=0,MAX(INDEX(MMULT(inverseG,AY$12:AY$62),$A15+1,1),MAX(strike-$B15,0)),"")</f>
        <v>4.25</v>
      </c>
      <c r="BA15" s="9">
        <f t="array" ref="BA15">IF(BA$11&gt;=0,MAX(INDEX(MMULT(inverseG,AZ$12:AZ$62),$A15+1,1),MAX(strike-$B15,0)),"")</f>
        <v>4.25</v>
      </c>
      <c r="BB15" s="9">
        <f t="array" ref="BB15">IF(BB$11&gt;=0,MAX(INDEX(MMULT(inverseG,BA$12:BA$62),$A15+1,1),MAX(strike-$B15,0)),"")</f>
        <v>4.25</v>
      </c>
      <c r="BC15" s="9">
        <f t="array" ref="BC15">IF(BC$11&gt;=0,MAX(INDEX(MMULT(inverseG,BB$12:BB$62),$A15+1,1),MAX(strike-$B15,0)),"")</f>
        <v>4.25</v>
      </c>
      <c r="BD15" s="9">
        <f t="array" ref="BD15">IF(BD$11&gt;=0,MAX(INDEX(MMULT(inverseG,BC$12:BC$62),$A15+1,1),MAX(strike-$B15,0)),"")</f>
        <v>4.25</v>
      </c>
      <c r="BE15" s="9">
        <f t="array" ref="BE15">IF(BE$11&gt;=0,MAX(INDEX(MMULT(inverseG,BD$12:BD$62),$A15+1,1),MAX(strike-$B15,0)),"")</f>
        <v>4.25</v>
      </c>
      <c r="BF15" s="9">
        <f t="array" ref="BF15">IF(BF$11&gt;=0,MAX(INDEX(MMULT(inverseG,BE$12:BE$62),$A15+1,1),MAX(strike-$B15,0)),"")</f>
        <v>4.25</v>
      </c>
      <c r="BG15" s="9">
        <f t="array" ref="BG15">IF(BG$11&gt;=0,MAX(INDEX(MMULT(inverseG,BF$12:BF$62),$A15+1,1),MAX(strike-$B15,0)),"")</f>
        <v>4.25</v>
      </c>
      <c r="BH15" s="9">
        <f t="array" ref="BH15">IF(BH$11&gt;=0,MAX(INDEX(MMULT(inverseG,BG$12:BG$62),$A15+1,1),MAX(strike-$B15,0)),"")</f>
        <v>4.25</v>
      </c>
      <c r="BI15" s="9">
        <f t="array" ref="BI15">IF(BI$11&gt;=0,MAX(INDEX(MMULT(inverseG,BH$12:BH$62),$A15+1,1),MAX(strike-$B15,0)),"")</f>
        <v>4.25</v>
      </c>
      <c r="BJ15" s="9">
        <f t="array" ref="BJ15">IF(BJ$11&gt;=0,MAX(INDEX(MMULT(inverseG,BI$12:BI$62),$A15+1,1),MAX(strike-$B15,0)),"")</f>
        <v>4.25</v>
      </c>
      <c r="BK15" s="9">
        <f t="array" ref="BK15">IF(BK$11&gt;=0,MAX(INDEX(MMULT(inverseG,BJ$12:BJ$62),$A15+1,1),MAX(strike-$B15,0)),"")</f>
        <v>4.25</v>
      </c>
      <c r="BL15" s="9">
        <f t="array" ref="BL15">IF(BL$11&gt;=0,MAX(INDEX(MMULT(inverseG,BK$12:BK$62),$A15+1,1),MAX(strike-$B15,0)),"")</f>
        <v>4.25</v>
      </c>
      <c r="BM15" s="9">
        <f t="array" ref="BM15">IF(BM$11&gt;=0,MAX(INDEX(MMULT(inverseG,BL$12:BL$62),$A15+1,1),MAX(strike-$B15,0)),"")</f>
        <v>4.25</v>
      </c>
      <c r="BN15" s="9">
        <f t="array" ref="BN15">IF(BN$11&gt;=0,MAX(INDEX(MMULT(inverseG,BM$12:BM$62),$A15+1,1),MAX(strike-$B15,0)),"")</f>
        <v>4.25</v>
      </c>
      <c r="BO15" s="9">
        <f t="array" ref="BO15">IF(BO$11&gt;=0,MAX(INDEX(MMULT(inverseG,BN$12:BN$62),$A15+1,1),MAX(strike-$B15,0)),"")</f>
        <v>4.25</v>
      </c>
      <c r="BP15" s="9">
        <f t="array" ref="BP15">IF(BP$11&gt;=0,MAX(INDEX(MMULT(inverseG,BO$12:BO$62),$A15+1,1),MAX(strike-$B15,0)),"")</f>
        <v>4.25</v>
      </c>
      <c r="BQ15" s="9">
        <f t="array" ref="BQ15">IF(BQ$11&gt;=0,MAX(INDEX(MMULT(inverseG,BP$12:BP$62),$A15+1,1),MAX(strike-$B15,0)),"")</f>
        <v>4.25</v>
      </c>
      <c r="BR15" s="9">
        <f t="array" ref="BR15">IF(BR$11&gt;=0,MAX(INDEX(MMULT(inverseG,BQ$12:BQ$62),$A15+1,1),MAX(strike-$B15,0)),"")</f>
        <v>4.25</v>
      </c>
      <c r="BS15" s="9">
        <f t="array" ref="BS15">IF(BS$11&gt;=0,MAX(INDEX(MMULT(inverseG,BR$12:BR$62),$A15+1,1),MAX(strike-$B15,0)),"")</f>
        <v>4.25</v>
      </c>
      <c r="BT15" s="9">
        <f t="array" ref="BT15">IF(BT$11&gt;=0,MAX(INDEX(MMULT(inverseG,BS$12:BS$62),$A15+1,1),MAX(strike-$B15,0)),"")</f>
        <v>4.25</v>
      </c>
      <c r="BU15" s="9">
        <f t="array" ref="BU15">IF(BU$11&gt;=0,MAX(INDEX(MMULT(inverseG,BT$12:BT$62),$A15+1,1),MAX(strike-$B15,0)),"")</f>
        <v>4.25</v>
      </c>
      <c r="BV15" s="9">
        <f t="array" ref="BV15">IF(BV$11&gt;=0,MAX(INDEX(MMULT(inverseG,BU$12:BU$62),$A15+1,1),MAX(strike-$B15,0)),"")</f>
        <v>4.25</v>
      </c>
      <c r="BW15" s="9">
        <f t="array" ref="BW15">IF(BW$11&gt;=0,MAX(INDEX(MMULT(inverseG,BV$12:BV$62),$A15+1,1),MAX(strike-$B15,0)),"")</f>
        <v>4.25</v>
      </c>
      <c r="BX15" s="9">
        <f t="array" ref="BX15">IF(BX$11&gt;=0,MAX(INDEX(MMULT(inverseG,BW$12:BW$62),$A15+1,1),MAX(strike-$B15,0)),"")</f>
        <v>4.25</v>
      </c>
      <c r="BY15" s="9">
        <f t="array" ref="BY15">IF(BY$11&gt;=0,MAX(INDEX(MMULT(inverseG,BX$12:BX$62),$A15+1,1),MAX(strike-$B15,0)),"")</f>
        <v>4.25</v>
      </c>
      <c r="BZ15" s="9">
        <f t="array" ref="BZ15">IF(BZ$11&gt;=0,MAX(INDEX(MMULT(inverseG,BY$12:BY$62),$A15+1,1),MAX(strike-$B15,0)),"")</f>
        <v>4.25</v>
      </c>
      <c r="CA15" s="9">
        <f t="array" ref="CA15">IF(CA$11&gt;=0,MAX(INDEX(MMULT(inverseG,BZ$12:BZ$62),$A15+1,1),MAX(strike-$B15,0)),"")</f>
        <v>4.25</v>
      </c>
      <c r="CB15" s="9">
        <f t="array" ref="CB15">IF(CB$11&gt;=0,MAX(INDEX(MMULT(inverseG,CA$12:CA$62),$A15+1,1),MAX(strike-$B15,0)),"")</f>
        <v>4.25</v>
      </c>
      <c r="CC15" s="9">
        <f t="array" ref="CC15">IF(CC$11&gt;=0,MAX(INDEX(MMULT(inverseG,CB$12:CB$62),$A15+1,1),MAX(strike-$B15,0)),"")</f>
        <v>4.25</v>
      </c>
      <c r="CD15" s="9">
        <f t="array" ref="CD15">IF(CD$11&gt;=0,MAX(INDEX(MMULT(inverseG,CC$12:CC$62),$A15+1,1),MAX(strike-$B15,0)),"")</f>
        <v>4.25</v>
      </c>
      <c r="CE15" s="9">
        <f t="array" ref="CE15">IF(CE$11&gt;=0,MAX(INDEX(MMULT(inverseG,CD$12:CD$62),$A15+1,1),MAX(strike-$B15,0)),"")</f>
        <v>4.25</v>
      </c>
      <c r="CF15" s="9">
        <f t="array" ref="CF15">IF(CF$11&gt;=0,MAX(INDEX(MMULT(inverseG,CE$12:CE$62),$A15+1,1),MAX(strike-$B15,0)),"")</f>
        <v>4.25</v>
      </c>
      <c r="CG15" s="9">
        <f t="array" ref="CG15">IF(CG$11&gt;=0,MAX(INDEX(MMULT(inverseG,CF$12:CF$62),$A15+1,1),MAX(strike-$B15,0)),"")</f>
        <v>4.25</v>
      </c>
      <c r="CH15" s="9">
        <f t="array" ref="CH15">IF(CH$11&gt;=0,MAX(INDEX(MMULT(inverseG,CG$12:CG$62),$A15+1,1),MAX(strike-$B15,0)),"")</f>
        <v>4.25</v>
      </c>
      <c r="CI15" s="9">
        <f t="array" ref="CI15">IF(CI$11&gt;=0,MAX(INDEX(MMULT(inverseG,CH$12:CH$62),$A15+1,1),MAX(strike-$B15,0)),"")</f>
        <v>4.25</v>
      </c>
      <c r="CJ15" s="9">
        <f t="array" ref="CJ15">IF(CJ$11&gt;=0,MAX(INDEX(MMULT(inverseG,CI$12:CI$62),$A15+1,1),MAX(strike-$B15,0)),"")</f>
        <v>4.25</v>
      </c>
      <c r="CK15" s="9">
        <f t="array" ref="CK15">IF(CK$11&gt;=0,MAX(INDEX(MMULT(inverseG,CJ$12:CJ$62),$A15+1,1),MAX(strike-$B15,0)),"")</f>
        <v>4.25</v>
      </c>
      <c r="CL15" s="9">
        <f t="array" ref="CL15">IF(CL$11&gt;=0,MAX(INDEX(MMULT(inverseG,CK$12:CK$62),$A15+1,1),MAX(strike-$B15,0)),"")</f>
        <v>4.25</v>
      </c>
      <c r="CM15" s="9">
        <f t="array" ref="CM15">IF(CM$11&gt;=0,MAX(INDEX(MMULT(inverseG,CL$12:CL$62),$A15+1,1),MAX(strike-$B15,0)),"")</f>
        <v>4.25</v>
      </c>
      <c r="CN15" s="9">
        <f t="array" ref="CN15">IF(CN$11&gt;=0,MAX(INDEX(MMULT(inverseG,CM$12:CM$62),$A15+1,1),MAX(strike-$B15,0)),"")</f>
        <v>4.25</v>
      </c>
      <c r="CO15" s="9">
        <f t="array" ref="CO15">IF(CO$11&gt;=0,MAX(INDEX(MMULT(inverseG,CN$12:CN$62),$A15+1,1),MAX(strike-$B15,0)),"")</f>
        <v>4.25</v>
      </c>
      <c r="CP15" s="9">
        <f t="array" ref="CP15">IF(CP$11&gt;=0,MAX(INDEX(MMULT(inverseG,CO$12:CO$62),$A15+1,1),MAX(strike-$B15,0)),"")</f>
        <v>4.25</v>
      </c>
      <c r="CQ15" s="9">
        <f t="array" ref="CQ15">IF(CQ$11&gt;=0,MAX(INDEX(MMULT(inverseG,CP$12:CP$62),$A15+1,1),MAX(strike-$B15,0)),"")</f>
        <v>4.25</v>
      </c>
      <c r="CR15" s="9">
        <f t="array" ref="CR15">IF(CR$11&gt;=0,MAX(INDEX(MMULT(inverseG,CQ$12:CQ$62),$A15+1,1),MAX(strike-$B15,0)),"")</f>
        <v>4.25</v>
      </c>
      <c r="CS15" s="9">
        <f t="array" ref="CS15">IF(CS$11&gt;=0,MAX(INDEX(MMULT(inverseG,CR$12:CR$62),$A15+1,1),MAX(strike-$B15,0)),"")</f>
        <v>4.25</v>
      </c>
      <c r="CT15" s="9">
        <f t="array" ref="CT15">IF(CT$11&gt;=0,MAX(INDEX(MMULT(inverseG,CS$12:CS$62),$A15+1,1),MAX(strike-$B15,0)),"")</f>
        <v>4.25</v>
      </c>
      <c r="CU15" s="9">
        <f t="array" ref="CU15">IF(CU$11&gt;=0,MAX(INDEX(MMULT(inverseG,CT$12:CT$62),$A15+1,1),MAX(strike-$B15,0)),"")</f>
        <v>4.25</v>
      </c>
      <c r="CV15" s="9">
        <f t="array" ref="CV15">IF(CV$11&gt;=0,MAX(INDEX(MMULT(inverseG,CU$12:CU$62),$A15+1,1),MAX(strike-$B15,0)),"")</f>
        <v>4.25</v>
      </c>
      <c r="CW15" s="9">
        <f t="array" ref="CW15">IF(CW$11&gt;=0,MAX(INDEX(MMULT(inverseG,CV$12:CV$62),$A15+1,1),MAX(strike-$B15,0)),"")</f>
        <v>4.25</v>
      </c>
      <c r="CX15" s="9">
        <f t="array" ref="CX15">IF(CX$11&gt;=0,MAX(INDEX(MMULT(inverseG,CW$12:CW$62),$A15+1,1),MAX(strike-$B15,0)),"")</f>
        <v>4.25</v>
      </c>
      <c r="CY15" s="9">
        <f t="array" ref="CY15">IF(CY$11&gt;=0,MAX(INDEX(MMULT(inverseG,CX$12:CX$62),$A15+1,1),MAX(strike-$B15,0)),"")</f>
        <v>4.25</v>
      </c>
      <c r="CZ15" s="9">
        <f t="array" ref="CZ15">IF(CZ$11&gt;=0,MAX(INDEX(MMULT(inverseG,CY$12:CY$62),$A15+1,1),MAX(strike-$B15,0)),"")</f>
        <v>4.25</v>
      </c>
      <c r="DA15" s="9" t="str">
        <f t="array" ref="DA15">IF(DA$11&gt;=0,MAX(INDEX(MMULT(inverseG,CZ$12:CZ$62),$A15+1,1),MAX(strike-$B15,0)),"")</f>
        <v/>
      </c>
      <c r="DB15" s="9" t="str">
        <f t="array" ref="DB15">IF(DB$11&gt;=0,MAX(INDEX(MMULT(inverseG,DA$12:DA$62),$A15+1,1),MAX(strike-$B15,0)),"")</f>
        <v/>
      </c>
      <c r="DC15" s="9" t="str">
        <f t="array" ref="DC15">IF(DC$11&gt;=0,MAX(INDEX(MMULT(inverseG,DB$12:DB$62),$A15+1,1),MAX(strike-$B15,0)),"")</f>
        <v/>
      </c>
      <c r="DD15" s="9" t="str">
        <f t="array" ref="DD15">IF(DD$11&gt;=0,MAX(INDEX(MMULT(inverseG,DC$12:DC$62),$A15+1,1),MAX(strike-$B15,0)),"")</f>
        <v/>
      </c>
      <c r="DE15" s="9" t="str">
        <f t="array" ref="DE15">IF(DE$11&gt;=0,MAX(INDEX(MMULT(inverseG,DD$12:DD$62),$A15+1,1),MAX(strike-$B15,0)),"")</f>
        <v/>
      </c>
      <c r="DF15" s="9" t="str">
        <f t="array" ref="DF15">IF(DF$11&gt;=0,MAX(INDEX(MMULT(inverseG,DE$12:DE$62),$A15+1,1),MAX(strike-$B15,0)),"")</f>
        <v/>
      </c>
      <c r="DG15" s="9" t="str">
        <f t="array" ref="DG15">IF(DG$11&gt;=0,MAX(INDEX(MMULT(inverseG,DF$12:DF$62),$A15+1,1),MAX(strike-$B15,0)),"")</f>
        <v/>
      </c>
      <c r="DH15" s="9" t="str">
        <f t="array" ref="DH15">IF(DH$11&gt;=0,MAX(INDEX(MMULT(inverseG,DG$12:DG$62),$A15+1,1),MAX(strike-$B15,0)),"")</f>
        <v/>
      </c>
      <c r="DI15" s="9" t="str">
        <f t="array" ref="DI15">IF(DI$11&gt;=0,MAX(INDEX(MMULT(inverseG,DH$12:DH$62),$A15+1,1),MAX(strike-$B15,0)),"")</f>
        <v/>
      </c>
      <c r="DJ15" s="9" t="str">
        <f t="array" ref="DJ15">IF(DJ$11&gt;=0,MAX(INDEX(MMULT(inverseG,DI$12:DI$62),$A15+1,1),MAX(strike-$B15,0)),"")</f>
        <v/>
      </c>
      <c r="DK15" s="9" t="str">
        <f t="array" ref="DK15">IF(DK$11&gt;=0,MAX(INDEX(MMULT(inverseG,DJ$12:DJ$62),$A15+1,1),MAX(strike-$B15,0)),"")</f>
        <v/>
      </c>
      <c r="DL15" s="9" t="str">
        <f t="array" ref="DL15">IF(DL$11&gt;=0,MAX(INDEX(MMULT(inverseG,DK$12:DK$62),$A15+1,1),MAX(strike-$B15,0)),"")</f>
        <v/>
      </c>
      <c r="DM15" s="9" t="str">
        <f t="array" ref="DM15">IF(DM$11&gt;=0,MAX(INDEX(MMULT(inverseG,DL$12:DL$62),$A15+1,1),MAX(strike-$B15,0)),"")</f>
        <v/>
      </c>
      <c r="DN15" s="9" t="str">
        <f t="array" ref="DN15">IF(DN$11&gt;=0,MAX(INDEX(MMULT(inverseG,DM$12:DM$62),$A15+1,1),MAX(strike-$B15,0)),"")</f>
        <v/>
      </c>
      <c r="DO15" s="9" t="str">
        <f t="array" ref="DO15">IF(DO$11&gt;=0,MAX(INDEX(MMULT(inverseG,DN$12:DN$62),$A15+1,1),MAX(strike-$B15,0)),"")</f>
        <v/>
      </c>
      <c r="DP15" s="9" t="str">
        <f t="array" ref="DP15">IF(DP$11&gt;=0,MAX(INDEX(MMULT(inverseG,DO$12:DO$62),$A15+1,1),MAX(strike-$B15,0)),"")</f>
        <v/>
      </c>
      <c r="DQ15" s="9" t="str">
        <f t="array" ref="DQ15">IF(DQ$11&gt;=0,MAX(INDEX(MMULT(inverseG,DP$12:DP$62),$A15+1,1),MAX(strike-$B15,0)),"")</f>
        <v/>
      </c>
      <c r="DR15" s="9" t="str">
        <f t="array" ref="DR15">IF(DR$11&gt;=0,MAX(INDEX(MMULT(inverseG,DQ$12:DQ$62),$A15+1,1),MAX(strike-$B15,0)),"")</f>
        <v/>
      </c>
      <c r="DS15" s="9" t="str">
        <f t="array" ref="DS15">IF(DS$11&gt;=0,MAX(INDEX(MMULT(inverseG,DR$12:DR$62),$A15+1,1),MAX(strike-$B15,0)),"")</f>
        <v/>
      </c>
      <c r="DT15" s="9" t="str">
        <f t="array" ref="DT15">IF(DT$11&gt;=0,MAX(INDEX(MMULT(inverseG,DS$12:DS$62),$A15+1,1),MAX(strike-$B15,0)),"")</f>
        <v/>
      </c>
      <c r="DU15" s="9" t="str">
        <f t="array" ref="DU15">IF(DU$11&gt;=0,MAX(INDEX(MMULT(inverseG,DT$12:DT$62),$A15+1,1),MAX(strike-$B15,0)),"")</f>
        <v/>
      </c>
      <c r="DV15" s="9" t="str">
        <f t="array" ref="DV15">IF(DV$11&gt;=0,MAX(INDEX(MMULT(inverseG,DU$12:DU$62),$A15+1,1),MAX(strike-$B15,0)),"")</f>
        <v/>
      </c>
      <c r="DW15" s="9" t="str">
        <f t="array" ref="DW15">IF(DW$11&gt;=0,MAX(INDEX(MMULT(inverseG,DV$12:DV$62),$A15+1,1),MAX(strike-$B15,0)),"")</f>
        <v/>
      </c>
      <c r="DX15" s="9" t="str">
        <f t="array" ref="DX15">IF(DX$11&gt;=0,MAX(INDEX(MMULT(inverseG,DW$12:DW$62),$A15+1,1),MAX(strike-$B15,0)),"")</f>
        <v/>
      </c>
      <c r="DY15" s="9" t="str">
        <f t="array" ref="DY15">IF(DY$11&gt;=0,MAX(INDEX(MMULT(inverseG,DX$12:DX$62),$A15+1,1),MAX(strike-$B15,0)),"")</f>
        <v/>
      </c>
      <c r="DZ15" s="9" t="str">
        <f t="array" ref="DZ15">IF(DZ$11&gt;=0,MAX(INDEX(MMULT(inverseG,DY$12:DY$62),$A15+1,1),MAX(strike-$B15,0)),"")</f>
        <v/>
      </c>
      <c r="EA15" s="9" t="str">
        <f t="array" ref="EA15">IF(EA$11&gt;=0,MAX(INDEX(MMULT(inverseG,DZ$12:DZ$62),$A15+1,1),MAX(strike-$B15,0)),"")</f>
        <v/>
      </c>
      <c r="EB15" s="9" t="str">
        <f t="array" ref="EB15">IF(EB$11&gt;=0,MAX(INDEX(MMULT(inverseG,EA$12:EA$62),$A15+1,1),MAX(strike-$B15,0)),"")</f>
        <v/>
      </c>
      <c r="EC15" s="9" t="str">
        <f t="array" ref="EC15">IF(EC$11&gt;=0,MAX(INDEX(MMULT(inverseG,EB$12:EB$62),$A15+1,1),MAX(strike-$B15,0)),"")</f>
        <v/>
      </c>
      <c r="ED15" s="9" t="str">
        <f t="array" ref="ED15">IF(ED$11&gt;=0,MAX(INDEX(MMULT(inverseG,EC$12:EC$62),$A15+1,1),MAX(strike-$B15,0)),"")</f>
        <v/>
      </c>
      <c r="EE15" s="9" t="str">
        <f t="array" ref="EE15">IF(EE$11&gt;=0,MAX(INDEX(MMULT(inverseG,ED$12:ED$62),$A15+1,1),MAX(strike-$B15,0)),"")</f>
        <v/>
      </c>
      <c r="EF15" s="9" t="str">
        <f t="array" ref="EF15">IF(EF$11&gt;=0,MAX(INDEX(MMULT(inverseG,EE$12:EE$62),$A15+1,1),MAX(strike-$B15,0)),"")</f>
        <v/>
      </c>
      <c r="EG15" s="9" t="str">
        <f t="array" ref="EG15">IF(EG$11&gt;=0,MAX(INDEX(MMULT(inverseG,EF$12:EF$62),$A15+1,1),MAX(strike-$B15,0)),"")</f>
        <v/>
      </c>
      <c r="EH15" s="9" t="str">
        <f t="array" ref="EH15">IF(EH$11&gt;=0,MAX(INDEX(MMULT(inverseG,EG$12:EG$62),$A15+1,1),MAX(strike-$B15,0)),"")</f>
        <v/>
      </c>
      <c r="EI15" s="9" t="str">
        <f t="array" ref="EI15">IF(EI$11&gt;=0,MAX(INDEX(MMULT(inverseG,EH$12:EH$62),$A15+1,1),MAX(strike-$B15,0)),"")</f>
        <v/>
      </c>
      <c r="EJ15" s="9" t="str">
        <f t="array" ref="EJ15">IF(EJ$11&gt;=0,MAX(INDEX(MMULT(inverseG,EI$12:EI$62),$A15+1,1),MAX(strike-$B15,0)),"")</f>
        <v/>
      </c>
      <c r="EK15" s="9" t="str">
        <f t="array" ref="EK15">IF(EK$11&gt;=0,MAX(INDEX(MMULT(inverseG,EJ$12:EJ$62),$A15+1,1),MAX(strike-$B15,0)),"")</f>
        <v/>
      </c>
      <c r="EL15" s="9" t="str">
        <f t="array" ref="EL15">IF(EL$11&gt;=0,MAX(INDEX(MMULT(inverseG,EK$12:EK$62),$A15+1,1),MAX(strike-$B15,0)),"")</f>
        <v/>
      </c>
      <c r="EM15" s="9" t="str">
        <f t="array" ref="EM15">IF(EM$11&gt;=0,MAX(INDEX(MMULT(inverseG,EL$12:EL$62),$A15+1,1),MAX(strike-$B15,0)),"")</f>
        <v/>
      </c>
      <c r="EN15" s="9" t="str">
        <f t="array" ref="EN15">IF(EN$11&gt;=0,MAX(INDEX(MMULT(inverseG,EM$12:EM$62),$A15+1,1),MAX(strike-$B15,0)),"")</f>
        <v/>
      </c>
      <c r="EO15" s="9" t="str">
        <f t="array" ref="EO15">IF(EO$11&gt;=0,MAX(INDEX(MMULT(inverseG,EN$12:EN$62),$A15+1,1),MAX(strike-$B15,0)),"")</f>
        <v/>
      </c>
      <c r="EP15" s="9" t="str">
        <f t="array" ref="EP15">IF(EP$11&gt;=0,MAX(INDEX(MMULT(inverseG,EO$12:EO$62),$A15+1,1),MAX(strike-$B15,0)),"")</f>
        <v/>
      </c>
      <c r="EQ15" s="9" t="str">
        <f t="array" ref="EQ15">IF(EQ$11&gt;=0,MAX(INDEX(MMULT(inverseG,EP$12:EP$62),$A15+1,1),MAX(strike-$B15,0)),"")</f>
        <v/>
      </c>
      <c r="ER15" s="9" t="str">
        <f t="array" ref="ER15">IF(ER$11&gt;=0,MAX(INDEX(MMULT(inverseG,EQ$12:EQ$62),$A15+1,1),MAX(strike-$B15,0)),"")</f>
        <v/>
      </c>
      <c r="ES15" s="9" t="str">
        <f t="array" ref="ES15">IF(ES$11&gt;=0,MAX(INDEX(MMULT(inverseG,ER$12:ER$62),$A15+1,1),MAX(strike-$B15,0)),"")</f>
        <v/>
      </c>
      <c r="ET15" s="9" t="str">
        <f t="array" ref="ET15">IF(ET$11&gt;=0,MAX(INDEX(MMULT(inverseG,ES$12:ES$62),$A15+1,1),MAX(strike-$B15,0)),"")</f>
        <v/>
      </c>
      <c r="EU15" s="9" t="str">
        <f t="array" ref="EU15">IF(EU$11&gt;=0,MAX(INDEX(MMULT(inverseG,ET$12:ET$62),$A15+1,1),MAX(strike-$B15,0)),"")</f>
        <v/>
      </c>
      <c r="EV15" s="9" t="str">
        <f t="array" ref="EV15">IF(EV$11&gt;=0,MAX(INDEX(MMULT(inverseG,EU$12:EU$62),$A15+1,1),MAX(strike-$B15,0)),"")</f>
        <v/>
      </c>
      <c r="EW15" s="9" t="str">
        <f t="array" ref="EW15">IF(EW$11&gt;=0,MAX(INDEX(MMULT(inverseG,EV$12:EV$62),$A15+1,1),MAX(strike-$B15,0)),"")</f>
        <v/>
      </c>
      <c r="EX15" s="9" t="str">
        <f t="array" ref="EX15">IF(EX$11&gt;=0,MAX(INDEX(MMULT(inverseG,EW$12:EW$62),$A15+1,1),MAX(strike-$B15,0)),"")</f>
        <v/>
      </c>
      <c r="EY15" s="9" t="str">
        <f t="array" ref="EY15">IF(EY$11&gt;=0,MAX(INDEX(MMULT(inverseG,EX$12:EX$62),$A15+1,1),MAX(strike-$B15,0)),"")</f>
        <v/>
      </c>
      <c r="EZ15" s="9" t="str">
        <f t="array" ref="EZ15">IF(EZ$11&gt;=0,MAX(INDEX(MMULT(inverseG,EY$12:EY$62),$A15+1,1),MAX(strike-$B15,0)),"")</f>
        <v/>
      </c>
      <c r="FA15" s="9" t="str">
        <f t="array" ref="FA15">IF(FA$11&gt;=0,MAX(INDEX(MMULT(inverseG,EZ$12:EZ$62),$A15+1,1),MAX(strike-$B15,0)),"")</f>
        <v/>
      </c>
      <c r="FB15" s="9" t="str">
        <f t="array" ref="FB15">IF(FB$11&gt;=0,MAX(INDEX(MMULT(inverseG,FA$12:FA$62),$A15+1,1),MAX(strike-$B15,0)),"")</f>
        <v/>
      </c>
      <c r="FC15" s="9" t="str">
        <f t="array" ref="FC15">IF(FC$11&gt;=0,MAX(INDEX(MMULT(inverseG,FB$12:FB$62),$A15+1,1),MAX(strike-$B15,0)),"")</f>
        <v/>
      </c>
      <c r="FD15" s="9" t="str">
        <f t="array" ref="FD15">IF(FD$11&gt;=0,MAX(INDEX(MMULT(inverseG,FC$12:FC$62),$A15+1,1),MAX(strike-$B15,0)),"")</f>
        <v/>
      </c>
      <c r="FE15" s="9" t="str">
        <f t="array" ref="FE15">IF(FE$11&gt;=0,MAX(INDEX(MMULT(inverseG,FD$12:FD$62),$A15+1,1),MAX(strike-$B15,0)),"")</f>
        <v/>
      </c>
      <c r="FF15" s="9" t="str">
        <f t="array" ref="FF15">IF(FF$11&gt;=0,MAX(INDEX(MMULT(inverseG,FE$12:FE$62),$A15+1,1),MAX(strike-$B15,0)),"")</f>
        <v/>
      </c>
      <c r="FG15" s="9" t="str">
        <f t="array" ref="FG15">IF(FG$11&gt;=0,MAX(INDEX(MMULT(inverseG,FF$12:FF$62),$A15+1,1),MAX(strike-$B15,0)),"")</f>
        <v/>
      </c>
      <c r="FH15" s="9" t="str">
        <f t="array" ref="FH15">IF(FH$11&gt;=0,MAX(INDEX(MMULT(inverseG,FG$12:FG$62),$A15+1,1),MAX(strike-$B15,0)),"")</f>
        <v/>
      </c>
      <c r="FI15" s="9" t="str">
        <f t="array" ref="FI15">IF(FI$11&gt;=0,MAX(INDEX(MMULT(inverseG,FH$12:FH$62),$A15+1,1),MAX(strike-$B15,0)),"")</f>
        <v/>
      </c>
      <c r="FJ15" s="9" t="str">
        <f t="array" ref="FJ15">IF(FJ$11&gt;=0,MAX(INDEX(MMULT(inverseG,FI$12:FI$62),$A15+1,1),MAX(strike-$B15,0)),"")</f>
        <v/>
      </c>
      <c r="FK15" s="9" t="str">
        <f t="array" ref="FK15">IF(FK$11&gt;=0,MAX(INDEX(MMULT(inverseG,FJ$12:FJ$62),$A15+1,1),MAX(strike-$B15,0)),"")</f>
        <v/>
      </c>
      <c r="FL15" s="9" t="str">
        <f t="array" ref="FL15">IF(FL$11&gt;=0,MAX(INDEX(MMULT(inverseG,FK$12:FK$62),$A15+1,1),MAX(strike-$B15,0)),"")</f>
        <v/>
      </c>
      <c r="FM15" s="9" t="str">
        <f t="array" ref="FM15">IF(FM$11&gt;=0,MAX(INDEX(MMULT(inverseG,FL$12:FL$62),$A15+1,1),MAX(strike-$B15,0)),"")</f>
        <v/>
      </c>
      <c r="FN15" s="9" t="str">
        <f t="array" ref="FN15">IF(FN$11&gt;=0,MAX(INDEX(MMULT(inverseG,FM$12:FM$62),$A15+1,1),MAX(strike-$B15,0)),"")</f>
        <v/>
      </c>
      <c r="FO15" s="9" t="str">
        <f t="array" ref="FO15">IF(FO$11&gt;=0,MAX(INDEX(MMULT(inverseG,FN$12:FN$62),$A15+1,1),MAX(strike-$B15,0)),"")</f>
        <v/>
      </c>
      <c r="FP15" s="9" t="str">
        <f t="array" ref="FP15">IF(FP$11&gt;=0,MAX(INDEX(MMULT(inverseG,FO$12:FO$62),$A15+1,1),MAX(strike-$B15,0)),"")</f>
        <v/>
      </c>
      <c r="FQ15" s="9" t="str">
        <f t="array" ref="FQ15">IF(FQ$11&gt;=0,MAX(INDEX(MMULT(inverseG,FP$12:FP$62),$A15+1,1),MAX(strike-$B15,0)),"")</f>
        <v/>
      </c>
      <c r="FR15" s="9" t="str">
        <f t="array" ref="FR15">IF(FR$11&gt;=0,MAX(INDEX(MMULT(inverseG,FQ$12:FQ$62),$A15+1,1),MAX(strike-$B15,0)),"")</f>
        <v/>
      </c>
      <c r="FS15" s="9" t="str">
        <f t="array" ref="FS15">IF(FS$11&gt;=0,MAX(INDEX(MMULT(inverseG,FR$12:FR$62),$A15+1,1),MAX(strike-$B15,0)),"")</f>
        <v/>
      </c>
      <c r="FT15" s="9" t="str">
        <f t="array" ref="FT15">IF(FT$11&gt;=0,MAX(INDEX(MMULT(inverseG,FS$12:FS$62),$A15+1,1),MAX(strike-$B15,0)),"")</f>
        <v/>
      </c>
      <c r="FU15" s="9" t="str">
        <f t="array" ref="FU15">IF(FU$11&gt;=0,MAX(INDEX(MMULT(inverseG,FT$12:FT$62),$A15+1,1),MAX(strike-$B15,0)),"")</f>
        <v/>
      </c>
      <c r="FV15" s="9" t="str">
        <f t="array" ref="FV15">IF(FV$11&gt;=0,MAX(INDEX(MMULT(inverseG,FU$12:FU$62),$A15+1,1),MAX(strike-$B15,0)),"")</f>
        <v/>
      </c>
      <c r="FW15" s="9" t="str">
        <f t="array" ref="FW15">IF(FW$11&gt;=0,MAX(INDEX(MMULT(inverseG,FV$12:FV$62),$A15+1,1),MAX(strike-$B15,0)),"")</f>
        <v/>
      </c>
      <c r="FX15" s="9" t="str">
        <f t="array" ref="FX15">IF(FX$11&gt;=0,MAX(INDEX(MMULT(inverseG,FW$12:FW$62),$A15+1,1),MAX(strike-$B15,0)),"")</f>
        <v/>
      </c>
      <c r="FY15" s="9" t="str">
        <f t="array" ref="FY15">IF(FY$11&gt;=0,MAX(INDEX(MMULT(inverseG,FX$12:FX$62),$A15+1,1),MAX(strike-$B15,0)),"")</f>
        <v/>
      </c>
      <c r="FZ15" s="9" t="str">
        <f t="array" ref="FZ15">IF(FZ$11&gt;=0,MAX(INDEX(MMULT(inverseG,FY$12:FY$62),$A15+1,1),MAX(strike-$B15,0)),"")</f>
        <v/>
      </c>
      <c r="GA15" s="9" t="str">
        <f t="array" ref="GA15">IF(GA$11&gt;=0,MAX(INDEX(MMULT(inverseG,FZ$12:FZ$62),$A15+1,1),MAX(strike-$B15,0)),"")</f>
        <v/>
      </c>
      <c r="GB15" s="9" t="str">
        <f t="array" ref="GB15">IF(GB$11&gt;=0,MAX(INDEX(MMULT(inverseG,GA$12:GA$62),$A15+1,1),MAX(strike-$B15,0)),"")</f>
        <v/>
      </c>
      <c r="GC15" s="9" t="str">
        <f t="array" ref="GC15">IF(GC$11&gt;=0,MAX(INDEX(MMULT(inverseG,GB$12:GB$62),$A15+1,1),MAX(strike-$B15,0)),"")</f>
        <v/>
      </c>
      <c r="GD15" s="9" t="str">
        <f t="array" ref="GD15">IF(GD$11&gt;=0,MAX(INDEX(MMULT(inverseG,GC$12:GC$62),$A15+1,1),MAX(strike-$B15,0)),"")</f>
        <v/>
      </c>
      <c r="GE15" s="9" t="str">
        <f t="array" ref="GE15">IF(GE$11&gt;=0,MAX(INDEX(MMULT(inverseG,GD$12:GD$62),$A15+1,1),MAX(strike-$B15,0)),"")</f>
        <v/>
      </c>
      <c r="GF15" s="9" t="str">
        <f t="array" ref="GF15">IF(GF$11&gt;=0,MAX(INDEX(MMULT(inverseG,GE$12:GE$62),$A15+1,1),MAX(strike-$B15,0)),"")</f>
        <v/>
      </c>
      <c r="GG15" s="9" t="str">
        <f t="array" ref="GG15">IF(GG$11&gt;=0,MAX(INDEX(MMULT(inverseG,GF$12:GF$62),$A15+1,1),MAX(strike-$B15,0)),"")</f>
        <v/>
      </c>
      <c r="GH15" s="9" t="str">
        <f t="array" ref="GH15">IF(GH$11&gt;=0,MAX(INDEX(MMULT(inverseG,GG$12:GG$62),$A15+1,1),MAX(strike-$B15,0)),"")</f>
        <v/>
      </c>
      <c r="GI15" s="9" t="str">
        <f t="array" ref="GI15">IF(GI$11&gt;=0,MAX(INDEX(MMULT(inverseG,GH$12:GH$62),$A15+1,1),MAX(strike-$B15,0)),"")</f>
        <v/>
      </c>
      <c r="GJ15" s="9" t="str">
        <f t="array" ref="GJ15">IF(GJ$11&gt;=0,MAX(INDEX(MMULT(inverseG,GI$12:GI$62),$A15+1,1),MAX(strike-$B15,0)),"")</f>
        <v/>
      </c>
      <c r="GK15" s="9" t="str">
        <f t="array" ref="GK15">IF(GK$11&gt;=0,MAX(INDEX(MMULT(inverseG,GJ$12:GJ$62),$A15+1,1),MAX(strike-$B15,0)),"")</f>
        <v/>
      </c>
      <c r="GL15" s="9" t="str">
        <f t="array" ref="GL15">IF(GL$11&gt;=0,MAX(INDEX(MMULT(inverseG,GK$12:GK$62),$A15+1,1),MAX(strike-$B15,0)),"")</f>
        <v/>
      </c>
      <c r="GM15" s="9" t="str">
        <f t="array" ref="GM15">IF(GM$11&gt;=0,MAX(INDEX(MMULT(inverseG,GL$12:GL$62),$A15+1,1),MAX(strike-$B15,0)),"")</f>
        <v/>
      </c>
      <c r="GN15" s="9" t="str">
        <f t="array" ref="GN15">IF(GN$11&gt;=0,MAX(INDEX(MMULT(inverseG,GM$12:GM$62),$A15+1,1),MAX(strike-$B15,0)),"")</f>
        <v/>
      </c>
      <c r="GO15" s="9" t="str">
        <f t="array" ref="GO15">IF(GO$11&gt;=0,MAX(INDEX(MMULT(inverseG,GN$12:GN$62),$A15+1,1),MAX(strike-$B15,0)),"")</f>
        <v/>
      </c>
      <c r="GP15" s="9" t="str">
        <f t="array" ref="GP15">IF(GP$11&gt;=0,MAX(INDEX(MMULT(inverseG,GO$12:GO$62),$A15+1,1),MAX(strike-$B15,0)),"")</f>
        <v/>
      </c>
      <c r="GQ15" s="9" t="str">
        <f t="array" ref="GQ15">IF(GQ$11&gt;=0,MAX(INDEX(MMULT(inverseG,GP$12:GP$62),$A15+1,1),MAX(strike-$B15,0)),"")</f>
        <v/>
      </c>
      <c r="GR15" s="9" t="str">
        <f t="array" ref="GR15">IF(GR$11&gt;=0,MAX(INDEX(MMULT(inverseG,GQ$12:GQ$62),$A15+1,1),MAX(strike-$B15,0)),"")</f>
        <v/>
      </c>
      <c r="GS15" s="9" t="str">
        <f t="array" ref="GS15">IF(GS$11&gt;=0,MAX(INDEX(MMULT(inverseG,GR$12:GR$62),$A15+1,1),MAX(strike-$B15,0)),"")</f>
        <v/>
      </c>
      <c r="GT15" s="9" t="str">
        <f t="array" ref="GT15">IF(GT$11&gt;=0,MAX(INDEX(MMULT(inverseG,GS$12:GS$62),$A15+1,1),MAX(strike-$B15,0)),"")</f>
        <v/>
      </c>
      <c r="GU15" s="9" t="str">
        <f t="array" ref="GU15">IF(GU$11&gt;=0,MAX(INDEX(MMULT(inverseG,GT$12:GT$62),$A15+1,1),MAX(strike-$B15,0)),"")</f>
        <v/>
      </c>
      <c r="GV15" s="9" t="str">
        <f t="array" ref="GV15">IF(GV$11&gt;=0,MAX(INDEX(MMULT(inverseG,GU$12:GU$62),$A15+1,1),MAX(strike-$B15,0)),"")</f>
        <v/>
      </c>
      <c r="GW15" s="9" t="str">
        <f t="array" ref="GW15">IF(GW$11&gt;=0,MAX(INDEX(MMULT(inverseG,GV$12:GV$62),$A15+1,1),MAX(strike-$B15,0)),"")</f>
        <v/>
      </c>
      <c r="GX15" s="9" t="str">
        <f t="array" ref="GX15">IF(GX$11&gt;=0,MAX(INDEX(MMULT(inverseG,GW$12:GW$62),$A15+1,1),MAX(strike-$B15,0)),"")</f>
        <v/>
      </c>
      <c r="GY15" s="9" t="str">
        <f t="array" ref="GY15">IF(GY$11&gt;=0,MAX(INDEX(MMULT(inverseG,GX$12:GX$62),$A15+1,1),MAX(strike-$B15,0)),"")</f>
        <v/>
      </c>
      <c r="GZ15" s="9" t="str">
        <f t="array" ref="GZ15">IF(GZ$11&gt;=0,MAX(INDEX(MMULT(inverseG,GY$12:GY$62),$A15+1,1),MAX(strike-$B15,0)),"")</f>
        <v/>
      </c>
      <c r="HA15" s="9" t="str">
        <f t="array" ref="HA15">IF(HA$11&gt;=0,MAX(INDEX(MMULT(inverseG,GZ$12:GZ$62),$A15+1,1),MAX(strike-$B15,0)),"")</f>
        <v/>
      </c>
      <c r="HB15" s="9" t="str">
        <f t="array" ref="HB15">IF(HB$11&gt;=0,MAX(INDEX(MMULT(inverseG,HA$12:HA$62),$A15+1,1),MAX(strike-$B15,0)),"")</f>
        <v/>
      </c>
      <c r="HC15" s="9" t="str">
        <f t="array" ref="HC15">IF(HC$11&gt;=0,MAX(INDEX(MMULT(inverseG,HB$12:HB$62),$A15+1,1),MAX(strike-$B15,0)),"")</f>
        <v/>
      </c>
      <c r="HD15" s="9" t="str">
        <f t="array" ref="HD15">IF(HD$11&gt;=0,MAX(INDEX(MMULT(inverseG,HC$12:HC$62),$A15+1,1),MAX(strike-$B15,0)),"")</f>
        <v/>
      </c>
      <c r="HE15" s="9" t="str">
        <f t="array" ref="HE15">IF(HE$11&gt;=0,MAX(INDEX(MMULT(inverseG,HD$12:HD$62),$A15+1,1),MAX(strike-$B15,0)),"")</f>
        <v/>
      </c>
      <c r="HF15" s="9" t="str">
        <f t="array" ref="HF15">IF(HF$11&gt;=0,MAX(INDEX(MMULT(inverseG,HE$12:HE$62),$A15+1,1),MAX(strike-$B15,0)),"")</f>
        <v/>
      </c>
      <c r="HG15" s="9" t="str">
        <f t="array" ref="HG15">IF(HG$11&gt;=0,MAX(INDEX(MMULT(inverseG,HF$12:HF$62),$A15+1,1),MAX(strike-$B15,0)),"")</f>
        <v/>
      </c>
      <c r="HH15" s="9" t="str">
        <f t="array" ref="HH15">IF(HH$11&gt;=0,MAX(INDEX(MMULT(inverseG,HG$12:HG$62),$A15+1,1),MAX(strike-$B15,0)),"")</f>
        <v/>
      </c>
      <c r="HI15" s="9" t="str">
        <f t="array" ref="HI15">IF(HI$11&gt;=0,MAX(INDEX(MMULT(inverseG,HH$12:HH$62),$A15+1,1),MAX(strike-$B15,0)),"")</f>
        <v/>
      </c>
      <c r="HJ15" s="9" t="str">
        <f t="array" ref="HJ15">IF(HJ$11&gt;=0,MAX(INDEX(MMULT(inverseG,HI$12:HI$62),$A15+1,1),MAX(strike-$B15,0)),"")</f>
        <v/>
      </c>
      <c r="HK15" s="9" t="str">
        <f t="array" ref="HK15">IF(HK$11&gt;=0,MAX(INDEX(MMULT(inverseG,HJ$12:HJ$62),$A15+1,1),MAX(strike-$B15,0)),"")</f>
        <v/>
      </c>
      <c r="HL15" s="9" t="str">
        <f t="array" ref="HL15">IF(HL$11&gt;=0,MAX(INDEX(MMULT(inverseG,HK$12:HK$62),$A15+1,1),MAX(strike-$B15,0)),"")</f>
        <v/>
      </c>
      <c r="HM15" s="9" t="str">
        <f t="array" ref="HM15">IF(HM$11&gt;=0,MAX(INDEX(MMULT(inverseG,HL$12:HL$62),$A15+1,1),MAX(strike-$B15,0)),"")</f>
        <v/>
      </c>
      <c r="HN15" s="9" t="str">
        <f t="array" ref="HN15">IF(HN$11&gt;=0,MAX(INDEX(MMULT(inverseG,HM$12:HM$62),$A15+1,1),MAX(strike-$B15,0)),"")</f>
        <v/>
      </c>
      <c r="HO15" s="9" t="str">
        <f t="array" ref="HO15">IF(HO$11&gt;=0,MAX(INDEX(MMULT(inverseG,HN$12:HN$62),$A15+1,1),MAX(strike-$B15,0)),"")</f>
        <v/>
      </c>
      <c r="HP15" s="9" t="str">
        <f t="array" ref="HP15">IF(HP$11&gt;=0,MAX(INDEX(MMULT(inverseG,HO$12:HO$62),$A15+1,1),MAX(strike-$B15,0)),"")</f>
        <v/>
      </c>
      <c r="HQ15" s="9" t="str">
        <f t="array" ref="HQ15">IF(HQ$11&gt;=0,MAX(INDEX(MMULT(inverseG,HP$12:HP$62),$A15+1,1),MAX(strike-$B15,0)),"")</f>
        <v/>
      </c>
      <c r="HR15" s="9" t="str">
        <f t="array" ref="HR15">IF(HR$11&gt;=0,MAX(INDEX(MMULT(inverseG,HQ$12:HQ$62),$A15+1,1),MAX(strike-$B15,0)),"")</f>
        <v/>
      </c>
      <c r="HS15" s="9" t="str">
        <f t="array" ref="HS15">IF(HS$11&gt;=0,MAX(INDEX(MMULT(inverseG,HR$12:HR$62),$A15+1,1),MAX(strike-$B15,0)),"")</f>
        <v/>
      </c>
      <c r="HT15" s="9" t="str">
        <f t="array" ref="HT15">IF(HT$11&gt;=0,MAX(INDEX(MMULT(inverseG,HS$12:HS$62),$A15+1,1),MAX(strike-$B15,0)),"")</f>
        <v/>
      </c>
      <c r="HU15" s="9" t="str">
        <f t="array" ref="HU15">IF(HU$11&gt;=0,MAX(INDEX(MMULT(inverseG,HT$12:HT$62),$A15+1,1),MAX(strike-$B15,0)),"")</f>
        <v/>
      </c>
      <c r="HV15" s="9" t="str">
        <f t="array" ref="HV15">IF(HV$11&gt;=0,MAX(INDEX(MMULT(inverseG,HU$12:HU$62),$A15+1,1),MAX(strike-$B15,0)),"")</f>
        <v/>
      </c>
      <c r="HW15" s="9" t="str">
        <f t="array" ref="HW15">IF(HW$11&gt;=0,MAX(INDEX(MMULT(inverseG,HV$12:HV$62),$A15+1,1),MAX(strike-$B15,0)),"")</f>
        <v/>
      </c>
      <c r="HX15" s="9" t="str">
        <f t="array" ref="HX15">IF(HX$11&gt;=0,MAX(INDEX(MMULT(inverseG,HW$12:HW$62),$A15+1,1),MAX(strike-$B15,0)),"")</f>
        <v/>
      </c>
      <c r="HY15" s="9" t="str">
        <f t="array" ref="HY15">IF(HY$11&gt;=0,MAX(INDEX(MMULT(inverseG,HX$12:HX$62),$A15+1,1),MAX(strike-$B15,0)),"")</f>
        <v/>
      </c>
      <c r="HZ15" s="9" t="str">
        <f t="array" ref="HZ15">IF(HZ$11&gt;=0,MAX(INDEX(MMULT(inverseG,HY$12:HY$62),$A15+1,1),MAX(strike-$B15,0)),"")</f>
        <v/>
      </c>
      <c r="IA15" s="9" t="str">
        <f t="array" ref="IA15">IF(IA$11&gt;=0,MAX(INDEX(MMULT(inverseG,HZ$12:HZ$62),$A15+1,1),MAX(strike-$B15,0)),"")</f>
        <v/>
      </c>
      <c r="IB15" s="9" t="str">
        <f t="array" ref="IB15">IF(IB$11&gt;=0,MAX(INDEX(MMULT(inverseG,IA$12:IA$62),$A15+1,1),MAX(strike-$B15,0)),"")</f>
        <v/>
      </c>
      <c r="IC15" s="9" t="str">
        <f t="array" ref="IC15">IF(IC$11&gt;=0,MAX(INDEX(MMULT(inverseG,IB$12:IB$62),$A15+1,1),MAX(strike-$B15,0)),"")</f>
        <v/>
      </c>
      <c r="ID15" s="9" t="str">
        <f t="array" ref="ID15">IF(ID$11&gt;=0,MAX(INDEX(MMULT(inverseG,IC$12:IC$62),$A15+1,1),MAX(strike-$B15,0)),"")</f>
        <v/>
      </c>
      <c r="IE15" s="9" t="str">
        <f t="array" ref="IE15">IF(IE$11&gt;=0,MAX(INDEX(MMULT(inverseG,ID$12:ID$62),$A15+1,1),MAX(strike-$B15,0)),"")</f>
        <v/>
      </c>
      <c r="IF15" s="9" t="str">
        <f t="array" ref="IF15">IF(IF$11&gt;=0,MAX(INDEX(MMULT(inverseG,IE$12:IE$62),$A15+1,1),MAX(strike-$B15,0)),"")</f>
        <v/>
      </c>
      <c r="IG15" s="9" t="str">
        <f t="array" ref="IG15">IF(IG$11&gt;=0,MAX(INDEX(MMULT(inverseG,IF$12:IF$62),$A15+1,1),MAX(strike-$B15,0)),"")</f>
        <v/>
      </c>
      <c r="IH15" s="9" t="str">
        <f t="array" ref="IH15">IF(IH$11&gt;=0,MAX(INDEX(MMULT(inverseG,IG$12:IG$62),$A15+1,1),MAX(strike-$B15,0)),"")</f>
        <v/>
      </c>
      <c r="II15" s="9" t="str">
        <f t="array" ref="II15">IF(II$11&gt;=0,MAX(INDEX(MMULT(inverseG,IH$12:IH$62),$A15+1,1),MAX(strike-$B15,0)),"")</f>
        <v/>
      </c>
      <c r="IJ15" s="9" t="str">
        <f t="array" ref="IJ15">IF(IJ$11&gt;=0,MAX(INDEX(MMULT(inverseG,II$12:II$62),$A15+1,1),MAX(strike-$B15,0)),"")</f>
        <v/>
      </c>
      <c r="IK15" s="9" t="str">
        <f t="array" ref="IK15">IF(IK$11&gt;=0,MAX(INDEX(MMULT(inverseG,IJ$12:IJ$62),$A15+1,1),MAX(strike-$B15,0)),"")</f>
        <v/>
      </c>
      <c r="IL15" s="9" t="str">
        <f t="array" ref="IL15">IF(IL$11&gt;=0,MAX(INDEX(MMULT(inverseG,IK$12:IK$62),$A15+1,1),MAX(strike-$B15,0)),"")</f>
        <v/>
      </c>
      <c r="IM15" s="9" t="str">
        <f t="array" ref="IM15">IF(IM$11&gt;=0,MAX(INDEX(MMULT(inverseG,IL$12:IL$62),$A15+1,1),MAX(strike-$B15,0)),"")</f>
        <v/>
      </c>
      <c r="IN15" s="9" t="str">
        <f t="array" ref="IN15">IF(IN$11&gt;=0,MAX(INDEX(MMULT(inverseG,IM$12:IM$62),$A15+1,1),MAX(strike-$B15,0)),"")</f>
        <v/>
      </c>
      <c r="IO15" s="9" t="str">
        <f t="array" ref="IO15">IF(IO$11&gt;=0,MAX(INDEX(MMULT(inverseG,IN$12:IN$62),$A15+1,1),MAX(strike-$B15,0)),"")</f>
        <v/>
      </c>
      <c r="IP15" s="9" t="str">
        <f t="array" ref="IP15">IF(IP$11&gt;=0,MAX(INDEX(MMULT(inverseG,IO$12:IO$62),$A15+1,1),MAX(strike-$B15,0)),"")</f>
        <v/>
      </c>
      <c r="IQ15" s="9" t="str">
        <f t="array" ref="IQ15">IF(IQ$11&gt;=0,MAX(INDEX(MMULT(inverseG,IP$12:IP$62),$A15+1,1),MAX(strike-$B15,0)),"")</f>
        <v/>
      </c>
      <c r="IR15" s="9" t="str">
        <f t="array" ref="IR15">IF(IR$11&gt;=0,MAX(INDEX(MMULT(inverseG,IQ$12:IQ$62),$A15+1,1),MAX(strike-$B15,0)),"")</f>
        <v/>
      </c>
      <c r="IS15" s="9" t="str">
        <f t="array" ref="IS15">IF(IS$11&gt;=0,MAX(INDEX(MMULT(inverseG,IR$12:IR$62),$A15+1,1),MAX(strike-$B15,0)),"")</f>
        <v/>
      </c>
      <c r="IT15" s="9" t="str">
        <f t="array" ref="IT15">IF(IT$11&gt;=0,MAX(INDEX(MMULT(inverseG,IS$12:IS$62),$A15+1,1),MAX(strike-$B15,0)),"")</f>
        <v/>
      </c>
      <c r="IU15" s="9" t="str">
        <f t="array" ref="IU15">IF(IU$11&gt;=0,MAX(INDEX(MMULT(inverseG,IT$12:IT$62),$A15+1,1),MAX(strike-$B15,0)),"")</f>
        <v/>
      </c>
      <c r="IV15" s="9" t="str">
        <f t="array" ref="IV15">IF(IV$11&gt;=0,MAX(INDEX(MMULT(inverseG,IU$12:IU$62),$A15+1,1),MAX(strike-$B15,0)),"")</f>
        <v/>
      </c>
    </row>
    <row r="16" spans="1:256" x14ac:dyDescent="0.2">
      <c r="A16" s="8">
        <f t="shared" si="7"/>
        <v>4</v>
      </c>
      <c r="B16" s="6">
        <f t="shared" si="4"/>
        <v>1</v>
      </c>
      <c r="C16" s="30">
        <f t="shared" ca="1" si="6"/>
        <v>4</v>
      </c>
      <c r="D16" s="9">
        <f t="shared" si="5"/>
        <v>4</v>
      </c>
      <c r="E16" s="9">
        <f t="array" ref="E16">IF(E$11&gt;=0,MAX(INDEX(MMULT(inverseG,D$12:D$62),$A16+1,1),MAX(strike-$B16,0)),"")</f>
        <v>4</v>
      </c>
      <c r="F16" s="9">
        <f t="array" ref="F16">IF(F$11&gt;=0,MAX(INDEX(MMULT(inverseG,E$12:E$62),$A16+1,1),MAX(strike-$B16,0)),"")</f>
        <v>4</v>
      </c>
      <c r="G16" s="9">
        <f t="array" ref="G16">IF(G$11&gt;=0,MAX(INDEX(MMULT(inverseG,F$12:F$62),$A16+1,1),MAX(strike-$B16,0)),"")</f>
        <v>4</v>
      </c>
      <c r="H16" s="9">
        <f t="array" ref="H16">IF(H$11&gt;=0,MAX(INDEX(MMULT(inverseG,G$12:G$62),$A16+1,1),MAX(strike-$B16,0)),"")</f>
        <v>4</v>
      </c>
      <c r="I16" s="9">
        <f t="array" ref="I16">IF(I$11&gt;=0,MAX(INDEX(MMULT(inverseG,H$12:H$62),$A16+1,1),MAX(strike-$B16,0)),"")</f>
        <v>4</v>
      </c>
      <c r="J16" s="9">
        <f t="array" ref="J16">IF(J$11&gt;=0,MAX(INDEX(MMULT(inverseG,I$12:I$62),$A16+1,1),MAX(strike-$B16,0)),"")</f>
        <v>4</v>
      </c>
      <c r="K16" s="9">
        <f t="array" ref="K16">IF(K$11&gt;=0,MAX(INDEX(MMULT(inverseG,J$12:J$62),$A16+1,1),MAX(strike-$B16,0)),"")</f>
        <v>4</v>
      </c>
      <c r="L16" s="9">
        <f t="array" ref="L16">IF(L$11&gt;=0,MAX(INDEX(MMULT(inverseG,K$12:K$62),$A16+1,1),MAX(strike-$B16,0)),"")</f>
        <v>4</v>
      </c>
      <c r="M16" s="9">
        <f t="array" ref="M16">IF(M$11&gt;=0,MAX(INDEX(MMULT(inverseG,L$12:L$62),$A16+1,1),MAX(strike-$B16,0)),"")</f>
        <v>4</v>
      </c>
      <c r="N16" s="9">
        <f t="array" ref="N16">IF(N$11&gt;=0,MAX(INDEX(MMULT(inverseG,M$12:M$62),$A16+1,1),MAX(strike-$B16,0)),"")</f>
        <v>4</v>
      </c>
      <c r="O16" s="9">
        <f t="array" ref="O16">IF(O$11&gt;=0,MAX(INDEX(MMULT(inverseG,N$12:N$62),$A16+1,1),MAX(strike-$B16,0)),"")</f>
        <v>4</v>
      </c>
      <c r="P16" s="9">
        <f t="array" ref="P16">IF(P$11&gt;=0,MAX(INDEX(MMULT(inverseG,O$12:O$62),$A16+1,1),MAX(strike-$B16,0)),"")</f>
        <v>4</v>
      </c>
      <c r="Q16" s="9">
        <f t="array" ref="Q16">IF(Q$11&gt;=0,MAX(INDEX(MMULT(inverseG,P$12:P$62),$A16+1,1),MAX(strike-$B16,0)),"")</f>
        <v>4</v>
      </c>
      <c r="R16" s="9">
        <f t="array" ref="R16">IF(R$11&gt;=0,MAX(INDEX(MMULT(inverseG,Q$12:Q$62),$A16+1,1),MAX(strike-$B16,0)),"")</f>
        <v>4</v>
      </c>
      <c r="S16" s="9">
        <f t="array" ref="S16">IF(S$11&gt;=0,MAX(INDEX(MMULT(inverseG,R$12:R$62),$A16+1,1),MAX(strike-$B16,0)),"")</f>
        <v>4</v>
      </c>
      <c r="T16" s="9">
        <f t="array" ref="T16">IF(T$11&gt;=0,MAX(INDEX(MMULT(inverseG,S$12:S$62),$A16+1,1),MAX(strike-$B16,0)),"")</f>
        <v>4</v>
      </c>
      <c r="U16" s="9">
        <f t="array" ref="U16">IF(U$11&gt;=0,MAX(INDEX(MMULT(inverseG,T$12:T$62),$A16+1,1),MAX(strike-$B16,0)),"")</f>
        <v>4</v>
      </c>
      <c r="V16" s="9">
        <f t="array" ref="V16">IF(V$11&gt;=0,MAX(INDEX(MMULT(inverseG,U$12:U$62),$A16+1,1),MAX(strike-$B16,0)),"")</f>
        <v>4</v>
      </c>
      <c r="W16" s="9">
        <f t="array" ref="W16">IF(W$11&gt;=0,MAX(INDEX(MMULT(inverseG,V$12:V$62),$A16+1,1),MAX(strike-$B16,0)),"")</f>
        <v>4</v>
      </c>
      <c r="X16" s="9">
        <f t="array" ref="X16">IF(X$11&gt;=0,MAX(INDEX(MMULT(inverseG,W$12:W$62),$A16+1,1),MAX(strike-$B16,0)),"")</f>
        <v>4</v>
      </c>
      <c r="Y16" s="9">
        <f t="array" ref="Y16">IF(Y$11&gt;=0,MAX(INDEX(MMULT(inverseG,X$12:X$62),$A16+1,1),MAX(strike-$B16,0)),"")</f>
        <v>4</v>
      </c>
      <c r="Z16" s="9">
        <f t="array" ref="Z16">IF(Z$11&gt;=0,MAX(INDEX(MMULT(inverseG,Y$12:Y$62),$A16+1,1),MAX(strike-$B16,0)),"")</f>
        <v>4</v>
      </c>
      <c r="AA16" s="9">
        <f t="array" ref="AA16">IF(AA$11&gt;=0,MAX(INDEX(MMULT(inverseG,Z$12:Z$62),$A16+1,1),MAX(strike-$B16,0)),"")</f>
        <v>4</v>
      </c>
      <c r="AB16" s="9">
        <f t="array" ref="AB16">IF(AB$11&gt;=0,MAX(INDEX(MMULT(inverseG,AA$12:AA$62),$A16+1,1),MAX(strike-$B16,0)),"")</f>
        <v>4</v>
      </c>
      <c r="AC16" s="9">
        <f t="array" ref="AC16">IF(AC$11&gt;=0,MAX(INDEX(MMULT(inverseG,AB$12:AB$62),$A16+1,1),MAX(strike-$B16,0)),"")</f>
        <v>4</v>
      </c>
      <c r="AD16" s="9">
        <f t="array" ref="AD16">IF(AD$11&gt;=0,MAX(INDEX(MMULT(inverseG,AC$12:AC$62),$A16+1,1),MAX(strike-$B16,0)),"")</f>
        <v>4</v>
      </c>
      <c r="AE16" s="9">
        <f t="array" ref="AE16">IF(AE$11&gt;=0,MAX(INDEX(MMULT(inverseG,AD$12:AD$62),$A16+1,1),MAX(strike-$B16,0)),"")</f>
        <v>4</v>
      </c>
      <c r="AF16" s="9">
        <f t="array" ref="AF16">IF(AF$11&gt;=0,MAX(INDEX(MMULT(inverseG,AE$12:AE$62),$A16+1,1),MAX(strike-$B16,0)),"")</f>
        <v>4</v>
      </c>
      <c r="AG16" s="9">
        <f t="array" ref="AG16">IF(AG$11&gt;=0,MAX(INDEX(MMULT(inverseG,AF$12:AF$62),$A16+1,1),MAX(strike-$B16,0)),"")</f>
        <v>4</v>
      </c>
      <c r="AH16" s="9">
        <f t="array" ref="AH16">IF(AH$11&gt;=0,MAX(INDEX(MMULT(inverseG,AG$12:AG$62),$A16+1,1),MAX(strike-$B16,0)),"")</f>
        <v>4</v>
      </c>
      <c r="AI16" s="9">
        <f t="array" ref="AI16">IF(AI$11&gt;=0,MAX(INDEX(MMULT(inverseG,AH$12:AH$62),$A16+1,1),MAX(strike-$B16,0)),"")</f>
        <v>4</v>
      </c>
      <c r="AJ16" s="9">
        <f t="array" ref="AJ16">IF(AJ$11&gt;=0,MAX(INDEX(MMULT(inverseG,AI$12:AI$62),$A16+1,1),MAX(strike-$B16,0)),"")</f>
        <v>4</v>
      </c>
      <c r="AK16" s="9">
        <f t="array" ref="AK16">IF(AK$11&gt;=0,MAX(INDEX(MMULT(inverseG,AJ$12:AJ$62),$A16+1,1),MAX(strike-$B16,0)),"")</f>
        <v>4</v>
      </c>
      <c r="AL16" s="9">
        <f t="array" ref="AL16">IF(AL$11&gt;=0,MAX(INDEX(MMULT(inverseG,AK$12:AK$62),$A16+1,1),MAX(strike-$B16,0)),"")</f>
        <v>4</v>
      </c>
      <c r="AM16" s="9">
        <f t="array" ref="AM16">IF(AM$11&gt;=0,MAX(INDEX(MMULT(inverseG,AL$12:AL$62),$A16+1,1),MAX(strike-$B16,0)),"")</f>
        <v>4</v>
      </c>
      <c r="AN16" s="9">
        <f t="array" ref="AN16">IF(AN$11&gt;=0,MAX(INDEX(MMULT(inverseG,AM$12:AM$62),$A16+1,1),MAX(strike-$B16,0)),"")</f>
        <v>4</v>
      </c>
      <c r="AO16" s="9">
        <f t="array" ref="AO16">IF(AO$11&gt;=0,MAX(INDEX(MMULT(inverseG,AN$12:AN$62),$A16+1,1),MAX(strike-$B16,0)),"")</f>
        <v>4</v>
      </c>
      <c r="AP16" s="9">
        <f t="array" ref="AP16">IF(AP$11&gt;=0,MAX(INDEX(MMULT(inverseG,AO$12:AO$62),$A16+1,1),MAX(strike-$B16,0)),"")</f>
        <v>4</v>
      </c>
      <c r="AQ16" s="9">
        <f t="array" ref="AQ16">IF(AQ$11&gt;=0,MAX(INDEX(MMULT(inverseG,AP$12:AP$62),$A16+1,1),MAX(strike-$B16,0)),"")</f>
        <v>4</v>
      </c>
      <c r="AR16" s="9">
        <f t="array" ref="AR16">IF(AR$11&gt;=0,MAX(INDEX(MMULT(inverseG,AQ$12:AQ$62),$A16+1,1),MAX(strike-$B16,0)),"")</f>
        <v>4</v>
      </c>
      <c r="AS16" s="9">
        <f t="array" ref="AS16">IF(AS$11&gt;=0,MAX(INDEX(MMULT(inverseG,AR$12:AR$62),$A16+1,1),MAX(strike-$B16,0)),"")</f>
        <v>4</v>
      </c>
      <c r="AT16" s="9">
        <f t="array" ref="AT16">IF(AT$11&gt;=0,MAX(INDEX(MMULT(inverseG,AS$12:AS$62),$A16+1,1),MAX(strike-$B16,0)),"")</f>
        <v>4</v>
      </c>
      <c r="AU16" s="9">
        <f t="array" ref="AU16">IF(AU$11&gt;=0,MAX(INDEX(MMULT(inverseG,AT$12:AT$62),$A16+1,1),MAX(strike-$B16,0)),"")</f>
        <v>4</v>
      </c>
      <c r="AV16" s="9">
        <f t="array" ref="AV16">IF(AV$11&gt;=0,MAX(INDEX(MMULT(inverseG,AU$12:AU$62),$A16+1,1),MAX(strike-$B16,0)),"")</f>
        <v>4</v>
      </c>
      <c r="AW16" s="9">
        <f t="array" ref="AW16">IF(AW$11&gt;=0,MAX(INDEX(MMULT(inverseG,AV$12:AV$62),$A16+1,1),MAX(strike-$B16,0)),"")</f>
        <v>4</v>
      </c>
      <c r="AX16" s="9">
        <f t="array" ref="AX16">IF(AX$11&gt;=0,MAX(INDEX(MMULT(inverseG,AW$12:AW$62),$A16+1,1),MAX(strike-$B16,0)),"")</f>
        <v>4</v>
      </c>
      <c r="AY16" s="9">
        <f t="array" ref="AY16">IF(AY$11&gt;=0,MAX(INDEX(MMULT(inverseG,AX$12:AX$62),$A16+1,1),MAX(strike-$B16,0)),"")</f>
        <v>4</v>
      </c>
      <c r="AZ16" s="9">
        <f t="array" ref="AZ16">IF(AZ$11&gt;=0,MAX(INDEX(MMULT(inverseG,AY$12:AY$62),$A16+1,1),MAX(strike-$B16,0)),"")</f>
        <v>4</v>
      </c>
      <c r="BA16" s="9">
        <f t="array" ref="BA16">IF(BA$11&gt;=0,MAX(INDEX(MMULT(inverseG,AZ$12:AZ$62),$A16+1,1),MAX(strike-$B16,0)),"")</f>
        <v>4</v>
      </c>
      <c r="BB16" s="9">
        <f t="array" ref="BB16">IF(BB$11&gt;=0,MAX(INDEX(MMULT(inverseG,BA$12:BA$62),$A16+1,1),MAX(strike-$B16,0)),"")</f>
        <v>4</v>
      </c>
      <c r="BC16" s="9">
        <f t="array" ref="BC16">IF(BC$11&gt;=0,MAX(INDEX(MMULT(inverseG,BB$12:BB$62),$A16+1,1),MAX(strike-$B16,0)),"")</f>
        <v>4</v>
      </c>
      <c r="BD16" s="9">
        <f t="array" ref="BD16">IF(BD$11&gt;=0,MAX(INDEX(MMULT(inverseG,BC$12:BC$62),$A16+1,1),MAX(strike-$B16,0)),"")</f>
        <v>4</v>
      </c>
      <c r="BE16" s="9">
        <f t="array" ref="BE16">IF(BE$11&gt;=0,MAX(INDEX(MMULT(inverseG,BD$12:BD$62),$A16+1,1),MAX(strike-$B16,0)),"")</f>
        <v>4</v>
      </c>
      <c r="BF16" s="9">
        <f t="array" ref="BF16">IF(BF$11&gt;=0,MAX(INDEX(MMULT(inverseG,BE$12:BE$62),$A16+1,1),MAX(strike-$B16,0)),"")</f>
        <v>4</v>
      </c>
      <c r="BG16" s="9">
        <f t="array" ref="BG16">IF(BG$11&gt;=0,MAX(INDEX(MMULT(inverseG,BF$12:BF$62),$A16+1,1),MAX(strike-$B16,0)),"")</f>
        <v>4</v>
      </c>
      <c r="BH16" s="9">
        <f t="array" ref="BH16">IF(BH$11&gt;=0,MAX(INDEX(MMULT(inverseG,BG$12:BG$62),$A16+1,1),MAX(strike-$B16,0)),"")</f>
        <v>4</v>
      </c>
      <c r="BI16" s="9">
        <f t="array" ref="BI16">IF(BI$11&gt;=0,MAX(INDEX(MMULT(inverseG,BH$12:BH$62),$A16+1,1),MAX(strike-$B16,0)),"")</f>
        <v>4</v>
      </c>
      <c r="BJ16" s="9">
        <f t="array" ref="BJ16">IF(BJ$11&gt;=0,MAX(INDEX(MMULT(inverseG,BI$12:BI$62),$A16+1,1),MAX(strike-$B16,0)),"")</f>
        <v>4</v>
      </c>
      <c r="BK16" s="9">
        <f t="array" ref="BK16">IF(BK$11&gt;=0,MAX(INDEX(MMULT(inverseG,BJ$12:BJ$62),$A16+1,1),MAX(strike-$B16,0)),"")</f>
        <v>4</v>
      </c>
      <c r="BL16" s="9">
        <f t="array" ref="BL16">IF(BL$11&gt;=0,MAX(INDEX(MMULT(inverseG,BK$12:BK$62),$A16+1,1),MAX(strike-$B16,0)),"")</f>
        <v>4</v>
      </c>
      <c r="BM16" s="9">
        <f t="array" ref="BM16">IF(BM$11&gt;=0,MAX(INDEX(MMULT(inverseG,BL$12:BL$62),$A16+1,1),MAX(strike-$B16,0)),"")</f>
        <v>4</v>
      </c>
      <c r="BN16" s="9">
        <f t="array" ref="BN16">IF(BN$11&gt;=0,MAX(INDEX(MMULT(inverseG,BM$12:BM$62),$A16+1,1),MAX(strike-$B16,0)),"")</f>
        <v>4</v>
      </c>
      <c r="BO16" s="9">
        <f t="array" ref="BO16">IF(BO$11&gt;=0,MAX(INDEX(MMULT(inverseG,BN$12:BN$62),$A16+1,1),MAX(strike-$B16,0)),"")</f>
        <v>4</v>
      </c>
      <c r="BP16" s="9">
        <f t="array" ref="BP16">IF(BP$11&gt;=0,MAX(INDEX(MMULT(inverseG,BO$12:BO$62),$A16+1,1),MAX(strike-$B16,0)),"")</f>
        <v>4</v>
      </c>
      <c r="BQ16" s="9">
        <f t="array" ref="BQ16">IF(BQ$11&gt;=0,MAX(INDEX(MMULT(inverseG,BP$12:BP$62),$A16+1,1),MAX(strike-$B16,0)),"")</f>
        <v>4</v>
      </c>
      <c r="BR16" s="9">
        <f t="array" ref="BR16">IF(BR$11&gt;=0,MAX(INDEX(MMULT(inverseG,BQ$12:BQ$62),$A16+1,1),MAX(strike-$B16,0)),"")</f>
        <v>4</v>
      </c>
      <c r="BS16" s="9">
        <f t="array" ref="BS16">IF(BS$11&gt;=0,MAX(INDEX(MMULT(inverseG,BR$12:BR$62),$A16+1,1),MAX(strike-$B16,0)),"")</f>
        <v>4</v>
      </c>
      <c r="BT16" s="9">
        <f t="array" ref="BT16">IF(BT$11&gt;=0,MAX(INDEX(MMULT(inverseG,BS$12:BS$62),$A16+1,1),MAX(strike-$B16,0)),"")</f>
        <v>4</v>
      </c>
      <c r="BU16" s="9">
        <f t="array" ref="BU16">IF(BU$11&gt;=0,MAX(INDEX(MMULT(inverseG,BT$12:BT$62),$A16+1,1),MAX(strike-$B16,0)),"")</f>
        <v>4</v>
      </c>
      <c r="BV16" s="9">
        <f t="array" ref="BV16">IF(BV$11&gt;=0,MAX(INDEX(MMULT(inverseG,BU$12:BU$62),$A16+1,1),MAX(strike-$B16,0)),"")</f>
        <v>4</v>
      </c>
      <c r="BW16" s="9">
        <f t="array" ref="BW16">IF(BW$11&gt;=0,MAX(INDEX(MMULT(inverseG,BV$12:BV$62),$A16+1,1),MAX(strike-$B16,0)),"")</f>
        <v>4</v>
      </c>
      <c r="BX16" s="9">
        <f t="array" ref="BX16">IF(BX$11&gt;=0,MAX(INDEX(MMULT(inverseG,BW$12:BW$62),$A16+1,1),MAX(strike-$B16,0)),"")</f>
        <v>4</v>
      </c>
      <c r="BY16" s="9">
        <f t="array" ref="BY16">IF(BY$11&gt;=0,MAX(INDEX(MMULT(inverseG,BX$12:BX$62),$A16+1,1),MAX(strike-$B16,0)),"")</f>
        <v>4</v>
      </c>
      <c r="BZ16" s="9">
        <f t="array" ref="BZ16">IF(BZ$11&gt;=0,MAX(INDEX(MMULT(inverseG,BY$12:BY$62),$A16+1,1),MAX(strike-$B16,0)),"")</f>
        <v>4</v>
      </c>
      <c r="CA16" s="9">
        <f t="array" ref="CA16">IF(CA$11&gt;=0,MAX(INDEX(MMULT(inverseG,BZ$12:BZ$62),$A16+1,1),MAX(strike-$B16,0)),"")</f>
        <v>4</v>
      </c>
      <c r="CB16" s="9">
        <f t="array" ref="CB16">IF(CB$11&gt;=0,MAX(INDEX(MMULT(inverseG,CA$12:CA$62),$A16+1,1),MAX(strike-$B16,0)),"")</f>
        <v>4</v>
      </c>
      <c r="CC16" s="9">
        <f t="array" ref="CC16">IF(CC$11&gt;=0,MAX(INDEX(MMULT(inverseG,CB$12:CB$62),$A16+1,1),MAX(strike-$B16,0)),"")</f>
        <v>4</v>
      </c>
      <c r="CD16" s="9">
        <f t="array" ref="CD16">IF(CD$11&gt;=0,MAX(INDEX(MMULT(inverseG,CC$12:CC$62),$A16+1,1),MAX(strike-$B16,0)),"")</f>
        <v>4</v>
      </c>
      <c r="CE16" s="9">
        <f t="array" ref="CE16">IF(CE$11&gt;=0,MAX(INDEX(MMULT(inverseG,CD$12:CD$62),$A16+1,1),MAX(strike-$B16,0)),"")</f>
        <v>4</v>
      </c>
      <c r="CF16" s="9">
        <f t="array" ref="CF16">IF(CF$11&gt;=0,MAX(INDEX(MMULT(inverseG,CE$12:CE$62),$A16+1,1),MAX(strike-$B16,0)),"")</f>
        <v>4</v>
      </c>
      <c r="CG16" s="9">
        <f t="array" ref="CG16">IF(CG$11&gt;=0,MAX(INDEX(MMULT(inverseG,CF$12:CF$62),$A16+1,1),MAX(strike-$B16,0)),"")</f>
        <v>4</v>
      </c>
      <c r="CH16" s="9">
        <f t="array" ref="CH16">IF(CH$11&gt;=0,MAX(INDEX(MMULT(inverseG,CG$12:CG$62),$A16+1,1),MAX(strike-$B16,0)),"")</f>
        <v>4</v>
      </c>
      <c r="CI16" s="9">
        <f t="array" ref="CI16">IF(CI$11&gt;=0,MAX(INDEX(MMULT(inverseG,CH$12:CH$62),$A16+1,1),MAX(strike-$B16,0)),"")</f>
        <v>4</v>
      </c>
      <c r="CJ16" s="9">
        <f t="array" ref="CJ16">IF(CJ$11&gt;=0,MAX(INDEX(MMULT(inverseG,CI$12:CI$62),$A16+1,1),MAX(strike-$B16,0)),"")</f>
        <v>4</v>
      </c>
      <c r="CK16" s="9">
        <f t="array" ref="CK16">IF(CK$11&gt;=0,MAX(INDEX(MMULT(inverseG,CJ$12:CJ$62),$A16+1,1),MAX(strike-$B16,0)),"")</f>
        <v>4</v>
      </c>
      <c r="CL16" s="9">
        <f t="array" ref="CL16">IF(CL$11&gt;=0,MAX(INDEX(MMULT(inverseG,CK$12:CK$62),$A16+1,1),MAX(strike-$B16,0)),"")</f>
        <v>4</v>
      </c>
      <c r="CM16" s="9">
        <f t="array" ref="CM16">IF(CM$11&gt;=0,MAX(INDEX(MMULT(inverseG,CL$12:CL$62),$A16+1,1),MAX(strike-$B16,0)),"")</f>
        <v>4</v>
      </c>
      <c r="CN16" s="9">
        <f t="array" ref="CN16">IF(CN$11&gt;=0,MAX(INDEX(MMULT(inverseG,CM$12:CM$62),$A16+1,1),MAX(strike-$B16,0)),"")</f>
        <v>4</v>
      </c>
      <c r="CO16" s="9">
        <f t="array" ref="CO16">IF(CO$11&gt;=0,MAX(INDEX(MMULT(inverseG,CN$12:CN$62),$A16+1,1),MAX(strike-$B16,0)),"")</f>
        <v>4</v>
      </c>
      <c r="CP16" s="9">
        <f t="array" ref="CP16">IF(CP$11&gt;=0,MAX(INDEX(MMULT(inverseG,CO$12:CO$62),$A16+1,1),MAX(strike-$B16,0)),"")</f>
        <v>4</v>
      </c>
      <c r="CQ16" s="9">
        <f t="array" ref="CQ16">IF(CQ$11&gt;=0,MAX(INDEX(MMULT(inverseG,CP$12:CP$62),$A16+1,1),MAX(strike-$B16,0)),"")</f>
        <v>4</v>
      </c>
      <c r="CR16" s="9">
        <f t="array" ref="CR16">IF(CR$11&gt;=0,MAX(INDEX(MMULT(inverseG,CQ$12:CQ$62),$A16+1,1),MAX(strike-$B16,0)),"")</f>
        <v>4</v>
      </c>
      <c r="CS16" s="9">
        <f t="array" ref="CS16">IF(CS$11&gt;=0,MAX(INDEX(MMULT(inverseG,CR$12:CR$62),$A16+1,1),MAX(strike-$B16,0)),"")</f>
        <v>4</v>
      </c>
      <c r="CT16" s="9">
        <f t="array" ref="CT16">IF(CT$11&gt;=0,MAX(INDEX(MMULT(inverseG,CS$12:CS$62),$A16+1,1),MAX(strike-$B16,0)),"")</f>
        <v>4</v>
      </c>
      <c r="CU16" s="9">
        <f t="array" ref="CU16">IF(CU$11&gt;=0,MAX(INDEX(MMULT(inverseG,CT$12:CT$62),$A16+1,1),MAX(strike-$B16,0)),"")</f>
        <v>4</v>
      </c>
      <c r="CV16" s="9">
        <f t="array" ref="CV16">IF(CV$11&gt;=0,MAX(INDEX(MMULT(inverseG,CU$12:CU$62),$A16+1,1),MAX(strike-$B16,0)),"")</f>
        <v>4</v>
      </c>
      <c r="CW16" s="9">
        <f t="array" ref="CW16">IF(CW$11&gt;=0,MAX(INDEX(MMULT(inverseG,CV$12:CV$62),$A16+1,1),MAX(strike-$B16,0)),"")</f>
        <v>4</v>
      </c>
      <c r="CX16" s="9">
        <f t="array" ref="CX16">IF(CX$11&gt;=0,MAX(INDEX(MMULT(inverseG,CW$12:CW$62),$A16+1,1),MAX(strike-$B16,0)),"")</f>
        <v>4</v>
      </c>
      <c r="CY16" s="9">
        <f t="array" ref="CY16">IF(CY$11&gt;=0,MAX(INDEX(MMULT(inverseG,CX$12:CX$62),$A16+1,1),MAX(strike-$B16,0)),"")</f>
        <v>4</v>
      </c>
      <c r="CZ16" s="9">
        <f t="array" ref="CZ16">IF(CZ$11&gt;=0,MAX(INDEX(MMULT(inverseG,CY$12:CY$62),$A16+1,1),MAX(strike-$B16,0)),"")</f>
        <v>4</v>
      </c>
      <c r="DA16" s="9" t="str">
        <f t="array" ref="DA16">IF(DA$11&gt;=0,MAX(INDEX(MMULT(inverseG,CZ$12:CZ$62),$A16+1,1),MAX(strike-$B16,0)),"")</f>
        <v/>
      </c>
      <c r="DB16" s="9" t="str">
        <f t="array" ref="DB16">IF(DB$11&gt;=0,MAX(INDEX(MMULT(inverseG,DA$12:DA$62),$A16+1,1),MAX(strike-$B16,0)),"")</f>
        <v/>
      </c>
      <c r="DC16" s="9" t="str">
        <f t="array" ref="DC16">IF(DC$11&gt;=0,MAX(INDEX(MMULT(inverseG,DB$12:DB$62),$A16+1,1),MAX(strike-$B16,0)),"")</f>
        <v/>
      </c>
      <c r="DD16" s="9" t="str">
        <f t="array" ref="DD16">IF(DD$11&gt;=0,MAX(INDEX(MMULT(inverseG,DC$12:DC$62),$A16+1,1),MAX(strike-$B16,0)),"")</f>
        <v/>
      </c>
      <c r="DE16" s="9" t="str">
        <f t="array" ref="DE16">IF(DE$11&gt;=0,MAX(INDEX(MMULT(inverseG,DD$12:DD$62),$A16+1,1),MAX(strike-$B16,0)),"")</f>
        <v/>
      </c>
      <c r="DF16" s="9" t="str">
        <f t="array" ref="DF16">IF(DF$11&gt;=0,MAX(INDEX(MMULT(inverseG,DE$12:DE$62),$A16+1,1),MAX(strike-$B16,0)),"")</f>
        <v/>
      </c>
      <c r="DG16" s="9" t="str">
        <f t="array" ref="DG16">IF(DG$11&gt;=0,MAX(INDEX(MMULT(inverseG,DF$12:DF$62),$A16+1,1),MAX(strike-$B16,0)),"")</f>
        <v/>
      </c>
      <c r="DH16" s="9" t="str">
        <f t="array" ref="DH16">IF(DH$11&gt;=0,MAX(INDEX(MMULT(inverseG,DG$12:DG$62),$A16+1,1),MAX(strike-$B16,0)),"")</f>
        <v/>
      </c>
      <c r="DI16" s="9" t="str">
        <f t="array" ref="DI16">IF(DI$11&gt;=0,MAX(INDEX(MMULT(inverseG,DH$12:DH$62),$A16+1,1),MAX(strike-$B16,0)),"")</f>
        <v/>
      </c>
      <c r="DJ16" s="9" t="str">
        <f t="array" ref="DJ16">IF(DJ$11&gt;=0,MAX(INDEX(MMULT(inverseG,DI$12:DI$62),$A16+1,1),MAX(strike-$B16,0)),"")</f>
        <v/>
      </c>
      <c r="DK16" s="9" t="str">
        <f t="array" ref="DK16">IF(DK$11&gt;=0,MAX(INDEX(MMULT(inverseG,DJ$12:DJ$62),$A16+1,1),MAX(strike-$B16,0)),"")</f>
        <v/>
      </c>
      <c r="DL16" s="9" t="str">
        <f t="array" ref="DL16">IF(DL$11&gt;=0,MAX(INDEX(MMULT(inverseG,DK$12:DK$62),$A16+1,1),MAX(strike-$B16,0)),"")</f>
        <v/>
      </c>
      <c r="DM16" s="9" t="str">
        <f t="array" ref="DM16">IF(DM$11&gt;=0,MAX(INDEX(MMULT(inverseG,DL$12:DL$62),$A16+1,1),MAX(strike-$B16,0)),"")</f>
        <v/>
      </c>
      <c r="DN16" s="9" t="str">
        <f t="array" ref="DN16">IF(DN$11&gt;=0,MAX(INDEX(MMULT(inverseG,DM$12:DM$62),$A16+1,1),MAX(strike-$B16,0)),"")</f>
        <v/>
      </c>
      <c r="DO16" s="9" t="str">
        <f t="array" ref="DO16">IF(DO$11&gt;=0,MAX(INDEX(MMULT(inverseG,DN$12:DN$62),$A16+1,1),MAX(strike-$B16,0)),"")</f>
        <v/>
      </c>
      <c r="DP16" s="9" t="str">
        <f t="array" ref="DP16">IF(DP$11&gt;=0,MAX(INDEX(MMULT(inverseG,DO$12:DO$62),$A16+1,1),MAX(strike-$B16,0)),"")</f>
        <v/>
      </c>
      <c r="DQ16" s="9" t="str">
        <f t="array" ref="DQ16">IF(DQ$11&gt;=0,MAX(INDEX(MMULT(inverseG,DP$12:DP$62),$A16+1,1),MAX(strike-$B16,0)),"")</f>
        <v/>
      </c>
      <c r="DR16" s="9" t="str">
        <f t="array" ref="DR16">IF(DR$11&gt;=0,MAX(INDEX(MMULT(inverseG,DQ$12:DQ$62),$A16+1,1),MAX(strike-$B16,0)),"")</f>
        <v/>
      </c>
      <c r="DS16" s="9" t="str">
        <f t="array" ref="DS16">IF(DS$11&gt;=0,MAX(INDEX(MMULT(inverseG,DR$12:DR$62),$A16+1,1),MAX(strike-$B16,0)),"")</f>
        <v/>
      </c>
      <c r="DT16" s="9" t="str">
        <f t="array" ref="DT16">IF(DT$11&gt;=0,MAX(INDEX(MMULT(inverseG,DS$12:DS$62),$A16+1,1),MAX(strike-$B16,0)),"")</f>
        <v/>
      </c>
      <c r="DU16" s="9" t="str">
        <f t="array" ref="DU16">IF(DU$11&gt;=0,MAX(INDEX(MMULT(inverseG,DT$12:DT$62),$A16+1,1),MAX(strike-$B16,0)),"")</f>
        <v/>
      </c>
      <c r="DV16" s="9" t="str">
        <f t="array" ref="DV16">IF(DV$11&gt;=0,MAX(INDEX(MMULT(inverseG,DU$12:DU$62),$A16+1,1),MAX(strike-$B16,0)),"")</f>
        <v/>
      </c>
      <c r="DW16" s="9" t="str">
        <f t="array" ref="DW16">IF(DW$11&gt;=0,MAX(INDEX(MMULT(inverseG,DV$12:DV$62),$A16+1,1),MAX(strike-$B16,0)),"")</f>
        <v/>
      </c>
      <c r="DX16" s="9" t="str">
        <f t="array" ref="DX16">IF(DX$11&gt;=0,MAX(INDEX(MMULT(inverseG,DW$12:DW$62),$A16+1,1),MAX(strike-$B16,0)),"")</f>
        <v/>
      </c>
      <c r="DY16" s="9" t="str">
        <f t="array" ref="DY16">IF(DY$11&gt;=0,MAX(INDEX(MMULT(inverseG,DX$12:DX$62),$A16+1,1),MAX(strike-$B16,0)),"")</f>
        <v/>
      </c>
      <c r="DZ16" s="9" t="str">
        <f t="array" ref="DZ16">IF(DZ$11&gt;=0,MAX(INDEX(MMULT(inverseG,DY$12:DY$62),$A16+1,1),MAX(strike-$B16,0)),"")</f>
        <v/>
      </c>
      <c r="EA16" s="9" t="str">
        <f t="array" ref="EA16">IF(EA$11&gt;=0,MAX(INDEX(MMULT(inverseG,DZ$12:DZ$62),$A16+1,1),MAX(strike-$B16,0)),"")</f>
        <v/>
      </c>
      <c r="EB16" s="9" t="str">
        <f t="array" ref="EB16">IF(EB$11&gt;=0,MAX(INDEX(MMULT(inverseG,EA$12:EA$62),$A16+1,1),MAX(strike-$B16,0)),"")</f>
        <v/>
      </c>
      <c r="EC16" s="9" t="str">
        <f t="array" ref="EC16">IF(EC$11&gt;=0,MAX(INDEX(MMULT(inverseG,EB$12:EB$62),$A16+1,1),MAX(strike-$B16,0)),"")</f>
        <v/>
      </c>
      <c r="ED16" s="9" t="str">
        <f t="array" ref="ED16">IF(ED$11&gt;=0,MAX(INDEX(MMULT(inverseG,EC$12:EC$62),$A16+1,1),MAX(strike-$B16,0)),"")</f>
        <v/>
      </c>
      <c r="EE16" s="9" t="str">
        <f t="array" ref="EE16">IF(EE$11&gt;=0,MAX(INDEX(MMULT(inverseG,ED$12:ED$62),$A16+1,1),MAX(strike-$B16,0)),"")</f>
        <v/>
      </c>
      <c r="EF16" s="9" t="str">
        <f t="array" ref="EF16">IF(EF$11&gt;=0,MAX(INDEX(MMULT(inverseG,EE$12:EE$62),$A16+1,1),MAX(strike-$B16,0)),"")</f>
        <v/>
      </c>
      <c r="EG16" s="9" t="str">
        <f t="array" ref="EG16">IF(EG$11&gt;=0,MAX(INDEX(MMULT(inverseG,EF$12:EF$62),$A16+1,1),MAX(strike-$B16,0)),"")</f>
        <v/>
      </c>
      <c r="EH16" s="9" t="str">
        <f t="array" ref="EH16">IF(EH$11&gt;=0,MAX(INDEX(MMULT(inverseG,EG$12:EG$62),$A16+1,1),MAX(strike-$B16,0)),"")</f>
        <v/>
      </c>
      <c r="EI16" s="9" t="str">
        <f t="array" ref="EI16">IF(EI$11&gt;=0,MAX(INDEX(MMULT(inverseG,EH$12:EH$62),$A16+1,1),MAX(strike-$B16,0)),"")</f>
        <v/>
      </c>
      <c r="EJ16" s="9" t="str">
        <f t="array" ref="EJ16">IF(EJ$11&gt;=0,MAX(INDEX(MMULT(inverseG,EI$12:EI$62),$A16+1,1),MAX(strike-$B16,0)),"")</f>
        <v/>
      </c>
      <c r="EK16" s="9" t="str">
        <f t="array" ref="EK16">IF(EK$11&gt;=0,MAX(INDEX(MMULT(inverseG,EJ$12:EJ$62),$A16+1,1),MAX(strike-$B16,0)),"")</f>
        <v/>
      </c>
      <c r="EL16" s="9" t="str">
        <f t="array" ref="EL16">IF(EL$11&gt;=0,MAX(INDEX(MMULT(inverseG,EK$12:EK$62),$A16+1,1),MAX(strike-$B16,0)),"")</f>
        <v/>
      </c>
      <c r="EM16" s="9" t="str">
        <f t="array" ref="EM16">IF(EM$11&gt;=0,MAX(INDEX(MMULT(inverseG,EL$12:EL$62),$A16+1,1),MAX(strike-$B16,0)),"")</f>
        <v/>
      </c>
      <c r="EN16" s="9" t="str">
        <f t="array" ref="EN16">IF(EN$11&gt;=0,MAX(INDEX(MMULT(inverseG,EM$12:EM$62),$A16+1,1),MAX(strike-$B16,0)),"")</f>
        <v/>
      </c>
      <c r="EO16" s="9" t="str">
        <f t="array" ref="EO16">IF(EO$11&gt;=0,MAX(INDEX(MMULT(inverseG,EN$12:EN$62),$A16+1,1),MAX(strike-$B16,0)),"")</f>
        <v/>
      </c>
      <c r="EP16" s="9" t="str">
        <f t="array" ref="EP16">IF(EP$11&gt;=0,MAX(INDEX(MMULT(inverseG,EO$12:EO$62),$A16+1,1),MAX(strike-$B16,0)),"")</f>
        <v/>
      </c>
      <c r="EQ16" s="9" t="str">
        <f t="array" ref="EQ16">IF(EQ$11&gt;=0,MAX(INDEX(MMULT(inverseG,EP$12:EP$62),$A16+1,1),MAX(strike-$B16,0)),"")</f>
        <v/>
      </c>
      <c r="ER16" s="9" t="str">
        <f t="array" ref="ER16">IF(ER$11&gt;=0,MAX(INDEX(MMULT(inverseG,EQ$12:EQ$62),$A16+1,1),MAX(strike-$B16,0)),"")</f>
        <v/>
      </c>
      <c r="ES16" s="9" t="str">
        <f t="array" ref="ES16">IF(ES$11&gt;=0,MAX(INDEX(MMULT(inverseG,ER$12:ER$62),$A16+1,1),MAX(strike-$B16,0)),"")</f>
        <v/>
      </c>
      <c r="ET16" s="9" t="str">
        <f t="array" ref="ET16">IF(ET$11&gt;=0,MAX(INDEX(MMULT(inverseG,ES$12:ES$62),$A16+1,1),MAX(strike-$B16,0)),"")</f>
        <v/>
      </c>
      <c r="EU16" s="9" t="str">
        <f t="array" ref="EU16">IF(EU$11&gt;=0,MAX(INDEX(MMULT(inverseG,ET$12:ET$62),$A16+1,1),MAX(strike-$B16,0)),"")</f>
        <v/>
      </c>
      <c r="EV16" s="9" t="str">
        <f t="array" ref="EV16">IF(EV$11&gt;=0,MAX(INDEX(MMULT(inverseG,EU$12:EU$62),$A16+1,1),MAX(strike-$B16,0)),"")</f>
        <v/>
      </c>
      <c r="EW16" s="9" t="str">
        <f t="array" ref="EW16">IF(EW$11&gt;=0,MAX(INDEX(MMULT(inverseG,EV$12:EV$62),$A16+1,1),MAX(strike-$B16,0)),"")</f>
        <v/>
      </c>
      <c r="EX16" s="9" t="str">
        <f t="array" ref="EX16">IF(EX$11&gt;=0,MAX(INDEX(MMULT(inverseG,EW$12:EW$62),$A16+1,1),MAX(strike-$B16,0)),"")</f>
        <v/>
      </c>
      <c r="EY16" s="9" t="str">
        <f t="array" ref="EY16">IF(EY$11&gt;=0,MAX(INDEX(MMULT(inverseG,EX$12:EX$62),$A16+1,1),MAX(strike-$B16,0)),"")</f>
        <v/>
      </c>
      <c r="EZ16" s="9" t="str">
        <f t="array" ref="EZ16">IF(EZ$11&gt;=0,MAX(INDEX(MMULT(inverseG,EY$12:EY$62),$A16+1,1),MAX(strike-$B16,0)),"")</f>
        <v/>
      </c>
      <c r="FA16" s="9" t="str">
        <f t="array" ref="FA16">IF(FA$11&gt;=0,MAX(INDEX(MMULT(inverseG,EZ$12:EZ$62),$A16+1,1),MAX(strike-$B16,0)),"")</f>
        <v/>
      </c>
      <c r="FB16" s="9" t="str">
        <f t="array" ref="FB16">IF(FB$11&gt;=0,MAX(INDEX(MMULT(inverseG,FA$12:FA$62),$A16+1,1),MAX(strike-$B16,0)),"")</f>
        <v/>
      </c>
      <c r="FC16" s="9" t="str">
        <f t="array" ref="FC16">IF(FC$11&gt;=0,MAX(INDEX(MMULT(inverseG,FB$12:FB$62),$A16+1,1),MAX(strike-$B16,0)),"")</f>
        <v/>
      </c>
      <c r="FD16" s="9" t="str">
        <f t="array" ref="FD16">IF(FD$11&gt;=0,MAX(INDEX(MMULT(inverseG,FC$12:FC$62),$A16+1,1),MAX(strike-$B16,0)),"")</f>
        <v/>
      </c>
      <c r="FE16" s="9" t="str">
        <f t="array" ref="FE16">IF(FE$11&gt;=0,MAX(INDEX(MMULT(inverseG,FD$12:FD$62),$A16+1,1),MAX(strike-$B16,0)),"")</f>
        <v/>
      </c>
      <c r="FF16" s="9" t="str">
        <f t="array" ref="FF16">IF(FF$11&gt;=0,MAX(INDEX(MMULT(inverseG,FE$12:FE$62),$A16+1,1),MAX(strike-$B16,0)),"")</f>
        <v/>
      </c>
      <c r="FG16" s="9" t="str">
        <f t="array" ref="FG16">IF(FG$11&gt;=0,MAX(INDEX(MMULT(inverseG,FF$12:FF$62),$A16+1,1),MAX(strike-$B16,0)),"")</f>
        <v/>
      </c>
      <c r="FH16" s="9" t="str">
        <f t="array" ref="FH16">IF(FH$11&gt;=0,MAX(INDEX(MMULT(inverseG,FG$12:FG$62),$A16+1,1),MAX(strike-$B16,0)),"")</f>
        <v/>
      </c>
      <c r="FI16" s="9" t="str">
        <f t="array" ref="FI16">IF(FI$11&gt;=0,MAX(INDEX(MMULT(inverseG,FH$12:FH$62),$A16+1,1),MAX(strike-$B16,0)),"")</f>
        <v/>
      </c>
      <c r="FJ16" s="9" t="str">
        <f t="array" ref="FJ16">IF(FJ$11&gt;=0,MAX(INDEX(MMULT(inverseG,FI$12:FI$62),$A16+1,1),MAX(strike-$B16,0)),"")</f>
        <v/>
      </c>
      <c r="FK16" s="9" t="str">
        <f t="array" ref="FK16">IF(FK$11&gt;=0,MAX(INDEX(MMULT(inverseG,FJ$12:FJ$62),$A16+1,1),MAX(strike-$B16,0)),"")</f>
        <v/>
      </c>
      <c r="FL16" s="9" t="str">
        <f t="array" ref="FL16">IF(FL$11&gt;=0,MAX(INDEX(MMULT(inverseG,FK$12:FK$62),$A16+1,1),MAX(strike-$B16,0)),"")</f>
        <v/>
      </c>
      <c r="FM16" s="9" t="str">
        <f t="array" ref="FM16">IF(FM$11&gt;=0,MAX(INDEX(MMULT(inverseG,FL$12:FL$62),$A16+1,1),MAX(strike-$B16,0)),"")</f>
        <v/>
      </c>
      <c r="FN16" s="9" t="str">
        <f t="array" ref="FN16">IF(FN$11&gt;=0,MAX(INDEX(MMULT(inverseG,FM$12:FM$62),$A16+1,1),MAX(strike-$B16,0)),"")</f>
        <v/>
      </c>
      <c r="FO16" s="9" t="str">
        <f t="array" ref="FO16">IF(FO$11&gt;=0,MAX(INDEX(MMULT(inverseG,FN$12:FN$62),$A16+1,1),MAX(strike-$B16,0)),"")</f>
        <v/>
      </c>
      <c r="FP16" s="9" t="str">
        <f t="array" ref="FP16">IF(FP$11&gt;=0,MAX(INDEX(MMULT(inverseG,FO$12:FO$62),$A16+1,1),MAX(strike-$B16,0)),"")</f>
        <v/>
      </c>
      <c r="FQ16" s="9" t="str">
        <f t="array" ref="FQ16">IF(FQ$11&gt;=0,MAX(INDEX(MMULT(inverseG,FP$12:FP$62),$A16+1,1),MAX(strike-$B16,0)),"")</f>
        <v/>
      </c>
      <c r="FR16" s="9" t="str">
        <f t="array" ref="FR16">IF(FR$11&gt;=0,MAX(INDEX(MMULT(inverseG,FQ$12:FQ$62),$A16+1,1),MAX(strike-$B16,0)),"")</f>
        <v/>
      </c>
      <c r="FS16" s="9" t="str">
        <f t="array" ref="FS16">IF(FS$11&gt;=0,MAX(INDEX(MMULT(inverseG,FR$12:FR$62),$A16+1,1),MAX(strike-$B16,0)),"")</f>
        <v/>
      </c>
      <c r="FT16" s="9" t="str">
        <f t="array" ref="FT16">IF(FT$11&gt;=0,MAX(INDEX(MMULT(inverseG,FS$12:FS$62),$A16+1,1),MAX(strike-$B16,0)),"")</f>
        <v/>
      </c>
      <c r="FU16" s="9" t="str">
        <f t="array" ref="FU16">IF(FU$11&gt;=0,MAX(INDEX(MMULT(inverseG,FT$12:FT$62),$A16+1,1),MAX(strike-$B16,0)),"")</f>
        <v/>
      </c>
      <c r="FV16" s="9" t="str">
        <f t="array" ref="FV16">IF(FV$11&gt;=0,MAX(INDEX(MMULT(inverseG,FU$12:FU$62),$A16+1,1),MAX(strike-$B16,0)),"")</f>
        <v/>
      </c>
      <c r="FW16" s="9" t="str">
        <f t="array" ref="FW16">IF(FW$11&gt;=0,MAX(INDEX(MMULT(inverseG,FV$12:FV$62),$A16+1,1),MAX(strike-$B16,0)),"")</f>
        <v/>
      </c>
      <c r="FX16" s="9" t="str">
        <f t="array" ref="FX16">IF(FX$11&gt;=0,MAX(INDEX(MMULT(inverseG,FW$12:FW$62),$A16+1,1),MAX(strike-$B16,0)),"")</f>
        <v/>
      </c>
      <c r="FY16" s="9" t="str">
        <f t="array" ref="FY16">IF(FY$11&gt;=0,MAX(INDEX(MMULT(inverseG,FX$12:FX$62),$A16+1,1),MAX(strike-$B16,0)),"")</f>
        <v/>
      </c>
      <c r="FZ16" s="9" t="str">
        <f t="array" ref="FZ16">IF(FZ$11&gt;=0,MAX(INDEX(MMULT(inverseG,FY$12:FY$62),$A16+1,1),MAX(strike-$B16,0)),"")</f>
        <v/>
      </c>
      <c r="GA16" s="9" t="str">
        <f t="array" ref="GA16">IF(GA$11&gt;=0,MAX(INDEX(MMULT(inverseG,FZ$12:FZ$62),$A16+1,1),MAX(strike-$B16,0)),"")</f>
        <v/>
      </c>
      <c r="GB16" s="9" t="str">
        <f t="array" ref="GB16">IF(GB$11&gt;=0,MAX(INDEX(MMULT(inverseG,GA$12:GA$62),$A16+1,1),MAX(strike-$B16,0)),"")</f>
        <v/>
      </c>
      <c r="GC16" s="9" t="str">
        <f t="array" ref="GC16">IF(GC$11&gt;=0,MAX(INDEX(MMULT(inverseG,GB$12:GB$62),$A16+1,1),MAX(strike-$B16,0)),"")</f>
        <v/>
      </c>
      <c r="GD16" s="9" t="str">
        <f t="array" ref="GD16">IF(GD$11&gt;=0,MAX(INDEX(MMULT(inverseG,GC$12:GC$62),$A16+1,1),MAX(strike-$B16,0)),"")</f>
        <v/>
      </c>
      <c r="GE16" s="9" t="str">
        <f t="array" ref="GE16">IF(GE$11&gt;=0,MAX(INDEX(MMULT(inverseG,GD$12:GD$62),$A16+1,1),MAX(strike-$B16,0)),"")</f>
        <v/>
      </c>
      <c r="GF16" s="9" t="str">
        <f t="array" ref="GF16">IF(GF$11&gt;=0,MAX(INDEX(MMULT(inverseG,GE$12:GE$62),$A16+1,1),MAX(strike-$B16,0)),"")</f>
        <v/>
      </c>
      <c r="GG16" s="9" t="str">
        <f t="array" ref="GG16">IF(GG$11&gt;=0,MAX(INDEX(MMULT(inverseG,GF$12:GF$62),$A16+1,1),MAX(strike-$B16,0)),"")</f>
        <v/>
      </c>
      <c r="GH16" s="9" t="str">
        <f t="array" ref="GH16">IF(GH$11&gt;=0,MAX(INDEX(MMULT(inverseG,GG$12:GG$62),$A16+1,1),MAX(strike-$B16,0)),"")</f>
        <v/>
      </c>
      <c r="GI16" s="9" t="str">
        <f t="array" ref="GI16">IF(GI$11&gt;=0,MAX(INDEX(MMULT(inverseG,GH$12:GH$62),$A16+1,1),MAX(strike-$B16,0)),"")</f>
        <v/>
      </c>
      <c r="GJ16" s="9" t="str">
        <f t="array" ref="GJ16">IF(GJ$11&gt;=0,MAX(INDEX(MMULT(inverseG,GI$12:GI$62),$A16+1,1),MAX(strike-$B16,0)),"")</f>
        <v/>
      </c>
      <c r="GK16" s="9" t="str">
        <f t="array" ref="GK16">IF(GK$11&gt;=0,MAX(INDEX(MMULT(inverseG,GJ$12:GJ$62),$A16+1,1),MAX(strike-$B16,0)),"")</f>
        <v/>
      </c>
      <c r="GL16" s="9" t="str">
        <f t="array" ref="GL16">IF(GL$11&gt;=0,MAX(INDEX(MMULT(inverseG,GK$12:GK$62),$A16+1,1),MAX(strike-$B16,0)),"")</f>
        <v/>
      </c>
      <c r="GM16" s="9" t="str">
        <f t="array" ref="GM16">IF(GM$11&gt;=0,MAX(INDEX(MMULT(inverseG,GL$12:GL$62),$A16+1,1),MAX(strike-$B16,0)),"")</f>
        <v/>
      </c>
      <c r="GN16" s="9" t="str">
        <f t="array" ref="GN16">IF(GN$11&gt;=0,MAX(INDEX(MMULT(inverseG,GM$12:GM$62),$A16+1,1),MAX(strike-$B16,0)),"")</f>
        <v/>
      </c>
      <c r="GO16" s="9" t="str">
        <f t="array" ref="GO16">IF(GO$11&gt;=0,MAX(INDEX(MMULT(inverseG,GN$12:GN$62),$A16+1,1),MAX(strike-$B16,0)),"")</f>
        <v/>
      </c>
      <c r="GP16" s="9" t="str">
        <f t="array" ref="GP16">IF(GP$11&gt;=0,MAX(INDEX(MMULT(inverseG,GO$12:GO$62),$A16+1,1),MAX(strike-$B16,0)),"")</f>
        <v/>
      </c>
      <c r="GQ16" s="9" t="str">
        <f t="array" ref="GQ16">IF(GQ$11&gt;=0,MAX(INDEX(MMULT(inverseG,GP$12:GP$62),$A16+1,1),MAX(strike-$B16,0)),"")</f>
        <v/>
      </c>
      <c r="GR16" s="9" t="str">
        <f t="array" ref="GR16">IF(GR$11&gt;=0,MAX(INDEX(MMULT(inverseG,GQ$12:GQ$62),$A16+1,1),MAX(strike-$B16,0)),"")</f>
        <v/>
      </c>
      <c r="GS16" s="9" t="str">
        <f t="array" ref="GS16">IF(GS$11&gt;=0,MAX(INDEX(MMULT(inverseG,GR$12:GR$62),$A16+1,1),MAX(strike-$B16,0)),"")</f>
        <v/>
      </c>
      <c r="GT16" s="9" t="str">
        <f t="array" ref="GT16">IF(GT$11&gt;=0,MAX(INDEX(MMULT(inverseG,GS$12:GS$62),$A16+1,1),MAX(strike-$B16,0)),"")</f>
        <v/>
      </c>
      <c r="GU16" s="9" t="str">
        <f t="array" ref="GU16">IF(GU$11&gt;=0,MAX(INDEX(MMULT(inverseG,GT$12:GT$62),$A16+1,1),MAX(strike-$B16,0)),"")</f>
        <v/>
      </c>
      <c r="GV16" s="9" t="str">
        <f t="array" ref="GV16">IF(GV$11&gt;=0,MAX(INDEX(MMULT(inverseG,GU$12:GU$62),$A16+1,1),MAX(strike-$B16,0)),"")</f>
        <v/>
      </c>
      <c r="GW16" s="9" t="str">
        <f t="array" ref="GW16">IF(GW$11&gt;=0,MAX(INDEX(MMULT(inverseG,GV$12:GV$62),$A16+1,1),MAX(strike-$B16,0)),"")</f>
        <v/>
      </c>
      <c r="GX16" s="9" t="str">
        <f t="array" ref="GX16">IF(GX$11&gt;=0,MAX(INDEX(MMULT(inverseG,GW$12:GW$62),$A16+1,1),MAX(strike-$B16,0)),"")</f>
        <v/>
      </c>
      <c r="GY16" s="9" t="str">
        <f t="array" ref="GY16">IF(GY$11&gt;=0,MAX(INDEX(MMULT(inverseG,GX$12:GX$62),$A16+1,1),MAX(strike-$B16,0)),"")</f>
        <v/>
      </c>
      <c r="GZ16" s="9" t="str">
        <f t="array" ref="GZ16">IF(GZ$11&gt;=0,MAX(INDEX(MMULT(inverseG,GY$12:GY$62),$A16+1,1),MAX(strike-$B16,0)),"")</f>
        <v/>
      </c>
      <c r="HA16" s="9" t="str">
        <f t="array" ref="HA16">IF(HA$11&gt;=0,MAX(INDEX(MMULT(inverseG,GZ$12:GZ$62),$A16+1,1),MAX(strike-$B16,0)),"")</f>
        <v/>
      </c>
      <c r="HB16" s="9" t="str">
        <f t="array" ref="HB16">IF(HB$11&gt;=0,MAX(INDEX(MMULT(inverseG,HA$12:HA$62),$A16+1,1),MAX(strike-$B16,0)),"")</f>
        <v/>
      </c>
      <c r="HC16" s="9" t="str">
        <f t="array" ref="HC16">IF(HC$11&gt;=0,MAX(INDEX(MMULT(inverseG,HB$12:HB$62),$A16+1,1),MAX(strike-$B16,0)),"")</f>
        <v/>
      </c>
      <c r="HD16" s="9" t="str">
        <f t="array" ref="HD16">IF(HD$11&gt;=0,MAX(INDEX(MMULT(inverseG,HC$12:HC$62),$A16+1,1),MAX(strike-$B16,0)),"")</f>
        <v/>
      </c>
      <c r="HE16" s="9" t="str">
        <f t="array" ref="HE16">IF(HE$11&gt;=0,MAX(INDEX(MMULT(inverseG,HD$12:HD$62),$A16+1,1),MAX(strike-$B16,0)),"")</f>
        <v/>
      </c>
      <c r="HF16" s="9" t="str">
        <f t="array" ref="HF16">IF(HF$11&gt;=0,MAX(INDEX(MMULT(inverseG,HE$12:HE$62),$A16+1,1),MAX(strike-$B16,0)),"")</f>
        <v/>
      </c>
      <c r="HG16" s="9" t="str">
        <f t="array" ref="HG16">IF(HG$11&gt;=0,MAX(INDEX(MMULT(inverseG,HF$12:HF$62),$A16+1,1),MAX(strike-$B16,0)),"")</f>
        <v/>
      </c>
      <c r="HH16" s="9" t="str">
        <f t="array" ref="HH16">IF(HH$11&gt;=0,MAX(INDEX(MMULT(inverseG,HG$12:HG$62),$A16+1,1),MAX(strike-$B16,0)),"")</f>
        <v/>
      </c>
      <c r="HI16" s="9" t="str">
        <f t="array" ref="HI16">IF(HI$11&gt;=0,MAX(INDEX(MMULT(inverseG,HH$12:HH$62),$A16+1,1),MAX(strike-$B16,0)),"")</f>
        <v/>
      </c>
      <c r="HJ16" s="9" t="str">
        <f t="array" ref="HJ16">IF(HJ$11&gt;=0,MAX(INDEX(MMULT(inverseG,HI$12:HI$62),$A16+1,1),MAX(strike-$B16,0)),"")</f>
        <v/>
      </c>
      <c r="HK16" s="9" t="str">
        <f t="array" ref="HK16">IF(HK$11&gt;=0,MAX(INDEX(MMULT(inverseG,HJ$12:HJ$62),$A16+1,1),MAX(strike-$B16,0)),"")</f>
        <v/>
      </c>
      <c r="HL16" s="9" t="str">
        <f t="array" ref="HL16">IF(HL$11&gt;=0,MAX(INDEX(MMULT(inverseG,HK$12:HK$62),$A16+1,1),MAX(strike-$B16,0)),"")</f>
        <v/>
      </c>
      <c r="HM16" s="9" t="str">
        <f t="array" ref="HM16">IF(HM$11&gt;=0,MAX(INDEX(MMULT(inverseG,HL$12:HL$62),$A16+1,1),MAX(strike-$B16,0)),"")</f>
        <v/>
      </c>
      <c r="HN16" s="9" t="str">
        <f t="array" ref="HN16">IF(HN$11&gt;=0,MAX(INDEX(MMULT(inverseG,HM$12:HM$62),$A16+1,1),MAX(strike-$B16,0)),"")</f>
        <v/>
      </c>
      <c r="HO16" s="9" t="str">
        <f t="array" ref="HO16">IF(HO$11&gt;=0,MAX(INDEX(MMULT(inverseG,HN$12:HN$62),$A16+1,1),MAX(strike-$B16,0)),"")</f>
        <v/>
      </c>
      <c r="HP16" s="9" t="str">
        <f t="array" ref="HP16">IF(HP$11&gt;=0,MAX(INDEX(MMULT(inverseG,HO$12:HO$62),$A16+1,1),MAX(strike-$B16,0)),"")</f>
        <v/>
      </c>
      <c r="HQ16" s="9" t="str">
        <f t="array" ref="HQ16">IF(HQ$11&gt;=0,MAX(INDEX(MMULT(inverseG,HP$12:HP$62),$A16+1,1),MAX(strike-$B16,0)),"")</f>
        <v/>
      </c>
      <c r="HR16" s="9" t="str">
        <f t="array" ref="HR16">IF(HR$11&gt;=0,MAX(INDEX(MMULT(inverseG,HQ$12:HQ$62),$A16+1,1),MAX(strike-$B16,0)),"")</f>
        <v/>
      </c>
      <c r="HS16" s="9" t="str">
        <f t="array" ref="HS16">IF(HS$11&gt;=0,MAX(INDEX(MMULT(inverseG,HR$12:HR$62),$A16+1,1),MAX(strike-$B16,0)),"")</f>
        <v/>
      </c>
      <c r="HT16" s="9" t="str">
        <f t="array" ref="HT16">IF(HT$11&gt;=0,MAX(INDEX(MMULT(inverseG,HS$12:HS$62),$A16+1,1),MAX(strike-$B16,0)),"")</f>
        <v/>
      </c>
      <c r="HU16" s="9" t="str">
        <f t="array" ref="HU16">IF(HU$11&gt;=0,MAX(INDEX(MMULT(inverseG,HT$12:HT$62),$A16+1,1),MAX(strike-$B16,0)),"")</f>
        <v/>
      </c>
      <c r="HV16" s="9" t="str">
        <f t="array" ref="HV16">IF(HV$11&gt;=0,MAX(INDEX(MMULT(inverseG,HU$12:HU$62),$A16+1,1),MAX(strike-$B16,0)),"")</f>
        <v/>
      </c>
      <c r="HW16" s="9" t="str">
        <f t="array" ref="HW16">IF(HW$11&gt;=0,MAX(INDEX(MMULT(inverseG,HV$12:HV$62),$A16+1,1),MAX(strike-$B16,0)),"")</f>
        <v/>
      </c>
      <c r="HX16" s="9" t="str">
        <f t="array" ref="HX16">IF(HX$11&gt;=0,MAX(INDEX(MMULT(inverseG,HW$12:HW$62),$A16+1,1),MAX(strike-$B16,0)),"")</f>
        <v/>
      </c>
      <c r="HY16" s="9" t="str">
        <f t="array" ref="HY16">IF(HY$11&gt;=0,MAX(INDEX(MMULT(inverseG,HX$12:HX$62),$A16+1,1),MAX(strike-$B16,0)),"")</f>
        <v/>
      </c>
      <c r="HZ16" s="9" t="str">
        <f t="array" ref="HZ16">IF(HZ$11&gt;=0,MAX(INDEX(MMULT(inverseG,HY$12:HY$62),$A16+1,1),MAX(strike-$B16,0)),"")</f>
        <v/>
      </c>
      <c r="IA16" s="9" t="str">
        <f t="array" ref="IA16">IF(IA$11&gt;=0,MAX(INDEX(MMULT(inverseG,HZ$12:HZ$62),$A16+1,1),MAX(strike-$B16,0)),"")</f>
        <v/>
      </c>
      <c r="IB16" s="9" t="str">
        <f t="array" ref="IB16">IF(IB$11&gt;=0,MAX(INDEX(MMULT(inverseG,IA$12:IA$62),$A16+1,1),MAX(strike-$B16,0)),"")</f>
        <v/>
      </c>
      <c r="IC16" s="9" t="str">
        <f t="array" ref="IC16">IF(IC$11&gt;=0,MAX(INDEX(MMULT(inverseG,IB$12:IB$62),$A16+1,1),MAX(strike-$B16,0)),"")</f>
        <v/>
      </c>
      <c r="ID16" s="9" t="str">
        <f t="array" ref="ID16">IF(ID$11&gt;=0,MAX(INDEX(MMULT(inverseG,IC$12:IC$62),$A16+1,1),MAX(strike-$B16,0)),"")</f>
        <v/>
      </c>
      <c r="IE16" s="9" t="str">
        <f t="array" ref="IE16">IF(IE$11&gt;=0,MAX(INDEX(MMULT(inverseG,ID$12:ID$62),$A16+1,1),MAX(strike-$B16,0)),"")</f>
        <v/>
      </c>
      <c r="IF16" s="9" t="str">
        <f t="array" ref="IF16">IF(IF$11&gt;=0,MAX(INDEX(MMULT(inverseG,IE$12:IE$62),$A16+1,1),MAX(strike-$B16,0)),"")</f>
        <v/>
      </c>
      <c r="IG16" s="9" t="str">
        <f t="array" ref="IG16">IF(IG$11&gt;=0,MAX(INDEX(MMULT(inverseG,IF$12:IF$62),$A16+1,1),MAX(strike-$B16,0)),"")</f>
        <v/>
      </c>
      <c r="IH16" s="9" t="str">
        <f t="array" ref="IH16">IF(IH$11&gt;=0,MAX(INDEX(MMULT(inverseG,IG$12:IG$62),$A16+1,1),MAX(strike-$B16,0)),"")</f>
        <v/>
      </c>
      <c r="II16" s="9" t="str">
        <f t="array" ref="II16">IF(II$11&gt;=0,MAX(INDEX(MMULT(inverseG,IH$12:IH$62),$A16+1,1),MAX(strike-$B16,0)),"")</f>
        <v/>
      </c>
      <c r="IJ16" s="9" t="str">
        <f t="array" ref="IJ16">IF(IJ$11&gt;=0,MAX(INDEX(MMULT(inverseG,II$12:II$62),$A16+1,1),MAX(strike-$B16,0)),"")</f>
        <v/>
      </c>
      <c r="IK16" s="9" t="str">
        <f t="array" ref="IK16">IF(IK$11&gt;=0,MAX(INDEX(MMULT(inverseG,IJ$12:IJ$62),$A16+1,1),MAX(strike-$B16,0)),"")</f>
        <v/>
      </c>
      <c r="IL16" s="9" t="str">
        <f t="array" ref="IL16">IF(IL$11&gt;=0,MAX(INDEX(MMULT(inverseG,IK$12:IK$62),$A16+1,1),MAX(strike-$B16,0)),"")</f>
        <v/>
      </c>
      <c r="IM16" s="9" t="str">
        <f t="array" ref="IM16">IF(IM$11&gt;=0,MAX(INDEX(MMULT(inverseG,IL$12:IL$62),$A16+1,1),MAX(strike-$B16,0)),"")</f>
        <v/>
      </c>
      <c r="IN16" s="9" t="str">
        <f t="array" ref="IN16">IF(IN$11&gt;=0,MAX(INDEX(MMULT(inverseG,IM$12:IM$62),$A16+1,1),MAX(strike-$B16,0)),"")</f>
        <v/>
      </c>
      <c r="IO16" s="9" t="str">
        <f t="array" ref="IO16">IF(IO$11&gt;=0,MAX(INDEX(MMULT(inverseG,IN$12:IN$62),$A16+1,1),MAX(strike-$B16,0)),"")</f>
        <v/>
      </c>
      <c r="IP16" s="9" t="str">
        <f t="array" ref="IP16">IF(IP$11&gt;=0,MAX(INDEX(MMULT(inverseG,IO$12:IO$62),$A16+1,1),MAX(strike-$B16,0)),"")</f>
        <v/>
      </c>
      <c r="IQ16" s="9" t="str">
        <f t="array" ref="IQ16">IF(IQ$11&gt;=0,MAX(INDEX(MMULT(inverseG,IP$12:IP$62),$A16+1,1),MAX(strike-$B16,0)),"")</f>
        <v/>
      </c>
      <c r="IR16" s="9" t="str">
        <f t="array" ref="IR16">IF(IR$11&gt;=0,MAX(INDEX(MMULT(inverseG,IQ$12:IQ$62),$A16+1,1),MAX(strike-$B16,0)),"")</f>
        <v/>
      </c>
      <c r="IS16" s="9" t="str">
        <f t="array" ref="IS16">IF(IS$11&gt;=0,MAX(INDEX(MMULT(inverseG,IR$12:IR$62),$A16+1,1),MAX(strike-$B16,0)),"")</f>
        <v/>
      </c>
      <c r="IT16" s="9" t="str">
        <f t="array" ref="IT16">IF(IT$11&gt;=0,MAX(INDEX(MMULT(inverseG,IS$12:IS$62),$A16+1,1),MAX(strike-$B16,0)),"")</f>
        <v/>
      </c>
      <c r="IU16" s="9" t="str">
        <f t="array" ref="IU16">IF(IU$11&gt;=0,MAX(INDEX(MMULT(inverseG,IT$12:IT$62),$A16+1,1),MAX(strike-$B16,0)),"")</f>
        <v/>
      </c>
      <c r="IV16" s="9" t="str">
        <f t="array" ref="IV16">IF(IV$11&gt;=0,MAX(INDEX(MMULT(inverseG,IU$12:IU$62),$A16+1,1),MAX(strike-$B16,0)),"")</f>
        <v/>
      </c>
    </row>
    <row r="17" spans="1:256" x14ac:dyDescent="0.2">
      <c r="A17" s="8">
        <f t="shared" si="7"/>
        <v>5</v>
      </c>
      <c r="B17" s="6">
        <f t="shared" si="4"/>
        <v>1.25</v>
      </c>
      <c r="C17" s="30">
        <f t="shared" ca="1" si="6"/>
        <v>3.75</v>
      </c>
      <c r="D17" s="9">
        <f t="shared" si="5"/>
        <v>3.75</v>
      </c>
      <c r="E17" s="9">
        <f t="array" ref="E17">IF(E$11&gt;=0,MAX(INDEX(MMULT(inverseG,D$12:D$62),$A17+1,1),MAX(strike-$B17,0)),"")</f>
        <v>3.75</v>
      </c>
      <c r="F17" s="9">
        <f t="array" ref="F17">IF(F$11&gt;=0,MAX(INDEX(MMULT(inverseG,E$12:E$62),$A17+1,1),MAX(strike-$B17,0)),"")</f>
        <v>3.75</v>
      </c>
      <c r="G17" s="9">
        <f t="array" ref="G17">IF(G$11&gt;=0,MAX(INDEX(MMULT(inverseG,F$12:F$62),$A17+1,1),MAX(strike-$B17,0)),"")</f>
        <v>3.75</v>
      </c>
      <c r="H17" s="9">
        <f t="array" ref="H17">IF(H$11&gt;=0,MAX(INDEX(MMULT(inverseG,G$12:G$62),$A17+1,1),MAX(strike-$B17,0)),"")</f>
        <v>3.75</v>
      </c>
      <c r="I17" s="9">
        <f t="array" ref="I17">IF(I$11&gt;=0,MAX(INDEX(MMULT(inverseG,H$12:H$62),$A17+1,1),MAX(strike-$B17,0)),"")</f>
        <v>3.75</v>
      </c>
      <c r="J17" s="9">
        <f t="array" ref="J17">IF(J$11&gt;=0,MAX(INDEX(MMULT(inverseG,I$12:I$62),$A17+1,1),MAX(strike-$B17,0)),"")</f>
        <v>3.75</v>
      </c>
      <c r="K17" s="9">
        <f t="array" ref="K17">IF(K$11&gt;=0,MAX(INDEX(MMULT(inverseG,J$12:J$62),$A17+1,1),MAX(strike-$B17,0)),"")</f>
        <v>3.75</v>
      </c>
      <c r="L17" s="9">
        <f t="array" ref="L17">IF(L$11&gt;=0,MAX(INDEX(MMULT(inverseG,K$12:K$62),$A17+1,1),MAX(strike-$B17,0)),"")</f>
        <v>3.75</v>
      </c>
      <c r="M17" s="9">
        <f t="array" ref="M17">IF(M$11&gt;=0,MAX(INDEX(MMULT(inverseG,L$12:L$62),$A17+1,1),MAX(strike-$B17,0)),"")</f>
        <v>3.75</v>
      </c>
      <c r="N17" s="9">
        <f t="array" ref="N17">IF(N$11&gt;=0,MAX(INDEX(MMULT(inverseG,M$12:M$62),$A17+1,1),MAX(strike-$B17,0)),"")</f>
        <v>3.75</v>
      </c>
      <c r="O17" s="9">
        <f t="array" ref="O17">IF(O$11&gt;=0,MAX(INDEX(MMULT(inverseG,N$12:N$62),$A17+1,1),MAX(strike-$B17,0)),"")</f>
        <v>3.75</v>
      </c>
      <c r="P17" s="9">
        <f t="array" ref="P17">IF(P$11&gt;=0,MAX(INDEX(MMULT(inverseG,O$12:O$62),$A17+1,1),MAX(strike-$B17,0)),"")</f>
        <v>3.75</v>
      </c>
      <c r="Q17" s="9">
        <f t="array" ref="Q17">IF(Q$11&gt;=0,MAX(INDEX(MMULT(inverseG,P$12:P$62),$A17+1,1),MAX(strike-$B17,0)),"")</f>
        <v>3.75</v>
      </c>
      <c r="R17" s="9">
        <f t="array" ref="R17">IF(R$11&gt;=0,MAX(INDEX(MMULT(inverseG,Q$12:Q$62),$A17+1,1),MAX(strike-$B17,0)),"")</f>
        <v>3.75</v>
      </c>
      <c r="S17" s="9">
        <f t="array" ref="S17">IF(S$11&gt;=0,MAX(INDEX(MMULT(inverseG,R$12:R$62),$A17+1,1),MAX(strike-$B17,0)),"")</f>
        <v>3.75</v>
      </c>
      <c r="T17" s="9">
        <f t="array" ref="T17">IF(T$11&gt;=0,MAX(INDEX(MMULT(inverseG,S$12:S$62),$A17+1,1),MAX(strike-$B17,0)),"")</f>
        <v>3.75</v>
      </c>
      <c r="U17" s="9">
        <f t="array" ref="U17">IF(U$11&gt;=0,MAX(INDEX(MMULT(inverseG,T$12:T$62),$A17+1,1),MAX(strike-$B17,0)),"")</f>
        <v>3.75</v>
      </c>
      <c r="V17" s="9">
        <f t="array" ref="V17">IF(V$11&gt;=0,MAX(INDEX(MMULT(inverseG,U$12:U$62),$A17+1,1),MAX(strike-$B17,0)),"")</f>
        <v>3.75</v>
      </c>
      <c r="W17" s="9">
        <f t="array" ref="W17">IF(W$11&gt;=0,MAX(INDEX(MMULT(inverseG,V$12:V$62),$A17+1,1),MAX(strike-$B17,0)),"")</f>
        <v>3.75</v>
      </c>
      <c r="X17" s="9">
        <f t="array" ref="X17">IF(X$11&gt;=0,MAX(INDEX(MMULT(inverseG,W$12:W$62),$A17+1,1),MAX(strike-$B17,0)),"")</f>
        <v>3.75</v>
      </c>
      <c r="Y17" s="9">
        <f t="array" ref="Y17">IF(Y$11&gt;=0,MAX(INDEX(MMULT(inverseG,X$12:X$62),$A17+1,1),MAX(strike-$B17,0)),"")</f>
        <v>3.75</v>
      </c>
      <c r="Z17" s="9">
        <f t="array" ref="Z17">IF(Z$11&gt;=0,MAX(INDEX(MMULT(inverseG,Y$12:Y$62),$A17+1,1),MAX(strike-$B17,0)),"")</f>
        <v>3.75</v>
      </c>
      <c r="AA17" s="9">
        <f t="array" ref="AA17">IF(AA$11&gt;=0,MAX(INDEX(MMULT(inverseG,Z$12:Z$62),$A17+1,1),MAX(strike-$B17,0)),"")</f>
        <v>3.75</v>
      </c>
      <c r="AB17" s="9">
        <f t="array" ref="AB17">IF(AB$11&gt;=0,MAX(INDEX(MMULT(inverseG,AA$12:AA$62),$A17+1,1),MAX(strike-$B17,0)),"")</f>
        <v>3.75</v>
      </c>
      <c r="AC17" s="9">
        <f t="array" ref="AC17">IF(AC$11&gt;=0,MAX(INDEX(MMULT(inverseG,AB$12:AB$62),$A17+1,1),MAX(strike-$B17,0)),"")</f>
        <v>3.75</v>
      </c>
      <c r="AD17" s="9">
        <f t="array" ref="AD17">IF(AD$11&gt;=0,MAX(INDEX(MMULT(inverseG,AC$12:AC$62),$A17+1,1),MAX(strike-$B17,0)),"")</f>
        <v>3.75</v>
      </c>
      <c r="AE17" s="9">
        <f t="array" ref="AE17">IF(AE$11&gt;=0,MAX(INDEX(MMULT(inverseG,AD$12:AD$62),$A17+1,1),MAX(strike-$B17,0)),"")</f>
        <v>3.75</v>
      </c>
      <c r="AF17" s="9">
        <f t="array" ref="AF17">IF(AF$11&gt;=0,MAX(INDEX(MMULT(inverseG,AE$12:AE$62),$A17+1,1),MAX(strike-$B17,0)),"")</f>
        <v>3.75</v>
      </c>
      <c r="AG17" s="9">
        <f t="array" ref="AG17">IF(AG$11&gt;=0,MAX(INDEX(MMULT(inverseG,AF$12:AF$62),$A17+1,1),MAX(strike-$B17,0)),"")</f>
        <v>3.75</v>
      </c>
      <c r="AH17" s="9">
        <f t="array" ref="AH17">IF(AH$11&gt;=0,MAX(INDEX(MMULT(inverseG,AG$12:AG$62),$A17+1,1),MAX(strike-$B17,0)),"")</f>
        <v>3.75</v>
      </c>
      <c r="AI17" s="9">
        <f t="array" ref="AI17">IF(AI$11&gt;=0,MAX(INDEX(MMULT(inverseG,AH$12:AH$62),$A17+1,1),MAX(strike-$B17,0)),"")</f>
        <v>3.75</v>
      </c>
      <c r="AJ17" s="9">
        <f t="array" ref="AJ17">IF(AJ$11&gt;=0,MAX(INDEX(MMULT(inverseG,AI$12:AI$62),$A17+1,1),MAX(strike-$B17,0)),"")</f>
        <v>3.75</v>
      </c>
      <c r="AK17" s="9">
        <f t="array" ref="AK17">IF(AK$11&gt;=0,MAX(INDEX(MMULT(inverseG,AJ$12:AJ$62),$A17+1,1),MAX(strike-$B17,0)),"")</f>
        <v>3.75</v>
      </c>
      <c r="AL17" s="9">
        <f t="array" ref="AL17">IF(AL$11&gt;=0,MAX(INDEX(MMULT(inverseG,AK$12:AK$62),$A17+1,1),MAX(strike-$B17,0)),"")</f>
        <v>3.75</v>
      </c>
      <c r="AM17" s="9">
        <f t="array" ref="AM17">IF(AM$11&gt;=0,MAX(INDEX(MMULT(inverseG,AL$12:AL$62),$A17+1,1),MAX(strike-$B17,0)),"")</f>
        <v>3.75</v>
      </c>
      <c r="AN17" s="9">
        <f t="array" ref="AN17">IF(AN$11&gt;=0,MAX(INDEX(MMULT(inverseG,AM$12:AM$62),$A17+1,1),MAX(strike-$B17,0)),"")</f>
        <v>3.75</v>
      </c>
      <c r="AO17" s="9">
        <f t="array" ref="AO17">IF(AO$11&gt;=0,MAX(INDEX(MMULT(inverseG,AN$12:AN$62),$A17+1,1),MAX(strike-$B17,0)),"")</f>
        <v>3.75</v>
      </c>
      <c r="AP17" s="9">
        <f t="array" ref="AP17">IF(AP$11&gt;=0,MAX(INDEX(MMULT(inverseG,AO$12:AO$62),$A17+1,1),MAX(strike-$B17,0)),"")</f>
        <v>3.75</v>
      </c>
      <c r="AQ17" s="9">
        <f t="array" ref="AQ17">IF(AQ$11&gt;=0,MAX(INDEX(MMULT(inverseG,AP$12:AP$62),$A17+1,1),MAX(strike-$B17,0)),"")</f>
        <v>3.75</v>
      </c>
      <c r="AR17" s="9">
        <f t="array" ref="AR17">IF(AR$11&gt;=0,MAX(INDEX(MMULT(inverseG,AQ$12:AQ$62),$A17+1,1),MAX(strike-$B17,0)),"")</f>
        <v>3.75</v>
      </c>
      <c r="AS17" s="9">
        <f t="array" ref="AS17">IF(AS$11&gt;=0,MAX(INDEX(MMULT(inverseG,AR$12:AR$62),$A17+1,1),MAX(strike-$B17,0)),"")</f>
        <v>3.75</v>
      </c>
      <c r="AT17" s="9">
        <f t="array" ref="AT17">IF(AT$11&gt;=0,MAX(INDEX(MMULT(inverseG,AS$12:AS$62),$A17+1,1),MAX(strike-$B17,0)),"")</f>
        <v>3.75</v>
      </c>
      <c r="AU17" s="9">
        <f t="array" ref="AU17">IF(AU$11&gt;=0,MAX(INDEX(MMULT(inverseG,AT$12:AT$62),$A17+1,1),MAX(strike-$B17,0)),"")</f>
        <v>3.75</v>
      </c>
      <c r="AV17" s="9">
        <f t="array" ref="AV17">IF(AV$11&gt;=0,MAX(INDEX(MMULT(inverseG,AU$12:AU$62),$A17+1,1),MAX(strike-$B17,0)),"")</f>
        <v>3.75</v>
      </c>
      <c r="AW17" s="9">
        <f t="array" ref="AW17">IF(AW$11&gt;=0,MAX(INDEX(MMULT(inverseG,AV$12:AV$62),$A17+1,1),MAX(strike-$B17,0)),"")</f>
        <v>3.75</v>
      </c>
      <c r="AX17" s="9">
        <f t="array" ref="AX17">IF(AX$11&gt;=0,MAX(INDEX(MMULT(inverseG,AW$12:AW$62),$A17+1,1),MAX(strike-$B17,0)),"")</f>
        <v>3.75</v>
      </c>
      <c r="AY17" s="9">
        <f t="array" ref="AY17">IF(AY$11&gt;=0,MAX(INDEX(MMULT(inverseG,AX$12:AX$62),$A17+1,1),MAX(strike-$B17,0)),"")</f>
        <v>3.75</v>
      </c>
      <c r="AZ17" s="9">
        <f t="array" ref="AZ17">IF(AZ$11&gt;=0,MAX(INDEX(MMULT(inverseG,AY$12:AY$62),$A17+1,1),MAX(strike-$B17,0)),"")</f>
        <v>3.75</v>
      </c>
      <c r="BA17" s="9">
        <f t="array" ref="BA17">IF(BA$11&gt;=0,MAX(INDEX(MMULT(inverseG,AZ$12:AZ$62),$A17+1,1),MAX(strike-$B17,0)),"")</f>
        <v>3.75</v>
      </c>
      <c r="BB17" s="9">
        <f t="array" ref="BB17">IF(BB$11&gt;=0,MAX(INDEX(MMULT(inverseG,BA$12:BA$62),$A17+1,1),MAX(strike-$B17,0)),"")</f>
        <v>3.75</v>
      </c>
      <c r="BC17" s="9">
        <f t="array" ref="BC17">IF(BC$11&gt;=0,MAX(INDEX(MMULT(inverseG,BB$12:BB$62),$A17+1,1),MAX(strike-$B17,0)),"")</f>
        <v>3.75</v>
      </c>
      <c r="BD17" s="9">
        <f t="array" ref="BD17">IF(BD$11&gt;=0,MAX(INDEX(MMULT(inverseG,BC$12:BC$62),$A17+1,1),MAX(strike-$B17,0)),"")</f>
        <v>3.75</v>
      </c>
      <c r="BE17" s="9">
        <f t="array" ref="BE17">IF(BE$11&gt;=0,MAX(INDEX(MMULT(inverseG,BD$12:BD$62),$A17+1,1),MAX(strike-$B17,0)),"")</f>
        <v>3.75</v>
      </c>
      <c r="BF17" s="9">
        <f t="array" ref="BF17">IF(BF$11&gt;=0,MAX(INDEX(MMULT(inverseG,BE$12:BE$62),$A17+1,1),MAX(strike-$B17,0)),"")</f>
        <v>3.75</v>
      </c>
      <c r="BG17" s="9">
        <f t="array" ref="BG17">IF(BG$11&gt;=0,MAX(INDEX(MMULT(inverseG,BF$12:BF$62),$A17+1,1),MAX(strike-$B17,0)),"")</f>
        <v>3.75</v>
      </c>
      <c r="BH17" s="9">
        <f t="array" ref="BH17">IF(BH$11&gt;=0,MAX(INDEX(MMULT(inverseG,BG$12:BG$62),$A17+1,1),MAX(strike-$B17,0)),"")</f>
        <v>3.75</v>
      </c>
      <c r="BI17" s="9">
        <f t="array" ref="BI17">IF(BI$11&gt;=0,MAX(INDEX(MMULT(inverseG,BH$12:BH$62),$A17+1,1),MAX(strike-$B17,0)),"")</f>
        <v>3.75</v>
      </c>
      <c r="BJ17" s="9">
        <f t="array" ref="BJ17">IF(BJ$11&gt;=0,MAX(INDEX(MMULT(inverseG,BI$12:BI$62),$A17+1,1),MAX(strike-$B17,0)),"")</f>
        <v>3.75</v>
      </c>
      <c r="BK17" s="9">
        <f t="array" ref="BK17">IF(BK$11&gt;=0,MAX(INDEX(MMULT(inverseG,BJ$12:BJ$62),$A17+1,1),MAX(strike-$B17,0)),"")</f>
        <v>3.75</v>
      </c>
      <c r="BL17" s="9">
        <f t="array" ref="BL17">IF(BL$11&gt;=0,MAX(INDEX(MMULT(inverseG,BK$12:BK$62),$A17+1,1),MAX(strike-$B17,0)),"")</f>
        <v>3.75</v>
      </c>
      <c r="BM17" s="9">
        <f t="array" ref="BM17">IF(BM$11&gt;=0,MAX(INDEX(MMULT(inverseG,BL$12:BL$62),$A17+1,1),MAX(strike-$B17,0)),"")</f>
        <v>3.75</v>
      </c>
      <c r="BN17" s="9">
        <f t="array" ref="BN17">IF(BN$11&gt;=0,MAX(INDEX(MMULT(inverseG,BM$12:BM$62),$A17+1,1),MAX(strike-$B17,0)),"")</f>
        <v>3.75</v>
      </c>
      <c r="BO17" s="9">
        <f t="array" ref="BO17">IF(BO$11&gt;=0,MAX(INDEX(MMULT(inverseG,BN$12:BN$62),$A17+1,1),MAX(strike-$B17,0)),"")</f>
        <v>3.75</v>
      </c>
      <c r="BP17" s="9">
        <f t="array" ref="BP17">IF(BP$11&gt;=0,MAX(INDEX(MMULT(inverseG,BO$12:BO$62),$A17+1,1),MAX(strike-$B17,0)),"")</f>
        <v>3.75</v>
      </c>
      <c r="BQ17" s="9">
        <f t="array" ref="BQ17">IF(BQ$11&gt;=0,MAX(INDEX(MMULT(inverseG,BP$12:BP$62),$A17+1,1),MAX(strike-$B17,0)),"")</f>
        <v>3.75</v>
      </c>
      <c r="BR17" s="9">
        <f t="array" ref="BR17">IF(BR$11&gt;=0,MAX(INDEX(MMULT(inverseG,BQ$12:BQ$62),$A17+1,1),MAX(strike-$B17,0)),"")</f>
        <v>3.75</v>
      </c>
      <c r="BS17" s="9">
        <f t="array" ref="BS17">IF(BS$11&gt;=0,MAX(INDEX(MMULT(inverseG,BR$12:BR$62),$A17+1,1),MAX(strike-$B17,0)),"")</f>
        <v>3.75</v>
      </c>
      <c r="BT17" s="9">
        <f t="array" ref="BT17">IF(BT$11&gt;=0,MAX(INDEX(MMULT(inverseG,BS$12:BS$62),$A17+1,1),MAX(strike-$B17,0)),"")</f>
        <v>3.75</v>
      </c>
      <c r="BU17" s="9">
        <f t="array" ref="BU17">IF(BU$11&gt;=0,MAX(INDEX(MMULT(inverseG,BT$12:BT$62),$A17+1,1),MAX(strike-$B17,0)),"")</f>
        <v>3.75</v>
      </c>
      <c r="BV17" s="9">
        <f t="array" ref="BV17">IF(BV$11&gt;=0,MAX(INDEX(MMULT(inverseG,BU$12:BU$62),$A17+1,1),MAX(strike-$B17,0)),"")</f>
        <v>3.75</v>
      </c>
      <c r="BW17" s="9">
        <f t="array" ref="BW17">IF(BW$11&gt;=0,MAX(INDEX(MMULT(inverseG,BV$12:BV$62),$A17+1,1),MAX(strike-$B17,0)),"")</f>
        <v>3.75</v>
      </c>
      <c r="BX17" s="9">
        <f t="array" ref="BX17">IF(BX$11&gt;=0,MAX(INDEX(MMULT(inverseG,BW$12:BW$62),$A17+1,1),MAX(strike-$B17,0)),"")</f>
        <v>3.75</v>
      </c>
      <c r="BY17" s="9">
        <f t="array" ref="BY17">IF(BY$11&gt;=0,MAX(INDEX(MMULT(inverseG,BX$12:BX$62),$A17+1,1),MAX(strike-$B17,0)),"")</f>
        <v>3.75</v>
      </c>
      <c r="BZ17" s="9">
        <f t="array" ref="BZ17">IF(BZ$11&gt;=0,MAX(INDEX(MMULT(inverseG,BY$12:BY$62),$A17+1,1),MAX(strike-$B17,0)),"")</f>
        <v>3.75</v>
      </c>
      <c r="CA17" s="9">
        <f t="array" ref="CA17">IF(CA$11&gt;=0,MAX(INDEX(MMULT(inverseG,BZ$12:BZ$62),$A17+1,1),MAX(strike-$B17,0)),"")</f>
        <v>3.75</v>
      </c>
      <c r="CB17" s="9">
        <f t="array" ref="CB17">IF(CB$11&gt;=0,MAX(INDEX(MMULT(inverseG,CA$12:CA$62),$A17+1,1),MAX(strike-$B17,0)),"")</f>
        <v>3.75</v>
      </c>
      <c r="CC17" s="9">
        <f t="array" ref="CC17">IF(CC$11&gt;=0,MAX(INDEX(MMULT(inverseG,CB$12:CB$62),$A17+1,1),MAX(strike-$B17,0)),"")</f>
        <v>3.75</v>
      </c>
      <c r="CD17" s="9">
        <f t="array" ref="CD17">IF(CD$11&gt;=0,MAX(INDEX(MMULT(inverseG,CC$12:CC$62),$A17+1,1),MAX(strike-$B17,0)),"")</f>
        <v>3.75</v>
      </c>
      <c r="CE17" s="9">
        <f t="array" ref="CE17">IF(CE$11&gt;=0,MAX(INDEX(MMULT(inverseG,CD$12:CD$62),$A17+1,1),MAX(strike-$B17,0)),"")</f>
        <v>3.75</v>
      </c>
      <c r="CF17" s="9">
        <f t="array" ref="CF17">IF(CF$11&gt;=0,MAX(INDEX(MMULT(inverseG,CE$12:CE$62),$A17+1,1),MAX(strike-$B17,0)),"")</f>
        <v>3.75</v>
      </c>
      <c r="CG17" s="9">
        <f t="array" ref="CG17">IF(CG$11&gt;=0,MAX(INDEX(MMULT(inverseG,CF$12:CF$62),$A17+1,1),MAX(strike-$B17,0)),"")</f>
        <v>3.75</v>
      </c>
      <c r="CH17" s="9">
        <f t="array" ref="CH17">IF(CH$11&gt;=0,MAX(INDEX(MMULT(inverseG,CG$12:CG$62),$A17+1,1),MAX(strike-$B17,0)),"")</f>
        <v>3.75</v>
      </c>
      <c r="CI17" s="9">
        <f t="array" ref="CI17">IF(CI$11&gt;=0,MAX(INDEX(MMULT(inverseG,CH$12:CH$62),$A17+1,1),MAX(strike-$B17,0)),"")</f>
        <v>3.75</v>
      </c>
      <c r="CJ17" s="9">
        <f t="array" ref="CJ17">IF(CJ$11&gt;=0,MAX(INDEX(MMULT(inverseG,CI$12:CI$62),$A17+1,1),MAX(strike-$B17,0)),"")</f>
        <v>3.75</v>
      </c>
      <c r="CK17" s="9">
        <f t="array" ref="CK17">IF(CK$11&gt;=0,MAX(INDEX(MMULT(inverseG,CJ$12:CJ$62),$A17+1,1),MAX(strike-$B17,0)),"")</f>
        <v>3.75</v>
      </c>
      <c r="CL17" s="9">
        <f t="array" ref="CL17">IF(CL$11&gt;=0,MAX(INDEX(MMULT(inverseG,CK$12:CK$62),$A17+1,1),MAX(strike-$B17,0)),"")</f>
        <v>3.75</v>
      </c>
      <c r="CM17" s="9">
        <f t="array" ref="CM17">IF(CM$11&gt;=0,MAX(INDEX(MMULT(inverseG,CL$12:CL$62),$A17+1,1),MAX(strike-$B17,0)),"")</f>
        <v>3.75</v>
      </c>
      <c r="CN17" s="9">
        <f t="array" ref="CN17">IF(CN$11&gt;=0,MAX(INDEX(MMULT(inverseG,CM$12:CM$62),$A17+1,1),MAX(strike-$B17,0)),"")</f>
        <v>3.75</v>
      </c>
      <c r="CO17" s="9">
        <f t="array" ref="CO17">IF(CO$11&gt;=0,MAX(INDEX(MMULT(inverseG,CN$12:CN$62),$A17+1,1),MAX(strike-$B17,0)),"")</f>
        <v>3.75</v>
      </c>
      <c r="CP17" s="9">
        <f t="array" ref="CP17">IF(CP$11&gt;=0,MAX(INDEX(MMULT(inverseG,CO$12:CO$62),$A17+1,1),MAX(strike-$B17,0)),"")</f>
        <v>3.75</v>
      </c>
      <c r="CQ17" s="9">
        <f t="array" ref="CQ17">IF(CQ$11&gt;=0,MAX(INDEX(MMULT(inverseG,CP$12:CP$62),$A17+1,1),MAX(strike-$B17,0)),"")</f>
        <v>3.75</v>
      </c>
      <c r="CR17" s="9">
        <f t="array" ref="CR17">IF(CR$11&gt;=0,MAX(INDEX(MMULT(inverseG,CQ$12:CQ$62),$A17+1,1),MAX(strike-$B17,0)),"")</f>
        <v>3.75</v>
      </c>
      <c r="CS17" s="9">
        <f t="array" ref="CS17">IF(CS$11&gt;=0,MAX(INDEX(MMULT(inverseG,CR$12:CR$62),$A17+1,1),MAX(strike-$B17,0)),"")</f>
        <v>3.75</v>
      </c>
      <c r="CT17" s="9">
        <f t="array" ref="CT17">IF(CT$11&gt;=0,MAX(INDEX(MMULT(inverseG,CS$12:CS$62),$A17+1,1),MAX(strike-$B17,0)),"")</f>
        <v>3.75</v>
      </c>
      <c r="CU17" s="9">
        <f t="array" ref="CU17">IF(CU$11&gt;=0,MAX(INDEX(MMULT(inverseG,CT$12:CT$62),$A17+1,1),MAX(strike-$B17,0)),"")</f>
        <v>3.75</v>
      </c>
      <c r="CV17" s="9">
        <f t="array" ref="CV17">IF(CV$11&gt;=0,MAX(INDEX(MMULT(inverseG,CU$12:CU$62),$A17+1,1),MAX(strike-$B17,0)),"")</f>
        <v>3.75</v>
      </c>
      <c r="CW17" s="9">
        <f t="array" ref="CW17">IF(CW$11&gt;=0,MAX(INDEX(MMULT(inverseG,CV$12:CV$62),$A17+1,1),MAX(strike-$B17,0)),"")</f>
        <v>3.75</v>
      </c>
      <c r="CX17" s="9">
        <f t="array" ref="CX17">IF(CX$11&gt;=0,MAX(INDEX(MMULT(inverseG,CW$12:CW$62),$A17+1,1),MAX(strike-$B17,0)),"")</f>
        <v>3.75</v>
      </c>
      <c r="CY17" s="9">
        <f t="array" ref="CY17">IF(CY$11&gt;=0,MAX(INDEX(MMULT(inverseG,CX$12:CX$62),$A17+1,1),MAX(strike-$B17,0)),"")</f>
        <v>3.75</v>
      </c>
      <c r="CZ17" s="9">
        <f t="array" ref="CZ17">IF(CZ$11&gt;=0,MAX(INDEX(MMULT(inverseG,CY$12:CY$62),$A17+1,1),MAX(strike-$B17,0)),"")</f>
        <v>3.75</v>
      </c>
      <c r="DA17" s="9" t="str">
        <f t="array" ref="DA17">IF(DA$11&gt;=0,MAX(INDEX(MMULT(inverseG,CZ$12:CZ$62),$A17+1,1),MAX(strike-$B17,0)),"")</f>
        <v/>
      </c>
      <c r="DB17" s="9" t="str">
        <f t="array" ref="DB17">IF(DB$11&gt;=0,MAX(INDEX(MMULT(inverseG,DA$12:DA$62),$A17+1,1),MAX(strike-$B17,0)),"")</f>
        <v/>
      </c>
      <c r="DC17" s="9" t="str">
        <f t="array" ref="DC17">IF(DC$11&gt;=0,MAX(INDEX(MMULT(inverseG,DB$12:DB$62),$A17+1,1),MAX(strike-$B17,0)),"")</f>
        <v/>
      </c>
      <c r="DD17" s="9" t="str">
        <f t="array" ref="DD17">IF(DD$11&gt;=0,MAX(INDEX(MMULT(inverseG,DC$12:DC$62),$A17+1,1),MAX(strike-$B17,0)),"")</f>
        <v/>
      </c>
      <c r="DE17" s="9" t="str">
        <f t="array" ref="DE17">IF(DE$11&gt;=0,MAX(INDEX(MMULT(inverseG,DD$12:DD$62),$A17+1,1),MAX(strike-$B17,0)),"")</f>
        <v/>
      </c>
      <c r="DF17" s="9" t="str">
        <f t="array" ref="DF17">IF(DF$11&gt;=0,MAX(INDEX(MMULT(inverseG,DE$12:DE$62),$A17+1,1),MAX(strike-$B17,0)),"")</f>
        <v/>
      </c>
      <c r="DG17" s="9" t="str">
        <f t="array" ref="DG17">IF(DG$11&gt;=0,MAX(INDEX(MMULT(inverseG,DF$12:DF$62),$A17+1,1),MAX(strike-$B17,0)),"")</f>
        <v/>
      </c>
      <c r="DH17" s="9" t="str">
        <f t="array" ref="DH17">IF(DH$11&gt;=0,MAX(INDEX(MMULT(inverseG,DG$12:DG$62),$A17+1,1),MAX(strike-$B17,0)),"")</f>
        <v/>
      </c>
      <c r="DI17" s="9" t="str">
        <f t="array" ref="DI17">IF(DI$11&gt;=0,MAX(INDEX(MMULT(inverseG,DH$12:DH$62),$A17+1,1),MAX(strike-$B17,0)),"")</f>
        <v/>
      </c>
      <c r="DJ17" s="9" t="str">
        <f t="array" ref="DJ17">IF(DJ$11&gt;=0,MAX(INDEX(MMULT(inverseG,DI$12:DI$62),$A17+1,1),MAX(strike-$B17,0)),"")</f>
        <v/>
      </c>
      <c r="DK17" s="9" t="str">
        <f t="array" ref="DK17">IF(DK$11&gt;=0,MAX(INDEX(MMULT(inverseG,DJ$12:DJ$62),$A17+1,1),MAX(strike-$B17,0)),"")</f>
        <v/>
      </c>
      <c r="DL17" s="9" t="str">
        <f t="array" ref="DL17">IF(DL$11&gt;=0,MAX(INDEX(MMULT(inverseG,DK$12:DK$62),$A17+1,1),MAX(strike-$B17,0)),"")</f>
        <v/>
      </c>
      <c r="DM17" s="9" t="str">
        <f t="array" ref="DM17">IF(DM$11&gt;=0,MAX(INDEX(MMULT(inverseG,DL$12:DL$62),$A17+1,1),MAX(strike-$B17,0)),"")</f>
        <v/>
      </c>
      <c r="DN17" s="9" t="str">
        <f t="array" ref="DN17">IF(DN$11&gt;=0,MAX(INDEX(MMULT(inverseG,DM$12:DM$62),$A17+1,1),MAX(strike-$B17,0)),"")</f>
        <v/>
      </c>
      <c r="DO17" s="9" t="str">
        <f t="array" ref="DO17">IF(DO$11&gt;=0,MAX(INDEX(MMULT(inverseG,DN$12:DN$62),$A17+1,1),MAX(strike-$B17,0)),"")</f>
        <v/>
      </c>
      <c r="DP17" s="9" t="str">
        <f t="array" ref="DP17">IF(DP$11&gt;=0,MAX(INDEX(MMULT(inverseG,DO$12:DO$62),$A17+1,1),MAX(strike-$B17,0)),"")</f>
        <v/>
      </c>
      <c r="DQ17" s="9" t="str">
        <f t="array" ref="DQ17">IF(DQ$11&gt;=0,MAX(INDEX(MMULT(inverseG,DP$12:DP$62),$A17+1,1),MAX(strike-$B17,0)),"")</f>
        <v/>
      </c>
      <c r="DR17" s="9" t="str">
        <f t="array" ref="DR17">IF(DR$11&gt;=0,MAX(INDEX(MMULT(inverseG,DQ$12:DQ$62),$A17+1,1),MAX(strike-$B17,0)),"")</f>
        <v/>
      </c>
      <c r="DS17" s="9" t="str">
        <f t="array" ref="DS17">IF(DS$11&gt;=0,MAX(INDEX(MMULT(inverseG,DR$12:DR$62),$A17+1,1),MAX(strike-$B17,0)),"")</f>
        <v/>
      </c>
      <c r="DT17" s="9" t="str">
        <f t="array" ref="DT17">IF(DT$11&gt;=0,MAX(INDEX(MMULT(inverseG,DS$12:DS$62),$A17+1,1),MAX(strike-$B17,0)),"")</f>
        <v/>
      </c>
      <c r="DU17" s="9" t="str">
        <f t="array" ref="DU17">IF(DU$11&gt;=0,MAX(INDEX(MMULT(inverseG,DT$12:DT$62),$A17+1,1),MAX(strike-$B17,0)),"")</f>
        <v/>
      </c>
      <c r="DV17" s="9" t="str">
        <f t="array" ref="DV17">IF(DV$11&gt;=0,MAX(INDEX(MMULT(inverseG,DU$12:DU$62),$A17+1,1),MAX(strike-$B17,0)),"")</f>
        <v/>
      </c>
      <c r="DW17" s="9" t="str">
        <f t="array" ref="DW17">IF(DW$11&gt;=0,MAX(INDEX(MMULT(inverseG,DV$12:DV$62),$A17+1,1),MAX(strike-$B17,0)),"")</f>
        <v/>
      </c>
      <c r="DX17" s="9" t="str">
        <f t="array" ref="DX17">IF(DX$11&gt;=0,MAX(INDEX(MMULT(inverseG,DW$12:DW$62),$A17+1,1),MAX(strike-$B17,0)),"")</f>
        <v/>
      </c>
      <c r="DY17" s="9" t="str">
        <f t="array" ref="DY17">IF(DY$11&gt;=0,MAX(INDEX(MMULT(inverseG,DX$12:DX$62),$A17+1,1),MAX(strike-$B17,0)),"")</f>
        <v/>
      </c>
      <c r="DZ17" s="9" t="str">
        <f t="array" ref="DZ17">IF(DZ$11&gt;=0,MAX(INDEX(MMULT(inverseG,DY$12:DY$62),$A17+1,1),MAX(strike-$B17,0)),"")</f>
        <v/>
      </c>
      <c r="EA17" s="9" t="str">
        <f t="array" ref="EA17">IF(EA$11&gt;=0,MAX(INDEX(MMULT(inverseG,DZ$12:DZ$62),$A17+1,1),MAX(strike-$B17,0)),"")</f>
        <v/>
      </c>
      <c r="EB17" s="9" t="str">
        <f t="array" ref="EB17">IF(EB$11&gt;=0,MAX(INDEX(MMULT(inverseG,EA$12:EA$62),$A17+1,1),MAX(strike-$B17,0)),"")</f>
        <v/>
      </c>
      <c r="EC17" s="9" t="str">
        <f t="array" ref="EC17">IF(EC$11&gt;=0,MAX(INDEX(MMULT(inverseG,EB$12:EB$62),$A17+1,1),MAX(strike-$B17,0)),"")</f>
        <v/>
      </c>
      <c r="ED17" s="9" t="str">
        <f t="array" ref="ED17">IF(ED$11&gt;=0,MAX(INDEX(MMULT(inverseG,EC$12:EC$62),$A17+1,1),MAX(strike-$B17,0)),"")</f>
        <v/>
      </c>
      <c r="EE17" s="9" t="str">
        <f t="array" ref="EE17">IF(EE$11&gt;=0,MAX(INDEX(MMULT(inverseG,ED$12:ED$62),$A17+1,1),MAX(strike-$B17,0)),"")</f>
        <v/>
      </c>
      <c r="EF17" s="9" t="str">
        <f t="array" ref="EF17">IF(EF$11&gt;=0,MAX(INDEX(MMULT(inverseG,EE$12:EE$62),$A17+1,1),MAX(strike-$B17,0)),"")</f>
        <v/>
      </c>
      <c r="EG17" s="9" t="str">
        <f t="array" ref="EG17">IF(EG$11&gt;=0,MAX(INDEX(MMULT(inverseG,EF$12:EF$62),$A17+1,1),MAX(strike-$B17,0)),"")</f>
        <v/>
      </c>
      <c r="EH17" s="9" t="str">
        <f t="array" ref="EH17">IF(EH$11&gt;=0,MAX(INDEX(MMULT(inverseG,EG$12:EG$62),$A17+1,1),MAX(strike-$B17,0)),"")</f>
        <v/>
      </c>
      <c r="EI17" s="9" t="str">
        <f t="array" ref="EI17">IF(EI$11&gt;=0,MAX(INDEX(MMULT(inverseG,EH$12:EH$62),$A17+1,1),MAX(strike-$B17,0)),"")</f>
        <v/>
      </c>
      <c r="EJ17" s="9" t="str">
        <f t="array" ref="EJ17">IF(EJ$11&gt;=0,MAX(INDEX(MMULT(inverseG,EI$12:EI$62),$A17+1,1),MAX(strike-$B17,0)),"")</f>
        <v/>
      </c>
      <c r="EK17" s="9" t="str">
        <f t="array" ref="EK17">IF(EK$11&gt;=0,MAX(INDEX(MMULT(inverseG,EJ$12:EJ$62),$A17+1,1),MAX(strike-$B17,0)),"")</f>
        <v/>
      </c>
      <c r="EL17" s="9" t="str">
        <f t="array" ref="EL17">IF(EL$11&gt;=0,MAX(INDEX(MMULT(inverseG,EK$12:EK$62),$A17+1,1),MAX(strike-$B17,0)),"")</f>
        <v/>
      </c>
      <c r="EM17" s="9" t="str">
        <f t="array" ref="EM17">IF(EM$11&gt;=0,MAX(INDEX(MMULT(inverseG,EL$12:EL$62),$A17+1,1),MAX(strike-$B17,0)),"")</f>
        <v/>
      </c>
      <c r="EN17" s="9" t="str">
        <f t="array" ref="EN17">IF(EN$11&gt;=0,MAX(INDEX(MMULT(inverseG,EM$12:EM$62),$A17+1,1),MAX(strike-$B17,0)),"")</f>
        <v/>
      </c>
      <c r="EO17" s="9" t="str">
        <f t="array" ref="EO17">IF(EO$11&gt;=0,MAX(INDEX(MMULT(inverseG,EN$12:EN$62),$A17+1,1),MAX(strike-$B17,0)),"")</f>
        <v/>
      </c>
      <c r="EP17" s="9" t="str">
        <f t="array" ref="EP17">IF(EP$11&gt;=0,MAX(INDEX(MMULT(inverseG,EO$12:EO$62),$A17+1,1),MAX(strike-$B17,0)),"")</f>
        <v/>
      </c>
      <c r="EQ17" s="9" t="str">
        <f t="array" ref="EQ17">IF(EQ$11&gt;=0,MAX(INDEX(MMULT(inverseG,EP$12:EP$62),$A17+1,1),MAX(strike-$B17,0)),"")</f>
        <v/>
      </c>
      <c r="ER17" s="9" t="str">
        <f t="array" ref="ER17">IF(ER$11&gt;=0,MAX(INDEX(MMULT(inverseG,EQ$12:EQ$62),$A17+1,1),MAX(strike-$B17,0)),"")</f>
        <v/>
      </c>
      <c r="ES17" s="9" t="str">
        <f t="array" ref="ES17">IF(ES$11&gt;=0,MAX(INDEX(MMULT(inverseG,ER$12:ER$62),$A17+1,1),MAX(strike-$B17,0)),"")</f>
        <v/>
      </c>
      <c r="ET17" s="9" t="str">
        <f t="array" ref="ET17">IF(ET$11&gt;=0,MAX(INDEX(MMULT(inverseG,ES$12:ES$62),$A17+1,1),MAX(strike-$B17,0)),"")</f>
        <v/>
      </c>
      <c r="EU17" s="9" t="str">
        <f t="array" ref="EU17">IF(EU$11&gt;=0,MAX(INDEX(MMULT(inverseG,ET$12:ET$62),$A17+1,1),MAX(strike-$B17,0)),"")</f>
        <v/>
      </c>
      <c r="EV17" s="9" t="str">
        <f t="array" ref="EV17">IF(EV$11&gt;=0,MAX(INDEX(MMULT(inverseG,EU$12:EU$62),$A17+1,1),MAX(strike-$B17,0)),"")</f>
        <v/>
      </c>
      <c r="EW17" s="9" t="str">
        <f t="array" ref="EW17">IF(EW$11&gt;=0,MAX(INDEX(MMULT(inverseG,EV$12:EV$62),$A17+1,1),MAX(strike-$B17,0)),"")</f>
        <v/>
      </c>
      <c r="EX17" s="9" t="str">
        <f t="array" ref="EX17">IF(EX$11&gt;=0,MAX(INDEX(MMULT(inverseG,EW$12:EW$62),$A17+1,1),MAX(strike-$B17,0)),"")</f>
        <v/>
      </c>
      <c r="EY17" s="9" t="str">
        <f t="array" ref="EY17">IF(EY$11&gt;=0,MAX(INDEX(MMULT(inverseG,EX$12:EX$62),$A17+1,1),MAX(strike-$B17,0)),"")</f>
        <v/>
      </c>
      <c r="EZ17" s="9" t="str">
        <f t="array" ref="EZ17">IF(EZ$11&gt;=0,MAX(INDEX(MMULT(inverseG,EY$12:EY$62),$A17+1,1),MAX(strike-$B17,0)),"")</f>
        <v/>
      </c>
      <c r="FA17" s="9" t="str">
        <f t="array" ref="FA17">IF(FA$11&gt;=0,MAX(INDEX(MMULT(inverseG,EZ$12:EZ$62),$A17+1,1),MAX(strike-$B17,0)),"")</f>
        <v/>
      </c>
      <c r="FB17" s="9" t="str">
        <f t="array" ref="FB17">IF(FB$11&gt;=0,MAX(INDEX(MMULT(inverseG,FA$12:FA$62),$A17+1,1),MAX(strike-$B17,0)),"")</f>
        <v/>
      </c>
      <c r="FC17" s="9" t="str">
        <f t="array" ref="FC17">IF(FC$11&gt;=0,MAX(INDEX(MMULT(inverseG,FB$12:FB$62),$A17+1,1),MAX(strike-$B17,0)),"")</f>
        <v/>
      </c>
      <c r="FD17" s="9" t="str">
        <f t="array" ref="FD17">IF(FD$11&gt;=0,MAX(INDEX(MMULT(inverseG,FC$12:FC$62),$A17+1,1),MAX(strike-$B17,0)),"")</f>
        <v/>
      </c>
      <c r="FE17" s="9" t="str">
        <f t="array" ref="FE17">IF(FE$11&gt;=0,MAX(INDEX(MMULT(inverseG,FD$12:FD$62),$A17+1,1),MAX(strike-$B17,0)),"")</f>
        <v/>
      </c>
      <c r="FF17" s="9" t="str">
        <f t="array" ref="FF17">IF(FF$11&gt;=0,MAX(INDEX(MMULT(inverseG,FE$12:FE$62),$A17+1,1),MAX(strike-$B17,0)),"")</f>
        <v/>
      </c>
      <c r="FG17" s="9" t="str">
        <f t="array" ref="FG17">IF(FG$11&gt;=0,MAX(INDEX(MMULT(inverseG,FF$12:FF$62),$A17+1,1),MAX(strike-$B17,0)),"")</f>
        <v/>
      </c>
      <c r="FH17" s="9" t="str">
        <f t="array" ref="FH17">IF(FH$11&gt;=0,MAX(INDEX(MMULT(inverseG,FG$12:FG$62),$A17+1,1),MAX(strike-$B17,0)),"")</f>
        <v/>
      </c>
      <c r="FI17" s="9" t="str">
        <f t="array" ref="FI17">IF(FI$11&gt;=0,MAX(INDEX(MMULT(inverseG,FH$12:FH$62),$A17+1,1),MAX(strike-$B17,0)),"")</f>
        <v/>
      </c>
      <c r="FJ17" s="9" t="str">
        <f t="array" ref="FJ17">IF(FJ$11&gt;=0,MAX(INDEX(MMULT(inverseG,FI$12:FI$62),$A17+1,1),MAX(strike-$B17,0)),"")</f>
        <v/>
      </c>
      <c r="FK17" s="9" t="str">
        <f t="array" ref="FK17">IF(FK$11&gt;=0,MAX(INDEX(MMULT(inverseG,FJ$12:FJ$62),$A17+1,1),MAX(strike-$B17,0)),"")</f>
        <v/>
      </c>
      <c r="FL17" s="9" t="str">
        <f t="array" ref="FL17">IF(FL$11&gt;=0,MAX(INDEX(MMULT(inverseG,FK$12:FK$62),$A17+1,1),MAX(strike-$B17,0)),"")</f>
        <v/>
      </c>
      <c r="FM17" s="9" t="str">
        <f t="array" ref="FM17">IF(FM$11&gt;=0,MAX(INDEX(MMULT(inverseG,FL$12:FL$62),$A17+1,1),MAX(strike-$B17,0)),"")</f>
        <v/>
      </c>
      <c r="FN17" s="9" t="str">
        <f t="array" ref="FN17">IF(FN$11&gt;=0,MAX(INDEX(MMULT(inverseG,FM$12:FM$62),$A17+1,1),MAX(strike-$B17,0)),"")</f>
        <v/>
      </c>
      <c r="FO17" s="9" t="str">
        <f t="array" ref="FO17">IF(FO$11&gt;=0,MAX(INDEX(MMULT(inverseG,FN$12:FN$62),$A17+1,1),MAX(strike-$B17,0)),"")</f>
        <v/>
      </c>
      <c r="FP17" s="9" t="str">
        <f t="array" ref="FP17">IF(FP$11&gt;=0,MAX(INDEX(MMULT(inverseG,FO$12:FO$62),$A17+1,1),MAX(strike-$B17,0)),"")</f>
        <v/>
      </c>
      <c r="FQ17" s="9" t="str">
        <f t="array" ref="FQ17">IF(FQ$11&gt;=0,MAX(INDEX(MMULT(inverseG,FP$12:FP$62),$A17+1,1),MAX(strike-$B17,0)),"")</f>
        <v/>
      </c>
      <c r="FR17" s="9" t="str">
        <f t="array" ref="FR17">IF(FR$11&gt;=0,MAX(INDEX(MMULT(inverseG,FQ$12:FQ$62),$A17+1,1),MAX(strike-$B17,0)),"")</f>
        <v/>
      </c>
      <c r="FS17" s="9" t="str">
        <f t="array" ref="FS17">IF(FS$11&gt;=0,MAX(INDEX(MMULT(inverseG,FR$12:FR$62),$A17+1,1),MAX(strike-$B17,0)),"")</f>
        <v/>
      </c>
      <c r="FT17" s="9" t="str">
        <f t="array" ref="FT17">IF(FT$11&gt;=0,MAX(INDEX(MMULT(inverseG,FS$12:FS$62),$A17+1,1),MAX(strike-$B17,0)),"")</f>
        <v/>
      </c>
      <c r="FU17" s="9" t="str">
        <f t="array" ref="FU17">IF(FU$11&gt;=0,MAX(INDEX(MMULT(inverseG,FT$12:FT$62),$A17+1,1),MAX(strike-$B17,0)),"")</f>
        <v/>
      </c>
      <c r="FV17" s="9" t="str">
        <f t="array" ref="FV17">IF(FV$11&gt;=0,MAX(INDEX(MMULT(inverseG,FU$12:FU$62),$A17+1,1),MAX(strike-$B17,0)),"")</f>
        <v/>
      </c>
      <c r="FW17" s="9" t="str">
        <f t="array" ref="FW17">IF(FW$11&gt;=0,MAX(INDEX(MMULT(inverseG,FV$12:FV$62),$A17+1,1),MAX(strike-$B17,0)),"")</f>
        <v/>
      </c>
      <c r="FX17" s="9" t="str">
        <f t="array" ref="FX17">IF(FX$11&gt;=0,MAX(INDEX(MMULT(inverseG,FW$12:FW$62),$A17+1,1),MAX(strike-$B17,0)),"")</f>
        <v/>
      </c>
      <c r="FY17" s="9" t="str">
        <f t="array" ref="FY17">IF(FY$11&gt;=0,MAX(INDEX(MMULT(inverseG,FX$12:FX$62),$A17+1,1),MAX(strike-$B17,0)),"")</f>
        <v/>
      </c>
      <c r="FZ17" s="9" t="str">
        <f t="array" ref="FZ17">IF(FZ$11&gt;=0,MAX(INDEX(MMULT(inverseG,FY$12:FY$62),$A17+1,1),MAX(strike-$B17,0)),"")</f>
        <v/>
      </c>
      <c r="GA17" s="9" t="str">
        <f t="array" ref="GA17">IF(GA$11&gt;=0,MAX(INDEX(MMULT(inverseG,FZ$12:FZ$62),$A17+1,1),MAX(strike-$B17,0)),"")</f>
        <v/>
      </c>
      <c r="GB17" s="9" t="str">
        <f t="array" ref="GB17">IF(GB$11&gt;=0,MAX(INDEX(MMULT(inverseG,GA$12:GA$62),$A17+1,1),MAX(strike-$B17,0)),"")</f>
        <v/>
      </c>
      <c r="GC17" s="9" t="str">
        <f t="array" ref="GC17">IF(GC$11&gt;=0,MAX(INDEX(MMULT(inverseG,GB$12:GB$62),$A17+1,1),MAX(strike-$B17,0)),"")</f>
        <v/>
      </c>
      <c r="GD17" s="9" t="str">
        <f t="array" ref="GD17">IF(GD$11&gt;=0,MAX(INDEX(MMULT(inverseG,GC$12:GC$62),$A17+1,1),MAX(strike-$B17,0)),"")</f>
        <v/>
      </c>
      <c r="GE17" s="9" t="str">
        <f t="array" ref="GE17">IF(GE$11&gt;=0,MAX(INDEX(MMULT(inverseG,GD$12:GD$62),$A17+1,1),MAX(strike-$B17,0)),"")</f>
        <v/>
      </c>
      <c r="GF17" s="9" t="str">
        <f t="array" ref="GF17">IF(GF$11&gt;=0,MAX(INDEX(MMULT(inverseG,GE$12:GE$62),$A17+1,1),MAX(strike-$B17,0)),"")</f>
        <v/>
      </c>
      <c r="GG17" s="9" t="str">
        <f t="array" ref="GG17">IF(GG$11&gt;=0,MAX(INDEX(MMULT(inverseG,GF$12:GF$62),$A17+1,1),MAX(strike-$B17,0)),"")</f>
        <v/>
      </c>
      <c r="GH17" s="9" t="str">
        <f t="array" ref="GH17">IF(GH$11&gt;=0,MAX(INDEX(MMULT(inverseG,GG$12:GG$62),$A17+1,1),MAX(strike-$B17,0)),"")</f>
        <v/>
      </c>
      <c r="GI17" s="9" t="str">
        <f t="array" ref="GI17">IF(GI$11&gt;=0,MAX(INDEX(MMULT(inverseG,GH$12:GH$62),$A17+1,1),MAX(strike-$B17,0)),"")</f>
        <v/>
      </c>
      <c r="GJ17" s="9" t="str">
        <f t="array" ref="GJ17">IF(GJ$11&gt;=0,MAX(INDEX(MMULT(inverseG,GI$12:GI$62),$A17+1,1),MAX(strike-$B17,0)),"")</f>
        <v/>
      </c>
      <c r="GK17" s="9" t="str">
        <f t="array" ref="GK17">IF(GK$11&gt;=0,MAX(INDEX(MMULT(inverseG,GJ$12:GJ$62),$A17+1,1),MAX(strike-$B17,0)),"")</f>
        <v/>
      </c>
      <c r="GL17" s="9" t="str">
        <f t="array" ref="GL17">IF(GL$11&gt;=0,MAX(INDEX(MMULT(inverseG,GK$12:GK$62),$A17+1,1),MAX(strike-$B17,0)),"")</f>
        <v/>
      </c>
      <c r="GM17" s="9" t="str">
        <f t="array" ref="GM17">IF(GM$11&gt;=0,MAX(INDEX(MMULT(inverseG,GL$12:GL$62),$A17+1,1),MAX(strike-$B17,0)),"")</f>
        <v/>
      </c>
      <c r="GN17" s="9" t="str">
        <f t="array" ref="GN17">IF(GN$11&gt;=0,MAX(INDEX(MMULT(inverseG,GM$12:GM$62),$A17+1,1),MAX(strike-$B17,0)),"")</f>
        <v/>
      </c>
      <c r="GO17" s="9" t="str">
        <f t="array" ref="GO17">IF(GO$11&gt;=0,MAX(INDEX(MMULT(inverseG,GN$12:GN$62),$A17+1,1),MAX(strike-$B17,0)),"")</f>
        <v/>
      </c>
      <c r="GP17" s="9" t="str">
        <f t="array" ref="GP17">IF(GP$11&gt;=0,MAX(INDEX(MMULT(inverseG,GO$12:GO$62),$A17+1,1),MAX(strike-$B17,0)),"")</f>
        <v/>
      </c>
      <c r="GQ17" s="9" t="str">
        <f t="array" ref="GQ17">IF(GQ$11&gt;=0,MAX(INDEX(MMULT(inverseG,GP$12:GP$62),$A17+1,1),MAX(strike-$B17,0)),"")</f>
        <v/>
      </c>
      <c r="GR17" s="9" t="str">
        <f t="array" ref="GR17">IF(GR$11&gt;=0,MAX(INDEX(MMULT(inverseG,GQ$12:GQ$62),$A17+1,1),MAX(strike-$B17,0)),"")</f>
        <v/>
      </c>
      <c r="GS17" s="9" t="str">
        <f t="array" ref="GS17">IF(GS$11&gt;=0,MAX(INDEX(MMULT(inverseG,GR$12:GR$62),$A17+1,1),MAX(strike-$B17,0)),"")</f>
        <v/>
      </c>
      <c r="GT17" s="9" t="str">
        <f t="array" ref="GT17">IF(GT$11&gt;=0,MAX(INDEX(MMULT(inverseG,GS$12:GS$62),$A17+1,1),MAX(strike-$B17,0)),"")</f>
        <v/>
      </c>
      <c r="GU17" s="9" t="str">
        <f t="array" ref="GU17">IF(GU$11&gt;=0,MAX(INDEX(MMULT(inverseG,GT$12:GT$62),$A17+1,1),MAX(strike-$B17,0)),"")</f>
        <v/>
      </c>
      <c r="GV17" s="9" t="str">
        <f t="array" ref="GV17">IF(GV$11&gt;=0,MAX(INDEX(MMULT(inverseG,GU$12:GU$62),$A17+1,1),MAX(strike-$B17,0)),"")</f>
        <v/>
      </c>
      <c r="GW17" s="9" t="str">
        <f t="array" ref="GW17">IF(GW$11&gt;=0,MAX(INDEX(MMULT(inverseG,GV$12:GV$62),$A17+1,1),MAX(strike-$B17,0)),"")</f>
        <v/>
      </c>
      <c r="GX17" s="9" t="str">
        <f t="array" ref="GX17">IF(GX$11&gt;=0,MAX(INDEX(MMULT(inverseG,GW$12:GW$62),$A17+1,1),MAX(strike-$B17,0)),"")</f>
        <v/>
      </c>
      <c r="GY17" s="9" t="str">
        <f t="array" ref="GY17">IF(GY$11&gt;=0,MAX(INDEX(MMULT(inverseG,GX$12:GX$62),$A17+1,1),MAX(strike-$B17,0)),"")</f>
        <v/>
      </c>
      <c r="GZ17" s="9" t="str">
        <f t="array" ref="GZ17">IF(GZ$11&gt;=0,MAX(INDEX(MMULT(inverseG,GY$12:GY$62),$A17+1,1),MAX(strike-$B17,0)),"")</f>
        <v/>
      </c>
      <c r="HA17" s="9" t="str">
        <f t="array" ref="HA17">IF(HA$11&gt;=0,MAX(INDEX(MMULT(inverseG,GZ$12:GZ$62),$A17+1,1),MAX(strike-$B17,0)),"")</f>
        <v/>
      </c>
      <c r="HB17" s="9" t="str">
        <f t="array" ref="HB17">IF(HB$11&gt;=0,MAX(INDEX(MMULT(inverseG,HA$12:HA$62),$A17+1,1),MAX(strike-$B17,0)),"")</f>
        <v/>
      </c>
      <c r="HC17" s="9" t="str">
        <f t="array" ref="HC17">IF(HC$11&gt;=0,MAX(INDEX(MMULT(inverseG,HB$12:HB$62),$A17+1,1),MAX(strike-$B17,0)),"")</f>
        <v/>
      </c>
      <c r="HD17" s="9" t="str">
        <f t="array" ref="HD17">IF(HD$11&gt;=0,MAX(INDEX(MMULT(inverseG,HC$12:HC$62),$A17+1,1),MAX(strike-$B17,0)),"")</f>
        <v/>
      </c>
      <c r="HE17" s="9" t="str">
        <f t="array" ref="HE17">IF(HE$11&gt;=0,MAX(INDEX(MMULT(inverseG,HD$12:HD$62),$A17+1,1),MAX(strike-$B17,0)),"")</f>
        <v/>
      </c>
      <c r="HF17" s="9" t="str">
        <f t="array" ref="HF17">IF(HF$11&gt;=0,MAX(INDEX(MMULT(inverseG,HE$12:HE$62),$A17+1,1),MAX(strike-$B17,0)),"")</f>
        <v/>
      </c>
      <c r="HG17" s="9" t="str">
        <f t="array" ref="HG17">IF(HG$11&gt;=0,MAX(INDEX(MMULT(inverseG,HF$12:HF$62),$A17+1,1),MAX(strike-$B17,0)),"")</f>
        <v/>
      </c>
      <c r="HH17" s="9" t="str">
        <f t="array" ref="HH17">IF(HH$11&gt;=0,MAX(INDEX(MMULT(inverseG,HG$12:HG$62),$A17+1,1),MAX(strike-$B17,0)),"")</f>
        <v/>
      </c>
      <c r="HI17" s="9" t="str">
        <f t="array" ref="HI17">IF(HI$11&gt;=0,MAX(INDEX(MMULT(inverseG,HH$12:HH$62),$A17+1,1),MAX(strike-$B17,0)),"")</f>
        <v/>
      </c>
      <c r="HJ17" s="9" t="str">
        <f t="array" ref="HJ17">IF(HJ$11&gt;=0,MAX(INDEX(MMULT(inverseG,HI$12:HI$62),$A17+1,1),MAX(strike-$B17,0)),"")</f>
        <v/>
      </c>
      <c r="HK17" s="9" t="str">
        <f t="array" ref="HK17">IF(HK$11&gt;=0,MAX(INDEX(MMULT(inverseG,HJ$12:HJ$62),$A17+1,1),MAX(strike-$B17,0)),"")</f>
        <v/>
      </c>
      <c r="HL17" s="9" t="str">
        <f t="array" ref="HL17">IF(HL$11&gt;=0,MAX(INDEX(MMULT(inverseG,HK$12:HK$62),$A17+1,1),MAX(strike-$B17,0)),"")</f>
        <v/>
      </c>
      <c r="HM17" s="9" t="str">
        <f t="array" ref="HM17">IF(HM$11&gt;=0,MAX(INDEX(MMULT(inverseG,HL$12:HL$62),$A17+1,1),MAX(strike-$B17,0)),"")</f>
        <v/>
      </c>
      <c r="HN17" s="9" t="str">
        <f t="array" ref="HN17">IF(HN$11&gt;=0,MAX(INDEX(MMULT(inverseG,HM$12:HM$62),$A17+1,1),MAX(strike-$B17,0)),"")</f>
        <v/>
      </c>
      <c r="HO17" s="9" t="str">
        <f t="array" ref="HO17">IF(HO$11&gt;=0,MAX(INDEX(MMULT(inverseG,HN$12:HN$62),$A17+1,1),MAX(strike-$B17,0)),"")</f>
        <v/>
      </c>
      <c r="HP17" s="9" t="str">
        <f t="array" ref="HP17">IF(HP$11&gt;=0,MAX(INDEX(MMULT(inverseG,HO$12:HO$62),$A17+1,1),MAX(strike-$B17,0)),"")</f>
        <v/>
      </c>
      <c r="HQ17" s="9" t="str">
        <f t="array" ref="HQ17">IF(HQ$11&gt;=0,MAX(INDEX(MMULT(inverseG,HP$12:HP$62),$A17+1,1),MAX(strike-$B17,0)),"")</f>
        <v/>
      </c>
      <c r="HR17" s="9" t="str">
        <f t="array" ref="HR17">IF(HR$11&gt;=0,MAX(INDEX(MMULT(inverseG,HQ$12:HQ$62),$A17+1,1),MAX(strike-$B17,0)),"")</f>
        <v/>
      </c>
      <c r="HS17" s="9" t="str">
        <f t="array" ref="HS17">IF(HS$11&gt;=0,MAX(INDEX(MMULT(inverseG,HR$12:HR$62),$A17+1,1),MAX(strike-$B17,0)),"")</f>
        <v/>
      </c>
      <c r="HT17" s="9" t="str">
        <f t="array" ref="HT17">IF(HT$11&gt;=0,MAX(INDEX(MMULT(inverseG,HS$12:HS$62),$A17+1,1),MAX(strike-$B17,0)),"")</f>
        <v/>
      </c>
      <c r="HU17" s="9" t="str">
        <f t="array" ref="HU17">IF(HU$11&gt;=0,MAX(INDEX(MMULT(inverseG,HT$12:HT$62),$A17+1,1),MAX(strike-$B17,0)),"")</f>
        <v/>
      </c>
      <c r="HV17" s="9" t="str">
        <f t="array" ref="HV17">IF(HV$11&gt;=0,MAX(INDEX(MMULT(inverseG,HU$12:HU$62),$A17+1,1),MAX(strike-$B17,0)),"")</f>
        <v/>
      </c>
      <c r="HW17" s="9" t="str">
        <f t="array" ref="HW17">IF(HW$11&gt;=0,MAX(INDEX(MMULT(inverseG,HV$12:HV$62),$A17+1,1),MAX(strike-$B17,0)),"")</f>
        <v/>
      </c>
      <c r="HX17" s="9" t="str">
        <f t="array" ref="HX17">IF(HX$11&gt;=0,MAX(INDEX(MMULT(inverseG,HW$12:HW$62),$A17+1,1),MAX(strike-$B17,0)),"")</f>
        <v/>
      </c>
      <c r="HY17" s="9" t="str">
        <f t="array" ref="HY17">IF(HY$11&gt;=0,MAX(INDEX(MMULT(inverseG,HX$12:HX$62),$A17+1,1),MAX(strike-$B17,0)),"")</f>
        <v/>
      </c>
      <c r="HZ17" s="9" t="str">
        <f t="array" ref="HZ17">IF(HZ$11&gt;=0,MAX(INDEX(MMULT(inverseG,HY$12:HY$62),$A17+1,1),MAX(strike-$B17,0)),"")</f>
        <v/>
      </c>
      <c r="IA17" s="9" t="str">
        <f t="array" ref="IA17">IF(IA$11&gt;=0,MAX(INDEX(MMULT(inverseG,HZ$12:HZ$62),$A17+1,1),MAX(strike-$B17,0)),"")</f>
        <v/>
      </c>
      <c r="IB17" s="9" t="str">
        <f t="array" ref="IB17">IF(IB$11&gt;=0,MAX(INDEX(MMULT(inverseG,IA$12:IA$62),$A17+1,1),MAX(strike-$B17,0)),"")</f>
        <v/>
      </c>
      <c r="IC17" s="9" t="str">
        <f t="array" ref="IC17">IF(IC$11&gt;=0,MAX(INDEX(MMULT(inverseG,IB$12:IB$62),$A17+1,1),MAX(strike-$B17,0)),"")</f>
        <v/>
      </c>
      <c r="ID17" s="9" t="str">
        <f t="array" ref="ID17">IF(ID$11&gt;=0,MAX(INDEX(MMULT(inverseG,IC$12:IC$62),$A17+1,1),MAX(strike-$B17,0)),"")</f>
        <v/>
      </c>
      <c r="IE17" s="9" t="str">
        <f t="array" ref="IE17">IF(IE$11&gt;=0,MAX(INDEX(MMULT(inverseG,ID$12:ID$62),$A17+1,1),MAX(strike-$B17,0)),"")</f>
        <v/>
      </c>
      <c r="IF17" s="9" t="str">
        <f t="array" ref="IF17">IF(IF$11&gt;=0,MAX(INDEX(MMULT(inverseG,IE$12:IE$62),$A17+1,1),MAX(strike-$B17,0)),"")</f>
        <v/>
      </c>
      <c r="IG17" s="9" t="str">
        <f t="array" ref="IG17">IF(IG$11&gt;=0,MAX(INDEX(MMULT(inverseG,IF$12:IF$62),$A17+1,1),MAX(strike-$B17,0)),"")</f>
        <v/>
      </c>
      <c r="IH17" s="9" t="str">
        <f t="array" ref="IH17">IF(IH$11&gt;=0,MAX(INDEX(MMULT(inverseG,IG$12:IG$62),$A17+1,1),MAX(strike-$B17,0)),"")</f>
        <v/>
      </c>
      <c r="II17" s="9" t="str">
        <f t="array" ref="II17">IF(II$11&gt;=0,MAX(INDEX(MMULT(inverseG,IH$12:IH$62),$A17+1,1),MAX(strike-$B17,0)),"")</f>
        <v/>
      </c>
      <c r="IJ17" s="9" t="str">
        <f t="array" ref="IJ17">IF(IJ$11&gt;=0,MAX(INDEX(MMULT(inverseG,II$12:II$62),$A17+1,1),MAX(strike-$B17,0)),"")</f>
        <v/>
      </c>
      <c r="IK17" s="9" t="str">
        <f t="array" ref="IK17">IF(IK$11&gt;=0,MAX(INDEX(MMULT(inverseG,IJ$12:IJ$62),$A17+1,1),MAX(strike-$B17,0)),"")</f>
        <v/>
      </c>
      <c r="IL17" s="9" t="str">
        <f t="array" ref="IL17">IF(IL$11&gt;=0,MAX(INDEX(MMULT(inverseG,IK$12:IK$62),$A17+1,1),MAX(strike-$B17,0)),"")</f>
        <v/>
      </c>
      <c r="IM17" s="9" t="str">
        <f t="array" ref="IM17">IF(IM$11&gt;=0,MAX(INDEX(MMULT(inverseG,IL$12:IL$62),$A17+1,1),MAX(strike-$B17,0)),"")</f>
        <v/>
      </c>
      <c r="IN17" s="9" t="str">
        <f t="array" ref="IN17">IF(IN$11&gt;=0,MAX(INDEX(MMULT(inverseG,IM$12:IM$62),$A17+1,1),MAX(strike-$B17,0)),"")</f>
        <v/>
      </c>
      <c r="IO17" s="9" t="str">
        <f t="array" ref="IO17">IF(IO$11&gt;=0,MAX(INDEX(MMULT(inverseG,IN$12:IN$62),$A17+1,1),MAX(strike-$B17,0)),"")</f>
        <v/>
      </c>
      <c r="IP17" s="9" t="str">
        <f t="array" ref="IP17">IF(IP$11&gt;=0,MAX(INDEX(MMULT(inverseG,IO$12:IO$62),$A17+1,1),MAX(strike-$B17,0)),"")</f>
        <v/>
      </c>
      <c r="IQ17" s="9" t="str">
        <f t="array" ref="IQ17">IF(IQ$11&gt;=0,MAX(INDEX(MMULT(inverseG,IP$12:IP$62),$A17+1,1),MAX(strike-$B17,0)),"")</f>
        <v/>
      </c>
      <c r="IR17" s="9" t="str">
        <f t="array" ref="IR17">IF(IR$11&gt;=0,MAX(INDEX(MMULT(inverseG,IQ$12:IQ$62),$A17+1,1),MAX(strike-$B17,0)),"")</f>
        <v/>
      </c>
      <c r="IS17" s="9" t="str">
        <f t="array" ref="IS17">IF(IS$11&gt;=0,MAX(INDEX(MMULT(inverseG,IR$12:IR$62),$A17+1,1),MAX(strike-$B17,0)),"")</f>
        <v/>
      </c>
      <c r="IT17" s="9" t="str">
        <f t="array" ref="IT17">IF(IT$11&gt;=0,MAX(INDEX(MMULT(inverseG,IS$12:IS$62),$A17+1,1),MAX(strike-$B17,0)),"")</f>
        <v/>
      </c>
      <c r="IU17" s="9" t="str">
        <f t="array" ref="IU17">IF(IU$11&gt;=0,MAX(INDEX(MMULT(inverseG,IT$12:IT$62),$A17+1,1),MAX(strike-$B17,0)),"")</f>
        <v/>
      </c>
      <c r="IV17" s="9" t="str">
        <f t="array" ref="IV17">IF(IV$11&gt;=0,MAX(INDEX(MMULT(inverseG,IU$12:IU$62),$A17+1,1),MAX(strike-$B17,0)),"")</f>
        <v/>
      </c>
    </row>
    <row r="18" spans="1:256" x14ac:dyDescent="0.2">
      <c r="A18" s="8">
        <f t="shared" si="7"/>
        <v>6</v>
      </c>
      <c r="B18" s="6">
        <f t="shared" si="4"/>
        <v>1.5</v>
      </c>
      <c r="C18" s="30">
        <f t="shared" ca="1" si="6"/>
        <v>3.5</v>
      </c>
      <c r="D18" s="9">
        <f t="shared" si="5"/>
        <v>3.5</v>
      </c>
      <c r="E18" s="9">
        <f t="array" ref="E18">IF(E$11&gt;=0,MAX(INDEX(MMULT(inverseG,D$12:D$62),$A18+1,1),MAX(strike-$B18,0)),"")</f>
        <v>3.5</v>
      </c>
      <c r="F18" s="9">
        <f t="array" ref="F18">IF(F$11&gt;=0,MAX(INDEX(MMULT(inverseG,E$12:E$62),$A18+1,1),MAX(strike-$B18,0)),"")</f>
        <v>3.5</v>
      </c>
      <c r="G18" s="9">
        <f t="array" ref="G18">IF(G$11&gt;=0,MAX(INDEX(MMULT(inverseG,F$12:F$62),$A18+1,1),MAX(strike-$B18,0)),"")</f>
        <v>3.5</v>
      </c>
      <c r="H18" s="9">
        <f t="array" ref="H18">IF(H$11&gt;=0,MAX(INDEX(MMULT(inverseG,G$12:G$62),$A18+1,1),MAX(strike-$B18,0)),"")</f>
        <v>3.5</v>
      </c>
      <c r="I18" s="9">
        <f t="array" ref="I18">IF(I$11&gt;=0,MAX(INDEX(MMULT(inverseG,H$12:H$62),$A18+1,1),MAX(strike-$B18,0)),"")</f>
        <v>3.5</v>
      </c>
      <c r="J18" s="9">
        <f t="array" ref="J18">IF(J$11&gt;=0,MAX(INDEX(MMULT(inverseG,I$12:I$62),$A18+1,1),MAX(strike-$B18,0)),"")</f>
        <v>3.5</v>
      </c>
      <c r="K18" s="9">
        <f t="array" ref="K18">IF(K$11&gt;=0,MAX(INDEX(MMULT(inverseG,J$12:J$62),$A18+1,1),MAX(strike-$B18,0)),"")</f>
        <v>3.5</v>
      </c>
      <c r="L18" s="9">
        <f t="array" ref="L18">IF(L$11&gt;=0,MAX(INDEX(MMULT(inverseG,K$12:K$62),$A18+1,1),MAX(strike-$B18,0)),"")</f>
        <v>3.5</v>
      </c>
      <c r="M18" s="9">
        <f t="array" ref="M18">IF(M$11&gt;=0,MAX(INDEX(MMULT(inverseG,L$12:L$62),$A18+1,1),MAX(strike-$B18,0)),"")</f>
        <v>3.5</v>
      </c>
      <c r="N18" s="9">
        <f t="array" ref="N18">IF(N$11&gt;=0,MAX(INDEX(MMULT(inverseG,M$12:M$62),$A18+1,1),MAX(strike-$B18,0)),"")</f>
        <v>3.5</v>
      </c>
      <c r="O18" s="9">
        <f t="array" ref="O18">IF(O$11&gt;=0,MAX(INDEX(MMULT(inverseG,N$12:N$62),$A18+1,1),MAX(strike-$B18,0)),"")</f>
        <v>3.5</v>
      </c>
      <c r="P18" s="9">
        <f t="array" ref="P18">IF(P$11&gt;=0,MAX(INDEX(MMULT(inverseG,O$12:O$62),$A18+1,1),MAX(strike-$B18,0)),"")</f>
        <v>3.5</v>
      </c>
      <c r="Q18" s="9">
        <f t="array" ref="Q18">IF(Q$11&gt;=0,MAX(INDEX(MMULT(inverseG,P$12:P$62),$A18+1,1),MAX(strike-$B18,0)),"")</f>
        <v>3.5</v>
      </c>
      <c r="R18" s="9">
        <f t="array" ref="R18">IF(R$11&gt;=0,MAX(INDEX(MMULT(inverseG,Q$12:Q$62),$A18+1,1),MAX(strike-$B18,0)),"")</f>
        <v>3.5</v>
      </c>
      <c r="S18" s="9">
        <f t="array" ref="S18">IF(S$11&gt;=0,MAX(INDEX(MMULT(inverseG,R$12:R$62),$A18+1,1),MAX(strike-$B18,0)),"")</f>
        <v>3.5</v>
      </c>
      <c r="T18" s="9">
        <f t="array" ref="T18">IF(T$11&gt;=0,MAX(INDEX(MMULT(inverseG,S$12:S$62),$A18+1,1),MAX(strike-$B18,0)),"")</f>
        <v>3.5</v>
      </c>
      <c r="U18" s="9">
        <f t="array" ref="U18">IF(U$11&gt;=0,MAX(INDEX(MMULT(inverseG,T$12:T$62),$A18+1,1),MAX(strike-$B18,0)),"")</f>
        <v>3.5</v>
      </c>
      <c r="V18" s="9">
        <f t="array" ref="V18">IF(V$11&gt;=0,MAX(INDEX(MMULT(inverseG,U$12:U$62),$A18+1,1),MAX(strike-$B18,0)),"")</f>
        <v>3.5</v>
      </c>
      <c r="W18" s="9">
        <f t="array" ref="W18">IF(W$11&gt;=0,MAX(INDEX(MMULT(inverseG,V$12:V$62),$A18+1,1),MAX(strike-$B18,0)),"")</f>
        <v>3.5</v>
      </c>
      <c r="X18" s="9">
        <f t="array" ref="X18">IF(X$11&gt;=0,MAX(INDEX(MMULT(inverseG,W$12:W$62),$A18+1,1),MAX(strike-$B18,0)),"")</f>
        <v>3.5</v>
      </c>
      <c r="Y18" s="9">
        <f t="array" ref="Y18">IF(Y$11&gt;=0,MAX(INDEX(MMULT(inverseG,X$12:X$62),$A18+1,1),MAX(strike-$B18,0)),"")</f>
        <v>3.5</v>
      </c>
      <c r="Z18" s="9">
        <f t="array" ref="Z18">IF(Z$11&gt;=0,MAX(INDEX(MMULT(inverseG,Y$12:Y$62),$A18+1,1),MAX(strike-$B18,0)),"")</f>
        <v>3.5</v>
      </c>
      <c r="AA18" s="9">
        <f t="array" ref="AA18">IF(AA$11&gt;=0,MAX(INDEX(MMULT(inverseG,Z$12:Z$62),$A18+1,1),MAX(strike-$B18,0)),"")</f>
        <v>3.5</v>
      </c>
      <c r="AB18" s="9">
        <f t="array" ref="AB18">IF(AB$11&gt;=0,MAX(INDEX(MMULT(inverseG,AA$12:AA$62),$A18+1,1),MAX(strike-$B18,0)),"")</f>
        <v>3.5</v>
      </c>
      <c r="AC18" s="9">
        <f t="array" ref="AC18">IF(AC$11&gt;=0,MAX(INDEX(MMULT(inverseG,AB$12:AB$62),$A18+1,1),MAX(strike-$B18,0)),"")</f>
        <v>3.5</v>
      </c>
      <c r="AD18" s="9">
        <f t="array" ref="AD18">IF(AD$11&gt;=0,MAX(INDEX(MMULT(inverseG,AC$12:AC$62),$A18+1,1),MAX(strike-$B18,0)),"")</f>
        <v>3.5</v>
      </c>
      <c r="AE18" s="9">
        <f t="array" ref="AE18">IF(AE$11&gt;=0,MAX(INDEX(MMULT(inverseG,AD$12:AD$62),$A18+1,1),MAX(strike-$B18,0)),"")</f>
        <v>3.5</v>
      </c>
      <c r="AF18" s="9">
        <f t="array" ref="AF18">IF(AF$11&gt;=0,MAX(INDEX(MMULT(inverseG,AE$12:AE$62),$A18+1,1),MAX(strike-$B18,0)),"")</f>
        <v>3.5</v>
      </c>
      <c r="AG18" s="9">
        <f t="array" ref="AG18">IF(AG$11&gt;=0,MAX(INDEX(MMULT(inverseG,AF$12:AF$62),$A18+1,1),MAX(strike-$B18,0)),"")</f>
        <v>3.5</v>
      </c>
      <c r="AH18" s="9">
        <f t="array" ref="AH18">IF(AH$11&gt;=0,MAX(INDEX(MMULT(inverseG,AG$12:AG$62),$A18+1,1),MAX(strike-$B18,0)),"")</f>
        <v>3.5</v>
      </c>
      <c r="AI18" s="9">
        <f t="array" ref="AI18">IF(AI$11&gt;=0,MAX(INDEX(MMULT(inverseG,AH$12:AH$62),$A18+1,1),MAX(strike-$B18,0)),"")</f>
        <v>3.5</v>
      </c>
      <c r="AJ18" s="9">
        <f t="array" ref="AJ18">IF(AJ$11&gt;=0,MAX(INDEX(MMULT(inverseG,AI$12:AI$62),$A18+1,1),MAX(strike-$B18,0)),"")</f>
        <v>3.5</v>
      </c>
      <c r="AK18" s="9">
        <f t="array" ref="AK18">IF(AK$11&gt;=0,MAX(INDEX(MMULT(inverseG,AJ$12:AJ$62),$A18+1,1),MAX(strike-$B18,0)),"")</f>
        <v>3.5</v>
      </c>
      <c r="AL18" s="9">
        <f t="array" ref="AL18">IF(AL$11&gt;=0,MAX(INDEX(MMULT(inverseG,AK$12:AK$62),$A18+1,1),MAX(strike-$B18,0)),"")</f>
        <v>3.5</v>
      </c>
      <c r="AM18" s="9">
        <f t="array" ref="AM18">IF(AM$11&gt;=0,MAX(INDEX(MMULT(inverseG,AL$12:AL$62),$A18+1,1),MAX(strike-$B18,0)),"")</f>
        <v>3.5</v>
      </c>
      <c r="AN18" s="9">
        <f t="array" ref="AN18">IF(AN$11&gt;=0,MAX(INDEX(MMULT(inverseG,AM$12:AM$62),$A18+1,1),MAX(strike-$B18,0)),"")</f>
        <v>3.5</v>
      </c>
      <c r="AO18" s="9">
        <f t="array" ref="AO18">IF(AO$11&gt;=0,MAX(INDEX(MMULT(inverseG,AN$12:AN$62),$A18+1,1),MAX(strike-$B18,0)),"")</f>
        <v>3.5</v>
      </c>
      <c r="AP18" s="9">
        <f t="array" ref="AP18">IF(AP$11&gt;=0,MAX(INDEX(MMULT(inverseG,AO$12:AO$62),$A18+1,1),MAX(strike-$B18,0)),"")</f>
        <v>3.5</v>
      </c>
      <c r="AQ18" s="9">
        <f t="array" ref="AQ18">IF(AQ$11&gt;=0,MAX(INDEX(MMULT(inverseG,AP$12:AP$62),$A18+1,1),MAX(strike-$B18,0)),"")</f>
        <v>3.5</v>
      </c>
      <c r="AR18" s="9">
        <f t="array" ref="AR18">IF(AR$11&gt;=0,MAX(INDEX(MMULT(inverseG,AQ$12:AQ$62),$A18+1,1),MAX(strike-$B18,0)),"")</f>
        <v>3.5</v>
      </c>
      <c r="AS18" s="9">
        <f t="array" ref="AS18">IF(AS$11&gt;=0,MAX(INDEX(MMULT(inverseG,AR$12:AR$62),$A18+1,1),MAX(strike-$B18,0)),"")</f>
        <v>3.5</v>
      </c>
      <c r="AT18" s="9">
        <f t="array" ref="AT18">IF(AT$11&gt;=0,MAX(INDEX(MMULT(inverseG,AS$12:AS$62),$A18+1,1),MAX(strike-$B18,0)),"")</f>
        <v>3.5</v>
      </c>
      <c r="AU18" s="9">
        <f t="array" ref="AU18">IF(AU$11&gt;=0,MAX(INDEX(MMULT(inverseG,AT$12:AT$62),$A18+1,1),MAX(strike-$B18,0)),"")</f>
        <v>3.5</v>
      </c>
      <c r="AV18" s="9">
        <f t="array" ref="AV18">IF(AV$11&gt;=0,MAX(INDEX(MMULT(inverseG,AU$12:AU$62),$A18+1,1),MAX(strike-$B18,0)),"")</f>
        <v>3.5</v>
      </c>
      <c r="AW18" s="9">
        <f t="array" ref="AW18">IF(AW$11&gt;=0,MAX(INDEX(MMULT(inverseG,AV$12:AV$62),$A18+1,1),MAX(strike-$B18,0)),"")</f>
        <v>3.5</v>
      </c>
      <c r="AX18" s="9">
        <f t="array" ref="AX18">IF(AX$11&gt;=0,MAX(INDEX(MMULT(inverseG,AW$12:AW$62),$A18+1,1),MAX(strike-$B18,0)),"")</f>
        <v>3.5</v>
      </c>
      <c r="AY18" s="9">
        <f t="array" ref="AY18">IF(AY$11&gt;=0,MAX(INDEX(MMULT(inverseG,AX$12:AX$62),$A18+1,1),MAX(strike-$B18,0)),"")</f>
        <v>3.5</v>
      </c>
      <c r="AZ18" s="9">
        <f t="array" ref="AZ18">IF(AZ$11&gt;=0,MAX(INDEX(MMULT(inverseG,AY$12:AY$62),$A18+1,1),MAX(strike-$B18,0)),"")</f>
        <v>3.5</v>
      </c>
      <c r="BA18" s="9">
        <f t="array" ref="BA18">IF(BA$11&gt;=0,MAX(INDEX(MMULT(inverseG,AZ$12:AZ$62),$A18+1,1),MAX(strike-$B18,0)),"")</f>
        <v>3.5</v>
      </c>
      <c r="BB18" s="9">
        <f t="array" ref="BB18">IF(BB$11&gt;=0,MAX(INDEX(MMULT(inverseG,BA$12:BA$62),$A18+1,1),MAX(strike-$B18,0)),"")</f>
        <v>3.5</v>
      </c>
      <c r="BC18" s="9">
        <f t="array" ref="BC18">IF(BC$11&gt;=0,MAX(INDEX(MMULT(inverseG,BB$12:BB$62),$A18+1,1),MAX(strike-$B18,0)),"")</f>
        <v>3.5</v>
      </c>
      <c r="BD18" s="9">
        <f t="array" ref="BD18">IF(BD$11&gt;=0,MAX(INDEX(MMULT(inverseG,BC$12:BC$62),$A18+1,1),MAX(strike-$B18,0)),"")</f>
        <v>3.5</v>
      </c>
      <c r="BE18" s="9">
        <f t="array" ref="BE18">IF(BE$11&gt;=0,MAX(INDEX(MMULT(inverseG,BD$12:BD$62),$A18+1,1),MAX(strike-$B18,0)),"")</f>
        <v>3.5</v>
      </c>
      <c r="BF18" s="9">
        <f t="array" ref="BF18">IF(BF$11&gt;=0,MAX(INDEX(MMULT(inverseG,BE$12:BE$62),$A18+1,1),MAX(strike-$B18,0)),"")</f>
        <v>3.5</v>
      </c>
      <c r="BG18" s="9">
        <f t="array" ref="BG18">IF(BG$11&gt;=0,MAX(INDEX(MMULT(inverseG,BF$12:BF$62),$A18+1,1),MAX(strike-$B18,0)),"")</f>
        <v>3.5</v>
      </c>
      <c r="BH18" s="9">
        <f t="array" ref="BH18">IF(BH$11&gt;=0,MAX(INDEX(MMULT(inverseG,BG$12:BG$62),$A18+1,1),MAX(strike-$B18,0)),"")</f>
        <v>3.5</v>
      </c>
      <c r="BI18" s="9">
        <f t="array" ref="BI18">IF(BI$11&gt;=0,MAX(INDEX(MMULT(inverseG,BH$12:BH$62),$A18+1,1),MAX(strike-$B18,0)),"")</f>
        <v>3.5</v>
      </c>
      <c r="BJ18" s="9">
        <f t="array" ref="BJ18">IF(BJ$11&gt;=0,MAX(INDEX(MMULT(inverseG,BI$12:BI$62),$A18+1,1),MAX(strike-$B18,0)),"")</f>
        <v>3.5</v>
      </c>
      <c r="BK18" s="9">
        <f t="array" ref="BK18">IF(BK$11&gt;=0,MAX(INDEX(MMULT(inverseG,BJ$12:BJ$62),$A18+1,1),MAX(strike-$B18,0)),"")</f>
        <v>3.5</v>
      </c>
      <c r="BL18" s="9">
        <f t="array" ref="BL18">IF(BL$11&gt;=0,MAX(INDEX(MMULT(inverseG,BK$12:BK$62),$A18+1,1),MAX(strike-$B18,0)),"")</f>
        <v>3.5</v>
      </c>
      <c r="BM18" s="9">
        <f t="array" ref="BM18">IF(BM$11&gt;=0,MAX(INDEX(MMULT(inverseG,BL$12:BL$62),$A18+1,1),MAX(strike-$B18,0)),"")</f>
        <v>3.5</v>
      </c>
      <c r="BN18" s="9">
        <f t="array" ref="BN18">IF(BN$11&gt;=0,MAX(INDEX(MMULT(inverseG,BM$12:BM$62),$A18+1,1),MAX(strike-$B18,0)),"")</f>
        <v>3.5</v>
      </c>
      <c r="BO18" s="9">
        <f t="array" ref="BO18">IF(BO$11&gt;=0,MAX(INDEX(MMULT(inverseG,BN$12:BN$62),$A18+1,1),MAX(strike-$B18,0)),"")</f>
        <v>3.5</v>
      </c>
      <c r="BP18" s="9">
        <f t="array" ref="BP18">IF(BP$11&gt;=0,MAX(INDEX(MMULT(inverseG,BO$12:BO$62),$A18+1,1),MAX(strike-$B18,0)),"")</f>
        <v>3.5</v>
      </c>
      <c r="BQ18" s="9">
        <f t="array" ref="BQ18">IF(BQ$11&gt;=0,MAX(INDEX(MMULT(inverseG,BP$12:BP$62),$A18+1,1),MAX(strike-$B18,0)),"")</f>
        <v>3.5</v>
      </c>
      <c r="BR18" s="9">
        <f t="array" ref="BR18">IF(BR$11&gt;=0,MAX(INDEX(MMULT(inverseG,BQ$12:BQ$62),$A18+1,1),MAX(strike-$B18,0)),"")</f>
        <v>3.5</v>
      </c>
      <c r="BS18" s="9">
        <f t="array" ref="BS18">IF(BS$11&gt;=0,MAX(INDEX(MMULT(inverseG,BR$12:BR$62),$A18+1,1),MAX(strike-$B18,0)),"")</f>
        <v>3.5</v>
      </c>
      <c r="BT18" s="9">
        <f t="array" ref="BT18">IF(BT$11&gt;=0,MAX(INDEX(MMULT(inverseG,BS$12:BS$62),$A18+1,1),MAX(strike-$B18,0)),"")</f>
        <v>3.5</v>
      </c>
      <c r="BU18" s="9">
        <f t="array" ref="BU18">IF(BU$11&gt;=0,MAX(INDEX(MMULT(inverseG,BT$12:BT$62),$A18+1,1),MAX(strike-$B18,0)),"")</f>
        <v>3.5</v>
      </c>
      <c r="BV18" s="9">
        <f t="array" ref="BV18">IF(BV$11&gt;=0,MAX(INDEX(MMULT(inverseG,BU$12:BU$62),$A18+1,1),MAX(strike-$B18,0)),"")</f>
        <v>3.5</v>
      </c>
      <c r="BW18" s="9">
        <f t="array" ref="BW18">IF(BW$11&gt;=0,MAX(INDEX(MMULT(inverseG,BV$12:BV$62),$A18+1,1),MAX(strike-$B18,0)),"")</f>
        <v>3.5</v>
      </c>
      <c r="BX18" s="9">
        <f t="array" ref="BX18">IF(BX$11&gt;=0,MAX(INDEX(MMULT(inverseG,BW$12:BW$62),$A18+1,1),MAX(strike-$B18,0)),"")</f>
        <v>3.5</v>
      </c>
      <c r="BY18" s="9">
        <f t="array" ref="BY18">IF(BY$11&gt;=0,MAX(INDEX(MMULT(inverseG,BX$12:BX$62),$A18+1,1),MAX(strike-$B18,0)),"")</f>
        <v>3.5</v>
      </c>
      <c r="BZ18" s="9">
        <f t="array" ref="BZ18">IF(BZ$11&gt;=0,MAX(INDEX(MMULT(inverseG,BY$12:BY$62),$A18+1,1),MAX(strike-$B18,0)),"")</f>
        <v>3.5</v>
      </c>
      <c r="CA18" s="9">
        <f t="array" ref="CA18">IF(CA$11&gt;=0,MAX(INDEX(MMULT(inverseG,BZ$12:BZ$62),$A18+1,1),MAX(strike-$B18,0)),"")</f>
        <v>3.5</v>
      </c>
      <c r="CB18" s="9">
        <f t="array" ref="CB18">IF(CB$11&gt;=0,MAX(INDEX(MMULT(inverseG,CA$12:CA$62),$A18+1,1),MAX(strike-$B18,0)),"")</f>
        <v>3.5</v>
      </c>
      <c r="CC18" s="9">
        <f t="array" ref="CC18">IF(CC$11&gt;=0,MAX(INDEX(MMULT(inverseG,CB$12:CB$62),$A18+1,1),MAX(strike-$B18,0)),"")</f>
        <v>3.5</v>
      </c>
      <c r="CD18" s="9">
        <f t="array" ref="CD18">IF(CD$11&gt;=0,MAX(INDEX(MMULT(inverseG,CC$12:CC$62),$A18+1,1),MAX(strike-$B18,0)),"")</f>
        <v>3.5</v>
      </c>
      <c r="CE18" s="9">
        <f t="array" ref="CE18">IF(CE$11&gt;=0,MAX(INDEX(MMULT(inverseG,CD$12:CD$62),$A18+1,1),MAX(strike-$B18,0)),"")</f>
        <v>3.5</v>
      </c>
      <c r="CF18" s="9">
        <f t="array" ref="CF18">IF(CF$11&gt;=0,MAX(INDEX(MMULT(inverseG,CE$12:CE$62),$A18+1,1),MAX(strike-$B18,0)),"")</f>
        <v>3.5</v>
      </c>
      <c r="CG18" s="9">
        <f t="array" ref="CG18">IF(CG$11&gt;=0,MAX(INDEX(MMULT(inverseG,CF$12:CF$62),$A18+1,1),MAX(strike-$B18,0)),"")</f>
        <v>3.5</v>
      </c>
      <c r="CH18" s="9">
        <f t="array" ref="CH18">IF(CH$11&gt;=0,MAX(INDEX(MMULT(inverseG,CG$12:CG$62),$A18+1,1),MAX(strike-$B18,0)),"")</f>
        <v>3.5</v>
      </c>
      <c r="CI18" s="9">
        <f t="array" ref="CI18">IF(CI$11&gt;=0,MAX(INDEX(MMULT(inverseG,CH$12:CH$62),$A18+1,1),MAX(strike-$B18,0)),"")</f>
        <v>3.5</v>
      </c>
      <c r="CJ18" s="9">
        <f t="array" ref="CJ18">IF(CJ$11&gt;=0,MAX(INDEX(MMULT(inverseG,CI$12:CI$62),$A18+1,1),MAX(strike-$B18,0)),"")</f>
        <v>3.5</v>
      </c>
      <c r="CK18" s="9">
        <f t="array" ref="CK18">IF(CK$11&gt;=0,MAX(INDEX(MMULT(inverseG,CJ$12:CJ$62),$A18+1,1),MAX(strike-$B18,0)),"")</f>
        <v>3.5</v>
      </c>
      <c r="CL18" s="9">
        <f t="array" ref="CL18">IF(CL$11&gt;=0,MAX(INDEX(MMULT(inverseG,CK$12:CK$62),$A18+1,1),MAX(strike-$B18,0)),"")</f>
        <v>3.5</v>
      </c>
      <c r="CM18" s="9">
        <f t="array" ref="CM18">IF(CM$11&gt;=0,MAX(INDEX(MMULT(inverseG,CL$12:CL$62),$A18+1,1),MAX(strike-$B18,0)),"")</f>
        <v>3.5</v>
      </c>
      <c r="CN18" s="9">
        <f t="array" ref="CN18">IF(CN$11&gt;=0,MAX(INDEX(MMULT(inverseG,CM$12:CM$62),$A18+1,1),MAX(strike-$B18,0)),"")</f>
        <v>3.5</v>
      </c>
      <c r="CO18" s="9">
        <f t="array" ref="CO18">IF(CO$11&gt;=0,MAX(INDEX(MMULT(inverseG,CN$12:CN$62),$A18+1,1),MAX(strike-$B18,0)),"")</f>
        <v>3.5</v>
      </c>
      <c r="CP18" s="9">
        <f t="array" ref="CP18">IF(CP$11&gt;=0,MAX(INDEX(MMULT(inverseG,CO$12:CO$62),$A18+1,1),MAX(strike-$B18,0)),"")</f>
        <v>3.5</v>
      </c>
      <c r="CQ18" s="9">
        <f t="array" ref="CQ18">IF(CQ$11&gt;=0,MAX(INDEX(MMULT(inverseG,CP$12:CP$62),$A18+1,1),MAX(strike-$B18,0)),"")</f>
        <v>3.5</v>
      </c>
      <c r="CR18" s="9">
        <f t="array" ref="CR18">IF(CR$11&gt;=0,MAX(INDEX(MMULT(inverseG,CQ$12:CQ$62),$A18+1,1),MAX(strike-$B18,0)),"")</f>
        <v>3.5</v>
      </c>
      <c r="CS18" s="9">
        <f t="array" ref="CS18">IF(CS$11&gt;=0,MAX(INDEX(MMULT(inverseG,CR$12:CR$62),$A18+1,1),MAX(strike-$B18,0)),"")</f>
        <v>3.5</v>
      </c>
      <c r="CT18" s="9">
        <f t="array" ref="CT18">IF(CT$11&gt;=0,MAX(INDEX(MMULT(inverseG,CS$12:CS$62),$A18+1,1),MAX(strike-$B18,0)),"")</f>
        <v>3.5</v>
      </c>
      <c r="CU18" s="9">
        <f t="array" ref="CU18">IF(CU$11&gt;=0,MAX(INDEX(MMULT(inverseG,CT$12:CT$62),$A18+1,1),MAX(strike-$B18,0)),"")</f>
        <v>3.5</v>
      </c>
      <c r="CV18" s="9">
        <f t="array" ref="CV18">IF(CV$11&gt;=0,MAX(INDEX(MMULT(inverseG,CU$12:CU$62),$A18+1,1),MAX(strike-$B18,0)),"")</f>
        <v>3.5</v>
      </c>
      <c r="CW18" s="9">
        <f t="array" ref="CW18">IF(CW$11&gt;=0,MAX(INDEX(MMULT(inverseG,CV$12:CV$62),$A18+1,1),MAX(strike-$B18,0)),"")</f>
        <v>3.5</v>
      </c>
      <c r="CX18" s="9">
        <f t="array" ref="CX18">IF(CX$11&gt;=0,MAX(INDEX(MMULT(inverseG,CW$12:CW$62),$A18+1,1),MAX(strike-$B18,0)),"")</f>
        <v>3.5</v>
      </c>
      <c r="CY18" s="9">
        <f t="array" ref="CY18">IF(CY$11&gt;=0,MAX(INDEX(MMULT(inverseG,CX$12:CX$62),$A18+1,1),MAX(strike-$B18,0)),"")</f>
        <v>3.5</v>
      </c>
      <c r="CZ18" s="9">
        <f t="array" ref="CZ18">IF(CZ$11&gt;=0,MAX(INDEX(MMULT(inverseG,CY$12:CY$62),$A18+1,1),MAX(strike-$B18,0)),"")</f>
        <v>3.5</v>
      </c>
      <c r="DA18" s="9" t="str">
        <f t="array" ref="DA18">IF(DA$11&gt;=0,MAX(INDEX(MMULT(inverseG,CZ$12:CZ$62),$A18+1,1),MAX(strike-$B18,0)),"")</f>
        <v/>
      </c>
      <c r="DB18" s="9" t="str">
        <f t="array" ref="DB18">IF(DB$11&gt;=0,MAX(INDEX(MMULT(inverseG,DA$12:DA$62),$A18+1,1),MAX(strike-$B18,0)),"")</f>
        <v/>
      </c>
      <c r="DC18" s="9" t="str">
        <f t="array" ref="DC18">IF(DC$11&gt;=0,MAX(INDEX(MMULT(inverseG,DB$12:DB$62),$A18+1,1),MAX(strike-$B18,0)),"")</f>
        <v/>
      </c>
      <c r="DD18" s="9" t="str">
        <f t="array" ref="DD18">IF(DD$11&gt;=0,MAX(INDEX(MMULT(inverseG,DC$12:DC$62),$A18+1,1),MAX(strike-$B18,0)),"")</f>
        <v/>
      </c>
      <c r="DE18" s="9" t="str">
        <f t="array" ref="DE18">IF(DE$11&gt;=0,MAX(INDEX(MMULT(inverseG,DD$12:DD$62),$A18+1,1),MAX(strike-$B18,0)),"")</f>
        <v/>
      </c>
      <c r="DF18" s="9" t="str">
        <f t="array" ref="DF18">IF(DF$11&gt;=0,MAX(INDEX(MMULT(inverseG,DE$12:DE$62),$A18+1,1),MAX(strike-$B18,0)),"")</f>
        <v/>
      </c>
      <c r="DG18" s="9" t="str">
        <f t="array" ref="DG18">IF(DG$11&gt;=0,MAX(INDEX(MMULT(inverseG,DF$12:DF$62),$A18+1,1),MAX(strike-$B18,0)),"")</f>
        <v/>
      </c>
      <c r="DH18" s="9" t="str">
        <f t="array" ref="DH18">IF(DH$11&gt;=0,MAX(INDEX(MMULT(inverseG,DG$12:DG$62),$A18+1,1),MAX(strike-$B18,0)),"")</f>
        <v/>
      </c>
      <c r="DI18" s="9" t="str">
        <f t="array" ref="DI18">IF(DI$11&gt;=0,MAX(INDEX(MMULT(inverseG,DH$12:DH$62),$A18+1,1),MAX(strike-$B18,0)),"")</f>
        <v/>
      </c>
      <c r="DJ18" s="9" t="str">
        <f t="array" ref="DJ18">IF(DJ$11&gt;=0,MAX(INDEX(MMULT(inverseG,DI$12:DI$62),$A18+1,1),MAX(strike-$B18,0)),"")</f>
        <v/>
      </c>
      <c r="DK18" s="9" t="str">
        <f t="array" ref="DK18">IF(DK$11&gt;=0,MAX(INDEX(MMULT(inverseG,DJ$12:DJ$62),$A18+1,1),MAX(strike-$B18,0)),"")</f>
        <v/>
      </c>
      <c r="DL18" s="9" t="str">
        <f t="array" ref="DL18">IF(DL$11&gt;=0,MAX(INDEX(MMULT(inverseG,DK$12:DK$62),$A18+1,1),MAX(strike-$B18,0)),"")</f>
        <v/>
      </c>
      <c r="DM18" s="9" t="str">
        <f t="array" ref="DM18">IF(DM$11&gt;=0,MAX(INDEX(MMULT(inverseG,DL$12:DL$62),$A18+1,1),MAX(strike-$B18,0)),"")</f>
        <v/>
      </c>
      <c r="DN18" s="9" t="str">
        <f t="array" ref="DN18">IF(DN$11&gt;=0,MAX(INDEX(MMULT(inverseG,DM$12:DM$62),$A18+1,1),MAX(strike-$B18,0)),"")</f>
        <v/>
      </c>
      <c r="DO18" s="9" t="str">
        <f t="array" ref="DO18">IF(DO$11&gt;=0,MAX(INDEX(MMULT(inverseG,DN$12:DN$62),$A18+1,1),MAX(strike-$B18,0)),"")</f>
        <v/>
      </c>
      <c r="DP18" s="9" t="str">
        <f t="array" ref="DP18">IF(DP$11&gt;=0,MAX(INDEX(MMULT(inverseG,DO$12:DO$62),$A18+1,1),MAX(strike-$B18,0)),"")</f>
        <v/>
      </c>
      <c r="DQ18" s="9" t="str">
        <f t="array" ref="DQ18">IF(DQ$11&gt;=0,MAX(INDEX(MMULT(inverseG,DP$12:DP$62),$A18+1,1),MAX(strike-$B18,0)),"")</f>
        <v/>
      </c>
      <c r="DR18" s="9" t="str">
        <f t="array" ref="DR18">IF(DR$11&gt;=0,MAX(INDEX(MMULT(inverseG,DQ$12:DQ$62),$A18+1,1),MAX(strike-$B18,0)),"")</f>
        <v/>
      </c>
      <c r="DS18" s="9" t="str">
        <f t="array" ref="DS18">IF(DS$11&gt;=0,MAX(INDEX(MMULT(inverseG,DR$12:DR$62),$A18+1,1),MAX(strike-$B18,0)),"")</f>
        <v/>
      </c>
      <c r="DT18" s="9" t="str">
        <f t="array" ref="DT18">IF(DT$11&gt;=0,MAX(INDEX(MMULT(inverseG,DS$12:DS$62),$A18+1,1),MAX(strike-$B18,0)),"")</f>
        <v/>
      </c>
      <c r="DU18" s="9" t="str">
        <f t="array" ref="DU18">IF(DU$11&gt;=0,MAX(INDEX(MMULT(inverseG,DT$12:DT$62),$A18+1,1),MAX(strike-$B18,0)),"")</f>
        <v/>
      </c>
      <c r="DV18" s="9" t="str">
        <f t="array" ref="DV18">IF(DV$11&gt;=0,MAX(INDEX(MMULT(inverseG,DU$12:DU$62),$A18+1,1),MAX(strike-$B18,0)),"")</f>
        <v/>
      </c>
      <c r="DW18" s="9" t="str">
        <f t="array" ref="DW18">IF(DW$11&gt;=0,MAX(INDEX(MMULT(inverseG,DV$12:DV$62),$A18+1,1),MAX(strike-$B18,0)),"")</f>
        <v/>
      </c>
      <c r="DX18" s="9" t="str">
        <f t="array" ref="DX18">IF(DX$11&gt;=0,MAX(INDEX(MMULT(inverseG,DW$12:DW$62),$A18+1,1),MAX(strike-$B18,0)),"")</f>
        <v/>
      </c>
      <c r="DY18" s="9" t="str">
        <f t="array" ref="DY18">IF(DY$11&gt;=0,MAX(INDEX(MMULT(inverseG,DX$12:DX$62),$A18+1,1),MAX(strike-$B18,0)),"")</f>
        <v/>
      </c>
      <c r="DZ18" s="9" t="str">
        <f t="array" ref="DZ18">IF(DZ$11&gt;=0,MAX(INDEX(MMULT(inverseG,DY$12:DY$62),$A18+1,1),MAX(strike-$B18,0)),"")</f>
        <v/>
      </c>
      <c r="EA18" s="9" t="str">
        <f t="array" ref="EA18">IF(EA$11&gt;=0,MAX(INDEX(MMULT(inverseG,DZ$12:DZ$62),$A18+1,1),MAX(strike-$B18,0)),"")</f>
        <v/>
      </c>
      <c r="EB18" s="9" t="str">
        <f t="array" ref="EB18">IF(EB$11&gt;=0,MAX(INDEX(MMULT(inverseG,EA$12:EA$62),$A18+1,1),MAX(strike-$B18,0)),"")</f>
        <v/>
      </c>
      <c r="EC18" s="9" t="str">
        <f t="array" ref="EC18">IF(EC$11&gt;=0,MAX(INDEX(MMULT(inverseG,EB$12:EB$62),$A18+1,1),MAX(strike-$B18,0)),"")</f>
        <v/>
      </c>
      <c r="ED18" s="9" t="str">
        <f t="array" ref="ED18">IF(ED$11&gt;=0,MAX(INDEX(MMULT(inverseG,EC$12:EC$62),$A18+1,1),MAX(strike-$B18,0)),"")</f>
        <v/>
      </c>
      <c r="EE18" s="9" t="str">
        <f t="array" ref="EE18">IF(EE$11&gt;=0,MAX(INDEX(MMULT(inverseG,ED$12:ED$62),$A18+1,1),MAX(strike-$B18,0)),"")</f>
        <v/>
      </c>
      <c r="EF18" s="9" t="str">
        <f t="array" ref="EF18">IF(EF$11&gt;=0,MAX(INDEX(MMULT(inverseG,EE$12:EE$62),$A18+1,1),MAX(strike-$B18,0)),"")</f>
        <v/>
      </c>
      <c r="EG18" s="9" t="str">
        <f t="array" ref="EG18">IF(EG$11&gt;=0,MAX(INDEX(MMULT(inverseG,EF$12:EF$62),$A18+1,1),MAX(strike-$B18,0)),"")</f>
        <v/>
      </c>
      <c r="EH18" s="9" t="str">
        <f t="array" ref="EH18">IF(EH$11&gt;=0,MAX(INDEX(MMULT(inverseG,EG$12:EG$62),$A18+1,1),MAX(strike-$B18,0)),"")</f>
        <v/>
      </c>
      <c r="EI18" s="9" t="str">
        <f t="array" ref="EI18">IF(EI$11&gt;=0,MAX(INDEX(MMULT(inverseG,EH$12:EH$62),$A18+1,1),MAX(strike-$B18,0)),"")</f>
        <v/>
      </c>
      <c r="EJ18" s="9" t="str">
        <f t="array" ref="EJ18">IF(EJ$11&gt;=0,MAX(INDEX(MMULT(inverseG,EI$12:EI$62),$A18+1,1),MAX(strike-$B18,0)),"")</f>
        <v/>
      </c>
      <c r="EK18" s="9" t="str">
        <f t="array" ref="EK18">IF(EK$11&gt;=0,MAX(INDEX(MMULT(inverseG,EJ$12:EJ$62),$A18+1,1),MAX(strike-$B18,0)),"")</f>
        <v/>
      </c>
      <c r="EL18" s="9" t="str">
        <f t="array" ref="EL18">IF(EL$11&gt;=0,MAX(INDEX(MMULT(inverseG,EK$12:EK$62),$A18+1,1),MAX(strike-$B18,0)),"")</f>
        <v/>
      </c>
      <c r="EM18" s="9" t="str">
        <f t="array" ref="EM18">IF(EM$11&gt;=0,MAX(INDEX(MMULT(inverseG,EL$12:EL$62),$A18+1,1),MAX(strike-$B18,0)),"")</f>
        <v/>
      </c>
      <c r="EN18" s="9" t="str">
        <f t="array" ref="EN18">IF(EN$11&gt;=0,MAX(INDEX(MMULT(inverseG,EM$12:EM$62),$A18+1,1),MAX(strike-$B18,0)),"")</f>
        <v/>
      </c>
      <c r="EO18" s="9" t="str">
        <f t="array" ref="EO18">IF(EO$11&gt;=0,MAX(INDEX(MMULT(inverseG,EN$12:EN$62),$A18+1,1),MAX(strike-$B18,0)),"")</f>
        <v/>
      </c>
      <c r="EP18" s="9" t="str">
        <f t="array" ref="EP18">IF(EP$11&gt;=0,MAX(INDEX(MMULT(inverseG,EO$12:EO$62),$A18+1,1),MAX(strike-$B18,0)),"")</f>
        <v/>
      </c>
      <c r="EQ18" s="9" t="str">
        <f t="array" ref="EQ18">IF(EQ$11&gt;=0,MAX(INDEX(MMULT(inverseG,EP$12:EP$62),$A18+1,1),MAX(strike-$B18,0)),"")</f>
        <v/>
      </c>
      <c r="ER18" s="9" t="str">
        <f t="array" ref="ER18">IF(ER$11&gt;=0,MAX(INDEX(MMULT(inverseG,EQ$12:EQ$62),$A18+1,1),MAX(strike-$B18,0)),"")</f>
        <v/>
      </c>
      <c r="ES18" s="9" t="str">
        <f t="array" ref="ES18">IF(ES$11&gt;=0,MAX(INDEX(MMULT(inverseG,ER$12:ER$62),$A18+1,1),MAX(strike-$B18,0)),"")</f>
        <v/>
      </c>
      <c r="ET18" s="9" t="str">
        <f t="array" ref="ET18">IF(ET$11&gt;=0,MAX(INDEX(MMULT(inverseG,ES$12:ES$62),$A18+1,1),MAX(strike-$B18,0)),"")</f>
        <v/>
      </c>
      <c r="EU18" s="9" t="str">
        <f t="array" ref="EU18">IF(EU$11&gt;=0,MAX(INDEX(MMULT(inverseG,ET$12:ET$62),$A18+1,1),MAX(strike-$B18,0)),"")</f>
        <v/>
      </c>
      <c r="EV18" s="9" t="str">
        <f t="array" ref="EV18">IF(EV$11&gt;=0,MAX(INDEX(MMULT(inverseG,EU$12:EU$62),$A18+1,1),MAX(strike-$B18,0)),"")</f>
        <v/>
      </c>
      <c r="EW18" s="9" t="str">
        <f t="array" ref="EW18">IF(EW$11&gt;=0,MAX(INDEX(MMULT(inverseG,EV$12:EV$62),$A18+1,1),MAX(strike-$B18,0)),"")</f>
        <v/>
      </c>
      <c r="EX18" s="9" t="str">
        <f t="array" ref="EX18">IF(EX$11&gt;=0,MAX(INDEX(MMULT(inverseG,EW$12:EW$62),$A18+1,1),MAX(strike-$B18,0)),"")</f>
        <v/>
      </c>
      <c r="EY18" s="9" t="str">
        <f t="array" ref="EY18">IF(EY$11&gt;=0,MAX(INDEX(MMULT(inverseG,EX$12:EX$62),$A18+1,1),MAX(strike-$B18,0)),"")</f>
        <v/>
      </c>
      <c r="EZ18" s="9" t="str">
        <f t="array" ref="EZ18">IF(EZ$11&gt;=0,MAX(INDEX(MMULT(inverseG,EY$12:EY$62),$A18+1,1),MAX(strike-$B18,0)),"")</f>
        <v/>
      </c>
      <c r="FA18" s="9" t="str">
        <f t="array" ref="FA18">IF(FA$11&gt;=0,MAX(INDEX(MMULT(inverseG,EZ$12:EZ$62),$A18+1,1),MAX(strike-$B18,0)),"")</f>
        <v/>
      </c>
      <c r="FB18" s="9" t="str">
        <f t="array" ref="FB18">IF(FB$11&gt;=0,MAX(INDEX(MMULT(inverseG,FA$12:FA$62),$A18+1,1),MAX(strike-$B18,0)),"")</f>
        <v/>
      </c>
      <c r="FC18" s="9" t="str">
        <f t="array" ref="FC18">IF(FC$11&gt;=0,MAX(INDEX(MMULT(inverseG,FB$12:FB$62),$A18+1,1),MAX(strike-$B18,0)),"")</f>
        <v/>
      </c>
      <c r="FD18" s="9" t="str">
        <f t="array" ref="FD18">IF(FD$11&gt;=0,MAX(INDEX(MMULT(inverseG,FC$12:FC$62),$A18+1,1),MAX(strike-$B18,0)),"")</f>
        <v/>
      </c>
      <c r="FE18" s="9" t="str">
        <f t="array" ref="FE18">IF(FE$11&gt;=0,MAX(INDEX(MMULT(inverseG,FD$12:FD$62),$A18+1,1),MAX(strike-$B18,0)),"")</f>
        <v/>
      </c>
      <c r="FF18" s="9" t="str">
        <f t="array" ref="FF18">IF(FF$11&gt;=0,MAX(INDEX(MMULT(inverseG,FE$12:FE$62),$A18+1,1),MAX(strike-$B18,0)),"")</f>
        <v/>
      </c>
      <c r="FG18" s="9" t="str">
        <f t="array" ref="FG18">IF(FG$11&gt;=0,MAX(INDEX(MMULT(inverseG,FF$12:FF$62),$A18+1,1),MAX(strike-$B18,0)),"")</f>
        <v/>
      </c>
      <c r="FH18" s="9" t="str">
        <f t="array" ref="FH18">IF(FH$11&gt;=0,MAX(INDEX(MMULT(inverseG,FG$12:FG$62),$A18+1,1),MAX(strike-$B18,0)),"")</f>
        <v/>
      </c>
      <c r="FI18" s="9" t="str">
        <f t="array" ref="FI18">IF(FI$11&gt;=0,MAX(INDEX(MMULT(inverseG,FH$12:FH$62),$A18+1,1),MAX(strike-$B18,0)),"")</f>
        <v/>
      </c>
      <c r="FJ18" s="9" t="str">
        <f t="array" ref="FJ18">IF(FJ$11&gt;=0,MAX(INDEX(MMULT(inverseG,FI$12:FI$62),$A18+1,1),MAX(strike-$B18,0)),"")</f>
        <v/>
      </c>
      <c r="FK18" s="9" t="str">
        <f t="array" ref="FK18">IF(FK$11&gt;=0,MAX(INDEX(MMULT(inverseG,FJ$12:FJ$62),$A18+1,1),MAX(strike-$B18,0)),"")</f>
        <v/>
      </c>
      <c r="FL18" s="9" t="str">
        <f t="array" ref="FL18">IF(FL$11&gt;=0,MAX(INDEX(MMULT(inverseG,FK$12:FK$62),$A18+1,1),MAX(strike-$B18,0)),"")</f>
        <v/>
      </c>
      <c r="FM18" s="9" t="str">
        <f t="array" ref="FM18">IF(FM$11&gt;=0,MAX(INDEX(MMULT(inverseG,FL$12:FL$62),$A18+1,1),MAX(strike-$B18,0)),"")</f>
        <v/>
      </c>
      <c r="FN18" s="9" t="str">
        <f t="array" ref="FN18">IF(FN$11&gt;=0,MAX(INDEX(MMULT(inverseG,FM$12:FM$62),$A18+1,1),MAX(strike-$B18,0)),"")</f>
        <v/>
      </c>
      <c r="FO18" s="9" t="str">
        <f t="array" ref="FO18">IF(FO$11&gt;=0,MAX(INDEX(MMULT(inverseG,FN$12:FN$62),$A18+1,1),MAX(strike-$B18,0)),"")</f>
        <v/>
      </c>
      <c r="FP18" s="9" t="str">
        <f t="array" ref="FP18">IF(FP$11&gt;=0,MAX(INDEX(MMULT(inverseG,FO$12:FO$62),$A18+1,1),MAX(strike-$B18,0)),"")</f>
        <v/>
      </c>
      <c r="FQ18" s="9" t="str">
        <f t="array" ref="FQ18">IF(FQ$11&gt;=0,MAX(INDEX(MMULT(inverseG,FP$12:FP$62),$A18+1,1),MAX(strike-$B18,0)),"")</f>
        <v/>
      </c>
      <c r="FR18" s="9" t="str">
        <f t="array" ref="FR18">IF(FR$11&gt;=0,MAX(INDEX(MMULT(inverseG,FQ$12:FQ$62),$A18+1,1),MAX(strike-$B18,0)),"")</f>
        <v/>
      </c>
      <c r="FS18" s="9" t="str">
        <f t="array" ref="FS18">IF(FS$11&gt;=0,MAX(INDEX(MMULT(inverseG,FR$12:FR$62),$A18+1,1),MAX(strike-$B18,0)),"")</f>
        <v/>
      </c>
      <c r="FT18" s="9" t="str">
        <f t="array" ref="FT18">IF(FT$11&gt;=0,MAX(INDEX(MMULT(inverseG,FS$12:FS$62),$A18+1,1),MAX(strike-$B18,0)),"")</f>
        <v/>
      </c>
      <c r="FU18" s="9" t="str">
        <f t="array" ref="FU18">IF(FU$11&gt;=0,MAX(INDEX(MMULT(inverseG,FT$12:FT$62),$A18+1,1),MAX(strike-$B18,0)),"")</f>
        <v/>
      </c>
      <c r="FV18" s="9" t="str">
        <f t="array" ref="FV18">IF(FV$11&gt;=0,MAX(INDEX(MMULT(inverseG,FU$12:FU$62),$A18+1,1),MAX(strike-$B18,0)),"")</f>
        <v/>
      </c>
      <c r="FW18" s="9" t="str">
        <f t="array" ref="FW18">IF(FW$11&gt;=0,MAX(INDEX(MMULT(inverseG,FV$12:FV$62),$A18+1,1),MAX(strike-$B18,0)),"")</f>
        <v/>
      </c>
      <c r="FX18" s="9" t="str">
        <f t="array" ref="FX18">IF(FX$11&gt;=0,MAX(INDEX(MMULT(inverseG,FW$12:FW$62),$A18+1,1),MAX(strike-$B18,0)),"")</f>
        <v/>
      </c>
      <c r="FY18" s="9" t="str">
        <f t="array" ref="FY18">IF(FY$11&gt;=0,MAX(INDEX(MMULT(inverseG,FX$12:FX$62),$A18+1,1),MAX(strike-$B18,0)),"")</f>
        <v/>
      </c>
      <c r="FZ18" s="9" t="str">
        <f t="array" ref="FZ18">IF(FZ$11&gt;=0,MAX(INDEX(MMULT(inverseG,FY$12:FY$62),$A18+1,1),MAX(strike-$B18,0)),"")</f>
        <v/>
      </c>
      <c r="GA18" s="9" t="str">
        <f t="array" ref="GA18">IF(GA$11&gt;=0,MAX(INDEX(MMULT(inverseG,FZ$12:FZ$62),$A18+1,1),MAX(strike-$B18,0)),"")</f>
        <v/>
      </c>
      <c r="GB18" s="9" t="str">
        <f t="array" ref="GB18">IF(GB$11&gt;=0,MAX(INDEX(MMULT(inverseG,GA$12:GA$62),$A18+1,1),MAX(strike-$B18,0)),"")</f>
        <v/>
      </c>
      <c r="GC18" s="9" t="str">
        <f t="array" ref="GC18">IF(GC$11&gt;=0,MAX(INDEX(MMULT(inverseG,GB$12:GB$62),$A18+1,1),MAX(strike-$B18,0)),"")</f>
        <v/>
      </c>
      <c r="GD18" s="9" t="str">
        <f t="array" ref="GD18">IF(GD$11&gt;=0,MAX(INDEX(MMULT(inverseG,GC$12:GC$62),$A18+1,1),MAX(strike-$B18,0)),"")</f>
        <v/>
      </c>
      <c r="GE18" s="9" t="str">
        <f t="array" ref="GE18">IF(GE$11&gt;=0,MAX(INDEX(MMULT(inverseG,GD$12:GD$62),$A18+1,1),MAX(strike-$B18,0)),"")</f>
        <v/>
      </c>
      <c r="GF18" s="9" t="str">
        <f t="array" ref="GF18">IF(GF$11&gt;=0,MAX(INDEX(MMULT(inverseG,GE$12:GE$62),$A18+1,1),MAX(strike-$B18,0)),"")</f>
        <v/>
      </c>
      <c r="GG18" s="9" t="str">
        <f t="array" ref="GG18">IF(GG$11&gt;=0,MAX(INDEX(MMULT(inverseG,GF$12:GF$62),$A18+1,1),MAX(strike-$B18,0)),"")</f>
        <v/>
      </c>
      <c r="GH18" s="9" t="str">
        <f t="array" ref="GH18">IF(GH$11&gt;=0,MAX(INDEX(MMULT(inverseG,GG$12:GG$62),$A18+1,1),MAX(strike-$B18,0)),"")</f>
        <v/>
      </c>
      <c r="GI18" s="9" t="str">
        <f t="array" ref="GI18">IF(GI$11&gt;=0,MAX(INDEX(MMULT(inverseG,GH$12:GH$62),$A18+1,1),MAX(strike-$B18,0)),"")</f>
        <v/>
      </c>
      <c r="GJ18" s="9" t="str">
        <f t="array" ref="GJ18">IF(GJ$11&gt;=0,MAX(INDEX(MMULT(inverseG,GI$12:GI$62),$A18+1,1),MAX(strike-$B18,0)),"")</f>
        <v/>
      </c>
      <c r="GK18" s="9" t="str">
        <f t="array" ref="GK18">IF(GK$11&gt;=0,MAX(INDEX(MMULT(inverseG,GJ$12:GJ$62),$A18+1,1),MAX(strike-$B18,0)),"")</f>
        <v/>
      </c>
      <c r="GL18" s="9" t="str">
        <f t="array" ref="GL18">IF(GL$11&gt;=0,MAX(INDEX(MMULT(inverseG,GK$12:GK$62),$A18+1,1),MAX(strike-$B18,0)),"")</f>
        <v/>
      </c>
      <c r="GM18" s="9" t="str">
        <f t="array" ref="GM18">IF(GM$11&gt;=0,MAX(INDEX(MMULT(inverseG,GL$12:GL$62),$A18+1,1),MAX(strike-$B18,0)),"")</f>
        <v/>
      </c>
      <c r="GN18" s="9" t="str">
        <f t="array" ref="GN18">IF(GN$11&gt;=0,MAX(INDEX(MMULT(inverseG,GM$12:GM$62),$A18+1,1),MAX(strike-$B18,0)),"")</f>
        <v/>
      </c>
      <c r="GO18" s="9" t="str">
        <f t="array" ref="GO18">IF(GO$11&gt;=0,MAX(INDEX(MMULT(inverseG,GN$12:GN$62),$A18+1,1),MAX(strike-$B18,0)),"")</f>
        <v/>
      </c>
      <c r="GP18" s="9" t="str">
        <f t="array" ref="GP18">IF(GP$11&gt;=0,MAX(INDEX(MMULT(inverseG,GO$12:GO$62),$A18+1,1),MAX(strike-$B18,0)),"")</f>
        <v/>
      </c>
      <c r="GQ18" s="9" t="str">
        <f t="array" ref="GQ18">IF(GQ$11&gt;=0,MAX(INDEX(MMULT(inverseG,GP$12:GP$62),$A18+1,1),MAX(strike-$B18,0)),"")</f>
        <v/>
      </c>
      <c r="GR18" s="9" t="str">
        <f t="array" ref="GR18">IF(GR$11&gt;=0,MAX(INDEX(MMULT(inverseG,GQ$12:GQ$62),$A18+1,1),MAX(strike-$B18,0)),"")</f>
        <v/>
      </c>
      <c r="GS18" s="9" t="str">
        <f t="array" ref="GS18">IF(GS$11&gt;=0,MAX(INDEX(MMULT(inverseG,GR$12:GR$62),$A18+1,1),MAX(strike-$B18,0)),"")</f>
        <v/>
      </c>
      <c r="GT18" s="9" t="str">
        <f t="array" ref="GT18">IF(GT$11&gt;=0,MAX(INDEX(MMULT(inverseG,GS$12:GS$62),$A18+1,1),MAX(strike-$B18,0)),"")</f>
        <v/>
      </c>
      <c r="GU18" s="9" t="str">
        <f t="array" ref="GU18">IF(GU$11&gt;=0,MAX(INDEX(MMULT(inverseG,GT$12:GT$62),$A18+1,1),MAX(strike-$B18,0)),"")</f>
        <v/>
      </c>
      <c r="GV18" s="9" t="str">
        <f t="array" ref="GV18">IF(GV$11&gt;=0,MAX(INDEX(MMULT(inverseG,GU$12:GU$62),$A18+1,1),MAX(strike-$B18,0)),"")</f>
        <v/>
      </c>
      <c r="GW18" s="9" t="str">
        <f t="array" ref="GW18">IF(GW$11&gt;=0,MAX(INDEX(MMULT(inverseG,GV$12:GV$62),$A18+1,1),MAX(strike-$B18,0)),"")</f>
        <v/>
      </c>
      <c r="GX18" s="9" t="str">
        <f t="array" ref="GX18">IF(GX$11&gt;=0,MAX(INDEX(MMULT(inverseG,GW$12:GW$62),$A18+1,1),MAX(strike-$B18,0)),"")</f>
        <v/>
      </c>
      <c r="GY18" s="9" t="str">
        <f t="array" ref="GY18">IF(GY$11&gt;=0,MAX(INDEX(MMULT(inverseG,GX$12:GX$62),$A18+1,1),MAX(strike-$B18,0)),"")</f>
        <v/>
      </c>
      <c r="GZ18" s="9" t="str">
        <f t="array" ref="GZ18">IF(GZ$11&gt;=0,MAX(INDEX(MMULT(inverseG,GY$12:GY$62),$A18+1,1),MAX(strike-$B18,0)),"")</f>
        <v/>
      </c>
      <c r="HA18" s="9" t="str">
        <f t="array" ref="HA18">IF(HA$11&gt;=0,MAX(INDEX(MMULT(inverseG,GZ$12:GZ$62),$A18+1,1),MAX(strike-$B18,0)),"")</f>
        <v/>
      </c>
      <c r="HB18" s="9" t="str">
        <f t="array" ref="HB18">IF(HB$11&gt;=0,MAX(INDEX(MMULT(inverseG,HA$12:HA$62),$A18+1,1),MAX(strike-$B18,0)),"")</f>
        <v/>
      </c>
      <c r="HC18" s="9" t="str">
        <f t="array" ref="HC18">IF(HC$11&gt;=0,MAX(INDEX(MMULT(inverseG,HB$12:HB$62),$A18+1,1),MAX(strike-$B18,0)),"")</f>
        <v/>
      </c>
      <c r="HD18" s="9" t="str">
        <f t="array" ref="HD18">IF(HD$11&gt;=0,MAX(INDEX(MMULT(inverseG,HC$12:HC$62),$A18+1,1),MAX(strike-$B18,0)),"")</f>
        <v/>
      </c>
      <c r="HE18" s="9" t="str">
        <f t="array" ref="HE18">IF(HE$11&gt;=0,MAX(INDEX(MMULT(inverseG,HD$12:HD$62),$A18+1,1),MAX(strike-$B18,0)),"")</f>
        <v/>
      </c>
      <c r="HF18" s="9" t="str">
        <f t="array" ref="HF18">IF(HF$11&gt;=0,MAX(INDEX(MMULT(inverseG,HE$12:HE$62),$A18+1,1),MAX(strike-$B18,0)),"")</f>
        <v/>
      </c>
      <c r="HG18" s="9" t="str">
        <f t="array" ref="HG18">IF(HG$11&gt;=0,MAX(INDEX(MMULT(inverseG,HF$12:HF$62),$A18+1,1),MAX(strike-$B18,0)),"")</f>
        <v/>
      </c>
      <c r="HH18" s="9" t="str">
        <f t="array" ref="HH18">IF(HH$11&gt;=0,MAX(INDEX(MMULT(inverseG,HG$12:HG$62),$A18+1,1),MAX(strike-$B18,0)),"")</f>
        <v/>
      </c>
      <c r="HI18" s="9" t="str">
        <f t="array" ref="HI18">IF(HI$11&gt;=0,MAX(INDEX(MMULT(inverseG,HH$12:HH$62),$A18+1,1),MAX(strike-$B18,0)),"")</f>
        <v/>
      </c>
      <c r="HJ18" s="9" t="str">
        <f t="array" ref="HJ18">IF(HJ$11&gt;=0,MAX(INDEX(MMULT(inverseG,HI$12:HI$62),$A18+1,1),MAX(strike-$B18,0)),"")</f>
        <v/>
      </c>
      <c r="HK18" s="9" t="str">
        <f t="array" ref="HK18">IF(HK$11&gt;=0,MAX(INDEX(MMULT(inverseG,HJ$12:HJ$62),$A18+1,1),MAX(strike-$B18,0)),"")</f>
        <v/>
      </c>
      <c r="HL18" s="9" t="str">
        <f t="array" ref="HL18">IF(HL$11&gt;=0,MAX(INDEX(MMULT(inverseG,HK$12:HK$62),$A18+1,1),MAX(strike-$B18,0)),"")</f>
        <v/>
      </c>
      <c r="HM18" s="9" t="str">
        <f t="array" ref="HM18">IF(HM$11&gt;=0,MAX(INDEX(MMULT(inverseG,HL$12:HL$62),$A18+1,1),MAX(strike-$B18,0)),"")</f>
        <v/>
      </c>
      <c r="HN18" s="9" t="str">
        <f t="array" ref="HN18">IF(HN$11&gt;=0,MAX(INDEX(MMULT(inverseG,HM$12:HM$62),$A18+1,1),MAX(strike-$B18,0)),"")</f>
        <v/>
      </c>
      <c r="HO18" s="9" t="str">
        <f t="array" ref="HO18">IF(HO$11&gt;=0,MAX(INDEX(MMULT(inverseG,HN$12:HN$62),$A18+1,1),MAX(strike-$B18,0)),"")</f>
        <v/>
      </c>
      <c r="HP18" s="9" t="str">
        <f t="array" ref="HP18">IF(HP$11&gt;=0,MAX(INDEX(MMULT(inverseG,HO$12:HO$62),$A18+1,1),MAX(strike-$B18,0)),"")</f>
        <v/>
      </c>
      <c r="HQ18" s="9" t="str">
        <f t="array" ref="HQ18">IF(HQ$11&gt;=0,MAX(INDEX(MMULT(inverseG,HP$12:HP$62),$A18+1,1),MAX(strike-$B18,0)),"")</f>
        <v/>
      </c>
      <c r="HR18" s="9" t="str">
        <f t="array" ref="HR18">IF(HR$11&gt;=0,MAX(INDEX(MMULT(inverseG,HQ$12:HQ$62),$A18+1,1),MAX(strike-$B18,0)),"")</f>
        <v/>
      </c>
      <c r="HS18" s="9" t="str">
        <f t="array" ref="HS18">IF(HS$11&gt;=0,MAX(INDEX(MMULT(inverseG,HR$12:HR$62),$A18+1,1),MAX(strike-$B18,0)),"")</f>
        <v/>
      </c>
      <c r="HT18" s="9" t="str">
        <f t="array" ref="HT18">IF(HT$11&gt;=0,MAX(INDEX(MMULT(inverseG,HS$12:HS$62),$A18+1,1),MAX(strike-$B18,0)),"")</f>
        <v/>
      </c>
      <c r="HU18" s="9" t="str">
        <f t="array" ref="HU18">IF(HU$11&gt;=0,MAX(INDEX(MMULT(inverseG,HT$12:HT$62),$A18+1,1),MAX(strike-$B18,0)),"")</f>
        <v/>
      </c>
      <c r="HV18" s="9" t="str">
        <f t="array" ref="HV18">IF(HV$11&gt;=0,MAX(INDEX(MMULT(inverseG,HU$12:HU$62),$A18+1,1),MAX(strike-$B18,0)),"")</f>
        <v/>
      </c>
      <c r="HW18" s="9" t="str">
        <f t="array" ref="HW18">IF(HW$11&gt;=0,MAX(INDEX(MMULT(inverseG,HV$12:HV$62),$A18+1,1),MAX(strike-$B18,0)),"")</f>
        <v/>
      </c>
      <c r="HX18" s="9" t="str">
        <f t="array" ref="HX18">IF(HX$11&gt;=0,MAX(INDEX(MMULT(inverseG,HW$12:HW$62),$A18+1,1),MAX(strike-$B18,0)),"")</f>
        <v/>
      </c>
      <c r="HY18" s="9" t="str">
        <f t="array" ref="HY18">IF(HY$11&gt;=0,MAX(INDEX(MMULT(inverseG,HX$12:HX$62),$A18+1,1),MAX(strike-$B18,0)),"")</f>
        <v/>
      </c>
      <c r="HZ18" s="9" t="str">
        <f t="array" ref="HZ18">IF(HZ$11&gt;=0,MAX(INDEX(MMULT(inverseG,HY$12:HY$62),$A18+1,1),MAX(strike-$B18,0)),"")</f>
        <v/>
      </c>
      <c r="IA18" s="9" t="str">
        <f t="array" ref="IA18">IF(IA$11&gt;=0,MAX(INDEX(MMULT(inverseG,HZ$12:HZ$62),$A18+1,1),MAX(strike-$B18,0)),"")</f>
        <v/>
      </c>
      <c r="IB18" s="9" t="str">
        <f t="array" ref="IB18">IF(IB$11&gt;=0,MAX(INDEX(MMULT(inverseG,IA$12:IA$62),$A18+1,1),MAX(strike-$B18,0)),"")</f>
        <v/>
      </c>
      <c r="IC18" s="9" t="str">
        <f t="array" ref="IC18">IF(IC$11&gt;=0,MAX(INDEX(MMULT(inverseG,IB$12:IB$62),$A18+1,1),MAX(strike-$B18,0)),"")</f>
        <v/>
      </c>
      <c r="ID18" s="9" t="str">
        <f t="array" ref="ID18">IF(ID$11&gt;=0,MAX(INDEX(MMULT(inverseG,IC$12:IC$62),$A18+1,1),MAX(strike-$B18,0)),"")</f>
        <v/>
      </c>
      <c r="IE18" s="9" t="str">
        <f t="array" ref="IE18">IF(IE$11&gt;=0,MAX(INDEX(MMULT(inverseG,ID$12:ID$62),$A18+1,1),MAX(strike-$B18,0)),"")</f>
        <v/>
      </c>
      <c r="IF18" s="9" t="str">
        <f t="array" ref="IF18">IF(IF$11&gt;=0,MAX(INDEX(MMULT(inverseG,IE$12:IE$62),$A18+1,1),MAX(strike-$B18,0)),"")</f>
        <v/>
      </c>
      <c r="IG18" s="9" t="str">
        <f t="array" ref="IG18">IF(IG$11&gt;=0,MAX(INDEX(MMULT(inverseG,IF$12:IF$62),$A18+1,1),MAX(strike-$B18,0)),"")</f>
        <v/>
      </c>
      <c r="IH18" s="9" t="str">
        <f t="array" ref="IH18">IF(IH$11&gt;=0,MAX(INDEX(MMULT(inverseG,IG$12:IG$62),$A18+1,1),MAX(strike-$B18,0)),"")</f>
        <v/>
      </c>
      <c r="II18" s="9" t="str">
        <f t="array" ref="II18">IF(II$11&gt;=0,MAX(INDEX(MMULT(inverseG,IH$12:IH$62),$A18+1,1),MAX(strike-$B18,0)),"")</f>
        <v/>
      </c>
      <c r="IJ18" s="9" t="str">
        <f t="array" ref="IJ18">IF(IJ$11&gt;=0,MAX(INDEX(MMULT(inverseG,II$12:II$62),$A18+1,1),MAX(strike-$B18,0)),"")</f>
        <v/>
      </c>
      <c r="IK18" s="9" t="str">
        <f t="array" ref="IK18">IF(IK$11&gt;=0,MAX(INDEX(MMULT(inverseG,IJ$12:IJ$62),$A18+1,1),MAX(strike-$B18,0)),"")</f>
        <v/>
      </c>
      <c r="IL18" s="9" t="str">
        <f t="array" ref="IL18">IF(IL$11&gt;=0,MAX(INDEX(MMULT(inverseG,IK$12:IK$62),$A18+1,1),MAX(strike-$B18,0)),"")</f>
        <v/>
      </c>
      <c r="IM18" s="9" t="str">
        <f t="array" ref="IM18">IF(IM$11&gt;=0,MAX(INDEX(MMULT(inverseG,IL$12:IL$62),$A18+1,1),MAX(strike-$B18,0)),"")</f>
        <v/>
      </c>
      <c r="IN18" s="9" t="str">
        <f t="array" ref="IN18">IF(IN$11&gt;=0,MAX(INDEX(MMULT(inverseG,IM$12:IM$62),$A18+1,1),MAX(strike-$B18,0)),"")</f>
        <v/>
      </c>
      <c r="IO18" s="9" t="str">
        <f t="array" ref="IO18">IF(IO$11&gt;=0,MAX(INDEX(MMULT(inverseG,IN$12:IN$62),$A18+1,1),MAX(strike-$B18,0)),"")</f>
        <v/>
      </c>
      <c r="IP18" s="9" t="str">
        <f t="array" ref="IP18">IF(IP$11&gt;=0,MAX(INDEX(MMULT(inverseG,IO$12:IO$62),$A18+1,1),MAX(strike-$B18,0)),"")</f>
        <v/>
      </c>
      <c r="IQ18" s="9" t="str">
        <f t="array" ref="IQ18">IF(IQ$11&gt;=0,MAX(INDEX(MMULT(inverseG,IP$12:IP$62),$A18+1,1),MAX(strike-$B18,0)),"")</f>
        <v/>
      </c>
      <c r="IR18" s="9" t="str">
        <f t="array" ref="IR18">IF(IR$11&gt;=0,MAX(INDEX(MMULT(inverseG,IQ$12:IQ$62),$A18+1,1),MAX(strike-$B18,0)),"")</f>
        <v/>
      </c>
      <c r="IS18" s="9" t="str">
        <f t="array" ref="IS18">IF(IS$11&gt;=0,MAX(INDEX(MMULT(inverseG,IR$12:IR$62),$A18+1,1),MAX(strike-$B18,0)),"")</f>
        <v/>
      </c>
      <c r="IT18" s="9" t="str">
        <f t="array" ref="IT18">IF(IT$11&gt;=0,MAX(INDEX(MMULT(inverseG,IS$12:IS$62),$A18+1,1),MAX(strike-$B18,0)),"")</f>
        <v/>
      </c>
      <c r="IU18" s="9" t="str">
        <f t="array" ref="IU18">IF(IU$11&gt;=0,MAX(INDEX(MMULT(inverseG,IT$12:IT$62),$A18+1,1),MAX(strike-$B18,0)),"")</f>
        <v/>
      </c>
      <c r="IV18" s="9" t="str">
        <f t="array" ref="IV18">IF(IV$11&gt;=0,MAX(INDEX(MMULT(inverseG,IU$12:IU$62),$A18+1,1),MAX(strike-$B18,0)),"")</f>
        <v/>
      </c>
    </row>
    <row r="19" spans="1:256" x14ac:dyDescent="0.2">
      <c r="A19" s="8">
        <f t="shared" si="7"/>
        <v>7</v>
      </c>
      <c r="B19" s="6">
        <f t="shared" si="4"/>
        <v>1.75</v>
      </c>
      <c r="C19" s="30">
        <f t="shared" ca="1" si="6"/>
        <v>3.25</v>
      </c>
      <c r="D19" s="9">
        <f t="shared" si="5"/>
        <v>3.25</v>
      </c>
      <c r="E19" s="9">
        <f t="array" ref="E19">IF(E$11&gt;=0,MAX(INDEX(MMULT(inverseG,D$12:D$62),$A19+1,1),MAX(strike-$B19,0)),"")</f>
        <v>3.25</v>
      </c>
      <c r="F19" s="9">
        <f t="array" ref="F19">IF(F$11&gt;=0,MAX(INDEX(MMULT(inverseG,E$12:E$62),$A19+1,1),MAX(strike-$B19,0)),"")</f>
        <v>3.25</v>
      </c>
      <c r="G19" s="9">
        <f t="array" ref="G19">IF(G$11&gt;=0,MAX(INDEX(MMULT(inverseG,F$12:F$62),$A19+1,1),MAX(strike-$B19,0)),"")</f>
        <v>3.25</v>
      </c>
      <c r="H19" s="9">
        <f t="array" ref="H19">IF(H$11&gt;=0,MAX(INDEX(MMULT(inverseG,G$12:G$62),$A19+1,1),MAX(strike-$B19,0)),"")</f>
        <v>3.25</v>
      </c>
      <c r="I19" s="9">
        <f t="array" ref="I19">IF(I$11&gt;=0,MAX(INDEX(MMULT(inverseG,H$12:H$62),$A19+1,1),MAX(strike-$B19,0)),"")</f>
        <v>3.25</v>
      </c>
      <c r="J19" s="9">
        <f t="array" ref="J19">IF(J$11&gt;=0,MAX(INDEX(MMULT(inverseG,I$12:I$62),$A19+1,1),MAX(strike-$B19,0)),"")</f>
        <v>3.25</v>
      </c>
      <c r="K19" s="9">
        <f t="array" ref="K19">IF(K$11&gt;=0,MAX(INDEX(MMULT(inverseG,J$12:J$62),$A19+1,1),MAX(strike-$B19,0)),"")</f>
        <v>3.25</v>
      </c>
      <c r="L19" s="9">
        <f t="array" ref="L19">IF(L$11&gt;=0,MAX(INDEX(MMULT(inverseG,K$12:K$62),$A19+1,1),MAX(strike-$B19,0)),"")</f>
        <v>3.25</v>
      </c>
      <c r="M19" s="9">
        <f t="array" ref="M19">IF(M$11&gt;=0,MAX(INDEX(MMULT(inverseG,L$12:L$62),$A19+1,1),MAX(strike-$B19,0)),"")</f>
        <v>3.25</v>
      </c>
      <c r="N19" s="9">
        <f t="array" ref="N19">IF(N$11&gt;=0,MAX(INDEX(MMULT(inverseG,M$12:M$62),$A19+1,1),MAX(strike-$B19,0)),"")</f>
        <v>3.25</v>
      </c>
      <c r="O19" s="9">
        <f t="array" ref="O19">IF(O$11&gt;=0,MAX(INDEX(MMULT(inverseG,N$12:N$62),$A19+1,1),MAX(strike-$B19,0)),"")</f>
        <v>3.25</v>
      </c>
      <c r="P19" s="9">
        <f t="array" ref="P19">IF(P$11&gt;=0,MAX(INDEX(MMULT(inverseG,O$12:O$62),$A19+1,1),MAX(strike-$B19,0)),"")</f>
        <v>3.25</v>
      </c>
      <c r="Q19" s="9">
        <f t="array" ref="Q19">IF(Q$11&gt;=0,MAX(INDEX(MMULT(inverseG,P$12:P$62),$A19+1,1),MAX(strike-$B19,0)),"")</f>
        <v>3.25</v>
      </c>
      <c r="R19" s="9">
        <f t="array" ref="R19">IF(R$11&gt;=0,MAX(INDEX(MMULT(inverseG,Q$12:Q$62),$A19+1,1),MAX(strike-$B19,0)),"")</f>
        <v>3.25</v>
      </c>
      <c r="S19" s="9">
        <f t="array" ref="S19">IF(S$11&gt;=0,MAX(INDEX(MMULT(inverseG,R$12:R$62),$A19+1,1),MAX(strike-$B19,0)),"")</f>
        <v>3.25</v>
      </c>
      <c r="T19" s="9">
        <f t="array" ref="T19">IF(T$11&gt;=0,MAX(INDEX(MMULT(inverseG,S$12:S$62),$A19+1,1),MAX(strike-$B19,0)),"")</f>
        <v>3.25</v>
      </c>
      <c r="U19" s="9">
        <f t="array" ref="U19">IF(U$11&gt;=0,MAX(INDEX(MMULT(inverseG,T$12:T$62),$A19+1,1),MAX(strike-$B19,0)),"")</f>
        <v>3.25</v>
      </c>
      <c r="V19" s="9">
        <f t="array" ref="V19">IF(V$11&gt;=0,MAX(INDEX(MMULT(inverseG,U$12:U$62),$A19+1,1),MAX(strike-$B19,0)),"")</f>
        <v>3.25</v>
      </c>
      <c r="W19" s="9">
        <f t="array" ref="W19">IF(W$11&gt;=0,MAX(INDEX(MMULT(inverseG,V$12:V$62),$A19+1,1),MAX(strike-$B19,0)),"")</f>
        <v>3.25</v>
      </c>
      <c r="X19" s="9">
        <f t="array" ref="X19">IF(X$11&gt;=0,MAX(INDEX(MMULT(inverseG,W$12:W$62),$A19+1,1),MAX(strike-$B19,0)),"")</f>
        <v>3.25</v>
      </c>
      <c r="Y19" s="9">
        <f t="array" ref="Y19">IF(Y$11&gt;=0,MAX(INDEX(MMULT(inverseG,X$12:X$62),$A19+1,1),MAX(strike-$B19,0)),"")</f>
        <v>3.25</v>
      </c>
      <c r="Z19" s="9">
        <f t="array" ref="Z19">IF(Z$11&gt;=0,MAX(INDEX(MMULT(inverseG,Y$12:Y$62),$A19+1,1),MAX(strike-$B19,0)),"")</f>
        <v>3.25</v>
      </c>
      <c r="AA19" s="9">
        <f t="array" ref="AA19">IF(AA$11&gt;=0,MAX(INDEX(MMULT(inverseG,Z$12:Z$62),$A19+1,1),MAX(strike-$B19,0)),"")</f>
        <v>3.25</v>
      </c>
      <c r="AB19" s="9">
        <f t="array" ref="AB19">IF(AB$11&gt;=0,MAX(INDEX(MMULT(inverseG,AA$12:AA$62),$A19+1,1),MAX(strike-$B19,0)),"")</f>
        <v>3.25</v>
      </c>
      <c r="AC19" s="9">
        <f t="array" ref="AC19">IF(AC$11&gt;=0,MAX(INDEX(MMULT(inverseG,AB$12:AB$62),$A19+1,1),MAX(strike-$B19,0)),"")</f>
        <v>3.25</v>
      </c>
      <c r="AD19" s="9">
        <f t="array" ref="AD19">IF(AD$11&gt;=0,MAX(INDEX(MMULT(inverseG,AC$12:AC$62),$A19+1,1),MAX(strike-$B19,0)),"")</f>
        <v>3.25</v>
      </c>
      <c r="AE19" s="9">
        <f t="array" ref="AE19">IF(AE$11&gt;=0,MAX(INDEX(MMULT(inverseG,AD$12:AD$62),$A19+1,1),MAX(strike-$B19,0)),"")</f>
        <v>3.25</v>
      </c>
      <c r="AF19" s="9">
        <f t="array" ref="AF19">IF(AF$11&gt;=0,MAX(INDEX(MMULT(inverseG,AE$12:AE$62),$A19+1,1),MAX(strike-$B19,0)),"")</f>
        <v>3.25</v>
      </c>
      <c r="AG19" s="9">
        <f t="array" ref="AG19">IF(AG$11&gt;=0,MAX(INDEX(MMULT(inverseG,AF$12:AF$62),$A19+1,1),MAX(strike-$B19,0)),"")</f>
        <v>3.25</v>
      </c>
      <c r="AH19" s="9">
        <f t="array" ref="AH19">IF(AH$11&gt;=0,MAX(INDEX(MMULT(inverseG,AG$12:AG$62),$A19+1,1),MAX(strike-$B19,0)),"")</f>
        <v>3.25</v>
      </c>
      <c r="AI19" s="9">
        <f t="array" ref="AI19">IF(AI$11&gt;=0,MAX(INDEX(MMULT(inverseG,AH$12:AH$62),$A19+1,1),MAX(strike-$B19,0)),"")</f>
        <v>3.25</v>
      </c>
      <c r="AJ19" s="9">
        <f t="array" ref="AJ19">IF(AJ$11&gt;=0,MAX(INDEX(MMULT(inverseG,AI$12:AI$62),$A19+1,1),MAX(strike-$B19,0)),"")</f>
        <v>3.25</v>
      </c>
      <c r="AK19" s="9">
        <f t="array" ref="AK19">IF(AK$11&gt;=0,MAX(INDEX(MMULT(inverseG,AJ$12:AJ$62),$A19+1,1),MAX(strike-$B19,0)),"")</f>
        <v>3.25</v>
      </c>
      <c r="AL19" s="9">
        <f t="array" ref="AL19">IF(AL$11&gt;=0,MAX(INDEX(MMULT(inverseG,AK$12:AK$62),$A19+1,1),MAX(strike-$B19,0)),"")</f>
        <v>3.25</v>
      </c>
      <c r="AM19" s="9">
        <f t="array" ref="AM19">IF(AM$11&gt;=0,MAX(INDEX(MMULT(inverseG,AL$12:AL$62),$A19+1,1),MAX(strike-$B19,0)),"")</f>
        <v>3.25</v>
      </c>
      <c r="AN19" s="9">
        <f t="array" ref="AN19">IF(AN$11&gt;=0,MAX(INDEX(MMULT(inverseG,AM$12:AM$62),$A19+1,1),MAX(strike-$B19,0)),"")</f>
        <v>3.25</v>
      </c>
      <c r="AO19" s="9">
        <f t="array" ref="AO19">IF(AO$11&gt;=0,MAX(INDEX(MMULT(inverseG,AN$12:AN$62),$A19+1,1),MAX(strike-$B19,0)),"")</f>
        <v>3.25</v>
      </c>
      <c r="AP19" s="9">
        <f t="array" ref="AP19">IF(AP$11&gt;=0,MAX(INDEX(MMULT(inverseG,AO$12:AO$62),$A19+1,1),MAX(strike-$B19,0)),"")</f>
        <v>3.25</v>
      </c>
      <c r="AQ19" s="9">
        <f t="array" ref="AQ19">IF(AQ$11&gt;=0,MAX(INDEX(MMULT(inverseG,AP$12:AP$62),$A19+1,1),MAX(strike-$B19,0)),"")</f>
        <v>3.25</v>
      </c>
      <c r="AR19" s="9">
        <f t="array" ref="AR19">IF(AR$11&gt;=0,MAX(INDEX(MMULT(inverseG,AQ$12:AQ$62),$A19+1,1),MAX(strike-$B19,0)),"")</f>
        <v>3.25</v>
      </c>
      <c r="AS19" s="9">
        <f t="array" ref="AS19">IF(AS$11&gt;=0,MAX(INDEX(MMULT(inverseG,AR$12:AR$62),$A19+1,1),MAX(strike-$B19,0)),"")</f>
        <v>3.25</v>
      </c>
      <c r="AT19" s="9">
        <f t="array" ref="AT19">IF(AT$11&gt;=0,MAX(INDEX(MMULT(inverseG,AS$12:AS$62),$A19+1,1),MAX(strike-$B19,0)),"")</f>
        <v>3.25</v>
      </c>
      <c r="AU19" s="9">
        <f t="array" ref="AU19">IF(AU$11&gt;=0,MAX(INDEX(MMULT(inverseG,AT$12:AT$62),$A19+1,1),MAX(strike-$B19,0)),"")</f>
        <v>3.25</v>
      </c>
      <c r="AV19" s="9">
        <f t="array" ref="AV19">IF(AV$11&gt;=0,MAX(INDEX(MMULT(inverseG,AU$12:AU$62),$A19+1,1),MAX(strike-$B19,0)),"")</f>
        <v>3.25</v>
      </c>
      <c r="AW19" s="9">
        <f t="array" ref="AW19">IF(AW$11&gt;=0,MAX(INDEX(MMULT(inverseG,AV$12:AV$62),$A19+1,1),MAX(strike-$B19,0)),"")</f>
        <v>3.25</v>
      </c>
      <c r="AX19" s="9">
        <f t="array" ref="AX19">IF(AX$11&gt;=0,MAX(INDEX(MMULT(inverseG,AW$12:AW$62),$A19+1,1),MAX(strike-$B19,0)),"")</f>
        <v>3.25</v>
      </c>
      <c r="AY19" s="9">
        <f t="array" ref="AY19">IF(AY$11&gt;=0,MAX(INDEX(MMULT(inverseG,AX$12:AX$62),$A19+1,1),MAX(strike-$B19,0)),"")</f>
        <v>3.25</v>
      </c>
      <c r="AZ19" s="9">
        <f t="array" ref="AZ19">IF(AZ$11&gt;=0,MAX(INDEX(MMULT(inverseG,AY$12:AY$62),$A19+1,1),MAX(strike-$B19,0)),"")</f>
        <v>3.25</v>
      </c>
      <c r="BA19" s="9">
        <f t="array" ref="BA19">IF(BA$11&gt;=0,MAX(INDEX(MMULT(inverseG,AZ$12:AZ$62),$A19+1,1),MAX(strike-$B19,0)),"")</f>
        <v>3.25</v>
      </c>
      <c r="BB19" s="9">
        <f t="array" ref="BB19">IF(BB$11&gt;=0,MAX(INDEX(MMULT(inverseG,BA$12:BA$62),$A19+1,1),MAX(strike-$B19,0)),"")</f>
        <v>3.25</v>
      </c>
      <c r="BC19" s="9">
        <f t="array" ref="BC19">IF(BC$11&gt;=0,MAX(INDEX(MMULT(inverseG,BB$12:BB$62),$A19+1,1),MAX(strike-$B19,0)),"")</f>
        <v>3.25</v>
      </c>
      <c r="BD19" s="9">
        <f t="array" ref="BD19">IF(BD$11&gt;=0,MAX(INDEX(MMULT(inverseG,BC$12:BC$62),$A19+1,1),MAX(strike-$B19,0)),"")</f>
        <v>3.25</v>
      </c>
      <c r="BE19" s="9">
        <f t="array" ref="BE19">IF(BE$11&gt;=0,MAX(INDEX(MMULT(inverseG,BD$12:BD$62),$A19+1,1),MAX(strike-$B19,0)),"")</f>
        <v>3.25</v>
      </c>
      <c r="BF19" s="9">
        <f t="array" ref="BF19">IF(BF$11&gt;=0,MAX(INDEX(MMULT(inverseG,BE$12:BE$62),$A19+1,1),MAX(strike-$B19,0)),"")</f>
        <v>3.25</v>
      </c>
      <c r="BG19" s="9">
        <f t="array" ref="BG19">IF(BG$11&gt;=0,MAX(INDEX(MMULT(inverseG,BF$12:BF$62),$A19+1,1),MAX(strike-$B19,0)),"")</f>
        <v>3.25</v>
      </c>
      <c r="BH19" s="9">
        <f t="array" ref="BH19">IF(BH$11&gt;=0,MAX(INDEX(MMULT(inverseG,BG$12:BG$62),$A19+1,1),MAX(strike-$B19,0)),"")</f>
        <v>3.25</v>
      </c>
      <c r="BI19" s="9">
        <f t="array" ref="BI19">IF(BI$11&gt;=0,MAX(INDEX(MMULT(inverseG,BH$12:BH$62),$A19+1,1),MAX(strike-$B19,0)),"")</f>
        <v>3.25</v>
      </c>
      <c r="BJ19" s="9">
        <f t="array" ref="BJ19">IF(BJ$11&gt;=0,MAX(INDEX(MMULT(inverseG,BI$12:BI$62),$A19+1,1),MAX(strike-$B19,0)),"")</f>
        <v>3.25</v>
      </c>
      <c r="BK19" s="9">
        <f t="array" ref="BK19">IF(BK$11&gt;=0,MAX(INDEX(MMULT(inverseG,BJ$12:BJ$62),$A19+1,1),MAX(strike-$B19,0)),"")</f>
        <v>3.25</v>
      </c>
      <c r="BL19" s="9">
        <f t="array" ref="BL19">IF(BL$11&gt;=0,MAX(INDEX(MMULT(inverseG,BK$12:BK$62),$A19+1,1),MAX(strike-$B19,0)),"")</f>
        <v>3.25</v>
      </c>
      <c r="BM19" s="9">
        <f t="array" ref="BM19">IF(BM$11&gt;=0,MAX(INDEX(MMULT(inverseG,BL$12:BL$62),$A19+1,1),MAX(strike-$B19,0)),"")</f>
        <v>3.25</v>
      </c>
      <c r="BN19" s="9">
        <f t="array" ref="BN19">IF(BN$11&gt;=0,MAX(INDEX(MMULT(inverseG,BM$12:BM$62),$A19+1,1),MAX(strike-$B19,0)),"")</f>
        <v>3.25</v>
      </c>
      <c r="BO19" s="9">
        <f t="array" ref="BO19">IF(BO$11&gt;=0,MAX(INDEX(MMULT(inverseG,BN$12:BN$62),$A19+1,1),MAX(strike-$B19,0)),"")</f>
        <v>3.25</v>
      </c>
      <c r="BP19" s="9">
        <f t="array" ref="BP19">IF(BP$11&gt;=0,MAX(INDEX(MMULT(inverseG,BO$12:BO$62),$A19+1,1),MAX(strike-$B19,0)),"")</f>
        <v>3.25</v>
      </c>
      <c r="BQ19" s="9">
        <f t="array" ref="BQ19">IF(BQ$11&gt;=0,MAX(INDEX(MMULT(inverseG,BP$12:BP$62),$A19+1,1),MAX(strike-$B19,0)),"")</f>
        <v>3.25</v>
      </c>
      <c r="BR19" s="9">
        <f t="array" ref="BR19">IF(BR$11&gt;=0,MAX(INDEX(MMULT(inverseG,BQ$12:BQ$62),$A19+1,1),MAX(strike-$B19,0)),"")</f>
        <v>3.25</v>
      </c>
      <c r="BS19" s="9">
        <f t="array" ref="BS19">IF(BS$11&gt;=0,MAX(INDEX(MMULT(inverseG,BR$12:BR$62),$A19+1,1),MAX(strike-$B19,0)),"")</f>
        <v>3.25</v>
      </c>
      <c r="BT19" s="9">
        <f t="array" ref="BT19">IF(BT$11&gt;=0,MAX(INDEX(MMULT(inverseG,BS$12:BS$62),$A19+1,1),MAX(strike-$B19,0)),"")</f>
        <v>3.25</v>
      </c>
      <c r="BU19" s="9">
        <f t="array" ref="BU19">IF(BU$11&gt;=0,MAX(INDEX(MMULT(inverseG,BT$12:BT$62),$A19+1,1),MAX(strike-$B19,0)),"")</f>
        <v>3.25</v>
      </c>
      <c r="BV19" s="9">
        <f t="array" ref="BV19">IF(BV$11&gt;=0,MAX(INDEX(MMULT(inverseG,BU$12:BU$62),$A19+1,1),MAX(strike-$B19,0)),"")</f>
        <v>3.25</v>
      </c>
      <c r="BW19" s="9">
        <f t="array" ref="BW19">IF(BW$11&gt;=0,MAX(INDEX(MMULT(inverseG,BV$12:BV$62),$A19+1,1),MAX(strike-$B19,0)),"")</f>
        <v>3.25</v>
      </c>
      <c r="BX19" s="9">
        <f t="array" ref="BX19">IF(BX$11&gt;=0,MAX(INDEX(MMULT(inverseG,BW$12:BW$62),$A19+1,1),MAX(strike-$B19,0)),"")</f>
        <v>3.25</v>
      </c>
      <c r="BY19" s="9">
        <f t="array" ref="BY19">IF(BY$11&gt;=0,MAX(INDEX(MMULT(inverseG,BX$12:BX$62),$A19+1,1),MAX(strike-$B19,0)),"")</f>
        <v>3.25</v>
      </c>
      <c r="BZ19" s="9">
        <f t="array" ref="BZ19">IF(BZ$11&gt;=0,MAX(INDEX(MMULT(inverseG,BY$12:BY$62),$A19+1,1),MAX(strike-$B19,0)),"")</f>
        <v>3.25</v>
      </c>
      <c r="CA19" s="9">
        <f t="array" ref="CA19">IF(CA$11&gt;=0,MAX(INDEX(MMULT(inverseG,BZ$12:BZ$62),$A19+1,1),MAX(strike-$B19,0)),"")</f>
        <v>3.25</v>
      </c>
      <c r="CB19" s="9">
        <f t="array" ref="CB19">IF(CB$11&gt;=0,MAX(INDEX(MMULT(inverseG,CA$12:CA$62),$A19+1,1),MAX(strike-$B19,0)),"")</f>
        <v>3.25</v>
      </c>
      <c r="CC19" s="9">
        <f t="array" ref="CC19">IF(CC$11&gt;=0,MAX(INDEX(MMULT(inverseG,CB$12:CB$62),$A19+1,1),MAX(strike-$B19,0)),"")</f>
        <v>3.25</v>
      </c>
      <c r="CD19" s="9">
        <f t="array" ref="CD19">IF(CD$11&gt;=0,MAX(INDEX(MMULT(inverseG,CC$12:CC$62),$A19+1,1),MAX(strike-$B19,0)),"")</f>
        <v>3.25</v>
      </c>
      <c r="CE19" s="9">
        <f t="array" ref="CE19">IF(CE$11&gt;=0,MAX(INDEX(MMULT(inverseG,CD$12:CD$62),$A19+1,1),MAX(strike-$B19,0)),"")</f>
        <v>3.25</v>
      </c>
      <c r="CF19" s="9">
        <f t="array" ref="CF19">IF(CF$11&gt;=0,MAX(INDEX(MMULT(inverseG,CE$12:CE$62),$A19+1,1),MAX(strike-$B19,0)),"")</f>
        <v>3.25</v>
      </c>
      <c r="CG19" s="9">
        <f t="array" ref="CG19">IF(CG$11&gt;=0,MAX(INDEX(MMULT(inverseG,CF$12:CF$62),$A19+1,1),MAX(strike-$B19,0)),"")</f>
        <v>3.25</v>
      </c>
      <c r="CH19" s="9">
        <f t="array" ref="CH19">IF(CH$11&gt;=0,MAX(INDEX(MMULT(inverseG,CG$12:CG$62),$A19+1,1),MAX(strike-$B19,0)),"")</f>
        <v>3.25</v>
      </c>
      <c r="CI19" s="9">
        <f t="array" ref="CI19">IF(CI$11&gt;=0,MAX(INDEX(MMULT(inverseG,CH$12:CH$62),$A19+1,1),MAX(strike-$B19,0)),"")</f>
        <v>3.25</v>
      </c>
      <c r="CJ19" s="9">
        <f t="array" ref="CJ19">IF(CJ$11&gt;=0,MAX(INDEX(MMULT(inverseG,CI$12:CI$62),$A19+1,1),MAX(strike-$B19,0)),"")</f>
        <v>3.25</v>
      </c>
      <c r="CK19" s="9">
        <f t="array" ref="CK19">IF(CK$11&gt;=0,MAX(INDEX(MMULT(inverseG,CJ$12:CJ$62),$A19+1,1),MAX(strike-$B19,0)),"")</f>
        <v>3.25</v>
      </c>
      <c r="CL19" s="9">
        <f t="array" ref="CL19">IF(CL$11&gt;=0,MAX(INDEX(MMULT(inverseG,CK$12:CK$62),$A19+1,1),MAX(strike-$B19,0)),"")</f>
        <v>3.25</v>
      </c>
      <c r="CM19" s="9">
        <f t="array" ref="CM19">IF(CM$11&gt;=0,MAX(INDEX(MMULT(inverseG,CL$12:CL$62),$A19+1,1),MAX(strike-$B19,0)),"")</f>
        <v>3.25</v>
      </c>
      <c r="CN19" s="9">
        <f t="array" ref="CN19">IF(CN$11&gt;=0,MAX(INDEX(MMULT(inverseG,CM$12:CM$62),$A19+1,1),MAX(strike-$B19,0)),"")</f>
        <v>3.25</v>
      </c>
      <c r="CO19" s="9">
        <f t="array" ref="CO19">IF(CO$11&gt;=0,MAX(INDEX(MMULT(inverseG,CN$12:CN$62),$A19+1,1),MAX(strike-$B19,0)),"")</f>
        <v>3.25</v>
      </c>
      <c r="CP19" s="9">
        <f t="array" ref="CP19">IF(CP$11&gt;=0,MAX(INDEX(MMULT(inverseG,CO$12:CO$62),$A19+1,1),MAX(strike-$B19,0)),"")</f>
        <v>3.25</v>
      </c>
      <c r="CQ19" s="9">
        <f t="array" ref="CQ19">IF(CQ$11&gt;=0,MAX(INDEX(MMULT(inverseG,CP$12:CP$62),$A19+1,1),MAX(strike-$B19,0)),"")</f>
        <v>3.25</v>
      </c>
      <c r="CR19" s="9">
        <f t="array" ref="CR19">IF(CR$11&gt;=0,MAX(INDEX(MMULT(inverseG,CQ$12:CQ$62),$A19+1,1),MAX(strike-$B19,0)),"")</f>
        <v>3.25</v>
      </c>
      <c r="CS19" s="9">
        <f t="array" ref="CS19">IF(CS$11&gt;=0,MAX(INDEX(MMULT(inverseG,CR$12:CR$62),$A19+1,1),MAX(strike-$B19,0)),"")</f>
        <v>3.25</v>
      </c>
      <c r="CT19" s="9">
        <f t="array" ref="CT19">IF(CT$11&gt;=0,MAX(INDEX(MMULT(inverseG,CS$12:CS$62),$A19+1,1),MAX(strike-$B19,0)),"")</f>
        <v>3.25</v>
      </c>
      <c r="CU19" s="9">
        <f t="array" ref="CU19">IF(CU$11&gt;=0,MAX(INDEX(MMULT(inverseG,CT$12:CT$62),$A19+1,1),MAX(strike-$B19,0)),"")</f>
        <v>3.25</v>
      </c>
      <c r="CV19" s="9">
        <f t="array" ref="CV19">IF(CV$11&gt;=0,MAX(INDEX(MMULT(inverseG,CU$12:CU$62),$A19+1,1),MAX(strike-$B19,0)),"")</f>
        <v>3.25</v>
      </c>
      <c r="CW19" s="9">
        <f t="array" ref="CW19">IF(CW$11&gt;=0,MAX(INDEX(MMULT(inverseG,CV$12:CV$62),$A19+1,1),MAX(strike-$B19,0)),"")</f>
        <v>3.25</v>
      </c>
      <c r="CX19" s="9">
        <f t="array" ref="CX19">IF(CX$11&gt;=0,MAX(INDEX(MMULT(inverseG,CW$12:CW$62),$A19+1,1),MAX(strike-$B19,0)),"")</f>
        <v>3.25</v>
      </c>
      <c r="CY19" s="9">
        <f t="array" ref="CY19">IF(CY$11&gt;=0,MAX(INDEX(MMULT(inverseG,CX$12:CX$62),$A19+1,1),MAX(strike-$B19,0)),"")</f>
        <v>3.25</v>
      </c>
      <c r="CZ19" s="9">
        <f t="array" ref="CZ19">IF(CZ$11&gt;=0,MAX(INDEX(MMULT(inverseG,CY$12:CY$62),$A19+1,1),MAX(strike-$B19,0)),"")</f>
        <v>3.25</v>
      </c>
      <c r="DA19" s="9" t="str">
        <f t="array" ref="DA19">IF(DA$11&gt;=0,MAX(INDEX(MMULT(inverseG,CZ$12:CZ$62),$A19+1,1),MAX(strike-$B19,0)),"")</f>
        <v/>
      </c>
      <c r="DB19" s="9" t="str">
        <f t="array" ref="DB19">IF(DB$11&gt;=0,MAX(INDEX(MMULT(inverseG,DA$12:DA$62),$A19+1,1),MAX(strike-$B19,0)),"")</f>
        <v/>
      </c>
      <c r="DC19" s="9" t="str">
        <f t="array" ref="DC19">IF(DC$11&gt;=0,MAX(INDEX(MMULT(inverseG,DB$12:DB$62),$A19+1,1),MAX(strike-$B19,0)),"")</f>
        <v/>
      </c>
      <c r="DD19" s="9" t="str">
        <f t="array" ref="DD19">IF(DD$11&gt;=0,MAX(INDEX(MMULT(inverseG,DC$12:DC$62),$A19+1,1),MAX(strike-$B19,0)),"")</f>
        <v/>
      </c>
      <c r="DE19" s="9" t="str">
        <f t="array" ref="DE19">IF(DE$11&gt;=0,MAX(INDEX(MMULT(inverseG,DD$12:DD$62),$A19+1,1),MAX(strike-$B19,0)),"")</f>
        <v/>
      </c>
      <c r="DF19" s="9" t="str">
        <f t="array" ref="DF19">IF(DF$11&gt;=0,MAX(INDEX(MMULT(inverseG,DE$12:DE$62),$A19+1,1),MAX(strike-$B19,0)),"")</f>
        <v/>
      </c>
      <c r="DG19" s="9" t="str">
        <f t="array" ref="DG19">IF(DG$11&gt;=0,MAX(INDEX(MMULT(inverseG,DF$12:DF$62),$A19+1,1),MAX(strike-$B19,0)),"")</f>
        <v/>
      </c>
      <c r="DH19" s="9" t="str">
        <f t="array" ref="DH19">IF(DH$11&gt;=0,MAX(INDEX(MMULT(inverseG,DG$12:DG$62),$A19+1,1),MAX(strike-$B19,0)),"")</f>
        <v/>
      </c>
      <c r="DI19" s="9" t="str">
        <f t="array" ref="DI19">IF(DI$11&gt;=0,MAX(INDEX(MMULT(inverseG,DH$12:DH$62),$A19+1,1),MAX(strike-$B19,0)),"")</f>
        <v/>
      </c>
      <c r="DJ19" s="9" t="str">
        <f t="array" ref="DJ19">IF(DJ$11&gt;=0,MAX(INDEX(MMULT(inverseG,DI$12:DI$62),$A19+1,1),MAX(strike-$B19,0)),"")</f>
        <v/>
      </c>
      <c r="DK19" s="9" t="str">
        <f t="array" ref="DK19">IF(DK$11&gt;=0,MAX(INDEX(MMULT(inverseG,DJ$12:DJ$62),$A19+1,1),MAX(strike-$B19,0)),"")</f>
        <v/>
      </c>
      <c r="DL19" s="9" t="str">
        <f t="array" ref="DL19">IF(DL$11&gt;=0,MAX(INDEX(MMULT(inverseG,DK$12:DK$62),$A19+1,1),MAX(strike-$B19,0)),"")</f>
        <v/>
      </c>
      <c r="DM19" s="9" t="str">
        <f t="array" ref="DM19">IF(DM$11&gt;=0,MAX(INDEX(MMULT(inverseG,DL$12:DL$62),$A19+1,1),MAX(strike-$B19,0)),"")</f>
        <v/>
      </c>
      <c r="DN19" s="9" t="str">
        <f t="array" ref="DN19">IF(DN$11&gt;=0,MAX(INDEX(MMULT(inverseG,DM$12:DM$62),$A19+1,1),MAX(strike-$B19,0)),"")</f>
        <v/>
      </c>
      <c r="DO19" s="9" t="str">
        <f t="array" ref="DO19">IF(DO$11&gt;=0,MAX(INDEX(MMULT(inverseG,DN$12:DN$62),$A19+1,1),MAX(strike-$B19,0)),"")</f>
        <v/>
      </c>
      <c r="DP19" s="9" t="str">
        <f t="array" ref="DP19">IF(DP$11&gt;=0,MAX(INDEX(MMULT(inverseG,DO$12:DO$62),$A19+1,1),MAX(strike-$B19,0)),"")</f>
        <v/>
      </c>
      <c r="DQ19" s="9" t="str">
        <f t="array" ref="DQ19">IF(DQ$11&gt;=0,MAX(INDEX(MMULT(inverseG,DP$12:DP$62),$A19+1,1),MAX(strike-$B19,0)),"")</f>
        <v/>
      </c>
      <c r="DR19" s="9" t="str">
        <f t="array" ref="DR19">IF(DR$11&gt;=0,MAX(INDEX(MMULT(inverseG,DQ$12:DQ$62),$A19+1,1),MAX(strike-$B19,0)),"")</f>
        <v/>
      </c>
      <c r="DS19" s="9" t="str">
        <f t="array" ref="DS19">IF(DS$11&gt;=0,MAX(INDEX(MMULT(inverseG,DR$12:DR$62),$A19+1,1),MAX(strike-$B19,0)),"")</f>
        <v/>
      </c>
      <c r="DT19" s="9" t="str">
        <f t="array" ref="DT19">IF(DT$11&gt;=0,MAX(INDEX(MMULT(inverseG,DS$12:DS$62),$A19+1,1),MAX(strike-$B19,0)),"")</f>
        <v/>
      </c>
      <c r="DU19" s="9" t="str">
        <f t="array" ref="DU19">IF(DU$11&gt;=0,MAX(INDEX(MMULT(inverseG,DT$12:DT$62),$A19+1,1),MAX(strike-$B19,0)),"")</f>
        <v/>
      </c>
      <c r="DV19" s="9" t="str">
        <f t="array" ref="DV19">IF(DV$11&gt;=0,MAX(INDEX(MMULT(inverseG,DU$12:DU$62),$A19+1,1),MAX(strike-$B19,0)),"")</f>
        <v/>
      </c>
      <c r="DW19" s="9" t="str">
        <f t="array" ref="DW19">IF(DW$11&gt;=0,MAX(INDEX(MMULT(inverseG,DV$12:DV$62),$A19+1,1),MAX(strike-$B19,0)),"")</f>
        <v/>
      </c>
      <c r="DX19" s="9" t="str">
        <f t="array" ref="DX19">IF(DX$11&gt;=0,MAX(INDEX(MMULT(inverseG,DW$12:DW$62),$A19+1,1),MAX(strike-$B19,0)),"")</f>
        <v/>
      </c>
      <c r="DY19" s="9" t="str">
        <f t="array" ref="DY19">IF(DY$11&gt;=0,MAX(INDEX(MMULT(inverseG,DX$12:DX$62),$A19+1,1),MAX(strike-$B19,0)),"")</f>
        <v/>
      </c>
      <c r="DZ19" s="9" t="str">
        <f t="array" ref="DZ19">IF(DZ$11&gt;=0,MAX(INDEX(MMULT(inverseG,DY$12:DY$62),$A19+1,1),MAX(strike-$B19,0)),"")</f>
        <v/>
      </c>
      <c r="EA19" s="9" t="str">
        <f t="array" ref="EA19">IF(EA$11&gt;=0,MAX(INDEX(MMULT(inverseG,DZ$12:DZ$62),$A19+1,1),MAX(strike-$B19,0)),"")</f>
        <v/>
      </c>
      <c r="EB19" s="9" t="str">
        <f t="array" ref="EB19">IF(EB$11&gt;=0,MAX(INDEX(MMULT(inverseG,EA$12:EA$62),$A19+1,1),MAX(strike-$B19,0)),"")</f>
        <v/>
      </c>
      <c r="EC19" s="9" t="str">
        <f t="array" ref="EC19">IF(EC$11&gt;=0,MAX(INDEX(MMULT(inverseG,EB$12:EB$62),$A19+1,1),MAX(strike-$B19,0)),"")</f>
        <v/>
      </c>
      <c r="ED19" s="9" t="str">
        <f t="array" ref="ED19">IF(ED$11&gt;=0,MAX(INDEX(MMULT(inverseG,EC$12:EC$62),$A19+1,1),MAX(strike-$B19,0)),"")</f>
        <v/>
      </c>
      <c r="EE19" s="9" t="str">
        <f t="array" ref="EE19">IF(EE$11&gt;=0,MAX(INDEX(MMULT(inverseG,ED$12:ED$62),$A19+1,1),MAX(strike-$B19,0)),"")</f>
        <v/>
      </c>
      <c r="EF19" s="9" t="str">
        <f t="array" ref="EF19">IF(EF$11&gt;=0,MAX(INDEX(MMULT(inverseG,EE$12:EE$62),$A19+1,1),MAX(strike-$B19,0)),"")</f>
        <v/>
      </c>
      <c r="EG19" s="9" t="str">
        <f t="array" ref="EG19">IF(EG$11&gt;=0,MAX(INDEX(MMULT(inverseG,EF$12:EF$62),$A19+1,1),MAX(strike-$B19,0)),"")</f>
        <v/>
      </c>
      <c r="EH19" s="9" t="str">
        <f t="array" ref="EH19">IF(EH$11&gt;=0,MAX(INDEX(MMULT(inverseG,EG$12:EG$62),$A19+1,1),MAX(strike-$B19,0)),"")</f>
        <v/>
      </c>
      <c r="EI19" s="9" t="str">
        <f t="array" ref="EI19">IF(EI$11&gt;=0,MAX(INDEX(MMULT(inverseG,EH$12:EH$62),$A19+1,1),MAX(strike-$B19,0)),"")</f>
        <v/>
      </c>
      <c r="EJ19" s="9" t="str">
        <f t="array" ref="EJ19">IF(EJ$11&gt;=0,MAX(INDEX(MMULT(inverseG,EI$12:EI$62),$A19+1,1),MAX(strike-$B19,0)),"")</f>
        <v/>
      </c>
      <c r="EK19" s="9" t="str">
        <f t="array" ref="EK19">IF(EK$11&gt;=0,MAX(INDEX(MMULT(inverseG,EJ$12:EJ$62),$A19+1,1),MAX(strike-$B19,0)),"")</f>
        <v/>
      </c>
      <c r="EL19" s="9" t="str">
        <f t="array" ref="EL19">IF(EL$11&gt;=0,MAX(INDEX(MMULT(inverseG,EK$12:EK$62),$A19+1,1),MAX(strike-$B19,0)),"")</f>
        <v/>
      </c>
      <c r="EM19" s="9" t="str">
        <f t="array" ref="EM19">IF(EM$11&gt;=0,MAX(INDEX(MMULT(inverseG,EL$12:EL$62),$A19+1,1),MAX(strike-$B19,0)),"")</f>
        <v/>
      </c>
      <c r="EN19" s="9" t="str">
        <f t="array" ref="EN19">IF(EN$11&gt;=0,MAX(INDEX(MMULT(inverseG,EM$12:EM$62),$A19+1,1),MAX(strike-$B19,0)),"")</f>
        <v/>
      </c>
      <c r="EO19" s="9" t="str">
        <f t="array" ref="EO19">IF(EO$11&gt;=0,MAX(INDEX(MMULT(inverseG,EN$12:EN$62),$A19+1,1),MAX(strike-$B19,0)),"")</f>
        <v/>
      </c>
      <c r="EP19" s="9" t="str">
        <f t="array" ref="EP19">IF(EP$11&gt;=0,MAX(INDEX(MMULT(inverseG,EO$12:EO$62),$A19+1,1),MAX(strike-$B19,0)),"")</f>
        <v/>
      </c>
      <c r="EQ19" s="9" t="str">
        <f t="array" ref="EQ19">IF(EQ$11&gt;=0,MAX(INDEX(MMULT(inverseG,EP$12:EP$62),$A19+1,1),MAX(strike-$B19,0)),"")</f>
        <v/>
      </c>
      <c r="ER19" s="9" t="str">
        <f t="array" ref="ER19">IF(ER$11&gt;=0,MAX(INDEX(MMULT(inverseG,EQ$12:EQ$62),$A19+1,1),MAX(strike-$B19,0)),"")</f>
        <v/>
      </c>
      <c r="ES19" s="9" t="str">
        <f t="array" ref="ES19">IF(ES$11&gt;=0,MAX(INDEX(MMULT(inverseG,ER$12:ER$62),$A19+1,1),MAX(strike-$B19,0)),"")</f>
        <v/>
      </c>
      <c r="ET19" s="9" t="str">
        <f t="array" ref="ET19">IF(ET$11&gt;=0,MAX(INDEX(MMULT(inverseG,ES$12:ES$62),$A19+1,1),MAX(strike-$B19,0)),"")</f>
        <v/>
      </c>
      <c r="EU19" s="9" t="str">
        <f t="array" ref="EU19">IF(EU$11&gt;=0,MAX(INDEX(MMULT(inverseG,ET$12:ET$62),$A19+1,1),MAX(strike-$B19,0)),"")</f>
        <v/>
      </c>
      <c r="EV19" s="9" t="str">
        <f t="array" ref="EV19">IF(EV$11&gt;=0,MAX(INDEX(MMULT(inverseG,EU$12:EU$62),$A19+1,1),MAX(strike-$B19,0)),"")</f>
        <v/>
      </c>
      <c r="EW19" s="9" t="str">
        <f t="array" ref="EW19">IF(EW$11&gt;=0,MAX(INDEX(MMULT(inverseG,EV$12:EV$62),$A19+1,1),MAX(strike-$B19,0)),"")</f>
        <v/>
      </c>
      <c r="EX19" s="9" t="str">
        <f t="array" ref="EX19">IF(EX$11&gt;=0,MAX(INDEX(MMULT(inverseG,EW$12:EW$62),$A19+1,1),MAX(strike-$B19,0)),"")</f>
        <v/>
      </c>
      <c r="EY19" s="9" t="str">
        <f t="array" ref="EY19">IF(EY$11&gt;=0,MAX(INDEX(MMULT(inverseG,EX$12:EX$62),$A19+1,1),MAX(strike-$B19,0)),"")</f>
        <v/>
      </c>
      <c r="EZ19" s="9" t="str">
        <f t="array" ref="EZ19">IF(EZ$11&gt;=0,MAX(INDEX(MMULT(inverseG,EY$12:EY$62),$A19+1,1),MAX(strike-$B19,0)),"")</f>
        <v/>
      </c>
      <c r="FA19" s="9" t="str">
        <f t="array" ref="FA19">IF(FA$11&gt;=0,MAX(INDEX(MMULT(inverseG,EZ$12:EZ$62),$A19+1,1),MAX(strike-$B19,0)),"")</f>
        <v/>
      </c>
      <c r="FB19" s="9" t="str">
        <f t="array" ref="FB19">IF(FB$11&gt;=0,MAX(INDEX(MMULT(inverseG,FA$12:FA$62),$A19+1,1),MAX(strike-$B19,0)),"")</f>
        <v/>
      </c>
      <c r="FC19" s="9" t="str">
        <f t="array" ref="FC19">IF(FC$11&gt;=0,MAX(INDEX(MMULT(inverseG,FB$12:FB$62),$A19+1,1),MAX(strike-$B19,0)),"")</f>
        <v/>
      </c>
      <c r="FD19" s="9" t="str">
        <f t="array" ref="FD19">IF(FD$11&gt;=0,MAX(INDEX(MMULT(inverseG,FC$12:FC$62),$A19+1,1),MAX(strike-$B19,0)),"")</f>
        <v/>
      </c>
      <c r="FE19" s="9" t="str">
        <f t="array" ref="FE19">IF(FE$11&gt;=0,MAX(INDEX(MMULT(inverseG,FD$12:FD$62),$A19+1,1),MAX(strike-$B19,0)),"")</f>
        <v/>
      </c>
      <c r="FF19" s="9" t="str">
        <f t="array" ref="FF19">IF(FF$11&gt;=0,MAX(INDEX(MMULT(inverseG,FE$12:FE$62),$A19+1,1),MAX(strike-$B19,0)),"")</f>
        <v/>
      </c>
      <c r="FG19" s="9" t="str">
        <f t="array" ref="FG19">IF(FG$11&gt;=0,MAX(INDEX(MMULT(inverseG,FF$12:FF$62),$A19+1,1),MAX(strike-$B19,0)),"")</f>
        <v/>
      </c>
      <c r="FH19" s="9" t="str">
        <f t="array" ref="FH19">IF(FH$11&gt;=0,MAX(INDEX(MMULT(inverseG,FG$12:FG$62),$A19+1,1),MAX(strike-$B19,0)),"")</f>
        <v/>
      </c>
      <c r="FI19" s="9" t="str">
        <f t="array" ref="FI19">IF(FI$11&gt;=0,MAX(INDEX(MMULT(inverseG,FH$12:FH$62),$A19+1,1),MAX(strike-$B19,0)),"")</f>
        <v/>
      </c>
      <c r="FJ19" s="9" t="str">
        <f t="array" ref="FJ19">IF(FJ$11&gt;=0,MAX(INDEX(MMULT(inverseG,FI$12:FI$62),$A19+1,1),MAX(strike-$B19,0)),"")</f>
        <v/>
      </c>
      <c r="FK19" s="9" t="str">
        <f t="array" ref="FK19">IF(FK$11&gt;=0,MAX(INDEX(MMULT(inverseG,FJ$12:FJ$62),$A19+1,1),MAX(strike-$B19,0)),"")</f>
        <v/>
      </c>
      <c r="FL19" s="9" t="str">
        <f t="array" ref="FL19">IF(FL$11&gt;=0,MAX(INDEX(MMULT(inverseG,FK$12:FK$62),$A19+1,1),MAX(strike-$B19,0)),"")</f>
        <v/>
      </c>
      <c r="FM19" s="9" t="str">
        <f t="array" ref="FM19">IF(FM$11&gt;=0,MAX(INDEX(MMULT(inverseG,FL$12:FL$62),$A19+1,1),MAX(strike-$B19,0)),"")</f>
        <v/>
      </c>
      <c r="FN19" s="9" t="str">
        <f t="array" ref="FN19">IF(FN$11&gt;=0,MAX(INDEX(MMULT(inverseG,FM$12:FM$62),$A19+1,1),MAX(strike-$B19,0)),"")</f>
        <v/>
      </c>
      <c r="FO19" s="9" t="str">
        <f t="array" ref="FO19">IF(FO$11&gt;=0,MAX(INDEX(MMULT(inverseG,FN$12:FN$62),$A19+1,1),MAX(strike-$B19,0)),"")</f>
        <v/>
      </c>
      <c r="FP19" s="9" t="str">
        <f t="array" ref="FP19">IF(FP$11&gt;=0,MAX(INDEX(MMULT(inverseG,FO$12:FO$62),$A19+1,1),MAX(strike-$B19,0)),"")</f>
        <v/>
      </c>
      <c r="FQ19" s="9" t="str">
        <f t="array" ref="FQ19">IF(FQ$11&gt;=0,MAX(INDEX(MMULT(inverseG,FP$12:FP$62),$A19+1,1),MAX(strike-$B19,0)),"")</f>
        <v/>
      </c>
      <c r="FR19" s="9" t="str">
        <f t="array" ref="FR19">IF(FR$11&gt;=0,MAX(INDEX(MMULT(inverseG,FQ$12:FQ$62),$A19+1,1),MAX(strike-$B19,0)),"")</f>
        <v/>
      </c>
      <c r="FS19" s="9" t="str">
        <f t="array" ref="FS19">IF(FS$11&gt;=0,MAX(INDEX(MMULT(inverseG,FR$12:FR$62),$A19+1,1),MAX(strike-$B19,0)),"")</f>
        <v/>
      </c>
      <c r="FT19" s="9" t="str">
        <f t="array" ref="FT19">IF(FT$11&gt;=0,MAX(INDEX(MMULT(inverseG,FS$12:FS$62),$A19+1,1),MAX(strike-$B19,0)),"")</f>
        <v/>
      </c>
      <c r="FU19" s="9" t="str">
        <f t="array" ref="FU19">IF(FU$11&gt;=0,MAX(INDEX(MMULT(inverseG,FT$12:FT$62),$A19+1,1),MAX(strike-$B19,0)),"")</f>
        <v/>
      </c>
      <c r="FV19" s="9" t="str">
        <f t="array" ref="FV19">IF(FV$11&gt;=0,MAX(INDEX(MMULT(inverseG,FU$12:FU$62),$A19+1,1),MAX(strike-$B19,0)),"")</f>
        <v/>
      </c>
      <c r="FW19" s="9" t="str">
        <f t="array" ref="FW19">IF(FW$11&gt;=0,MAX(INDEX(MMULT(inverseG,FV$12:FV$62),$A19+1,1),MAX(strike-$B19,0)),"")</f>
        <v/>
      </c>
      <c r="FX19" s="9" t="str">
        <f t="array" ref="FX19">IF(FX$11&gt;=0,MAX(INDEX(MMULT(inverseG,FW$12:FW$62),$A19+1,1),MAX(strike-$B19,0)),"")</f>
        <v/>
      </c>
      <c r="FY19" s="9" t="str">
        <f t="array" ref="FY19">IF(FY$11&gt;=0,MAX(INDEX(MMULT(inverseG,FX$12:FX$62),$A19+1,1),MAX(strike-$B19,0)),"")</f>
        <v/>
      </c>
      <c r="FZ19" s="9" t="str">
        <f t="array" ref="FZ19">IF(FZ$11&gt;=0,MAX(INDEX(MMULT(inverseG,FY$12:FY$62),$A19+1,1),MAX(strike-$B19,0)),"")</f>
        <v/>
      </c>
      <c r="GA19" s="9" t="str">
        <f t="array" ref="GA19">IF(GA$11&gt;=0,MAX(INDEX(MMULT(inverseG,FZ$12:FZ$62),$A19+1,1),MAX(strike-$B19,0)),"")</f>
        <v/>
      </c>
      <c r="GB19" s="9" t="str">
        <f t="array" ref="GB19">IF(GB$11&gt;=0,MAX(INDEX(MMULT(inverseG,GA$12:GA$62),$A19+1,1),MAX(strike-$B19,0)),"")</f>
        <v/>
      </c>
      <c r="GC19" s="9" t="str">
        <f t="array" ref="GC19">IF(GC$11&gt;=0,MAX(INDEX(MMULT(inverseG,GB$12:GB$62),$A19+1,1),MAX(strike-$B19,0)),"")</f>
        <v/>
      </c>
      <c r="GD19" s="9" t="str">
        <f t="array" ref="GD19">IF(GD$11&gt;=0,MAX(INDEX(MMULT(inverseG,GC$12:GC$62),$A19+1,1),MAX(strike-$B19,0)),"")</f>
        <v/>
      </c>
      <c r="GE19" s="9" t="str">
        <f t="array" ref="GE19">IF(GE$11&gt;=0,MAX(INDEX(MMULT(inverseG,GD$12:GD$62),$A19+1,1),MAX(strike-$B19,0)),"")</f>
        <v/>
      </c>
      <c r="GF19" s="9" t="str">
        <f t="array" ref="GF19">IF(GF$11&gt;=0,MAX(INDEX(MMULT(inverseG,GE$12:GE$62),$A19+1,1),MAX(strike-$B19,0)),"")</f>
        <v/>
      </c>
      <c r="GG19" s="9" t="str">
        <f t="array" ref="GG19">IF(GG$11&gt;=0,MAX(INDEX(MMULT(inverseG,GF$12:GF$62),$A19+1,1),MAX(strike-$B19,0)),"")</f>
        <v/>
      </c>
      <c r="GH19" s="9" t="str">
        <f t="array" ref="GH19">IF(GH$11&gt;=0,MAX(INDEX(MMULT(inverseG,GG$12:GG$62),$A19+1,1),MAX(strike-$B19,0)),"")</f>
        <v/>
      </c>
      <c r="GI19" s="9" t="str">
        <f t="array" ref="GI19">IF(GI$11&gt;=0,MAX(INDEX(MMULT(inverseG,GH$12:GH$62),$A19+1,1),MAX(strike-$B19,0)),"")</f>
        <v/>
      </c>
      <c r="GJ19" s="9" t="str">
        <f t="array" ref="GJ19">IF(GJ$11&gt;=0,MAX(INDEX(MMULT(inverseG,GI$12:GI$62),$A19+1,1),MAX(strike-$B19,0)),"")</f>
        <v/>
      </c>
      <c r="GK19" s="9" t="str">
        <f t="array" ref="GK19">IF(GK$11&gt;=0,MAX(INDEX(MMULT(inverseG,GJ$12:GJ$62),$A19+1,1),MAX(strike-$B19,0)),"")</f>
        <v/>
      </c>
      <c r="GL19" s="9" t="str">
        <f t="array" ref="GL19">IF(GL$11&gt;=0,MAX(INDEX(MMULT(inverseG,GK$12:GK$62),$A19+1,1),MAX(strike-$B19,0)),"")</f>
        <v/>
      </c>
      <c r="GM19" s="9" t="str">
        <f t="array" ref="GM19">IF(GM$11&gt;=0,MAX(INDEX(MMULT(inverseG,GL$12:GL$62),$A19+1,1),MAX(strike-$B19,0)),"")</f>
        <v/>
      </c>
      <c r="GN19" s="9" t="str">
        <f t="array" ref="GN19">IF(GN$11&gt;=0,MAX(INDEX(MMULT(inverseG,GM$12:GM$62),$A19+1,1),MAX(strike-$B19,0)),"")</f>
        <v/>
      </c>
      <c r="GO19" s="9" t="str">
        <f t="array" ref="GO19">IF(GO$11&gt;=0,MAX(INDEX(MMULT(inverseG,GN$12:GN$62),$A19+1,1),MAX(strike-$B19,0)),"")</f>
        <v/>
      </c>
      <c r="GP19" s="9" t="str">
        <f t="array" ref="GP19">IF(GP$11&gt;=0,MAX(INDEX(MMULT(inverseG,GO$12:GO$62),$A19+1,1),MAX(strike-$B19,0)),"")</f>
        <v/>
      </c>
      <c r="GQ19" s="9" t="str">
        <f t="array" ref="GQ19">IF(GQ$11&gt;=0,MAX(INDEX(MMULT(inverseG,GP$12:GP$62),$A19+1,1),MAX(strike-$B19,0)),"")</f>
        <v/>
      </c>
      <c r="GR19" s="9" t="str">
        <f t="array" ref="GR19">IF(GR$11&gt;=0,MAX(INDEX(MMULT(inverseG,GQ$12:GQ$62),$A19+1,1),MAX(strike-$B19,0)),"")</f>
        <v/>
      </c>
      <c r="GS19" s="9" t="str">
        <f t="array" ref="GS19">IF(GS$11&gt;=0,MAX(INDEX(MMULT(inverseG,GR$12:GR$62),$A19+1,1),MAX(strike-$B19,0)),"")</f>
        <v/>
      </c>
      <c r="GT19" s="9" t="str">
        <f t="array" ref="GT19">IF(GT$11&gt;=0,MAX(INDEX(MMULT(inverseG,GS$12:GS$62),$A19+1,1),MAX(strike-$B19,0)),"")</f>
        <v/>
      </c>
      <c r="GU19" s="9" t="str">
        <f t="array" ref="GU19">IF(GU$11&gt;=0,MAX(INDEX(MMULT(inverseG,GT$12:GT$62),$A19+1,1),MAX(strike-$B19,0)),"")</f>
        <v/>
      </c>
      <c r="GV19" s="9" t="str">
        <f t="array" ref="GV19">IF(GV$11&gt;=0,MAX(INDEX(MMULT(inverseG,GU$12:GU$62),$A19+1,1),MAX(strike-$B19,0)),"")</f>
        <v/>
      </c>
      <c r="GW19" s="9" t="str">
        <f t="array" ref="GW19">IF(GW$11&gt;=0,MAX(INDEX(MMULT(inverseG,GV$12:GV$62),$A19+1,1),MAX(strike-$B19,0)),"")</f>
        <v/>
      </c>
      <c r="GX19" s="9" t="str">
        <f t="array" ref="GX19">IF(GX$11&gt;=0,MAX(INDEX(MMULT(inverseG,GW$12:GW$62),$A19+1,1),MAX(strike-$B19,0)),"")</f>
        <v/>
      </c>
      <c r="GY19" s="9" t="str">
        <f t="array" ref="GY19">IF(GY$11&gt;=0,MAX(INDEX(MMULT(inverseG,GX$12:GX$62),$A19+1,1),MAX(strike-$B19,0)),"")</f>
        <v/>
      </c>
      <c r="GZ19" s="9" t="str">
        <f t="array" ref="GZ19">IF(GZ$11&gt;=0,MAX(INDEX(MMULT(inverseG,GY$12:GY$62),$A19+1,1),MAX(strike-$B19,0)),"")</f>
        <v/>
      </c>
      <c r="HA19" s="9" t="str">
        <f t="array" ref="HA19">IF(HA$11&gt;=0,MAX(INDEX(MMULT(inverseG,GZ$12:GZ$62),$A19+1,1),MAX(strike-$B19,0)),"")</f>
        <v/>
      </c>
      <c r="HB19" s="9" t="str">
        <f t="array" ref="HB19">IF(HB$11&gt;=0,MAX(INDEX(MMULT(inverseG,HA$12:HA$62),$A19+1,1),MAX(strike-$B19,0)),"")</f>
        <v/>
      </c>
      <c r="HC19" s="9" t="str">
        <f t="array" ref="HC19">IF(HC$11&gt;=0,MAX(INDEX(MMULT(inverseG,HB$12:HB$62),$A19+1,1),MAX(strike-$B19,0)),"")</f>
        <v/>
      </c>
      <c r="HD19" s="9" t="str">
        <f t="array" ref="HD19">IF(HD$11&gt;=0,MAX(INDEX(MMULT(inverseG,HC$12:HC$62),$A19+1,1),MAX(strike-$B19,0)),"")</f>
        <v/>
      </c>
      <c r="HE19" s="9" t="str">
        <f t="array" ref="HE19">IF(HE$11&gt;=0,MAX(INDEX(MMULT(inverseG,HD$12:HD$62),$A19+1,1),MAX(strike-$B19,0)),"")</f>
        <v/>
      </c>
      <c r="HF19" s="9" t="str">
        <f t="array" ref="HF19">IF(HF$11&gt;=0,MAX(INDEX(MMULT(inverseG,HE$12:HE$62),$A19+1,1),MAX(strike-$B19,0)),"")</f>
        <v/>
      </c>
      <c r="HG19" s="9" t="str">
        <f t="array" ref="HG19">IF(HG$11&gt;=0,MAX(INDEX(MMULT(inverseG,HF$12:HF$62),$A19+1,1),MAX(strike-$B19,0)),"")</f>
        <v/>
      </c>
      <c r="HH19" s="9" t="str">
        <f t="array" ref="HH19">IF(HH$11&gt;=0,MAX(INDEX(MMULT(inverseG,HG$12:HG$62),$A19+1,1),MAX(strike-$B19,0)),"")</f>
        <v/>
      </c>
      <c r="HI19" s="9" t="str">
        <f t="array" ref="HI19">IF(HI$11&gt;=0,MAX(INDEX(MMULT(inverseG,HH$12:HH$62),$A19+1,1),MAX(strike-$B19,0)),"")</f>
        <v/>
      </c>
      <c r="HJ19" s="9" t="str">
        <f t="array" ref="HJ19">IF(HJ$11&gt;=0,MAX(INDEX(MMULT(inverseG,HI$12:HI$62),$A19+1,1),MAX(strike-$B19,0)),"")</f>
        <v/>
      </c>
      <c r="HK19" s="9" t="str">
        <f t="array" ref="HK19">IF(HK$11&gt;=0,MAX(INDEX(MMULT(inverseG,HJ$12:HJ$62),$A19+1,1),MAX(strike-$B19,0)),"")</f>
        <v/>
      </c>
      <c r="HL19" s="9" t="str">
        <f t="array" ref="HL19">IF(HL$11&gt;=0,MAX(INDEX(MMULT(inverseG,HK$12:HK$62),$A19+1,1),MAX(strike-$B19,0)),"")</f>
        <v/>
      </c>
      <c r="HM19" s="9" t="str">
        <f t="array" ref="HM19">IF(HM$11&gt;=0,MAX(INDEX(MMULT(inverseG,HL$12:HL$62),$A19+1,1),MAX(strike-$B19,0)),"")</f>
        <v/>
      </c>
      <c r="HN19" s="9" t="str">
        <f t="array" ref="HN19">IF(HN$11&gt;=0,MAX(INDEX(MMULT(inverseG,HM$12:HM$62),$A19+1,1),MAX(strike-$B19,0)),"")</f>
        <v/>
      </c>
      <c r="HO19" s="9" t="str">
        <f t="array" ref="HO19">IF(HO$11&gt;=0,MAX(INDEX(MMULT(inverseG,HN$12:HN$62),$A19+1,1),MAX(strike-$B19,0)),"")</f>
        <v/>
      </c>
      <c r="HP19" s="9" t="str">
        <f t="array" ref="HP19">IF(HP$11&gt;=0,MAX(INDEX(MMULT(inverseG,HO$12:HO$62),$A19+1,1),MAX(strike-$B19,0)),"")</f>
        <v/>
      </c>
      <c r="HQ19" s="9" t="str">
        <f t="array" ref="HQ19">IF(HQ$11&gt;=0,MAX(INDEX(MMULT(inverseG,HP$12:HP$62),$A19+1,1),MAX(strike-$B19,0)),"")</f>
        <v/>
      </c>
      <c r="HR19" s="9" t="str">
        <f t="array" ref="HR19">IF(HR$11&gt;=0,MAX(INDEX(MMULT(inverseG,HQ$12:HQ$62),$A19+1,1),MAX(strike-$B19,0)),"")</f>
        <v/>
      </c>
      <c r="HS19" s="9" t="str">
        <f t="array" ref="HS19">IF(HS$11&gt;=0,MAX(INDEX(MMULT(inverseG,HR$12:HR$62),$A19+1,1),MAX(strike-$B19,0)),"")</f>
        <v/>
      </c>
      <c r="HT19" s="9" t="str">
        <f t="array" ref="HT19">IF(HT$11&gt;=0,MAX(INDEX(MMULT(inverseG,HS$12:HS$62),$A19+1,1),MAX(strike-$B19,0)),"")</f>
        <v/>
      </c>
      <c r="HU19" s="9" t="str">
        <f t="array" ref="HU19">IF(HU$11&gt;=0,MAX(INDEX(MMULT(inverseG,HT$12:HT$62),$A19+1,1),MAX(strike-$B19,0)),"")</f>
        <v/>
      </c>
      <c r="HV19" s="9" t="str">
        <f t="array" ref="HV19">IF(HV$11&gt;=0,MAX(INDEX(MMULT(inverseG,HU$12:HU$62),$A19+1,1),MAX(strike-$B19,0)),"")</f>
        <v/>
      </c>
      <c r="HW19" s="9" t="str">
        <f t="array" ref="HW19">IF(HW$11&gt;=0,MAX(INDEX(MMULT(inverseG,HV$12:HV$62),$A19+1,1),MAX(strike-$B19,0)),"")</f>
        <v/>
      </c>
      <c r="HX19" s="9" t="str">
        <f t="array" ref="HX19">IF(HX$11&gt;=0,MAX(INDEX(MMULT(inverseG,HW$12:HW$62),$A19+1,1),MAX(strike-$B19,0)),"")</f>
        <v/>
      </c>
      <c r="HY19" s="9" t="str">
        <f t="array" ref="HY19">IF(HY$11&gt;=0,MAX(INDEX(MMULT(inverseG,HX$12:HX$62),$A19+1,1),MAX(strike-$B19,0)),"")</f>
        <v/>
      </c>
      <c r="HZ19" s="9" t="str">
        <f t="array" ref="HZ19">IF(HZ$11&gt;=0,MAX(INDEX(MMULT(inverseG,HY$12:HY$62),$A19+1,1),MAX(strike-$B19,0)),"")</f>
        <v/>
      </c>
      <c r="IA19" s="9" t="str">
        <f t="array" ref="IA19">IF(IA$11&gt;=0,MAX(INDEX(MMULT(inverseG,HZ$12:HZ$62),$A19+1,1),MAX(strike-$B19,0)),"")</f>
        <v/>
      </c>
      <c r="IB19" s="9" t="str">
        <f t="array" ref="IB19">IF(IB$11&gt;=0,MAX(INDEX(MMULT(inverseG,IA$12:IA$62),$A19+1,1),MAX(strike-$B19,0)),"")</f>
        <v/>
      </c>
      <c r="IC19" s="9" t="str">
        <f t="array" ref="IC19">IF(IC$11&gt;=0,MAX(INDEX(MMULT(inverseG,IB$12:IB$62),$A19+1,1),MAX(strike-$B19,0)),"")</f>
        <v/>
      </c>
      <c r="ID19" s="9" t="str">
        <f t="array" ref="ID19">IF(ID$11&gt;=0,MAX(INDEX(MMULT(inverseG,IC$12:IC$62),$A19+1,1),MAX(strike-$B19,0)),"")</f>
        <v/>
      </c>
      <c r="IE19" s="9" t="str">
        <f t="array" ref="IE19">IF(IE$11&gt;=0,MAX(INDEX(MMULT(inverseG,ID$12:ID$62),$A19+1,1),MAX(strike-$B19,0)),"")</f>
        <v/>
      </c>
      <c r="IF19" s="9" t="str">
        <f t="array" ref="IF19">IF(IF$11&gt;=0,MAX(INDEX(MMULT(inverseG,IE$12:IE$62),$A19+1,1),MAX(strike-$B19,0)),"")</f>
        <v/>
      </c>
      <c r="IG19" s="9" t="str">
        <f t="array" ref="IG19">IF(IG$11&gt;=0,MAX(INDEX(MMULT(inverseG,IF$12:IF$62),$A19+1,1),MAX(strike-$B19,0)),"")</f>
        <v/>
      </c>
      <c r="IH19" s="9" t="str">
        <f t="array" ref="IH19">IF(IH$11&gt;=0,MAX(INDEX(MMULT(inverseG,IG$12:IG$62),$A19+1,1),MAX(strike-$B19,0)),"")</f>
        <v/>
      </c>
      <c r="II19" s="9" t="str">
        <f t="array" ref="II19">IF(II$11&gt;=0,MAX(INDEX(MMULT(inverseG,IH$12:IH$62),$A19+1,1),MAX(strike-$B19,0)),"")</f>
        <v/>
      </c>
      <c r="IJ19" s="9" t="str">
        <f t="array" ref="IJ19">IF(IJ$11&gt;=0,MAX(INDEX(MMULT(inverseG,II$12:II$62),$A19+1,1),MAX(strike-$B19,0)),"")</f>
        <v/>
      </c>
      <c r="IK19" s="9" t="str">
        <f t="array" ref="IK19">IF(IK$11&gt;=0,MAX(INDEX(MMULT(inverseG,IJ$12:IJ$62),$A19+1,1),MAX(strike-$B19,0)),"")</f>
        <v/>
      </c>
      <c r="IL19" s="9" t="str">
        <f t="array" ref="IL19">IF(IL$11&gt;=0,MAX(INDEX(MMULT(inverseG,IK$12:IK$62),$A19+1,1),MAX(strike-$B19,0)),"")</f>
        <v/>
      </c>
      <c r="IM19" s="9" t="str">
        <f t="array" ref="IM19">IF(IM$11&gt;=0,MAX(INDEX(MMULT(inverseG,IL$12:IL$62),$A19+1,1),MAX(strike-$B19,0)),"")</f>
        <v/>
      </c>
      <c r="IN19" s="9" t="str">
        <f t="array" ref="IN19">IF(IN$11&gt;=0,MAX(INDEX(MMULT(inverseG,IM$12:IM$62),$A19+1,1),MAX(strike-$B19,0)),"")</f>
        <v/>
      </c>
      <c r="IO19" s="9" t="str">
        <f t="array" ref="IO19">IF(IO$11&gt;=0,MAX(INDEX(MMULT(inverseG,IN$12:IN$62),$A19+1,1),MAX(strike-$B19,0)),"")</f>
        <v/>
      </c>
      <c r="IP19" s="9" t="str">
        <f t="array" ref="IP19">IF(IP$11&gt;=0,MAX(INDEX(MMULT(inverseG,IO$12:IO$62),$A19+1,1),MAX(strike-$B19,0)),"")</f>
        <v/>
      </c>
      <c r="IQ19" s="9" t="str">
        <f t="array" ref="IQ19">IF(IQ$11&gt;=0,MAX(INDEX(MMULT(inverseG,IP$12:IP$62),$A19+1,1),MAX(strike-$B19,0)),"")</f>
        <v/>
      </c>
      <c r="IR19" s="9" t="str">
        <f t="array" ref="IR19">IF(IR$11&gt;=0,MAX(INDEX(MMULT(inverseG,IQ$12:IQ$62),$A19+1,1),MAX(strike-$B19,0)),"")</f>
        <v/>
      </c>
      <c r="IS19" s="9" t="str">
        <f t="array" ref="IS19">IF(IS$11&gt;=0,MAX(INDEX(MMULT(inverseG,IR$12:IR$62),$A19+1,1),MAX(strike-$B19,0)),"")</f>
        <v/>
      </c>
      <c r="IT19" s="9" t="str">
        <f t="array" ref="IT19">IF(IT$11&gt;=0,MAX(INDEX(MMULT(inverseG,IS$12:IS$62),$A19+1,1),MAX(strike-$B19,0)),"")</f>
        <v/>
      </c>
      <c r="IU19" s="9" t="str">
        <f t="array" ref="IU19">IF(IU$11&gt;=0,MAX(INDEX(MMULT(inverseG,IT$12:IT$62),$A19+1,1),MAX(strike-$B19,0)),"")</f>
        <v/>
      </c>
      <c r="IV19" s="9" t="str">
        <f t="array" ref="IV19">IF(IV$11&gt;=0,MAX(INDEX(MMULT(inverseG,IU$12:IU$62),$A19+1,1),MAX(strike-$B19,0)),"")</f>
        <v/>
      </c>
    </row>
    <row r="20" spans="1:256" x14ac:dyDescent="0.2">
      <c r="A20" s="8">
        <f t="shared" si="7"/>
        <v>8</v>
      </c>
      <c r="B20" s="6">
        <f t="shared" si="4"/>
        <v>2</v>
      </c>
      <c r="C20" s="30">
        <f t="shared" ca="1" si="6"/>
        <v>3</v>
      </c>
      <c r="D20" s="9">
        <f t="shared" si="5"/>
        <v>3</v>
      </c>
      <c r="E20" s="9">
        <f t="array" ref="E20">IF(E$11&gt;=0,MAX(INDEX(MMULT(inverseG,D$12:D$62),$A20+1,1),MAX(strike-$B20,0)),"")</f>
        <v>3</v>
      </c>
      <c r="F20" s="9">
        <f t="array" ref="F20">IF(F$11&gt;=0,MAX(INDEX(MMULT(inverseG,E$12:E$62),$A20+1,1),MAX(strike-$B20,0)),"")</f>
        <v>3</v>
      </c>
      <c r="G20" s="9">
        <f t="array" ref="G20">IF(G$11&gt;=0,MAX(INDEX(MMULT(inverseG,F$12:F$62),$A20+1,1),MAX(strike-$B20,0)),"")</f>
        <v>3</v>
      </c>
      <c r="H20" s="9">
        <f t="array" ref="H20">IF(H$11&gt;=0,MAX(INDEX(MMULT(inverseG,G$12:G$62),$A20+1,1),MAX(strike-$B20,0)),"")</f>
        <v>3</v>
      </c>
      <c r="I20" s="9">
        <f t="array" ref="I20">IF(I$11&gt;=0,MAX(INDEX(MMULT(inverseG,H$12:H$62),$A20+1,1),MAX(strike-$B20,0)),"")</f>
        <v>3</v>
      </c>
      <c r="J20" s="9">
        <f t="array" ref="J20">IF(J$11&gt;=0,MAX(INDEX(MMULT(inverseG,I$12:I$62),$A20+1,1),MAX(strike-$B20,0)),"")</f>
        <v>3</v>
      </c>
      <c r="K20" s="9">
        <f t="array" ref="K20">IF(K$11&gt;=0,MAX(INDEX(MMULT(inverseG,J$12:J$62),$A20+1,1),MAX(strike-$B20,0)),"")</f>
        <v>3</v>
      </c>
      <c r="L20" s="9">
        <f t="array" ref="L20">IF(L$11&gt;=0,MAX(INDEX(MMULT(inverseG,K$12:K$62),$A20+1,1),MAX(strike-$B20,0)),"")</f>
        <v>3</v>
      </c>
      <c r="M20" s="9">
        <f t="array" ref="M20">IF(M$11&gt;=0,MAX(INDEX(MMULT(inverseG,L$12:L$62),$A20+1,1),MAX(strike-$B20,0)),"")</f>
        <v>3</v>
      </c>
      <c r="N20" s="9">
        <f t="array" ref="N20">IF(N$11&gt;=0,MAX(INDEX(MMULT(inverseG,M$12:M$62),$A20+1,1),MAX(strike-$B20,0)),"")</f>
        <v>3</v>
      </c>
      <c r="O20" s="9">
        <f t="array" ref="O20">IF(O$11&gt;=0,MAX(INDEX(MMULT(inverseG,N$12:N$62),$A20+1,1),MAX(strike-$B20,0)),"")</f>
        <v>3</v>
      </c>
      <c r="P20" s="9">
        <f t="array" ref="P20">IF(P$11&gt;=0,MAX(INDEX(MMULT(inverseG,O$12:O$62),$A20+1,1),MAX(strike-$B20,0)),"")</f>
        <v>3</v>
      </c>
      <c r="Q20" s="9">
        <f t="array" ref="Q20">IF(Q$11&gt;=0,MAX(INDEX(MMULT(inverseG,P$12:P$62),$A20+1,1),MAX(strike-$B20,0)),"")</f>
        <v>3</v>
      </c>
      <c r="R20" s="9">
        <f t="array" ref="R20">IF(R$11&gt;=0,MAX(INDEX(MMULT(inverseG,Q$12:Q$62),$A20+1,1),MAX(strike-$B20,0)),"")</f>
        <v>3</v>
      </c>
      <c r="S20" s="9">
        <f t="array" ref="S20">IF(S$11&gt;=0,MAX(INDEX(MMULT(inverseG,R$12:R$62),$A20+1,1),MAX(strike-$B20,0)),"")</f>
        <v>3</v>
      </c>
      <c r="T20" s="9">
        <f t="array" ref="T20">IF(T$11&gt;=0,MAX(INDEX(MMULT(inverseG,S$12:S$62),$A20+1,1),MAX(strike-$B20,0)),"")</f>
        <v>3</v>
      </c>
      <c r="U20" s="9">
        <f t="array" ref="U20">IF(U$11&gt;=0,MAX(INDEX(MMULT(inverseG,T$12:T$62),$A20+1,1),MAX(strike-$B20,0)),"")</f>
        <v>3</v>
      </c>
      <c r="V20" s="9">
        <f t="array" ref="V20">IF(V$11&gt;=0,MAX(INDEX(MMULT(inverseG,U$12:U$62),$A20+1,1),MAX(strike-$B20,0)),"")</f>
        <v>3</v>
      </c>
      <c r="W20" s="9">
        <f t="array" ref="W20">IF(W$11&gt;=0,MAX(INDEX(MMULT(inverseG,V$12:V$62),$A20+1,1),MAX(strike-$B20,0)),"")</f>
        <v>3</v>
      </c>
      <c r="X20" s="9">
        <f t="array" ref="X20">IF(X$11&gt;=0,MAX(INDEX(MMULT(inverseG,W$12:W$62),$A20+1,1),MAX(strike-$B20,0)),"")</f>
        <v>3</v>
      </c>
      <c r="Y20" s="9">
        <f t="array" ref="Y20">IF(Y$11&gt;=0,MAX(INDEX(MMULT(inverseG,X$12:X$62),$A20+1,1),MAX(strike-$B20,0)),"")</f>
        <v>3</v>
      </c>
      <c r="Z20" s="9">
        <f t="array" ref="Z20">IF(Z$11&gt;=0,MAX(INDEX(MMULT(inverseG,Y$12:Y$62),$A20+1,1),MAX(strike-$B20,0)),"")</f>
        <v>3</v>
      </c>
      <c r="AA20" s="9">
        <f t="array" ref="AA20">IF(AA$11&gt;=0,MAX(INDEX(MMULT(inverseG,Z$12:Z$62),$A20+1,1),MAX(strike-$B20,0)),"")</f>
        <v>3</v>
      </c>
      <c r="AB20" s="9">
        <f t="array" ref="AB20">IF(AB$11&gt;=0,MAX(INDEX(MMULT(inverseG,AA$12:AA$62),$A20+1,1),MAX(strike-$B20,0)),"")</f>
        <v>3</v>
      </c>
      <c r="AC20" s="9">
        <f t="array" ref="AC20">IF(AC$11&gt;=0,MAX(INDEX(MMULT(inverseG,AB$12:AB$62),$A20+1,1),MAX(strike-$B20,0)),"")</f>
        <v>3</v>
      </c>
      <c r="AD20" s="9">
        <f t="array" ref="AD20">IF(AD$11&gt;=0,MAX(INDEX(MMULT(inverseG,AC$12:AC$62),$A20+1,1),MAX(strike-$B20,0)),"")</f>
        <v>3</v>
      </c>
      <c r="AE20" s="9">
        <f t="array" ref="AE20">IF(AE$11&gt;=0,MAX(INDEX(MMULT(inverseG,AD$12:AD$62),$A20+1,1),MAX(strike-$B20,0)),"")</f>
        <v>3</v>
      </c>
      <c r="AF20" s="9">
        <f t="array" ref="AF20">IF(AF$11&gt;=0,MAX(INDEX(MMULT(inverseG,AE$12:AE$62),$A20+1,1),MAX(strike-$B20,0)),"")</f>
        <v>3</v>
      </c>
      <c r="AG20" s="9">
        <f t="array" ref="AG20">IF(AG$11&gt;=0,MAX(INDEX(MMULT(inverseG,AF$12:AF$62),$A20+1,1),MAX(strike-$B20,0)),"")</f>
        <v>3</v>
      </c>
      <c r="AH20" s="9">
        <f t="array" ref="AH20">IF(AH$11&gt;=0,MAX(INDEX(MMULT(inverseG,AG$12:AG$62),$A20+1,1),MAX(strike-$B20,0)),"")</f>
        <v>3</v>
      </c>
      <c r="AI20" s="9">
        <f t="array" ref="AI20">IF(AI$11&gt;=0,MAX(INDEX(MMULT(inverseG,AH$12:AH$62),$A20+1,1),MAX(strike-$B20,0)),"")</f>
        <v>3</v>
      </c>
      <c r="AJ20" s="9">
        <f t="array" ref="AJ20">IF(AJ$11&gt;=0,MAX(INDEX(MMULT(inverseG,AI$12:AI$62),$A20+1,1),MAX(strike-$B20,0)),"")</f>
        <v>3</v>
      </c>
      <c r="AK20" s="9">
        <f t="array" ref="AK20">IF(AK$11&gt;=0,MAX(INDEX(MMULT(inverseG,AJ$12:AJ$62),$A20+1,1),MAX(strike-$B20,0)),"")</f>
        <v>3</v>
      </c>
      <c r="AL20" s="9">
        <f t="array" ref="AL20">IF(AL$11&gt;=0,MAX(INDEX(MMULT(inverseG,AK$12:AK$62),$A20+1,1),MAX(strike-$B20,0)),"")</f>
        <v>3</v>
      </c>
      <c r="AM20" s="9">
        <f t="array" ref="AM20">IF(AM$11&gt;=0,MAX(INDEX(MMULT(inverseG,AL$12:AL$62),$A20+1,1),MAX(strike-$B20,0)),"")</f>
        <v>3</v>
      </c>
      <c r="AN20" s="9">
        <f t="array" ref="AN20">IF(AN$11&gt;=0,MAX(INDEX(MMULT(inverseG,AM$12:AM$62),$A20+1,1),MAX(strike-$B20,0)),"")</f>
        <v>3</v>
      </c>
      <c r="AO20" s="9">
        <f t="array" ref="AO20">IF(AO$11&gt;=0,MAX(INDEX(MMULT(inverseG,AN$12:AN$62),$A20+1,1),MAX(strike-$B20,0)),"")</f>
        <v>3</v>
      </c>
      <c r="AP20" s="9">
        <f t="array" ref="AP20">IF(AP$11&gt;=0,MAX(INDEX(MMULT(inverseG,AO$12:AO$62),$A20+1,1),MAX(strike-$B20,0)),"")</f>
        <v>3</v>
      </c>
      <c r="AQ20" s="9">
        <f t="array" ref="AQ20">IF(AQ$11&gt;=0,MAX(INDEX(MMULT(inverseG,AP$12:AP$62),$A20+1,1),MAX(strike-$B20,0)),"")</f>
        <v>3</v>
      </c>
      <c r="AR20" s="9">
        <f t="array" ref="AR20">IF(AR$11&gt;=0,MAX(INDEX(MMULT(inverseG,AQ$12:AQ$62),$A20+1,1),MAX(strike-$B20,0)),"")</f>
        <v>3</v>
      </c>
      <c r="AS20" s="9">
        <f t="array" ref="AS20">IF(AS$11&gt;=0,MAX(INDEX(MMULT(inverseG,AR$12:AR$62),$A20+1,1),MAX(strike-$B20,0)),"")</f>
        <v>3</v>
      </c>
      <c r="AT20" s="9">
        <f t="array" ref="AT20">IF(AT$11&gt;=0,MAX(INDEX(MMULT(inverseG,AS$12:AS$62),$A20+1,1),MAX(strike-$B20,0)),"")</f>
        <v>3</v>
      </c>
      <c r="AU20" s="9">
        <f t="array" ref="AU20">IF(AU$11&gt;=0,MAX(INDEX(MMULT(inverseG,AT$12:AT$62),$A20+1,1),MAX(strike-$B20,0)),"")</f>
        <v>3</v>
      </c>
      <c r="AV20" s="9">
        <f t="array" ref="AV20">IF(AV$11&gt;=0,MAX(INDEX(MMULT(inverseG,AU$12:AU$62),$A20+1,1),MAX(strike-$B20,0)),"")</f>
        <v>3</v>
      </c>
      <c r="AW20" s="9">
        <f t="array" ref="AW20">IF(AW$11&gt;=0,MAX(INDEX(MMULT(inverseG,AV$12:AV$62),$A20+1,1),MAX(strike-$B20,0)),"")</f>
        <v>3</v>
      </c>
      <c r="AX20" s="9">
        <f t="array" ref="AX20">IF(AX$11&gt;=0,MAX(INDEX(MMULT(inverseG,AW$12:AW$62),$A20+1,1),MAX(strike-$B20,0)),"")</f>
        <v>3</v>
      </c>
      <c r="AY20" s="9">
        <f t="array" ref="AY20">IF(AY$11&gt;=0,MAX(INDEX(MMULT(inverseG,AX$12:AX$62),$A20+1,1),MAX(strike-$B20,0)),"")</f>
        <v>3</v>
      </c>
      <c r="AZ20" s="9">
        <f t="array" ref="AZ20">IF(AZ$11&gt;=0,MAX(INDEX(MMULT(inverseG,AY$12:AY$62),$A20+1,1),MAX(strike-$B20,0)),"")</f>
        <v>3</v>
      </c>
      <c r="BA20" s="9">
        <f t="array" ref="BA20">IF(BA$11&gt;=0,MAX(INDEX(MMULT(inverseG,AZ$12:AZ$62),$A20+1,1),MAX(strike-$B20,0)),"")</f>
        <v>3</v>
      </c>
      <c r="BB20" s="9">
        <f t="array" ref="BB20">IF(BB$11&gt;=0,MAX(INDEX(MMULT(inverseG,BA$12:BA$62),$A20+1,1),MAX(strike-$B20,0)),"")</f>
        <v>3</v>
      </c>
      <c r="BC20" s="9">
        <f t="array" ref="BC20">IF(BC$11&gt;=0,MAX(INDEX(MMULT(inverseG,BB$12:BB$62),$A20+1,1),MAX(strike-$B20,0)),"")</f>
        <v>3</v>
      </c>
      <c r="BD20" s="9">
        <f t="array" ref="BD20">IF(BD$11&gt;=0,MAX(INDEX(MMULT(inverseG,BC$12:BC$62),$A20+1,1),MAX(strike-$B20,0)),"")</f>
        <v>3</v>
      </c>
      <c r="BE20" s="9">
        <f t="array" ref="BE20">IF(BE$11&gt;=0,MAX(INDEX(MMULT(inverseG,BD$12:BD$62),$A20+1,1),MAX(strike-$B20,0)),"")</f>
        <v>3</v>
      </c>
      <c r="BF20" s="9">
        <f t="array" ref="BF20">IF(BF$11&gt;=0,MAX(INDEX(MMULT(inverseG,BE$12:BE$62),$A20+1,1),MAX(strike-$B20,0)),"")</f>
        <v>3</v>
      </c>
      <c r="BG20" s="9">
        <f t="array" ref="BG20">IF(BG$11&gt;=0,MAX(INDEX(MMULT(inverseG,BF$12:BF$62),$A20+1,1),MAX(strike-$B20,0)),"")</f>
        <v>3</v>
      </c>
      <c r="BH20" s="9">
        <f t="array" ref="BH20">IF(BH$11&gt;=0,MAX(INDEX(MMULT(inverseG,BG$12:BG$62),$A20+1,1),MAX(strike-$B20,0)),"")</f>
        <v>3</v>
      </c>
      <c r="BI20" s="9">
        <f t="array" ref="BI20">IF(BI$11&gt;=0,MAX(INDEX(MMULT(inverseG,BH$12:BH$62),$A20+1,1),MAX(strike-$B20,0)),"")</f>
        <v>3</v>
      </c>
      <c r="BJ20" s="9">
        <f t="array" ref="BJ20">IF(BJ$11&gt;=0,MAX(INDEX(MMULT(inverseG,BI$12:BI$62),$A20+1,1),MAX(strike-$B20,0)),"")</f>
        <v>3</v>
      </c>
      <c r="BK20" s="9">
        <f t="array" ref="BK20">IF(BK$11&gt;=0,MAX(INDEX(MMULT(inverseG,BJ$12:BJ$62),$A20+1,1),MAX(strike-$B20,0)),"")</f>
        <v>3</v>
      </c>
      <c r="BL20" s="9">
        <f t="array" ref="BL20">IF(BL$11&gt;=0,MAX(INDEX(MMULT(inverseG,BK$12:BK$62),$A20+1,1),MAX(strike-$B20,0)),"")</f>
        <v>3</v>
      </c>
      <c r="BM20" s="9">
        <f t="array" ref="BM20">IF(BM$11&gt;=0,MAX(INDEX(MMULT(inverseG,BL$12:BL$62),$A20+1,1),MAX(strike-$B20,0)),"")</f>
        <v>3</v>
      </c>
      <c r="BN20" s="9">
        <f t="array" ref="BN20">IF(BN$11&gt;=0,MAX(INDEX(MMULT(inverseG,BM$12:BM$62),$A20+1,1),MAX(strike-$B20,0)),"")</f>
        <v>3</v>
      </c>
      <c r="BO20" s="9">
        <f t="array" ref="BO20">IF(BO$11&gt;=0,MAX(INDEX(MMULT(inverseG,BN$12:BN$62),$A20+1,1),MAX(strike-$B20,0)),"")</f>
        <v>3</v>
      </c>
      <c r="BP20" s="9">
        <f t="array" ref="BP20">IF(BP$11&gt;=0,MAX(INDEX(MMULT(inverseG,BO$12:BO$62),$A20+1,1),MAX(strike-$B20,0)),"")</f>
        <v>3</v>
      </c>
      <c r="BQ20" s="9">
        <f t="array" ref="BQ20">IF(BQ$11&gt;=0,MAX(INDEX(MMULT(inverseG,BP$12:BP$62),$A20+1,1),MAX(strike-$B20,0)),"")</f>
        <v>3</v>
      </c>
      <c r="BR20" s="9">
        <f t="array" ref="BR20">IF(BR$11&gt;=0,MAX(INDEX(MMULT(inverseG,BQ$12:BQ$62),$A20+1,1),MAX(strike-$B20,0)),"")</f>
        <v>3</v>
      </c>
      <c r="BS20" s="9">
        <f t="array" ref="BS20">IF(BS$11&gt;=0,MAX(INDEX(MMULT(inverseG,BR$12:BR$62),$A20+1,1),MAX(strike-$B20,0)),"")</f>
        <v>3</v>
      </c>
      <c r="BT20" s="9">
        <f t="array" ref="BT20">IF(BT$11&gt;=0,MAX(INDEX(MMULT(inverseG,BS$12:BS$62),$A20+1,1),MAX(strike-$B20,0)),"")</f>
        <v>3</v>
      </c>
      <c r="BU20" s="9">
        <f t="array" ref="BU20">IF(BU$11&gt;=0,MAX(INDEX(MMULT(inverseG,BT$12:BT$62),$A20+1,1),MAX(strike-$B20,0)),"")</f>
        <v>3</v>
      </c>
      <c r="BV20" s="9">
        <f t="array" ref="BV20">IF(BV$11&gt;=0,MAX(INDEX(MMULT(inverseG,BU$12:BU$62),$A20+1,1),MAX(strike-$B20,0)),"")</f>
        <v>3</v>
      </c>
      <c r="BW20" s="9">
        <f t="array" ref="BW20">IF(BW$11&gt;=0,MAX(INDEX(MMULT(inverseG,BV$12:BV$62),$A20+1,1),MAX(strike-$B20,0)),"")</f>
        <v>3</v>
      </c>
      <c r="BX20" s="9">
        <f t="array" ref="BX20">IF(BX$11&gt;=0,MAX(INDEX(MMULT(inverseG,BW$12:BW$62),$A20+1,1),MAX(strike-$B20,0)),"")</f>
        <v>3</v>
      </c>
      <c r="BY20" s="9">
        <f t="array" ref="BY20">IF(BY$11&gt;=0,MAX(INDEX(MMULT(inverseG,BX$12:BX$62),$A20+1,1),MAX(strike-$B20,0)),"")</f>
        <v>3</v>
      </c>
      <c r="BZ20" s="9">
        <f t="array" ref="BZ20">IF(BZ$11&gt;=0,MAX(INDEX(MMULT(inverseG,BY$12:BY$62),$A20+1,1),MAX(strike-$B20,0)),"")</f>
        <v>3</v>
      </c>
      <c r="CA20" s="9">
        <f t="array" ref="CA20">IF(CA$11&gt;=0,MAX(INDEX(MMULT(inverseG,BZ$12:BZ$62),$A20+1,1),MAX(strike-$B20,0)),"")</f>
        <v>3</v>
      </c>
      <c r="CB20" s="9">
        <f t="array" ref="CB20">IF(CB$11&gt;=0,MAX(INDEX(MMULT(inverseG,CA$12:CA$62),$A20+1,1),MAX(strike-$B20,0)),"")</f>
        <v>3</v>
      </c>
      <c r="CC20" s="9">
        <f t="array" ref="CC20">IF(CC$11&gt;=0,MAX(INDEX(MMULT(inverseG,CB$12:CB$62),$A20+1,1),MAX(strike-$B20,0)),"")</f>
        <v>3</v>
      </c>
      <c r="CD20" s="9">
        <f t="array" ref="CD20">IF(CD$11&gt;=0,MAX(INDEX(MMULT(inverseG,CC$12:CC$62),$A20+1,1),MAX(strike-$B20,0)),"")</f>
        <v>3</v>
      </c>
      <c r="CE20" s="9">
        <f t="array" ref="CE20">IF(CE$11&gt;=0,MAX(INDEX(MMULT(inverseG,CD$12:CD$62),$A20+1,1),MAX(strike-$B20,0)),"")</f>
        <v>3</v>
      </c>
      <c r="CF20" s="9">
        <f t="array" ref="CF20">IF(CF$11&gt;=0,MAX(INDEX(MMULT(inverseG,CE$12:CE$62),$A20+1,1),MAX(strike-$B20,0)),"")</f>
        <v>3</v>
      </c>
      <c r="CG20" s="9">
        <f t="array" ref="CG20">IF(CG$11&gt;=0,MAX(INDEX(MMULT(inverseG,CF$12:CF$62),$A20+1,1),MAX(strike-$B20,0)),"")</f>
        <v>3</v>
      </c>
      <c r="CH20" s="9">
        <f t="array" ref="CH20">IF(CH$11&gt;=0,MAX(INDEX(MMULT(inverseG,CG$12:CG$62),$A20+1,1),MAX(strike-$B20,0)),"")</f>
        <v>3</v>
      </c>
      <c r="CI20" s="9">
        <f t="array" ref="CI20">IF(CI$11&gt;=0,MAX(INDEX(MMULT(inverseG,CH$12:CH$62),$A20+1,1),MAX(strike-$B20,0)),"")</f>
        <v>3</v>
      </c>
      <c r="CJ20" s="9">
        <f t="array" ref="CJ20">IF(CJ$11&gt;=0,MAX(INDEX(MMULT(inverseG,CI$12:CI$62),$A20+1,1),MAX(strike-$B20,0)),"")</f>
        <v>3</v>
      </c>
      <c r="CK20" s="9">
        <f t="array" ref="CK20">IF(CK$11&gt;=0,MAX(INDEX(MMULT(inverseG,CJ$12:CJ$62),$A20+1,1),MAX(strike-$B20,0)),"")</f>
        <v>3</v>
      </c>
      <c r="CL20" s="9">
        <f t="array" ref="CL20">IF(CL$11&gt;=0,MAX(INDEX(MMULT(inverseG,CK$12:CK$62),$A20+1,1),MAX(strike-$B20,0)),"")</f>
        <v>3</v>
      </c>
      <c r="CM20" s="9">
        <f t="array" ref="CM20">IF(CM$11&gt;=0,MAX(INDEX(MMULT(inverseG,CL$12:CL$62),$A20+1,1),MAX(strike-$B20,0)),"")</f>
        <v>3</v>
      </c>
      <c r="CN20" s="9">
        <f t="array" ref="CN20">IF(CN$11&gt;=0,MAX(INDEX(MMULT(inverseG,CM$12:CM$62),$A20+1,1),MAX(strike-$B20,0)),"")</f>
        <v>3</v>
      </c>
      <c r="CO20" s="9">
        <f t="array" ref="CO20">IF(CO$11&gt;=0,MAX(INDEX(MMULT(inverseG,CN$12:CN$62),$A20+1,1),MAX(strike-$B20,0)),"")</f>
        <v>3</v>
      </c>
      <c r="CP20" s="9">
        <f t="array" ref="CP20">IF(CP$11&gt;=0,MAX(INDEX(MMULT(inverseG,CO$12:CO$62),$A20+1,1),MAX(strike-$B20,0)),"")</f>
        <v>3</v>
      </c>
      <c r="CQ20" s="9">
        <f t="array" ref="CQ20">IF(CQ$11&gt;=0,MAX(INDEX(MMULT(inverseG,CP$12:CP$62),$A20+1,1),MAX(strike-$B20,0)),"")</f>
        <v>3</v>
      </c>
      <c r="CR20" s="9">
        <f t="array" ref="CR20">IF(CR$11&gt;=0,MAX(INDEX(MMULT(inverseG,CQ$12:CQ$62),$A20+1,1),MAX(strike-$B20,0)),"")</f>
        <v>3</v>
      </c>
      <c r="CS20" s="9">
        <f t="array" ref="CS20">IF(CS$11&gt;=0,MAX(INDEX(MMULT(inverseG,CR$12:CR$62),$A20+1,1),MAX(strike-$B20,0)),"")</f>
        <v>3</v>
      </c>
      <c r="CT20" s="9">
        <f t="array" ref="CT20">IF(CT$11&gt;=0,MAX(INDEX(MMULT(inverseG,CS$12:CS$62),$A20+1,1),MAX(strike-$B20,0)),"")</f>
        <v>3</v>
      </c>
      <c r="CU20" s="9">
        <f t="array" ref="CU20">IF(CU$11&gt;=0,MAX(INDEX(MMULT(inverseG,CT$12:CT$62),$A20+1,1),MAX(strike-$B20,0)),"")</f>
        <v>3</v>
      </c>
      <c r="CV20" s="9">
        <f t="array" ref="CV20">IF(CV$11&gt;=0,MAX(INDEX(MMULT(inverseG,CU$12:CU$62),$A20+1,1),MAX(strike-$B20,0)),"")</f>
        <v>3</v>
      </c>
      <c r="CW20" s="9">
        <f t="array" ref="CW20">IF(CW$11&gt;=0,MAX(INDEX(MMULT(inverseG,CV$12:CV$62),$A20+1,1),MAX(strike-$B20,0)),"")</f>
        <v>3</v>
      </c>
      <c r="CX20" s="9">
        <f t="array" ref="CX20">IF(CX$11&gt;=0,MAX(INDEX(MMULT(inverseG,CW$12:CW$62),$A20+1,1),MAX(strike-$B20,0)),"")</f>
        <v>3</v>
      </c>
      <c r="CY20" s="9">
        <f t="array" ref="CY20">IF(CY$11&gt;=0,MAX(INDEX(MMULT(inverseG,CX$12:CX$62),$A20+1,1),MAX(strike-$B20,0)),"")</f>
        <v>3</v>
      </c>
      <c r="CZ20" s="9">
        <f t="array" ref="CZ20">IF(CZ$11&gt;=0,MAX(INDEX(MMULT(inverseG,CY$12:CY$62),$A20+1,1),MAX(strike-$B20,0)),"")</f>
        <v>3</v>
      </c>
      <c r="DA20" s="9" t="str">
        <f t="array" ref="DA20">IF(DA$11&gt;=0,MAX(INDEX(MMULT(inverseG,CZ$12:CZ$62),$A20+1,1),MAX(strike-$B20,0)),"")</f>
        <v/>
      </c>
      <c r="DB20" s="9" t="str">
        <f t="array" ref="DB20">IF(DB$11&gt;=0,MAX(INDEX(MMULT(inverseG,DA$12:DA$62),$A20+1,1),MAX(strike-$B20,0)),"")</f>
        <v/>
      </c>
      <c r="DC20" s="9" t="str">
        <f t="array" ref="DC20">IF(DC$11&gt;=0,MAX(INDEX(MMULT(inverseG,DB$12:DB$62),$A20+1,1),MAX(strike-$B20,0)),"")</f>
        <v/>
      </c>
      <c r="DD20" s="9" t="str">
        <f t="array" ref="DD20">IF(DD$11&gt;=0,MAX(INDEX(MMULT(inverseG,DC$12:DC$62),$A20+1,1),MAX(strike-$B20,0)),"")</f>
        <v/>
      </c>
      <c r="DE20" s="9" t="str">
        <f t="array" ref="DE20">IF(DE$11&gt;=0,MAX(INDEX(MMULT(inverseG,DD$12:DD$62),$A20+1,1),MAX(strike-$B20,0)),"")</f>
        <v/>
      </c>
      <c r="DF20" s="9" t="str">
        <f t="array" ref="DF20">IF(DF$11&gt;=0,MAX(INDEX(MMULT(inverseG,DE$12:DE$62),$A20+1,1),MAX(strike-$B20,0)),"")</f>
        <v/>
      </c>
      <c r="DG20" s="9" t="str">
        <f t="array" ref="DG20">IF(DG$11&gt;=0,MAX(INDEX(MMULT(inverseG,DF$12:DF$62),$A20+1,1),MAX(strike-$B20,0)),"")</f>
        <v/>
      </c>
      <c r="DH20" s="9" t="str">
        <f t="array" ref="DH20">IF(DH$11&gt;=0,MAX(INDEX(MMULT(inverseG,DG$12:DG$62),$A20+1,1),MAX(strike-$B20,0)),"")</f>
        <v/>
      </c>
      <c r="DI20" s="9" t="str">
        <f t="array" ref="DI20">IF(DI$11&gt;=0,MAX(INDEX(MMULT(inverseG,DH$12:DH$62),$A20+1,1),MAX(strike-$B20,0)),"")</f>
        <v/>
      </c>
      <c r="DJ20" s="9" t="str">
        <f t="array" ref="DJ20">IF(DJ$11&gt;=0,MAX(INDEX(MMULT(inverseG,DI$12:DI$62),$A20+1,1),MAX(strike-$B20,0)),"")</f>
        <v/>
      </c>
      <c r="DK20" s="9" t="str">
        <f t="array" ref="DK20">IF(DK$11&gt;=0,MAX(INDEX(MMULT(inverseG,DJ$12:DJ$62),$A20+1,1),MAX(strike-$B20,0)),"")</f>
        <v/>
      </c>
      <c r="DL20" s="9" t="str">
        <f t="array" ref="DL20">IF(DL$11&gt;=0,MAX(INDEX(MMULT(inverseG,DK$12:DK$62),$A20+1,1),MAX(strike-$B20,0)),"")</f>
        <v/>
      </c>
      <c r="DM20" s="9" t="str">
        <f t="array" ref="DM20">IF(DM$11&gt;=0,MAX(INDEX(MMULT(inverseG,DL$12:DL$62),$A20+1,1),MAX(strike-$B20,0)),"")</f>
        <v/>
      </c>
      <c r="DN20" s="9" t="str">
        <f t="array" ref="DN20">IF(DN$11&gt;=0,MAX(INDEX(MMULT(inverseG,DM$12:DM$62),$A20+1,1),MAX(strike-$B20,0)),"")</f>
        <v/>
      </c>
      <c r="DO20" s="9" t="str">
        <f t="array" ref="DO20">IF(DO$11&gt;=0,MAX(INDEX(MMULT(inverseG,DN$12:DN$62),$A20+1,1),MAX(strike-$B20,0)),"")</f>
        <v/>
      </c>
      <c r="DP20" s="9" t="str">
        <f t="array" ref="DP20">IF(DP$11&gt;=0,MAX(INDEX(MMULT(inverseG,DO$12:DO$62),$A20+1,1),MAX(strike-$B20,0)),"")</f>
        <v/>
      </c>
      <c r="DQ20" s="9" t="str">
        <f t="array" ref="DQ20">IF(DQ$11&gt;=0,MAX(INDEX(MMULT(inverseG,DP$12:DP$62),$A20+1,1),MAX(strike-$B20,0)),"")</f>
        <v/>
      </c>
      <c r="DR20" s="9" t="str">
        <f t="array" ref="DR20">IF(DR$11&gt;=0,MAX(INDEX(MMULT(inverseG,DQ$12:DQ$62),$A20+1,1),MAX(strike-$B20,0)),"")</f>
        <v/>
      </c>
      <c r="DS20" s="9" t="str">
        <f t="array" ref="DS20">IF(DS$11&gt;=0,MAX(INDEX(MMULT(inverseG,DR$12:DR$62),$A20+1,1),MAX(strike-$B20,0)),"")</f>
        <v/>
      </c>
      <c r="DT20" s="9" t="str">
        <f t="array" ref="DT20">IF(DT$11&gt;=0,MAX(INDEX(MMULT(inverseG,DS$12:DS$62),$A20+1,1),MAX(strike-$B20,0)),"")</f>
        <v/>
      </c>
      <c r="DU20" s="9" t="str">
        <f t="array" ref="DU20">IF(DU$11&gt;=0,MAX(INDEX(MMULT(inverseG,DT$12:DT$62),$A20+1,1),MAX(strike-$B20,0)),"")</f>
        <v/>
      </c>
      <c r="DV20" s="9" t="str">
        <f t="array" ref="DV20">IF(DV$11&gt;=0,MAX(INDEX(MMULT(inverseG,DU$12:DU$62),$A20+1,1),MAX(strike-$B20,0)),"")</f>
        <v/>
      </c>
      <c r="DW20" s="9" t="str">
        <f t="array" ref="DW20">IF(DW$11&gt;=0,MAX(INDEX(MMULT(inverseG,DV$12:DV$62),$A20+1,1),MAX(strike-$B20,0)),"")</f>
        <v/>
      </c>
      <c r="DX20" s="9" t="str">
        <f t="array" ref="DX20">IF(DX$11&gt;=0,MAX(INDEX(MMULT(inverseG,DW$12:DW$62),$A20+1,1),MAX(strike-$B20,0)),"")</f>
        <v/>
      </c>
      <c r="DY20" s="9" t="str">
        <f t="array" ref="DY20">IF(DY$11&gt;=0,MAX(INDEX(MMULT(inverseG,DX$12:DX$62),$A20+1,1),MAX(strike-$B20,0)),"")</f>
        <v/>
      </c>
      <c r="DZ20" s="9" t="str">
        <f t="array" ref="DZ20">IF(DZ$11&gt;=0,MAX(INDEX(MMULT(inverseG,DY$12:DY$62),$A20+1,1),MAX(strike-$B20,0)),"")</f>
        <v/>
      </c>
      <c r="EA20" s="9" t="str">
        <f t="array" ref="EA20">IF(EA$11&gt;=0,MAX(INDEX(MMULT(inverseG,DZ$12:DZ$62),$A20+1,1),MAX(strike-$B20,0)),"")</f>
        <v/>
      </c>
      <c r="EB20" s="9" t="str">
        <f t="array" ref="EB20">IF(EB$11&gt;=0,MAX(INDEX(MMULT(inverseG,EA$12:EA$62),$A20+1,1),MAX(strike-$B20,0)),"")</f>
        <v/>
      </c>
      <c r="EC20" s="9" t="str">
        <f t="array" ref="EC20">IF(EC$11&gt;=0,MAX(INDEX(MMULT(inverseG,EB$12:EB$62),$A20+1,1),MAX(strike-$B20,0)),"")</f>
        <v/>
      </c>
      <c r="ED20" s="9" t="str">
        <f t="array" ref="ED20">IF(ED$11&gt;=0,MAX(INDEX(MMULT(inverseG,EC$12:EC$62),$A20+1,1),MAX(strike-$B20,0)),"")</f>
        <v/>
      </c>
      <c r="EE20" s="9" t="str">
        <f t="array" ref="EE20">IF(EE$11&gt;=0,MAX(INDEX(MMULT(inverseG,ED$12:ED$62),$A20+1,1),MAX(strike-$B20,0)),"")</f>
        <v/>
      </c>
      <c r="EF20" s="9" t="str">
        <f t="array" ref="EF20">IF(EF$11&gt;=0,MAX(INDEX(MMULT(inverseG,EE$12:EE$62),$A20+1,1),MAX(strike-$B20,0)),"")</f>
        <v/>
      </c>
      <c r="EG20" s="9" t="str">
        <f t="array" ref="EG20">IF(EG$11&gt;=0,MAX(INDEX(MMULT(inverseG,EF$12:EF$62),$A20+1,1),MAX(strike-$B20,0)),"")</f>
        <v/>
      </c>
      <c r="EH20" s="9" t="str">
        <f t="array" ref="EH20">IF(EH$11&gt;=0,MAX(INDEX(MMULT(inverseG,EG$12:EG$62),$A20+1,1),MAX(strike-$B20,0)),"")</f>
        <v/>
      </c>
      <c r="EI20" s="9" t="str">
        <f t="array" ref="EI20">IF(EI$11&gt;=0,MAX(INDEX(MMULT(inverseG,EH$12:EH$62),$A20+1,1),MAX(strike-$B20,0)),"")</f>
        <v/>
      </c>
      <c r="EJ20" s="9" t="str">
        <f t="array" ref="EJ20">IF(EJ$11&gt;=0,MAX(INDEX(MMULT(inverseG,EI$12:EI$62),$A20+1,1),MAX(strike-$B20,0)),"")</f>
        <v/>
      </c>
      <c r="EK20" s="9" t="str">
        <f t="array" ref="EK20">IF(EK$11&gt;=0,MAX(INDEX(MMULT(inverseG,EJ$12:EJ$62),$A20+1,1),MAX(strike-$B20,0)),"")</f>
        <v/>
      </c>
      <c r="EL20" s="9" t="str">
        <f t="array" ref="EL20">IF(EL$11&gt;=0,MAX(INDEX(MMULT(inverseG,EK$12:EK$62),$A20+1,1),MAX(strike-$B20,0)),"")</f>
        <v/>
      </c>
      <c r="EM20" s="9" t="str">
        <f t="array" ref="EM20">IF(EM$11&gt;=0,MAX(INDEX(MMULT(inverseG,EL$12:EL$62),$A20+1,1),MAX(strike-$B20,0)),"")</f>
        <v/>
      </c>
      <c r="EN20" s="9" t="str">
        <f t="array" ref="EN20">IF(EN$11&gt;=0,MAX(INDEX(MMULT(inverseG,EM$12:EM$62),$A20+1,1),MAX(strike-$B20,0)),"")</f>
        <v/>
      </c>
      <c r="EO20" s="9" t="str">
        <f t="array" ref="EO20">IF(EO$11&gt;=0,MAX(INDEX(MMULT(inverseG,EN$12:EN$62),$A20+1,1),MAX(strike-$B20,0)),"")</f>
        <v/>
      </c>
      <c r="EP20" s="9" t="str">
        <f t="array" ref="EP20">IF(EP$11&gt;=0,MAX(INDEX(MMULT(inverseG,EO$12:EO$62),$A20+1,1),MAX(strike-$B20,0)),"")</f>
        <v/>
      </c>
      <c r="EQ20" s="9" t="str">
        <f t="array" ref="EQ20">IF(EQ$11&gt;=0,MAX(INDEX(MMULT(inverseG,EP$12:EP$62),$A20+1,1),MAX(strike-$B20,0)),"")</f>
        <v/>
      </c>
      <c r="ER20" s="9" t="str">
        <f t="array" ref="ER20">IF(ER$11&gt;=0,MAX(INDEX(MMULT(inverseG,EQ$12:EQ$62),$A20+1,1),MAX(strike-$B20,0)),"")</f>
        <v/>
      </c>
      <c r="ES20" s="9" t="str">
        <f t="array" ref="ES20">IF(ES$11&gt;=0,MAX(INDEX(MMULT(inverseG,ER$12:ER$62),$A20+1,1),MAX(strike-$B20,0)),"")</f>
        <v/>
      </c>
      <c r="ET20" s="9" t="str">
        <f t="array" ref="ET20">IF(ET$11&gt;=0,MAX(INDEX(MMULT(inverseG,ES$12:ES$62),$A20+1,1),MAX(strike-$B20,0)),"")</f>
        <v/>
      </c>
      <c r="EU20" s="9" t="str">
        <f t="array" ref="EU20">IF(EU$11&gt;=0,MAX(INDEX(MMULT(inverseG,ET$12:ET$62),$A20+1,1),MAX(strike-$B20,0)),"")</f>
        <v/>
      </c>
      <c r="EV20" s="9" t="str">
        <f t="array" ref="EV20">IF(EV$11&gt;=0,MAX(INDEX(MMULT(inverseG,EU$12:EU$62),$A20+1,1),MAX(strike-$B20,0)),"")</f>
        <v/>
      </c>
      <c r="EW20" s="9" t="str">
        <f t="array" ref="EW20">IF(EW$11&gt;=0,MAX(INDEX(MMULT(inverseG,EV$12:EV$62),$A20+1,1),MAX(strike-$B20,0)),"")</f>
        <v/>
      </c>
      <c r="EX20" s="9" t="str">
        <f t="array" ref="EX20">IF(EX$11&gt;=0,MAX(INDEX(MMULT(inverseG,EW$12:EW$62),$A20+1,1),MAX(strike-$B20,0)),"")</f>
        <v/>
      </c>
      <c r="EY20" s="9" t="str">
        <f t="array" ref="EY20">IF(EY$11&gt;=0,MAX(INDEX(MMULT(inverseG,EX$12:EX$62),$A20+1,1),MAX(strike-$B20,0)),"")</f>
        <v/>
      </c>
      <c r="EZ20" s="9" t="str">
        <f t="array" ref="EZ20">IF(EZ$11&gt;=0,MAX(INDEX(MMULT(inverseG,EY$12:EY$62),$A20+1,1),MAX(strike-$B20,0)),"")</f>
        <v/>
      </c>
      <c r="FA20" s="9" t="str">
        <f t="array" ref="FA20">IF(FA$11&gt;=0,MAX(INDEX(MMULT(inverseG,EZ$12:EZ$62),$A20+1,1),MAX(strike-$B20,0)),"")</f>
        <v/>
      </c>
      <c r="FB20" s="9" t="str">
        <f t="array" ref="FB20">IF(FB$11&gt;=0,MAX(INDEX(MMULT(inverseG,FA$12:FA$62),$A20+1,1),MAX(strike-$B20,0)),"")</f>
        <v/>
      </c>
      <c r="FC20" s="9" t="str">
        <f t="array" ref="FC20">IF(FC$11&gt;=0,MAX(INDEX(MMULT(inverseG,FB$12:FB$62),$A20+1,1),MAX(strike-$B20,0)),"")</f>
        <v/>
      </c>
      <c r="FD20" s="9" t="str">
        <f t="array" ref="FD20">IF(FD$11&gt;=0,MAX(INDEX(MMULT(inverseG,FC$12:FC$62),$A20+1,1),MAX(strike-$B20,0)),"")</f>
        <v/>
      </c>
      <c r="FE20" s="9" t="str">
        <f t="array" ref="FE20">IF(FE$11&gt;=0,MAX(INDEX(MMULT(inverseG,FD$12:FD$62),$A20+1,1),MAX(strike-$B20,0)),"")</f>
        <v/>
      </c>
      <c r="FF20" s="9" t="str">
        <f t="array" ref="FF20">IF(FF$11&gt;=0,MAX(INDEX(MMULT(inverseG,FE$12:FE$62),$A20+1,1),MAX(strike-$B20,0)),"")</f>
        <v/>
      </c>
      <c r="FG20" s="9" t="str">
        <f t="array" ref="FG20">IF(FG$11&gt;=0,MAX(INDEX(MMULT(inverseG,FF$12:FF$62),$A20+1,1),MAX(strike-$B20,0)),"")</f>
        <v/>
      </c>
      <c r="FH20" s="9" t="str">
        <f t="array" ref="FH20">IF(FH$11&gt;=0,MAX(INDEX(MMULT(inverseG,FG$12:FG$62),$A20+1,1),MAX(strike-$B20,0)),"")</f>
        <v/>
      </c>
      <c r="FI20" s="9" t="str">
        <f t="array" ref="FI20">IF(FI$11&gt;=0,MAX(INDEX(MMULT(inverseG,FH$12:FH$62),$A20+1,1),MAX(strike-$B20,0)),"")</f>
        <v/>
      </c>
      <c r="FJ20" s="9" t="str">
        <f t="array" ref="FJ20">IF(FJ$11&gt;=0,MAX(INDEX(MMULT(inverseG,FI$12:FI$62),$A20+1,1),MAX(strike-$B20,0)),"")</f>
        <v/>
      </c>
      <c r="FK20" s="9" t="str">
        <f t="array" ref="FK20">IF(FK$11&gt;=0,MAX(INDEX(MMULT(inverseG,FJ$12:FJ$62),$A20+1,1),MAX(strike-$B20,0)),"")</f>
        <v/>
      </c>
      <c r="FL20" s="9" t="str">
        <f t="array" ref="FL20">IF(FL$11&gt;=0,MAX(INDEX(MMULT(inverseG,FK$12:FK$62),$A20+1,1),MAX(strike-$B20,0)),"")</f>
        <v/>
      </c>
      <c r="FM20" s="9" t="str">
        <f t="array" ref="FM20">IF(FM$11&gt;=0,MAX(INDEX(MMULT(inverseG,FL$12:FL$62),$A20+1,1),MAX(strike-$B20,0)),"")</f>
        <v/>
      </c>
      <c r="FN20" s="9" t="str">
        <f t="array" ref="FN20">IF(FN$11&gt;=0,MAX(INDEX(MMULT(inverseG,FM$12:FM$62),$A20+1,1),MAX(strike-$B20,0)),"")</f>
        <v/>
      </c>
      <c r="FO20" s="9" t="str">
        <f t="array" ref="FO20">IF(FO$11&gt;=0,MAX(INDEX(MMULT(inverseG,FN$12:FN$62),$A20+1,1),MAX(strike-$B20,0)),"")</f>
        <v/>
      </c>
      <c r="FP20" s="9" t="str">
        <f t="array" ref="FP20">IF(FP$11&gt;=0,MAX(INDEX(MMULT(inverseG,FO$12:FO$62),$A20+1,1),MAX(strike-$B20,0)),"")</f>
        <v/>
      </c>
      <c r="FQ20" s="9" t="str">
        <f t="array" ref="FQ20">IF(FQ$11&gt;=0,MAX(INDEX(MMULT(inverseG,FP$12:FP$62),$A20+1,1),MAX(strike-$B20,0)),"")</f>
        <v/>
      </c>
      <c r="FR20" s="9" t="str">
        <f t="array" ref="FR20">IF(FR$11&gt;=0,MAX(INDEX(MMULT(inverseG,FQ$12:FQ$62),$A20+1,1),MAX(strike-$B20,0)),"")</f>
        <v/>
      </c>
      <c r="FS20" s="9" t="str">
        <f t="array" ref="FS20">IF(FS$11&gt;=0,MAX(INDEX(MMULT(inverseG,FR$12:FR$62),$A20+1,1),MAX(strike-$B20,0)),"")</f>
        <v/>
      </c>
      <c r="FT20" s="9" t="str">
        <f t="array" ref="FT20">IF(FT$11&gt;=0,MAX(INDEX(MMULT(inverseG,FS$12:FS$62),$A20+1,1),MAX(strike-$B20,0)),"")</f>
        <v/>
      </c>
      <c r="FU20" s="9" t="str">
        <f t="array" ref="FU20">IF(FU$11&gt;=0,MAX(INDEX(MMULT(inverseG,FT$12:FT$62),$A20+1,1),MAX(strike-$B20,0)),"")</f>
        <v/>
      </c>
      <c r="FV20" s="9" t="str">
        <f t="array" ref="FV20">IF(FV$11&gt;=0,MAX(INDEX(MMULT(inverseG,FU$12:FU$62),$A20+1,1),MAX(strike-$B20,0)),"")</f>
        <v/>
      </c>
      <c r="FW20" s="9" t="str">
        <f t="array" ref="FW20">IF(FW$11&gt;=0,MAX(INDEX(MMULT(inverseG,FV$12:FV$62),$A20+1,1),MAX(strike-$B20,0)),"")</f>
        <v/>
      </c>
      <c r="FX20" s="9" t="str">
        <f t="array" ref="FX20">IF(FX$11&gt;=0,MAX(INDEX(MMULT(inverseG,FW$12:FW$62),$A20+1,1),MAX(strike-$B20,0)),"")</f>
        <v/>
      </c>
      <c r="FY20" s="9" t="str">
        <f t="array" ref="FY20">IF(FY$11&gt;=0,MAX(INDEX(MMULT(inverseG,FX$12:FX$62),$A20+1,1),MAX(strike-$B20,0)),"")</f>
        <v/>
      </c>
      <c r="FZ20" s="9" t="str">
        <f t="array" ref="FZ20">IF(FZ$11&gt;=0,MAX(INDEX(MMULT(inverseG,FY$12:FY$62),$A20+1,1),MAX(strike-$B20,0)),"")</f>
        <v/>
      </c>
      <c r="GA20" s="9" t="str">
        <f t="array" ref="GA20">IF(GA$11&gt;=0,MAX(INDEX(MMULT(inverseG,FZ$12:FZ$62),$A20+1,1),MAX(strike-$B20,0)),"")</f>
        <v/>
      </c>
      <c r="GB20" s="9" t="str">
        <f t="array" ref="GB20">IF(GB$11&gt;=0,MAX(INDEX(MMULT(inverseG,GA$12:GA$62),$A20+1,1),MAX(strike-$B20,0)),"")</f>
        <v/>
      </c>
      <c r="GC20" s="9" t="str">
        <f t="array" ref="GC20">IF(GC$11&gt;=0,MAX(INDEX(MMULT(inverseG,GB$12:GB$62),$A20+1,1),MAX(strike-$B20,0)),"")</f>
        <v/>
      </c>
      <c r="GD20" s="9" t="str">
        <f t="array" ref="GD20">IF(GD$11&gt;=0,MAX(INDEX(MMULT(inverseG,GC$12:GC$62),$A20+1,1),MAX(strike-$B20,0)),"")</f>
        <v/>
      </c>
      <c r="GE20" s="9" t="str">
        <f t="array" ref="GE20">IF(GE$11&gt;=0,MAX(INDEX(MMULT(inverseG,GD$12:GD$62),$A20+1,1),MAX(strike-$B20,0)),"")</f>
        <v/>
      </c>
      <c r="GF20" s="9" t="str">
        <f t="array" ref="GF20">IF(GF$11&gt;=0,MAX(INDEX(MMULT(inverseG,GE$12:GE$62),$A20+1,1),MAX(strike-$B20,0)),"")</f>
        <v/>
      </c>
      <c r="GG20" s="9" t="str">
        <f t="array" ref="GG20">IF(GG$11&gt;=0,MAX(INDEX(MMULT(inverseG,GF$12:GF$62),$A20+1,1),MAX(strike-$B20,0)),"")</f>
        <v/>
      </c>
      <c r="GH20" s="9" t="str">
        <f t="array" ref="GH20">IF(GH$11&gt;=0,MAX(INDEX(MMULT(inverseG,GG$12:GG$62),$A20+1,1),MAX(strike-$B20,0)),"")</f>
        <v/>
      </c>
      <c r="GI20" s="9" t="str">
        <f t="array" ref="GI20">IF(GI$11&gt;=0,MAX(INDEX(MMULT(inverseG,GH$12:GH$62),$A20+1,1),MAX(strike-$B20,0)),"")</f>
        <v/>
      </c>
      <c r="GJ20" s="9" t="str">
        <f t="array" ref="GJ20">IF(GJ$11&gt;=0,MAX(INDEX(MMULT(inverseG,GI$12:GI$62),$A20+1,1),MAX(strike-$B20,0)),"")</f>
        <v/>
      </c>
      <c r="GK20" s="9" t="str">
        <f t="array" ref="GK20">IF(GK$11&gt;=0,MAX(INDEX(MMULT(inverseG,GJ$12:GJ$62),$A20+1,1),MAX(strike-$B20,0)),"")</f>
        <v/>
      </c>
      <c r="GL20" s="9" t="str">
        <f t="array" ref="GL20">IF(GL$11&gt;=0,MAX(INDEX(MMULT(inverseG,GK$12:GK$62),$A20+1,1),MAX(strike-$B20,0)),"")</f>
        <v/>
      </c>
      <c r="GM20" s="9" t="str">
        <f t="array" ref="GM20">IF(GM$11&gt;=0,MAX(INDEX(MMULT(inverseG,GL$12:GL$62),$A20+1,1),MAX(strike-$B20,0)),"")</f>
        <v/>
      </c>
      <c r="GN20" s="9" t="str">
        <f t="array" ref="GN20">IF(GN$11&gt;=0,MAX(INDEX(MMULT(inverseG,GM$12:GM$62),$A20+1,1),MAX(strike-$B20,0)),"")</f>
        <v/>
      </c>
      <c r="GO20" s="9" t="str">
        <f t="array" ref="GO20">IF(GO$11&gt;=0,MAX(INDEX(MMULT(inverseG,GN$12:GN$62),$A20+1,1),MAX(strike-$B20,0)),"")</f>
        <v/>
      </c>
      <c r="GP20" s="9" t="str">
        <f t="array" ref="GP20">IF(GP$11&gt;=0,MAX(INDEX(MMULT(inverseG,GO$12:GO$62),$A20+1,1),MAX(strike-$B20,0)),"")</f>
        <v/>
      </c>
      <c r="GQ20" s="9" t="str">
        <f t="array" ref="GQ20">IF(GQ$11&gt;=0,MAX(INDEX(MMULT(inverseG,GP$12:GP$62),$A20+1,1),MAX(strike-$B20,0)),"")</f>
        <v/>
      </c>
      <c r="GR20" s="9" t="str">
        <f t="array" ref="GR20">IF(GR$11&gt;=0,MAX(INDEX(MMULT(inverseG,GQ$12:GQ$62),$A20+1,1),MAX(strike-$B20,0)),"")</f>
        <v/>
      </c>
      <c r="GS20" s="9" t="str">
        <f t="array" ref="GS20">IF(GS$11&gt;=0,MAX(INDEX(MMULT(inverseG,GR$12:GR$62),$A20+1,1),MAX(strike-$B20,0)),"")</f>
        <v/>
      </c>
      <c r="GT20" s="9" t="str">
        <f t="array" ref="GT20">IF(GT$11&gt;=0,MAX(INDEX(MMULT(inverseG,GS$12:GS$62),$A20+1,1),MAX(strike-$B20,0)),"")</f>
        <v/>
      </c>
      <c r="GU20" s="9" t="str">
        <f t="array" ref="GU20">IF(GU$11&gt;=0,MAX(INDEX(MMULT(inverseG,GT$12:GT$62),$A20+1,1),MAX(strike-$B20,0)),"")</f>
        <v/>
      </c>
      <c r="GV20" s="9" t="str">
        <f t="array" ref="GV20">IF(GV$11&gt;=0,MAX(INDEX(MMULT(inverseG,GU$12:GU$62),$A20+1,1),MAX(strike-$B20,0)),"")</f>
        <v/>
      </c>
      <c r="GW20" s="9" t="str">
        <f t="array" ref="GW20">IF(GW$11&gt;=0,MAX(INDEX(MMULT(inverseG,GV$12:GV$62),$A20+1,1),MAX(strike-$B20,0)),"")</f>
        <v/>
      </c>
      <c r="GX20" s="9" t="str">
        <f t="array" ref="GX20">IF(GX$11&gt;=0,MAX(INDEX(MMULT(inverseG,GW$12:GW$62),$A20+1,1),MAX(strike-$B20,0)),"")</f>
        <v/>
      </c>
      <c r="GY20" s="9" t="str">
        <f t="array" ref="GY20">IF(GY$11&gt;=0,MAX(INDEX(MMULT(inverseG,GX$12:GX$62),$A20+1,1),MAX(strike-$B20,0)),"")</f>
        <v/>
      </c>
      <c r="GZ20" s="9" t="str">
        <f t="array" ref="GZ20">IF(GZ$11&gt;=0,MAX(INDEX(MMULT(inverseG,GY$12:GY$62),$A20+1,1),MAX(strike-$B20,0)),"")</f>
        <v/>
      </c>
      <c r="HA20" s="9" t="str">
        <f t="array" ref="HA20">IF(HA$11&gt;=0,MAX(INDEX(MMULT(inverseG,GZ$12:GZ$62),$A20+1,1),MAX(strike-$B20,0)),"")</f>
        <v/>
      </c>
      <c r="HB20" s="9" t="str">
        <f t="array" ref="HB20">IF(HB$11&gt;=0,MAX(INDEX(MMULT(inverseG,HA$12:HA$62),$A20+1,1),MAX(strike-$B20,0)),"")</f>
        <v/>
      </c>
      <c r="HC20" s="9" t="str">
        <f t="array" ref="HC20">IF(HC$11&gt;=0,MAX(INDEX(MMULT(inverseG,HB$12:HB$62),$A20+1,1),MAX(strike-$B20,0)),"")</f>
        <v/>
      </c>
      <c r="HD20" s="9" t="str">
        <f t="array" ref="HD20">IF(HD$11&gt;=0,MAX(INDEX(MMULT(inverseG,HC$12:HC$62),$A20+1,1),MAX(strike-$B20,0)),"")</f>
        <v/>
      </c>
      <c r="HE20" s="9" t="str">
        <f t="array" ref="HE20">IF(HE$11&gt;=0,MAX(INDEX(MMULT(inverseG,HD$12:HD$62),$A20+1,1),MAX(strike-$B20,0)),"")</f>
        <v/>
      </c>
      <c r="HF20" s="9" t="str">
        <f t="array" ref="HF20">IF(HF$11&gt;=0,MAX(INDEX(MMULT(inverseG,HE$12:HE$62),$A20+1,1),MAX(strike-$B20,0)),"")</f>
        <v/>
      </c>
      <c r="HG20" s="9" t="str">
        <f t="array" ref="HG20">IF(HG$11&gt;=0,MAX(INDEX(MMULT(inverseG,HF$12:HF$62),$A20+1,1),MAX(strike-$B20,0)),"")</f>
        <v/>
      </c>
      <c r="HH20" s="9" t="str">
        <f t="array" ref="HH20">IF(HH$11&gt;=0,MAX(INDEX(MMULT(inverseG,HG$12:HG$62),$A20+1,1),MAX(strike-$B20,0)),"")</f>
        <v/>
      </c>
      <c r="HI20" s="9" t="str">
        <f t="array" ref="HI20">IF(HI$11&gt;=0,MAX(INDEX(MMULT(inverseG,HH$12:HH$62),$A20+1,1),MAX(strike-$B20,0)),"")</f>
        <v/>
      </c>
      <c r="HJ20" s="9" t="str">
        <f t="array" ref="HJ20">IF(HJ$11&gt;=0,MAX(INDEX(MMULT(inverseG,HI$12:HI$62),$A20+1,1),MAX(strike-$B20,0)),"")</f>
        <v/>
      </c>
      <c r="HK20" s="9" t="str">
        <f t="array" ref="HK20">IF(HK$11&gt;=0,MAX(INDEX(MMULT(inverseG,HJ$12:HJ$62),$A20+1,1),MAX(strike-$B20,0)),"")</f>
        <v/>
      </c>
      <c r="HL20" s="9" t="str">
        <f t="array" ref="HL20">IF(HL$11&gt;=0,MAX(INDEX(MMULT(inverseG,HK$12:HK$62),$A20+1,1),MAX(strike-$B20,0)),"")</f>
        <v/>
      </c>
      <c r="HM20" s="9" t="str">
        <f t="array" ref="HM20">IF(HM$11&gt;=0,MAX(INDEX(MMULT(inverseG,HL$12:HL$62),$A20+1,1),MAX(strike-$B20,0)),"")</f>
        <v/>
      </c>
      <c r="HN20" s="9" t="str">
        <f t="array" ref="HN20">IF(HN$11&gt;=0,MAX(INDEX(MMULT(inverseG,HM$12:HM$62),$A20+1,1),MAX(strike-$B20,0)),"")</f>
        <v/>
      </c>
      <c r="HO20" s="9" t="str">
        <f t="array" ref="HO20">IF(HO$11&gt;=0,MAX(INDEX(MMULT(inverseG,HN$12:HN$62),$A20+1,1),MAX(strike-$B20,0)),"")</f>
        <v/>
      </c>
      <c r="HP20" s="9" t="str">
        <f t="array" ref="HP20">IF(HP$11&gt;=0,MAX(INDEX(MMULT(inverseG,HO$12:HO$62),$A20+1,1),MAX(strike-$B20,0)),"")</f>
        <v/>
      </c>
      <c r="HQ20" s="9" t="str">
        <f t="array" ref="HQ20">IF(HQ$11&gt;=0,MAX(INDEX(MMULT(inverseG,HP$12:HP$62),$A20+1,1),MAX(strike-$B20,0)),"")</f>
        <v/>
      </c>
      <c r="HR20" s="9" t="str">
        <f t="array" ref="HR20">IF(HR$11&gt;=0,MAX(INDEX(MMULT(inverseG,HQ$12:HQ$62),$A20+1,1),MAX(strike-$B20,0)),"")</f>
        <v/>
      </c>
      <c r="HS20" s="9" t="str">
        <f t="array" ref="HS20">IF(HS$11&gt;=0,MAX(INDEX(MMULT(inverseG,HR$12:HR$62),$A20+1,1),MAX(strike-$B20,0)),"")</f>
        <v/>
      </c>
      <c r="HT20" s="9" t="str">
        <f t="array" ref="HT20">IF(HT$11&gt;=0,MAX(INDEX(MMULT(inverseG,HS$12:HS$62),$A20+1,1),MAX(strike-$B20,0)),"")</f>
        <v/>
      </c>
      <c r="HU20" s="9" t="str">
        <f t="array" ref="HU20">IF(HU$11&gt;=0,MAX(INDEX(MMULT(inverseG,HT$12:HT$62),$A20+1,1),MAX(strike-$B20,0)),"")</f>
        <v/>
      </c>
      <c r="HV20" s="9" t="str">
        <f t="array" ref="HV20">IF(HV$11&gt;=0,MAX(INDEX(MMULT(inverseG,HU$12:HU$62),$A20+1,1),MAX(strike-$B20,0)),"")</f>
        <v/>
      </c>
      <c r="HW20" s="9" t="str">
        <f t="array" ref="HW20">IF(HW$11&gt;=0,MAX(INDEX(MMULT(inverseG,HV$12:HV$62),$A20+1,1),MAX(strike-$B20,0)),"")</f>
        <v/>
      </c>
      <c r="HX20" s="9" t="str">
        <f t="array" ref="HX20">IF(HX$11&gt;=0,MAX(INDEX(MMULT(inverseG,HW$12:HW$62),$A20+1,1),MAX(strike-$B20,0)),"")</f>
        <v/>
      </c>
      <c r="HY20" s="9" t="str">
        <f t="array" ref="HY20">IF(HY$11&gt;=0,MAX(INDEX(MMULT(inverseG,HX$12:HX$62),$A20+1,1),MAX(strike-$B20,0)),"")</f>
        <v/>
      </c>
      <c r="HZ20" s="9" t="str">
        <f t="array" ref="HZ20">IF(HZ$11&gt;=0,MAX(INDEX(MMULT(inverseG,HY$12:HY$62),$A20+1,1),MAX(strike-$B20,0)),"")</f>
        <v/>
      </c>
      <c r="IA20" s="9" t="str">
        <f t="array" ref="IA20">IF(IA$11&gt;=0,MAX(INDEX(MMULT(inverseG,HZ$12:HZ$62),$A20+1,1),MAX(strike-$B20,0)),"")</f>
        <v/>
      </c>
      <c r="IB20" s="9" t="str">
        <f t="array" ref="IB20">IF(IB$11&gt;=0,MAX(INDEX(MMULT(inverseG,IA$12:IA$62),$A20+1,1),MAX(strike-$B20,0)),"")</f>
        <v/>
      </c>
      <c r="IC20" s="9" t="str">
        <f t="array" ref="IC20">IF(IC$11&gt;=0,MAX(INDEX(MMULT(inverseG,IB$12:IB$62),$A20+1,1),MAX(strike-$B20,0)),"")</f>
        <v/>
      </c>
      <c r="ID20" s="9" t="str">
        <f t="array" ref="ID20">IF(ID$11&gt;=0,MAX(INDEX(MMULT(inverseG,IC$12:IC$62),$A20+1,1),MAX(strike-$B20,0)),"")</f>
        <v/>
      </c>
      <c r="IE20" s="9" t="str">
        <f t="array" ref="IE20">IF(IE$11&gt;=0,MAX(INDEX(MMULT(inverseG,ID$12:ID$62),$A20+1,1),MAX(strike-$B20,0)),"")</f>
        <v/>
      </c>
      <c r="IF20" s="9" t="str">
        <f t="array" ref="IF20">IF(IF$11&gt;=0,MAX(INDEX(MMULT(inverseG,IE$12:IE$62),$A20+1,1),MAX(strike-$B20,0)),"")</f>
        <v/>
      </c>
      <c r="IG20" s="9" t="str">
        <f t="array" ref="IG20">IF(IG$11&gt;=0,MAX(INDEX(MMULT(inverseG,IF$12:IF$62),$A20+1,1),MAX(strike-$B20,0)),"")</f>
        <v/>
      </c>
      <c r="IH20" s="9" t="str">
        <f t="array" ref="IH20">IF(IH$11&gt;=0,MAX(INDEX(MMULT(inverseG,IG$12:IG$62),$A20+1,1),MAX(strike-$B20,0)),"")</f>
        <v/>
      </c>
      <c r="II20" s="9" t="str">
        <f t="array" ref="II20">IF(II$11&gt;=0,MAX(INDEX(MMULT(inverseG,IH$12:IH$62),$A20+1,1),MAX(strike-$B20,0)),"")</f>
        <v/>
      </c>
      <c r="IJ20" s="9" t="str">
        <f t="array" ref="IJ20">IF(IJ$11&gt;=0,MAX(INDEX(MMULT(inverseG,II$12:II$62),$A20+1,1),MAX(strike-$B20,0)),"")</f>
        <v/>
      </c>
      <c r="IK20" s="9" t="str">
        <f t="array" ref="IK20">IF(IK$11&gt;=0,MAX(INDEX(MMULT(inverseG,IJ$12:IJ$62),$A20+1,1),MAX(strike-$B20,0)),"")</f>
        <v/>
      </c>
      <c r="IL20" s="9" t="str">
        <f t="array" ref="IL20">IF(IL$11&gt;=0,MAX(INDEX(MMULT(inverseG,IK$12:IK$62),$A20+1,1),MAX(strike-$B20,0)),"")</f>
        <v/>
      </c>
      <c r="IM20" s="9" t="str">
        <f t="array" ref="IM20">IF(IM$11&gt;=0,MAX(INDEX(MMULT(inverseG,IL$12:IL$62),$A20+1,1),MAX(strike-$B20,0)),"")</f>
        <v/>
      </c>
      <c r="IN20" s="9" t="str">
        <f t="array" ref="IN20">IF(IN$11&gt;=0,MAX(INDEX(MMULT(inverseG,IM$12:IM$62),$A20+1,1),MAX(strike-$B20,0)),"")</f>
        <v/>
      </c>
      <c r="IO20" s="9" t="str">
        <f t="array" ref="IO20">IF(IO$11&gt;=0,MAX(INDEX(MMULT(inverseG,IN$12:IN$62),$A20+1,1),MAX(strike-$B20,0)),"")</f>
        <v/>
      </c>
      <c r="IP20" s="9" t="str">
        <f t="array" ref="IP20">IF(IP$11&gt;=0,MAX(INDEX(MMULT(inverseG,IO$12:IO$62),$A20+1,1),MAX(strike-$B20,0)),"")</f>
        <v/>
      </c>
      <c r="IQ20" s="9" t="str">
        <f t="array" ref="IQ20">IF(IQ$11&gt;=0,MAX(INDEX(MMULT(inverseG,IP$12:IP$62),$A20+1,1),MAX(strike-$B20,0)),"")</f>
        <v/>
      </c>
      <c r="IR20" s="9" t="str">
        <f t="array" ref="IR20">IF(IR$11&gt;=0,MAX(INDEX(MMULT(inverseG,IQ$12:IQ$62),$A20+1,1),MAX(strike-$B20,0)),"")</f>
        <v/>
      </c>
      <c r="IS20" s="9" t="str">
        <f t="array" ref="IS20">IF(IS$11&gt;=0,MAX(INDEX(MMULT(inverseG,IR$12:IR$62),$A20+1,1),MAX(strike-$B20,0)),"")</f>
        <v/>
      </c>
      <c r="IT20" s="9" t="str">
        <f t="array" ref="IT20">IF(IT$11&gt;=0,MAX(INDEX(MMULT(inverseG,IS$12:IS$62),$A20+1,1),MAX(strike-$B20,0)),"")</f>
        <v/>
      </c>
      <c r="IU20" s="9" t="str">
        <f t="array" ref="IU20">IF(IU$11&gt;=0,MAX(INDEX(MMULT(inverseG,IT$12:IT$62),$A20+1,1),MAX(strike-$B20,0)),"")</f>
        <v/>
      </c>
      <c r="IV20" s="9" t="str">
        <f t="array" ref="IV20">IF(IV$11&gt;=0,MAX(INDEX(MMULT(inverseG,IU$12:IU$62),$A20+1,1),MAX(strike-$B20,0)),"")</f>
        <v/>
      </c>
    </row>
    <row r="21" spans="1:256" x14ac:dyDescent="0.2">
      <c r="A21" s="8">
        <f t="shared" si="7"/>
        <v>9</v>
      </c>
      <c r="B21" s="6">
        <f t="shared" si="4"/>
        <v>2.25</v>
      </c>
      <c r="C21" s="30">
        <f t="shared" ca="1" si="6"/>
        <v>2.75</v>
      </c>
      <c r="D21" s="9">
        <f t="shared" si="5"/>
        <v>2.75</v>
      </c>
      <c r="E21" s="9">
        <f t="array" ref="E21">IF(E$11&gt;=0,MAX(INDEX(MMULT(inverseG,D$12:D$62),$A21+1,1),MAX(strike-$B21,0)),"")</f>
        <v>2.75</v>
      </c>
      <c r="F21" s="9">
        <f t="array" ref="F21">IF(F$11&gt;=0,MAX(INDEX(MMULT(inverseG,E$12:E$62),$A21+1,1),MAX(strike-$B21,0)),"")</f>
        <v>2.75</v>
      </c>
      <c r="G21" s="9">
        <f t="array" ref="G21">IF(G$11&gt;=0,MAX(INDEX(MMULT(inverseG,F$12:F$62),$A21+1,1),MAX(strike-$B21,0)),"")</f>
        <v>2.75</v>
      </c>
      <c r="H21" s="9">
        <f t="array" ref="H21">IF(H$11&gt;=0,MAX(INDEX(MMULT(inverseG,G$12:G$62),$A21+1,1),MAX(strike-$B21,0)),"")</f>
        <v>2.75</v>
      </c>
      <c r="I21" s="9">
        <f t="array" ref="I21">IF(I$11&gt;=0,MAX(INDEX(MMULT(inverseG,H$12:H$62),$A21+1,1),MAX(strike-$B21,0)),"")</f>
        <v>2.75</v>
      </c>
      <c r="J21" s="9">
        <f t="array" ref="J21">IF(J$11&gt;=0,MAX(INDEX(MMULT(inverseG,I$12:I$62),$A21+1,1),MAX(strike-$B21,0)),"")</f>
        <v>2.75</v>
      </c>
      <c r="K21" s="9">
        <f t="array" ref="K21">IF(K$11&gt;=0,MAX(INDEX(MMULT(inverseG,J$12:J$62),$A21+1,1),MAX(strike-$B21,0)),"")</f>
        <v>2.75</v>
      </c>
      <c r="L21" s="9">
        <f t="array" ref="L21">IF(L$11&gt;=0,MAX(INDEX(MMULT(inverseG,K$12:K$62),$A21+1,1),MAX(strike-$B21,0)),"")</f>
        <v>2.75</v>
      </c>
      <c r="M21" s="9">
        <f t="array" ref="M21">IF(M$11&gt;=0,MAX(INDEX(MMULT(inverseG,L$12:L$62),$A21+1,1),MAX(strike-$B21,0)),"")</f>
        <v>2.75</v>
      </c>
      <c r="N21" s="9">
        <f t="array" ref="N21">IF(N$11&gt;=0,MAX(INDEX(MMULT(inverseG,M$12:M$62),$A21+1,1),MAX(strike-$B21,0)),"")</f>
        <v>2.75</v>
      </c>
      <c r="O21" s="9">
        <f t="array" ref="O21">IF(O$11&gt;=0,MAX(INDEX(MMULT(inverseG,N$12:N$62),$A21+1,1),MAX(strike-$B21,0)),"")</f>
        <v>2.75</v>
      </c>
      <c r="P21" s="9">
        <f t="array" ref="P21">IF(P$11&gt;=0,MAX(INDEX(MMULT(inverseG,O$12:O$62),$A21+1,1),MAX(strike-$B21,0)),"")</f>
        <v>2.75</v>
      </c>
      <c r="Q21" s="9">
        <f t="array" ref="Q21">IF(Q$11&gt;=0,MAX(INDEX(MMULT(inverseG,P$12:P$62),$A21+1,1),MAX(strike-$B21,0)),"")</f>
        <v>2.75</v>
      </c>
      <c r="R21" s="9">
        <f t="array" ref="R21">IF(R$11&gt;=0,MAX(INDEX(MMULT(inverseG,Q$12:Q$62),$A21+1,1),MAX(strike-$B21,0)),"")</f>
        <v>2.75</v>
      </c>
      <c r="S21" s="9">
        <f t="array" ref="S21">IF(S$11&gt;=0,MAX(INDEX(MMULT(inverseG,R$12:R$62),$A21+1,1),MAX(strike-$B21,0)),"")</f>
        <v>2.75</v>
      </c>
      <c r="T21" s="9">
        <f t="array" ref="T21">IF(T$11&gt;=0,MAX(INDEX(MMULT(inverseG,S$12:S$62),$A21+1,1),MAX(strike-$B21,0)),"")</f>
        <v>2.75</v>
      </c>
      <c r="U21" s="9">
        <f t="array" ref="U21">IF(U$11&gt;=0,MAX(INDEX(MMULT(inverseG,T$12:T$62),$A21+1,1),MAX(strike-$B21,0)),"")</f>
        <v>2.75</v>
      </c>
      <c r="V21" s="9">
        <f t="array" ref="V21">IF(V$11&gt;=0,MAX(INDEX(MMULT(inverseG,U$12:U$62),$A21+1,1),MAX(strike-$B21,0)),"")</f>
        <v>2.75</v>
      </c>
      <c r="W21" s="9">
        <f t="array" ref="W21">IF(W$11&gt;=0,MAX(INDEX(MMULT(inverseG,V$12:V$62),$A21+1,1),MAX(strike-$B21,0)),"")</f>
        <v>2.75</v>
      </c>
      <c r="X21" s="9">
        <f t="array" ref="X21">IF(X$11&gt;=0,MAX(INDEX(MMULT(inverseG,W$12:W$62),$A21+1,1),MAX(strike-$B21,0)),"")</f>
        <v>2.75</v>
      </c>
      <c r="Y21" s="9">
        <f t="array" ref="Y21">IF(Y$11&gt;=0,MAX(INDEX(MMULT(inverseG,X$12:X$62),$A21+1,1),MAX(strike-$B21,0)),"")</f>
        <v>2.75</v>
      </c>
      <c r="Z21" s="9">
        <f t="array" ref="Z21">IF(Z$11&gt;=0,MAX(INDEX(MMULT(inverseG,Y$12:Y$62),$A21+1,1),MAX(strike-$B21,0)),"")</f>
        <v>2.75</v>
      </c>
      <c r="AA21" s="9">
        <f t="array" ref="AA21">IF(AA$11&gt;=0,MAX(INDEX(MMULT(inverseG,Z$12:Z$62),$A21+1,1),MAX(strike-$B21,0)),"")</f>
        <v>2.75</v>
      </c>
      <c r="AB21" s="9">
        <f t="array" ref="AB21">IF(AB$11&gt;=0,MAX(INDEX(MMULT(inverseG,AA$12:AA$62),$A21+1,1),MAX(strike-$B21,0)),"")</f>
        <v>2.75</v>
      </c>
      <c r="AC21" s="9">
        <f t="array" ref="AC21">IF(AC$11&gt;=0,MAX(INDEX(MMULT(inverseG,AB$12:AB$62),$A21+1,1),MAX(strike-$B21,0)),"")</f>
        <v>2.75</v>
      </c>
      <c r="AD21" s="9">
        <f t="array" ref="AD21">IF(AD$11&gt;=0,MAX(INDEX(MMULT(inverseG,AC$12:AC$62),$A21+1,1),MAX(strike-$B21,0)),"")</f>
        <v>2.75</v>
      </c>
      <c r="AE21" s="9">
        <f t="array" ref="AE21">IF(AE$11&gt;=0,MAX(INDEX(MMULT(inverseG,AD$12:AD$62),$A21+1,1),MAX(strike-$B21,0)),"")</f>
        <v>2.75</v>
      </c>
      <c r="AF21" s="9">
        <f t="array" ref="AF21">IF(AF$11&gt;=0,MAX(INDEX(MMULT(inverseG,AE$12:AE$62),$A21+1,1),MAX(strike-$B21,0)),"")</f>
        <v>2.75</v>
      </c>
      <c r="AG21" s="9">
        <f t="array" ref="AG21">IF(AG$11&gt;=0,MAX(INDEX(MMULT(inverseG,AF$12:AF$62),$A21+1,1),MAX(strike-$B21,0)),"")</f>
        <v>2.75</v>
      </c>
      <c r="AH21" s="9">
        <f t="array" ref="AH21">IF(AH$11&gt;=0,MAX(INDEX(MMULT(inverseG,AG$12:AG$62),$A21+1,1),MAX(strike-$B21,0)),"")</f>
        <v>2.75</v>
      </c>
      <c r="AI21" s="9">
        <f t="array" ref="AI21">IF(AI$11&gt;=0,MAX(INDEX(MMULT(inverseG,AH$12:AH$62),$A21+1,1),MAX(strike-$B21,0)),"")</f>
        <v>2.75</v>
      </c>
      <c r="AJ21" s="9">
        <f t="array" ref="AJ21">IF(AJ$11&gt;=0,MAX(INDEX(MMULT(inverseG,AI$12:AI$62),$A21+1,1),MAX(strike-$B21,0)),"")</f>
        <v>2.75</v>
      </c>
      <c r="AK21" s="9">
        <f t="array" ref="AK21">IF(AK$11&gt;=0,MAX(INDEX(MMULT(inverseG,AJ$12:AJ$62),$A21+1,1),MAX(strike-$B21,0)),"")</f>
        <v>2.75</v>
      </c>
      <c r="AL21" s="9">
        <f t="array" ref="AL21">IF(AL$11&gt;=0,MAX(INDEX(MMULT(inverseG,AK$12:AK$62),$A21+1,1),MAX(strike-$B21,0)),"")</f>
        <v>2.75</v>
      </c>
      <c r="AM21" s="9">
        <f t="array" ref="AM21">IF(AM$11&gt;=0,MAX(INDEX(MMULT(inverseG,AL$12:AL$62),$A21+1,1),MAX(strike-$B21,0)),"")</f>
        <v>2.75</v>
      </c>
      <c r="AN21" s="9">
        <f t="array" ref="AN21">IF(AN$11&gt;=0,MAX(INDEX(MMULT(inverseG,AM$12:AM$62),$A21+1,1),MAX(strike-$B21,0)),"")</f>
        <v>2.75</v>
      </c>
      <c r="AO21" s="9">
        <f t="array" ref="AO21">IF(AO$11&gt;=0,MAX(INDEX(MMULT(inverseG,AN$12:AN$62),$A21+1,1),MAX(strike-$B21,0)),"")</f>
        <v>2.75</v>
      </c>
      <c r="AP21" s="9">
        <f t="array" ref="AP21">IF(AP$11&gt;=0,MAX(INDEX(MMULT(inverseG,AO$12:AO$62),$A21+1,1),MAX(strike-$B21,0)),"")</f>
        <v>2.75</v>
      </c>
      <c r="AQ21" s="9">
        <f t="array" ref="AQ21">IF(AQ$11&gt;=0,MAX(INDEX(MMULT(inverseG,AP$12:AP$62),$A21+1,1),MAX(strike-$B21,0)),"")</f>
        <v>2.75</v>
      </c>
      <c r="AR21" s="9">
        <f t="array" ref="AR21">IF(AR$11&gt;=0,MAX(INDEX(MMULT(inverseG,AQ$12:AQ$62),$A21+1,1),MAX(strike-$B21,0)),"")</f>
        <v>2.75</v>
      </c>
      <c r="AS21" s="9">
        <f t="array" ref="AS21">IF(AS$11&gt;=0,MAX(INDEX(MMULT(inverseG,AR$12:AR$62),$A21+1,1),MAX(strike-$B21,0)),"")</f>
        <v>2.75</v>
      </c>
      <c r="AT21" s="9">
        <f t="array" ref="AT21">IF(AT$11&gt;=0,MAX(INDEX(MMULT(inverseG,AS$12:AS$62),$A21+1,1),MAX(strike-$B21,0)),"")</f>
        <v>2.75</v>
      </c>
      <c r="AU21" s="9">
        <f t="array" ref="AU21">IF(AU$11&gt;=0,MAX(INDEX(MMULT(inverseG,AT$12:AT$62),$A21+1,1),MAX(strike-$B21,0)),"")</f>
        <v>2.75</v>
      </c>
      <c r="AV21" s="9">
        <f t="array" ref="AV21">IF(AV$11&gt;=0,MAX(INDEX(MMULT(inverseG,AU$12:AU$62),$A21+1,1),MAX(strike-$B21,0)),"")</f>
        <v>2.75</v>
      </c>
      <c r="AW21" s="9">
        <f t="array" ref="AW21">IF(AW$11&gt;=0,MAX(INDEX(MMULT(inverseG,AV$12:AV$62),$A21+1,1),MAX(strike-$B21,0)),"")</f>
        <v>2.75</v>
      </c>
      <c r="AX21" s="9">
        <f t="array" ref="AX21">IF(AX$11&gt;=0,MAX(INDEX(MMULT(inverseG,AW$12:AW$62),$A21+1,1),MAX(strike-$B21,0)),"")</f>
        <v>2.75</v>
      </c>
      <c r="AY21" s="9">
        <f t="array" ref="AY21">IF(AY$11&gt;=0,MAX(INDEX(MMULT(inverseG,AX$12:AX$62),$A21+1,1),MAX(strike-$B21,0)),"")</f>
        <v>2.75</v>
      </c>
      <c r="AZ21" s="9">
        <f t="array" ref="AZ21">IF(AZ$11&gt;=0,MAX(INDEX(MMULT(inverseG,AY$12:AY$62),$A21+1,1),MAX(strike-$B21,0)),"")</f>
        <v>2.75</v>
      </c>
      <c r="BA21" s="9">
        <f t="array" ref="BA21">IF(BA$11&gt;=0,MAX(INDEX(MMULT(inverseG,AZ$12:AZ$62),$A21+1,1),MAX(strike-$B21,0)),"")</f>
        <v>2.75</v>
      </c>
      <c r="BB21" s="9">
        <f t="array" ref="BB21">IF(BB$11&gt;=0,MAX(INDEX(MMULT(inverseG,BA$12:BA$62),$A21+1,1),MAX(strike-$B21,0)),"")</f>
        <v>2.75</v>
      </c>
      <c r="BC21" s="9">
        <f t="array" ref="BC21">IF(BC$11&gt;=0,MAX(INDEX(MMULT(inverseG,BB$12:BB$62),$A21+1,1),MAX(strike-$B21,0)),"")</f>
        <v>2.75</v>
      </c>
      <c r="BD21" s="9">
        <f t="array" ref="BD21">IF(BD$11&gt;=0,MAX(INDEX(MMULT(inverseG,BC$12:BC$62),$A21+1,1),MAX(strike-$B21,0)),"")</f>
        <v>2.75</v>
      </c>
      <c r="BE21" s="9">
        <f t="array" ref="BE21">IF(BE$11&gt;=0,MAX(INDEX(MMULT(inverseG,BD$12:BD$62),$A21+1,1),MAX(strike-$B21,0)),"")</f>
        <v>2.75</v>
      </c>
      <c r="BF21" s="9">
        <f t="array" ref="BF21">IF(BF$11&gt;=0,MAX(INDEX(MMULT(inverseG,BE$12:BE$62),$A21+1,1),MAX(strike-$B21,0)),"")</f>
        <v>2.75</v>
      </c>
      <c r="BG21" s="9">
        <f t="array" ref="BG21">IF(BG$11&gt;=0,MAX(INDEX(MMULT(inverseG,BF$12:BF$62),$A21+1,1),MAX(strike-$B21,0)),"")</f>
        <v>2.75</v>
      </c>
      <c r="BH21" s="9">
        <f t="array" ref="BH21">IF(BH$11&gt;=0,MAX(INDEX(MMULT(inverseG,BG$12:BG$62),$A21+1,1),MAX(strike-$B21,0)),"")</f>
        <v>2.75</v>
      </c>
      <c r="BI21" s="9">
        <f t="array" ref="BI21">IF(BI$11&gt;=0,MAX(INDEX(MMULT(inverseG,BH$12:BH$62),$A21+1,1),MAX(strike-$B21,0)),"")</f>
        <v>2.75</v>
      </c>
      <c r="BJ21" s="9">
        <f t="array" ref="BJ21">IF(BJ$11&gt;=0,MAX(INDEX(MMULT(inverseG,BI$12:BI$62),$A21+1,1),MAX(strike-$B21,0)),"")</f>
        <v>2.75</v>
      </c>
      <c r="BK21" s="9">
        <f t="array" ref="BK21">IF(BK$11&gt;=0,MAX(INDEX(MMULT(inverseG,BJ$12:BJ$62),$A21+1,1),MAX(strike-$B21,0)),"")</f>
        <v>2.75</v>
      </c>
      <c r="BL21" s="9">
        <f t="array" ref="BL21">IF(BL$11&gt;=0,MAX(INDEX(MMULT(inverseG,BK$12:BK$62),$A21+1,1),MAX(strike-$B21,0)),"")</f>
        <v>2.75</v>
      </c>
      <c r="BM21" s="9">
        <f t="array" ref="BM21">IF(BM$11&gt;=0,MAX(INDEX(MMULT(inverseG,BL$12:BL$62),$A21+1,1),MAX(strike-$B21,0)),"")</f>
        <v>2.75</v>
      </c>
      <c r="BN21" s="9">
        <f t="array" ref="BN21">IF(BN$11&gt;=0,MAX(INDEX(MMULT(inverseG,BM$12:BM$62),$A21+1,1),MAX(strike-$B21,0)),"")</f>
        <v>2.75</v>
      </c>
      <c r="BO21" s="9">
        <f t="array" ref="BO21">IF(BO$11&gt;=0,MAX(INDEX(MMULT(inverseG,BN$12:BN$62),$A21+1,1),MAX(strike-$B21,0)),"")</f>
        <v>2.75</v>
      </c>
      <c r="BP21" s="9">
        <f t="array" ref="BP21">IF(BP$11&gt;=0,MAX(INDEX(MMULT(inverseG,BO$12:BO$62),$A21+1,1),MAX(strike-$B21,0)),"")</f>
        <v>2.75</v>
      </c>
      <c r="BQ21" s="9">
        <f t="array" ref="BQ21">IF(BQ$11&gt;=0,MAX(INDEX(MMULT(inverseG,BP$12:BP$62),$A21+1,1),MAX(strike-$B21,0)),"")</f>
        <v>2.75</v>
      </c>
      <c r="BR21" s="9">
        <f t="array" ref="BR21">IF(BR$11&gt;=0,MAX(INDEX(MMULT(inverseG,BQ$12:BQ$62),$A21+1,1),MAX(strike-$B21,0)),"")</f>
        <v>2.75</v>
      </c>
      <c r="BS21" s="9">
        <f t="array" ref="BS21">IF(BS$11&gt;=0,MAX(INDEX(MMULT(inverseG,BR$12:BR$62),$A21+1,1),MAX(strike-$B21,0)),"")</f>
        <v>2.75</v>
      </c>
      <c r="BT21" s="9">
        <f t="array" ref="BT21">IF(BT$11&gt;=0,MAX(INDEX(MMULT(inverseG,BS$12:BS$62),$A21+1,1),MAX(strike-$B21,0)),"")</f>
        <v>2.75</v>
      </c>
      <c r="BU21" s="9">
        <f t="array" ref="BU21">IF(BU$11&gt;=0,MAX(INDEX(MMULT(inverseG,BT$12:BT$62),$A21+1,1),MAX(strike-$B21,0)),"")</f>
        <v>2.75</v>
      </c>
      <c r="BV21" s="9">
        <f t="array" ref="BV21">IF(BV$11&gt;=0,MAX(INDEX(MMULT(inverseG,BU$12:BU$62),$A21+1,1),MAX(strike-$B21,0)),"")</f>
        <v>2.75</v>
      </c>
      <c r="BW21" s="9">
        <f t="array" ref="BW21">IF(BW$11&gt;=0,MAX(INDEX(MMULT(inverseG,BV$12:BV$62),$A21+1,1),MAX(strike-$B21,0)),"")</f>
        <v>2.75</v>
      </c>
      <c r="BX21" s="9">
        <f t="array" ref="BX21">IF(BX$11&gt;=0,MAX(INDEX(MMULT(inverseG,BW$12:BW$62),$A21+1,1),MAX(strike-$B21,0)),"")</f>
        <v>2.75</v>
      </c>
      <c r="BY21" s="9">
        <f t="array" ref="BY21">IF(BY$11&gt;=0,MAX(INDEX(MMULT(inverseG,BX$12:BX$62),$A21+1,1),MAX(strike-$B21,0)),"")</f>
        <v>2.75</v>
      </c>
      <c r="BZ21" s="9">
        <f t="array" ref="BZ21">IF(BZ$11&gt;=0,MAX(INDEX(MMULT(inverseG,BY$12:BY$62),$A21+1,1),MAX(strike-$B21,0)),"")</f>
        <v>2.75</v>
      </c>
      <c r="CA21" s="9">
        <f t="array" ref="CA21">IF(CA$11&gt;=0,MAX(INDEX(MMULT(inverseG,BZ$12:BZ$62),$A21+1,1),MAX(strike-$B21,0)),"")</f>
        <v>2.75</v>
      </c>
      <c r="CB21" s="9">
        <f t="array" ref="CB21">IF(CB$11&gt;=0,MAX(INDEX(MMULT(inverseG,CA$12:CA$62),$A21+1,1),MAX(strike-$B21,0)),"")</f>
        <v>2.75</v>
      </c>
      <c r="CC21" s="9">
        <f t="array" ref="CC21">IF(CC$11&gt;=0,MAX(INDEX(MMULT(inverseG,CB$12:CB$62),$A21+1,1),MAX(strike-$B21,0)),"")</f>
        <v>2.75</v>
      </c>
      <c r="CD21" s="9">
        <f t="array" ref="CD21">IF(CD$11&gt;=0,MAX(INDEX(MMULT(inverseG,CC$12:CC$62),$A21+1,1),MAX(strike-$B21,0)),"")</f>
        <v>2.75</v>
      </c>
      <c r="CE21" s="9">
        <f t="array" ref="CE21">IF(CE$11&gt;=0,MAX(INDEX(MMULT(inverseG,CD$12:CD$62),$A21+1,1),MAX(strike-$B21,0)),"")</f>
        <v>2.75</v>
      </c>
      <c r="CF21" s="9">
        <f t="array" ref="CF21">IF(CF$11&gt;=0,MAX(INDEX(MMULT(inverseG,CE$12:CE$62),$A21+1,1),MAX(strike-$B21,0)),"")</f>
        <v>2.75</v>
      </c>
      <c r="CG21" s="9">
        <f t="array" ref="CG21">IF(CG$11&gt;=0,MAX(INDEX(MMULT(inverseG,CF$12:CF$62),$A21+1,1),MAX(strike-$B21,0)),"")</f>
        <v>2.75</v>
      </c>
      <c r="CH21" s="9">
        <f t="array" ref="CH21">IF(CH$11&gt;=0,MAX(INDEX(MMULT(inverseG,CG$12:CG$62),$A21+1,1),MAX(strike-$B21,0)),"")</f>
        <v>2.75</v>
      </c>
      <c r="CI21" s="9">
        <f t="array" ref="CI21">IF(CI$11&gt;=0,MAX(INDEX(MMULT(inverseG,CH$12:CH$62),$A21+1,1),MAX(strike-$B21,0)),"")</f>
        <v>2.75</v>
      </c>
      <c r="CJ21" s="9">
        <f t="array" ref="CJ21">IF(CJ$11&gt;=0,MAX(INDEX(MMULT(inverseG,CI$12:CI$62),$A21+1,1),MAX(strike-$B21,0)),"")</f>
        <v>2.75</v>
      </c>
      <c r="CK21" s="9">
        <f t="array" ref="CK21">IF(CK$11&gt;=0,MAX(INDEX(MMULT(inverseG,CJ$12:CJ$62),$A21+1,1),MAX(strike-$B21,0)),"")</f>
        <v>2.75</v>
      </c>
      <c r="CL21" s="9">
        <f t="array" ref="CL21">IF(CL$11&gt;=0,MAX(INDEX(MMULT(inverseG,CK$12:CK$62),$A21+1,1),MAX(strike-$B21,0)),"")</f>
        <v>2.75</v>
      </c>
      <c r="CM21" s="9">
        <f t="array" ref="CM21">IF(CM$11&gt;=0,MAX(INDEX(MMULT(inverseG,CL$12:CL$62),$A21+1,1),MAX(strike-$B21,0)),"")</f>
        <v>2.75</v>
      </c>
      <c r="CN21" s="9">
        <f t="array" ref="CN21">IF(CN$11&gt;=0,MAX(INDEX(MMULT(inverseG,CM$12:CM$62),$A21+1,1),MAX(strike-$B21,0)),"")</f>
        <v>2.75</v>
      </c>
      <c r="CO21" s="9">
        <f t="array" ref="CO21">IF(CO$11&gt;=0,MAX(INDEX(MMULT(inverseG,CN$12:CN$62),$A21+1,1),MAX(strike-$B21,0)),"")</f>
        <v>2.75</v>
      </c>
      <c r="CP21" s="9">
        <f t="array" ref="CP21">IF(CP$11&gt;=0,MAX(INDEX(MMULT(inverseG,CO$12:CO$62),$A21+1,1),MAX(strike-$B21,0)),"")</f>
        <v>2.75</v>
      </c>
      <c r="CQ21" s="9">
        <f t="array" ref="CQ21">IF(CQ$11&gt;=0,MAX(INDEX(MMULT(inverseG,CP$12:CP$62),$A21+1,1),MAX(strike-$B21,0)),"")</f>
        <v>2.75</v>
      </c>
      <c r="CR21" s="9">
        <f t="array" ref="CR21">IF(CR$11&gt;=0,MAX(INDEX(MMULT(inverseG,CQ$12:CQ$62),$A21+1,1),MAX(strike-$B21,0)),"")</f>
        <v>2.75</v>
      </c>
      <c r="CS21" s="9">
        <f t="array" ref="CS21">IF(CS$11&gt;=0,MAX(INDEX(MMULT(inverseG,CR$12:CR$62),$A21+1,1),MAX(strike-$B21,0)),"")</f>
        <v>2.75</v>
      </c>
      <c r="CT21" s="9">
        <f t="array" ref="CT21">IF(CT$11&gt;=0,MAX(INDEX(MMULT(inverseG,CS$12:CS$62),$A21+1,1),MAX(strike-$B21,0)),"")</f>
        <v>2.75</v>
      </c>
      <c r="CU21" s="9">
        <f t="array" ref="CU21">IF(CU$11&gt;=0,MAX(INDEX(MMULT(inverseG,CT$12:CT$62),$A21+1,1),MAX(strike-$B21,0)),"")</f>
        <v>2.75</v>
      </c>
      <c r="CV21" s="9">
        <f t="array" ref="CV21">IF(CV$11&gt;=0,MAX(INDEX(MMULT(inverseG,CU$12:CU$62),$A21+1,1),MAX(strike-$B21,0)),"")</f>
        <v>2.75</v>
      </c>
      <c r="CW21" s="9">
        <f t="array" ref="CW21">IF(CW$11&gt;=0,MAX(INDEX(MMULT(inverseG,CV$12:CV$62),$A21+1,1),MAX(strike-$B21,0)),"")</f>
        <v>2.75</v>
      </c>
      <c r="CX21" s="9">
        <f t="array" ref="CX21">IF(CX$11&gt;=0,MAX(INDEX(MMULT(inverseG,CW$12:CW$62),$A21+1,1),MAX(strike-$B21,0)),"")</f>
        <v>2.75</v>
      </c>
      <c r="CY21" s="9">
        <f t="array" ref="CY21">IF(CY$11&gt;=0,MAX(INDEX(MMULT(inverseG,CX$12:CX$62),$A21+1,1),MAX(strike-$B21,0)),"")</f>
        <v>2.75</v>
      </c>
      <c r="CZ21" s="9">
        <f t="array" ref="CZ21">IF(CZ$11&gt;=0,MAX(INDEX(MMULT(inverseG,CY$12:CY$62),$A21+1,1),MAX(strike-$B21,0)),"")</f>
        <v>2.75</v>
      </c>
      <c r="DA21" s="9" t="str">
        <f t="array" ref="DA21">IF(DA$11&gt;=0,MAX(INDEX(MMULT(inverseG,CZ$12:CZ$62),$A21+1,1),MAX(strike-$B21,0)),"")</f>
        <v/>
      </c>
      <c r="DB21" s="9" t="str">
        <f t="array" ref="DB21">IF(DB$11&gt;=0,MAX(INDEX(MMULT(inverseG,DA$12:DA$62),$A21+1,1),MAX(strike-$B21,0)),"")</f>
        <v/>
      </c>
      <c r="DC21" s="9" t="str">
        <f t="array" ref="DC21">IF(DC$11&gt;=0,MAX(INDEX(MMULT(inverseG,DB$12:DB$62),$A21+1,1),MAX(strike-$B21,0)),"")</f>
        <v/>
      </c>
      <c r="DD21" s="9" t="str">
        <f t="array" ref="DD21">IF(DD$11&gt;=0,MAX(INDEX(MMULT(inverseG,DC$12:DC$62),$A21+1,1),MAX(strike-$B21,0)),"")</f>
        <v/>
      </c>
      <c r="DE21" s="9" t="str">
        <f t="array" ref="DE21">IF(DE$11&gt;=0,MAX(INDEX(MMULT(inverseG,DD$12:DD$62),$A21+1,1),MAX(strike-$B21,0)),"")</f>
        <v/>
      </c>
      <c r="DF21" s="9" t="str">
        <f t="array" ref="DF21">IF(DF$11&gt;=0,MAX(INDEX(MMULT(inverseG,DE$12:DE$62),$A21+1,1),MAX(strike-$B21,0)),"")</f>
        <v/>
      </c>
      <c r="DG21" s="9" t="str">
        <f t="array" ref="DG21">IF(DG$11&gt;=0,MAX(INDEX(MMULT(inverseG,DF$12:DF$62),$A21+1,1),MAX(strike-$B21,0)),"")</f>
        <v/>
      </c>
      <c r="DH21" s="9" t="str">
        <f t="array" ref="DH21">IF(DH$11&gt;=0,MAX(INDEX(MMULT(inverseG,DG$12:DG$62),$A21+1,1),MAX(strike-$B21,0)),"")</f>
        <v/>
      </c>
      <c r="DI21" s="9" t="str">
        <f t="array" ref="DI21">IF(DI$11&gt;=0,MAX(INDEX(MMULT(inverseG,DH$12:DH$62),$A21+1,1),MAX(strike-$B21,0)),"")</f>
        <v/>
      </c>
      <c r="DJ21" s="9" t="str">
        <f t="array" ref="DJ21">IF(DJ$11&gt;=0,MAX(INDEX(MMULT(inverseG,DI$12:DI$62),$A21+1,1),MAX(strike-$B21,0)),"")</f>
        <v/>
      </c>
      <c r="DK21" s="9" t="str">
        <f t="array" ref="DK21">IF(DK$11&gt;=0,MAX(INDEX(MMULT(inverseG,DJ$12:DJ$62),$A21+1,1),MAX(strike-$B21,0)),"")</f>
        <v/>
      </c>
      <c r="DL21" s="9" t="str">
        <f t="array" ref="DL21">IF(DL$11&gt;=0,MAX(INDEX(MMULT(inverseG,DK$12:DK$62),$A21+1,1),MAX(strike-$B21,0)),"")</f>
        <v/>
      </c>
      <c r="DM21" s="9" t="str">
        <f t="array" ref="DM21">IF(DM$11&gt;=0,MAX(INDEX(MMULT(inverseG,DL$12:DL$62),$A21+1,1),MAX(strike-$B21,0)),"")</f>
        <v/>
      </c>
      <c r="DN21" s="9" t="str">
        <f t="array" ref="DN21">IF(DN$11&gt;=0,MAX(INDEX(MMULT(inverseG,DM$12:DM$62),$A21+1,1),MAX(strike-$B21,0)),"")</f>
        <v/>
      </c>
      <c r="DO21" s="9" t="str">
        <f t="array" ref="DO21">IF(DO$11&gt;=0,MAX(INDEX(MMULT(inverseG,DN$12:DN$62),$A21+1,1),MAX(strike-$B21,0)),"")</f>
        <v/>
      </c>
      <c r="DP21" s="9" t="str">
        <f t="array" ref="DP21">IF(DP$11&gt;=0,MAX(INDEX(MMULT(inverseG,DO$12:DO$62),$A21+1,1),MAX(strike-$B21,0)),"")</f>
        <v/>
      </c>
      <c r="DQ21" s="9" t="str">
        <f t="array" ref="DQ21">IF(DQ$11&gt;=0,MAX(INDEX(MMULT(inverseG,DP$12:DP$62),$A21+1,1),MAX(strike-$B21,0)),"")</f>
        <v/>
      </c>
      <c r="DR21" s="9" t="str">
        <f t="array" ref="DR21">IF(DR$11&gt;=0,MAX(INDEX(MMULT(inverseG,DQ$12:DQ$62),$A21+1,1),MAX(strike-$B21,0)),"")</f>
        <v/>
      </c>
      <c r="DS21" s="9" t="str">
        <f t="array" ref="DS21">IF(DS$11&gt;=0,MAX(INDEX(MMULT(inverseG,DR$12:DR$62),$A21+1,1),MAX(strike-$B21,0)),"")</f>
        <v/>
      </c>
      <c r="DT21" s="9" t="str">
        <f t="array" ref="DT21">IF(DT$11&gt;=0,MAX(INDEX(MMULT(inverseG,DS$12:DS$62),$A21+1,1),MAX(strike-$B21,0)),"")</f>
        <v/>
      </c>
      <c r="DU21" s="9" t="str">
        <f t="array" ref="DU21">IF(DU$11&gt;=0,MAX(INDEX(MMULT(inverseG,DT$12:DT$62),$A21+1,1),MAX(strike-$B21,0)),"")</f>
        <v/>
      </c>
      <c r="DV21" s="9" t="str">
        <f t="array" ref="DV21">IF(DV$11&gt;=0,MAX(INDEX(MMULT(inverseG,DU$12:DU$62),$A21+1,1),MAX(strike-$B21,0)),"")</f>
        <v/>
      </c>
      <c r="DW21" s="9" t="str">
        <f t="array" ref="DW21">IF(DW$11&gt;=0,MAX(INDEX(MMULT(inverseG,DV$12:DV$62),$A21+1,1),MAX(strike-$B21,0)),"")</f>
        <v/>
      </c>
      <c r="DX21" s="9" t="str">
        <f t="array" ref="DX21">IF(DX$11&gt;=0,MAX(INDEX(MMULT(inverseG,DW$12:DW$62),$A21+1,1),MAX(strike-$B21,0)),"")</f>
        <v/>
      </c>
      <c r="DY21" s="9" t="str">
        <f t="array" ref="DY21">IF(DY$11&gt;=0,MAX(INDEX(MMULT(inverseG,DX$12:DX$62),$A21+1,1),MAX(strike-$B21,0)),"")</f>
        <v/>
      </c>
      <c r="DZ21" s="9" t="str">
        <f t="array" ref="DZ21">IF(DZ$11&gt;=0,MAX(INDEX(MMULT(inverseG,DY$12:DY$62),$A21+1,1),MAX(strike-$B21,0)),"")</f>
        <v/>
      </c>
      <c r="EA21" s="9" t="str">
        <f t="array" ref="EA21">IF(EA$11&gt;=0,MAX(INDEX(MMULT(inverseG,DZ$12:DZ$62),$A21+1,1),MAX(strike-$B21,0)),"")</f>
        <v/>
      </c>
      <c r="EB21" s="9" t="str">
        <f t="array" ref="EB21">IF(EB$11&gt;=0,MAX(INDEX(MMULT(inverseG,EA$12:EA$62),$A21+1,1),MAX(strike-$B21,0)),"")</f>
        <v/>
      </c>
      <c r="EC21" s="9" t="str">
        <f t="array" ref="EC21">IF(EC$11&gt;=0,MAX(INDEX(MMULT(inverseG,EB$12:EB$62),$A21+1,1),MAX(strike-$B21,0)),"")</f>
        <v/>
      </c>
      <c r="ED21" s="9" t="str">
        <f t="array" ref="ED21">IF(ED$11&gt;=0,MAX(INDEX(MMULT(inverseG,EC$12:EC$62),$A21+1,1),MAX(strike-$B21,0)),"")</f>
        <v/>
      </c>
      <c r="EE21" s="9" t="str">
        <f t="array" ref="EE21">IF(EE$11&gt;=0,MAX(INDEX(MMULT(inverseG,ED$12:ED$62),$A21+1,1),MAX(strike-$B21,0)),"")</f>
        <v/>
      </c>
      <c r="EF21" s="9" t="str">
        <f t="array" ref="EF21">IF(EF$11&gt;=0,MAX(INDEX(MMULT(inverseG,EE$12:EE$62),$A21+1,1),MAX(strike-$B21,0)),"")</f>
        <v/>
      </c>
      <c r="EG21" s="9" t="str">
        <f t="array" ref="EG21">IF(EG$11&gt;=0,MAX(INDEX(MMULT(inverseG,EF$12:EF$62),$A21+1,1),MAX(strike-$B21,0)),"")</f>
        <v/>
      </c>
      <c r="EH21" s="9" t="str">
        <f t="array" ref="EH21">IF(EH$11&gt;=0,MAX(INDEX(MMULT(inverseG,EG$12:EG$62),$A21+1,1),MAX(strike-$B21,0)),"")</f>
        <v/>
      </c>
      <c r="EI21" s="9" t="str">
        <f t="array" ref="EI21">IF(EI$11&gt;=0,MAX(INDEX(MMULT(inverseG,EH$12:EH$62),$A21+1,1),MAX(strike-$B21,0)),"")</f>
        <v/>
      </c>
      <c r="EJ21" s="9" t="str">
        <f t="array" ref="EJ21">IF(EJ$11&gt;=0,MAX(INDEX(MMULT(inverseG,EI$12:EI$62),$A21+1,1),MAX(strike-$B21,0)),"")</f>
        <v/>
      </c>
      <c r="EK21" s="9" t="str">
        <f t="array" ref="EK21">IF(EK$11&gt;=0,MAX(INDEX(MMULT(inverseG,EJ$12:EJ$62),$A21+1,1),MAX(strike-$B21,0)),"")</f>
        <v/>
      </c>
      <c r="EL21" s="9" t="str">
        <f t="array" ref="EL21">IF(EL$11&gt;=0,MAX(INDEX(MMULT(inverseG,EK$12:EK$62),$A21+1,1),MAX(strike-$B21,0)),"")</f>
        <v/>
      </c>
      <c r="EM21" s="9" t="str">
        <f t="array" ref="EM21">IF(EM$11&gt;=0,MAX(INDEX(MMULT(inverseG,EL$12:EL$62),$A21+1,1),MAX(strike-$B21,0)),"")</f>
        <v/>
      </c>
      <c r="EN21" s="9" t="str">
        <f t="array" ref="EN21">IF(EN$11&gt;=0,MAX(INDEX(MMULT(inverseG,EM$12:EM$62),$A21+1,1),MAX(strike-$B21,0)),"")</f>
        <v/>
      </c>
      <c r="EO21" s="9" t="str">
        <f t="array" ref="EO21">IF(EO$11&gt;=0,MAX(INDEX(MMULT(inverseG,EN$12:EN$62),$A21+1,1),MAX(strike-$B21,0)),"")</f>
        <v/>
      </c>
      <c r="EP21" s="9" t="str">
        <f t="array" ref="EP21">IF(EP$11&gt;=0,MAX(INDEX(MMULT(inverseG,EO$12:EO$62),$A21+1,1),MAX(strike-$B21,0)),"")</f>
        <v/>
      </c>
      <c r="EQ21" s="9" t="str">
        <f t="array" ref="EQ21">IF(EQ$11&gt;=0,MAX(INDEX(MMULT(inverseG,EP$12:EP$62),$A21+1,1),MAX(strike-$B21,0)),"")</f>
        <v/>
      </c>
      <c r="ER21" s="9" t="str">
        <f t="array" ref="ER21">IF(ER$11&gt;=0,MAX(INDEX(MMULT(inverseG,EQ$12:EQ$62),$A21+1,1),MAX(strike-$B21,0)),"")</f>
        <v/>
      </c>
      <c r="ES21" s="9" t="str">
        <f t="array" ref="ES21">IF(ES$11&gt;=0,MAX(INDEX(MMULT(inverseG,ER$12:ER$62),$A21+1,1),MAX(strike-$B21,0)),"")</f>
        <v/>
      </c>
      <c r="ET21" s="9" t="str">
        <f t="array" ref="ET21">IF(ET$11&gt;=0,MAX(INDEX(MMULT(inverseG,ES$12:ES$62),$A21+1,1),MAX(strike-$B21,0)),"")</f>
        <v/>
      </c>
      <c r="EU21" s="9" t="str">
        <f t="array" ref="EU21">IF(EU$11&gt;=0,MAX(INDEX(MMULT(inverseG,ET$12:ET$62),$A21+1,1),MAX(strike-$B21,0)),"")</f>
        <v/>
      </c>
      <c r="EV21" s="9" t="str">
        <f t="array" ref="EV21">IF(EV$11&gt;=0,MAX(INDEX(MMULT(inverseG,EU$12:EU$62),$A21+1,1),MAX(strike-$B21,0)),"")</f>
        <v/>
      </c>
      <c r="EW21" s="9" t="str">
        <f t="array" ref="EW21">IF(EW$11&gt;=0,MAX(INDEX(MMULT(inverseG,EV$12:EV$62),$A21+1,1),MAX(strike-$B21,0)),"")</f>
        <v/>
      </c>
      <c r="EX21" s="9" t="str">
        <f t="array" ref="EX21">IF(EX$11&gt;=0,MAX(INDEX(MMULT(inverseG,EW$12:EW$62),$A21+1,1),MAX(strike-$B21,0)),"")</f>
        <v/>
      </c>
      <c r="EY21" s="9" t="str">
        <f t="array" ref="EY21">IF(EY$11&gt;=0,MAX(INDEX(MMULT(inverseG,EX$12:EX$62),$A21+1,1),MAX(strike-$B21,0)),"")</f>
        <v/>
      </c>
      <c r="EZ21" s="9" t="str">
        <f t="array" ref="EZ21">IF(EZ$11&gt;=0,MAX(INDEX(MMULT(inverseG,EY$12:EY$62),$A21+1,1),MAX(strike-$B21,0)),"")</f>
        <v/>
      </c>
      <c r="FA21" s="9" t="str">
        <f t="array" ref="FA21">IF(FA$11&gt;=0,MAX(INDEX(MMULT(inverseG,EZ$12:EZ$62),$A21+1,1),MAX(strike-$B21,0)),"")</f>
        <v/>
      </c>
      <c r="FB21" s="9" t="str">
        <f t="array" ref="FB21">IF(FB$11&gt;=0,MAX(INDEX(MMULT(inverseG,FA$12:FA$62),$A21+1,1),MAX(strike-$B21,0)),"")</f>
        <v/>
      </c>
      <c r="FC21" s="9" t="str">
        <f t="array" ref="FC21">IF(FC$11&gt;=0,MAX(INDEX(MMULT(inverseG,FB$12:FB$62),$A21+1,1),MAX(strike-$B21,0)),"")</f>
        <v/>
      </c>
      <c r="FD21" s="9" t="str">
        <f t="array" ref="FD21">IF(FD$11&gt;=0,MAX(INDEX(MMULT(inverseG,FC$12:FC$62),$A21+1,1),MAX(strike-$B21,0)),"")</f>
        <v/>
      </c>
      <c r="FE21" s="9" t="str">
        <f t="array" ref="FE21">IF(FE$11&gt;=0,MAX(INDEX(MMULT(inverseG,FD$12:FD$62),$A21+1,1),MAX(strike-$B21,0)),"")</f>
        <v/>
      </c>
      <c r="FF21" s="9" t="str">
        <f t="array" ref="FF21">IF(FF$11&gt;=0,MAX(INDEX(MMULT(inverseG,FE$12:FE$62),$A21+1,1),MAX(strike-$B21,0)),"")</f>
        <v/>
      </c>
      <c r="FG21" s="9" t="str">
        <f t="array" ref="FG21">IF(FG$11&gt;=0,MAX(INDEX(MMULT(inverseG,FF$12:FF$62),$A21+1,1),MAX(strike-$B21,0)),"")</f>
        <v/>
      </c>
      <c r="FH21" s="9" t="str">
        <f t="array" ref="FH21">IF(FH$11&gt;=0,MAX(INDEX(MMULT(inverseG,FG$12:FG$62),$A21+1,1),MAX(strike-$B21,0)),"")</f>
        <v/>
      </c>
      <c r="FI21" s="9" t="str">
        <f t="array" ref="FI21">IF(FI$11&gt;=0,MAX(INDEX(MMULT(inverseG,FH$12:FH$62),$A21+1,1),MAX(strike-$B21,0)),"")</f>
        <v/>
      </c>
      <c r="FJ21" s="9" t="str">
        <f t="array" ref="FJ21">IF(FJ$11&gt;=0,MAX(INDEX(MMULT(inverseG,FI$12:FI$62),$A21+1,1),MAX(strike-$B21,0)),"")</f>
        <v/>
      </c>
      <c r="FK21" s="9" t="str">
        <f t="array" ref="FK21">IF(FK$11&gt;=0,MAX(INDEX(MMULT(inverseG,FJ$12:FJ$62),$A21+1,1),MAX(strike-$B21,0)),"")</f>
        <v/>
      </c>
      <c r="FL21" s="9" t="str">
        <f t="array" ref="FL21">IF(FL$11&gt;=0,MAX(INDEX(MMULT(inverseG,FK$12:FK$62),$A21+1,1),MAX(strike-$B21,0)),"")</f>
        <v/>
      </c>
      <c r="FM21" s="9" t="str">
        <f t="array" ref="FM21">IF(FM$11&gt;=0,MAX(INDEX(MMULT(inverseG,FL$12:FL$62),$A21+1,1),MAX(strike-$B21,0)),"")</f>
        <v/>
      </c>
      <c r="FN21" s="9" t="str">
        <f t="array" ref="FN21">IF(FN$11&gt;=0,MAX(INDEX(MMULT(inverseG,FM$12:FM$62),$A21+1,1),MAX(strike-$B21,0)),"")</f>
        <v/>
      </c>
      <c r="FO21" s="9" t="str">
        <f t="array" ref="FO21">IF(FO$11&gt;=0,MAX(INDEX(MMULT(inverseG,FN$12:FN$62),$A21+1,1),MAX(strike-$B21,0)),"")</f>
        <v/>
      </c>
      <c r="FP21" s="9" t="str">
        <f t="array" ref="FP21">IF(FP$11&gt;=0,MAX(INDEX(MMULT(inverseG,FO$12:FO$62),$A21+1,1),MAX(strike-$B21,0)),"")</f>
        <v/>
      </c>
      <c r="FQ21" s="9" t="str">
        <f t="array" ref="FQ21">IF(FQ$11&gt;=0,MAX(INDEX(MMULT(inverseG,FP$12:FP$62),$A21+1,1),MAX(strike-$B21,0)),"")</f>
        <v/>
      </c>
      <c r="FR21" s="9" t="str">
        <f t="array" ref="FR21">IF(FR$11&gt;=0,MAX(INDEX(MMULT(inverseG,FQ$12:FQ$62),$A21+1,1),MAX(strike-$B21,0)),"")</f>
        <v/>
      </c>
      <c r="FS21" s="9" t="str">
        <f t="array" ref="FS21">IF(FS$11&gt;=0,MAX(INDEX(MMULT(inverseG,FR$12:FR$62),$A21+1,1),MAX(strike-$B21,0)),"")</f>
        <v/>
      </c>
      <c r="FT21" s="9" t="str">
        <f t="array" ref="FT21">IF(FT$11&gt;=0,MAX(INDEX(MMULT(inverseG,FS$12:FS$62),$A21+1,1),MAX(strike-$B21,0)),"")</f>
        <v/>
      </c>
      <c r="FU21" s="9" t="str">
        <f t="array" ref="FU21">IF(FU$11&gt;=0,MAX(INDEX(MMULT(inverseG,FT$12:FT$62),$A21+1,1),MAX(strike-$B21,0)),"")</f>
        <v/>
      </c>
      <c r="FV21" s="9" t="str">
        <f t="array" ref="FV21">IF(FV$11&gt;=0,MAX(INDEX(MMULT(inverseG,FU$12:FU$62),$A21+1,1),MAX(strike-$B21,0)),"")</f>
        <v/>
      </c>
      <c r="FW21" s="9" t="str">
        <f t="array" ref="FW21">IF(FW$11&gt;=0,MAX(INDEX(MMULT(inverseG,FV$12:FV$62),$A21+1,1),MAX(strike-$B21,0)),"")</f>
        <v/>
      </c>
      <c r="FX21" s="9" t="str">
        <f t="array" ref="FX21">IF(FX$11&gt;=0,MAX(INDEX(MMULT(inverseG,FW$12:FW$62),$A21+1,1),MAX(strike-$B21,0)),"")</f>
        <v/>
      </c>
      <c r="FY21" s="9" t="str">
        <f t="array" ref="FY21">IF(FY$11&gt;=0,MAX(INDEX(MMULT(inverseG,FX$12:FX$62),$A21+1,1),MAX(strike-$B21,0)),"")</f>
        <v/>
      </c>
      <c r="FZ21" s="9" t="str">
        <f t="array" ref="FZ21">IF(FZ$11&gt;=0,MAX(INDEX(MMULT(inverseG,FY$12:FY$62),$A21+1,1),MAX(strike-$B21,0)),"")</f>
        <v/>
      </c>
      <c r="GA21" s="9" t="str">
        <f t="array" ref="GA21">IF(GA$11&gt;=0,MAX(INDEX(MMULT(inverseG,FZ$12:FZ$62),$A21+1,1),MAX(strike-$B21,0)),"")</f>
        <v/>
      </c>
      <c r="GB21" s="9" t="str">
        <f t="array" ref="GB21">IF(GB$11&gt;=0,MAX(INDEX(MMULT(inverseG,GA$12:GA$62),$A21+1,1),MAX(strike-$B21,0)),"")</f>
        <v/>
      </c>
      <c r="GC21" s="9" t="str">
        <f t="array" ref="GC21">IF(GC$11&gt;=0,MAX(INDEX(MMULT(inverseG,GB$12:GB$62),$A21+1,1),MAX(strike-$B21,0)),"")</f>
        <v/>
      </c>
      <c r="GD21" s="9" t="str">
        <f t="array" ref="GD21">IF(GD$11&gt;=0,MAX(INDEX(MMULT(inverseG,GC$12:GC$62),$A21+1,1),MAX(strike-$B21,0)),"")</f>
        <v/>
      </c>
      <c r="GE21" s="9" t="str">
        <f t="array" ref="GE21">IF(GE$11&gt;=0,MAX(INDEX(MMULT(inverseG,GD$12:GD$62),$A21+1,1),MAX(strike-$B21,0)),"")</f>
        <v/>
      </c>
      <c r="GF21" s="9" t="str">
        <f t="array" ref="GF21">IF(GF$11&gt;=0,MAX(INDEX(MMULT(inverseG,GE$12:GE$62),$A21+1,1),MAX(strike-$B21,0)),"")</f>
        <v/>
      </c>
      <c r="GG21" s="9" t="str">
        <f t="array" ref="GG21">IF(GG$11&gt;=0,MAX(INDEX(MMULT(inverseG,GF$12:GF$62),$A21+1,1),MAX(strike-$B21,0)),"")</f>
        <v/>
      </c>
      <c r="GH21" s="9" t="str">
        <f t="array" ref="GH21">IF(GH$11&gt;=0,MAX(INDEX(MMULT(inverseG,GG$12:GG$62),$A21+1,1),MAX(strike-$B21,0)),"")</f>
        <v/>
      </c>
      <c r="GI21" s="9" t="str">
        <f t="array" ref="GI21">IF(GI$11&gt;=0,MAX(INDEX(MMULT(inverseG,GH$12:GH$62),$A21+1,1),MAX(strike-$B21,0)),"")</f>
        <v/>
      </c>
      <c r="GJ21" s="9" t="str">
        <f t="array" ref="GJ21">IF(GJ$11&gt;=0,MAX(INDEX(MMULT(inverseG,GI$12:GI$62),$A21+1,1),MAX(strike-$B21,0)),"")</f>
        <v/>
      </c>
      <c r="GK21" s="9" t="str">
        <f t="array" ref="GK21">IF(GK$11&gt;=0,MAX(INDEX(MMULT(inverseG,GJ$12:GJ$62),$A21+1,1),MAX(strike-$B21,0)),"")</f>
        <v/>
      </c>
      <c r="GL21" s="9" t="str">
        <f t="array" ref="GL21">IF(GL$11&gt;=0,MAX(INDEX(MMULT(inverseG,GK$12:GK$62),$A21+1,1),MAX(strike-$B21,0)),"")</f>
        <v/>
      </c>
      <c r="GM21" s="9" t="str">
        <f t="array" ref="GM21">IF(GM$11&gt;=0,MAX(INDEX(MMULT(inverseG,GL$12:GL$62),$A21+1,1),MAX(strike-$B21,0)),"")</f>
        <v/>
      </c>
      <c r="GN21" s="9" t="str">
        <f t="array" ref="GN21">IF(GN$11&gt;=0,MAX(INDEX(MMULT(inverseG,GM$12:GM$62),$A21+1,1),MAX(strike-$B21,0)),"")</f>
        <v/>
      </c>
      <c r="GO21" s="9" t="str">
        <f t="array" ref="GO21">IF(GO$11&gt;=0,MAX(INDEX(MMULT(inverseG,GN$12:GN$62),$A21+1,1),MAX(strike-$B21,0)),"")</f>
        <v/>
      </c>
      <c r="GP21" s="9" t="str">
        <f t="array" ref="GP21">IF(GP$11&gt;=0,MAX(INDEX(MMULT(inverseG,GO$12:GO$62),$A21+1,1),MAX(strike-$B21,0)),"")</f>
        <v/>
      </c>
      <c r="GQ21" s="9" t="str">
        <f t="array" ref="GQ21">IF(GQ$11&gt;=0,MAX(INDEX(MMULT(inverseG,GP$12:GP$62),$A21+1,1),MAX(strike-$B21,0)),"")</f>
        <v/>
      </c>
      <c r="GR21" s="9" t="str">
        <f t="array" ref="GR21">IF(GR$11&gt;=0,MAX(INDEX(MMULT(inverseG,GQ$12:GQ$62),$A21+1,1),MAX(strike-$B21,0)),"")</f>
        <v/>
      </c>
      <c r="GS21" s="9" t="str">
        <f t="array" ref="GS21">IF(GS$11&gt;=0,MAX(INDEX(MMULT(inverseG,GR$12:GR$62),$A21+1,1),MAX(strike-$B21,0)),"")</f>
        <v/>
      </c>
      <c r="GT21" s="9" t="str">
        <f t="array" ref="GT21">IF(GT$11&gt;=0,MAX(INDEX(MMULT(inverseG,GS$12:GS$62),$A21+1,1),MAX(strike-$B21,0)),"")</f>
        <v/>
      </c>
      <c r="GU21" s="9" t="str">
        <f t="array" ref="GU21">IF(GU$11&gt;=0,MAX(INDEX(MMULT(inverseG,GT$12:GT$62),$A21+1,1),MAX(strike-$B21,0)),"")</f>
        <v/>
      </c>
      <c r="GV21" s="9" t="str">
        <f t="array" ref="GV21">IF(GV$11&gt;=0,MAX(INDEX(MMULT(inverseG,GU$12:GU$62),$A21+1,1),MAX(strike-$B21,0)),"")</f>
        <v/>
      </c>
      <c r="GW21" s="9" t="str">
        <f t="array" ref="GW21">IF(GW$11&gt;=0,MAX(INDEX(MMULT(inverseG,GV$12:GV$62),$A21+1,1),MAX(strike-$B21,0)),"")</f>
        <v/>
      </c>
      <c r="GX21" s="9" t="str">
        <f t="array" ref="GX21">IF(GX$11&gt;=0,MAX(INDEX(MMULT(inverseG,GW$12:GW$62),$A21+1,1),MAX(strike-$B21,0)),"")</f>
        <v/>
      </c>
      <c r="GY21" s="9" t="str">
        <f t="array" ref="GY21">IF(GY$11&gt;=0,MAX(INDEX(MMULT(inverseG,GX$12:GX$62),$A21+1,1),MAX(strike-$B21,0)),"")</f>
        <v/>
      </c>
      <c r="GZ21" s="9" t="str">
        <f t="array" ref="GZ21">IF(GZ$11&gt;=0,MAX(INDEX(MMULT(inverseG,GY$12:GY$62),$A21+1,1),MAX(strike-$B21,0)),"")</f>
        <v/>
      </c>
      <c r="HA21" s="9" t="str">
        <f t="array" ref="HA21">IF(HA$11&gt;=0,MAX(INDEX(MMULT(inverseG,GZ$12:GZ$62),$A21+1,1),MAX(strike-$B21,0)),"")</f>
        <v/>
      </c>
      <c r="HB21" s="9" t="str">
        <f t="array" ref="HB21">IF(HB$11&gt;=0,MAX(INDEX(MMULT(inverseG,HA$12:HA$62),$A21+1,1),MAX(strike-$B21,0)),"")</f>
        <v/>
      </c>
      <c r="HC21" s="9" t="str">
        <f t="array" ref="HC21">IF(HC$11&gt;=0,MAX(INDEX(MMULT(inverseG,HB$12:HB$62),$A21+1,1),MAX(strike-$B21,0)),"")</f>
        <v/>
      </c>
      <c r="HD21" s="9" t="str">
        <f t="array" ref="HD21">IF(HD$11&gt;=0,MAX(INDEX(MMULT(inverseG,HC$12:HC$62),$A21+1,1),MAX(strike-$B21,0)),"")</f>
        <v/>
      </c>
      <c r="HE21" s="9" t="str">
        <f t="array" ref="HE21">IF(HE$11&gt;=0,MAX(INDEX(MMULT(inverseG,HD$12:HD$62),$A21+1,1),MAX(strike-$B21,0)),"")</f>
        <v/>
      </c>
      <c r="HF21" s="9" t="str">
        <f t="array" ref="HF21">IF(HF$11&gt;=0,MAX(INDEX(MMULT(inverseG,HE$12:HE$62),$A21+1,1),MAX(strike-$B21,0)),"")</f>
        <v/>
      </c>
      <c r="HG21" s="9" t="str">
        <f t="array" ref="HG21">IF(HG$11&gt;=0,MAX(INDEX(MMULT(inverseG,HF$12:HF$62),$A21+1,1),MAX(strike-$B21,0)),"")</f>
        <v/>
      </c>
      <c r="HH21" s="9" t="str">
        <f t="array" ref="HH21">IF(HH$11&gt;=0,MAX(INDEX(MMULT(inverseG,HG$12:HG$62),$A21+1,1),MAX(strike-$B21,0)),"")</f>
        <v/>
      </c>
      <c r="HI21" s="9" t="str">
        <f t="array" ref="HI21">IF(HI$11&gt;=0,MAX(INDEX(MMULT(inverseG,HH$12:HH$62),$A21+1,1),MAX(strike-$B21,0)),"")</f>
        <v/>
      </c>
      <c r="HJ21" s="9" t="str">
        <f t="array" ref="HJ21">IF(HJ$11&gt;=0,MAX(INDEX(MMULT(inverseG,HI$12:HI$62),$A21+1,1),MAX(strike-$B21,0)),"")</f>
        <v/>
      </c>
      <c r="HK21" s="9" t="str">
        <f t="array" ref="HK21">IF(HK$11&gt;=0,MAX(INDEX(MMULT(inverseG,HJ$12:HJ$62),$A21+1,1),MAX(strike-$B21,0)),"")</f>
        <v/>
      </c>
      <c r="HL21" s="9" t="str">
        <f t="array" ref="HL21">IF(HL$11&gt;=0,MAX(INDEX(MMULT(inverseG,HK$12:HK$62),$A21+1,1),MAX(strike-$B21,0)),"")</f>
        <v/>
      </c>
      <c r="HM21" s="9" t="str">
        <f t="array" ref="HM21">IF(HM$11&gt;=0,MAX(INDEX(MMULT(inverseG,HL$12:HL$62),$A21+1,1),MAX(strike-$B21,0)),"")</f>
        <v/>
      </c>
      <c r="HN21" s="9" t="str">
        <f t="array" ref="HN21">IF(HN$11&gt;=0,MAX(INDEX(MMULT(inverseG,HM$12:HM$62),$A21+1,1),MAX(strike-$B21,0)),"")</f>
        <v/>
      </c>
      <c r="HO21" s="9" t="str">
        <f t="array" ref="HO21">IF(HO$11&gt;=0,MAX(INDEX(MMULT(inverseG,HN$12:HN$62),$A21+1,1),MAX(strike-$B21,0)),"")</f>
        <v/>
      </c>
      <c r="HP21" s="9" t="str">
        <f t="array" ref="HP21">IF(HP$11&gt;=0,MAX(INDEX(MMULT(inverseG,HO$12:HO$62),$A21+1,1),MAX(strike-$B21,0)),"")</f>
        <v/>
      </c>
      <c r="HQ21" s="9" t="str">
        <f t="array" ref="HQ21">IF(HQ$11&gt;=0,MAX(INDEX(MMULT(inverseG,HP$12:HP$62),$A21+1,1),MAX(strike-$B21,0)),"")</f>
        <v/>
      </c>
      <c r="HR21" s="9" t="str">
        <f t="array" ref="HR21">IF(HR$11&gt;=0,MAX(INDEX(MMULT(inverseG,HQ$12:HQ$62),$A21+1,1),MAX(strike-$B21,0)),"")</f>
        <v/>
      </c>
      <c r="HS21" s="9" t="str">
        <f t="array" ref="HS21">IF(HS$11&gt;=0,MAX(INDEX(MMULT(inverseG,HR$12:HR$62),$A21+1,1),MAX(strike-$B21,0)),"")</f>
        <v/>
      </c>
      <c r="HT21" s="9" t="str">
        <f t="array" ref="HT21">IF(HT$11&gt;=0,MAX(INDEX(MMULT(inverseG,HS$12:HS$62),$A21+1,1),MAX(strike-$B21,0)),"")</f>
        <v/>
      </c>
      <c r="HU21" s="9" t="str">
        <f t="array" ref="HU21">IF(HU$11&gt;=0,MAX(INDEX(MMULT(inverseG,HT$12:HT$62),$A21+1,1),MAX(strike-$B21,0)),"")</f>
        <v/>
      </c>
      <c r="HV21" s="9" t="str">
        <f t="array" ref="HV21">IF(HV$11&gt;=0,MAX(INDEX(MMULT(inverseG,HU$12:HU$62),$A21+1,1),MAX(strike-$B21,0)),"")</f>
        <v/>
      </c>
      <c r="HW21" s="9" t="str">
        <f t="array" ref="HW21">IF(HW$11&gt;=0,MAX(INDEX(MMULT(inverseG,HV$12:HV$62),$A21+1,1),MAX(strike-$B21,0)),"")</f>
        <v/>
      </c>
      <c r="HX21" s="9" t="str">
        <f t="array" ref="HX21">IF(HX$11&gt;=0,MAX(INDEX(MMULT(inverseG,HW$12:HW$62),$A21+1,1),MAX(strike-$B21,0)),"")</f>
        <v/>
      </c>
      <c r="HY21" s="9" t="str">
        <f t="array" ref="HY21">IF(HY$11&gt;=0,MAX(INDEX(MMULT(inverseG,HX$12:HX$62),$A21+1,1),MAX(strike-$B21,0)),"")</f>
        <v/>
      </c>
      <c r="HZ21" s="9" t="str">
        <f t="array" ref="HZ21">IF(HZ$11&gt;=0,MAX(INDEX(MMULT(inverseG,HY$12:HY$62),$A21+1,1),MAX(strike-$B21,0)),"")</f>
        <v/>
      </c>
      <c r="IA21" s="9" t="str">
        <f t="array" ref="IA21">IF(IA$11&gt;=0,MAX(INDEX(MMULT(inverseG,HZ$12:HZ$62),$A21+1,1),MAX(strike-$B21,0)),"")</f>
        <v/>
      </c>
      <c r="IB21" s="9" t="str">
        <f t="array" ref="IB21">IF(IB$11&gt;=0,MAX(INDEX(MMULT(inverseG,IA$12:IA$62),$A21+1,1),MAX(strike-$B21,0)),"")</f>
        <v/>
      </c>
      <c r="IC21" s="9" t="str">
        <f t="array" ref="IC21">IF(IC$11&gt;=0,MAX(INDEX(MMULT(inverseG,IB$12:IB$62),$A21+1,1),MAX(strike-$B21,0)),"")</f>
        <v/>
      </c>
      <c r="ID21" s="9" t="str">
        <f t="array" ref="ID21">IF(ID$11&gt;=0,MAX(INDEX(MMULT(inverseG,IC$12:IC$62),$A21+1,1),MAX(strike-$B21,0)),"")</f>
        <v/>
      </c>
      <c r="IE21" s="9" t="str">
        <f t="array" ref="IE21">IF(IE$11&gt;=0,MAX(INDEX(MMULT(inverseG,ID$12:ID$62),$A21+1,1),MAX(strike-$B21,0)),"")</f>
        <v/>
      </c>
      <c r="IF21" s="9" t="str">
        <f t="array" ref="IF21">IF(IF$11&gt;=0,MAX(INDEX(MMULT(inverseG,IE$12:IE$62),$A21+1,1),MAX(strike-$B21,0)),"")</f>
        <v/>
      </c>
      <c r="IG21" s="9" t="str">
        <f t="array" ref="IG21">IF(IG$11&gt;=0,MAX(INDEX(MMULT(inverseG,IF$12:IF$62),$A21+1,1),MAX(strike-$B21,0)),"")</f>
        <v/>
      </c>
      <c r="IH21" s="9" t="str">
        <f t="array" ref="IH21">IF(IH$11&gt;=0,MAX(INDEX(MMULT(inverseG,IG$12:IG$62),$A21+1,1),MAX(strike-$B21,0)),"")</f>
        <v/>
      </c>
      <c r="II21" s="9" t="str">
        <f t="array" ref="II21">IF(II$11&gt;=0,MAX(INDEX(MMULT(inverseG,IH$12:IH$62),$A21+1,1),MAX(strike-$B21,0)),"")</f>
        <v/>
      </c>
      <c r="IJ21" s="9" t="str">
        <f t="array" ref="IJ21">IF(IJ$11&gt;=0,MAX(INDEX(MMULT(inverseG,II$12:II$62),$A21+1,1),MAX(strike-$B21,0)),"")</f>
        <v/>
      </c>
      <c r="IK21" s="9" t="str">
        <f t="array" ref="IK21">IF(IK$11&gt;=0,MAX(INDEX(MMULT(inverseG,IJ$12:IJ$62),$A21+1,1),MAX(strike-$B21,0)),"")</f>
        <v/>
      </c>
      <c r="IL21" s="9" t="str">
        <f t="array" ref="IL21">IF(IL$11&gt;=0,MAX(INDEX(MMULT(inverseG,IK$12:IK$62),$A21+1,1),MAX(strike-$B21,0)),"")</f>
        <v/>
      </c>
      <c r="IM21" s="9" t="str">
        <f t="array" ref="IM21">IF(IM$11&gt;=0,MAX(INDEX(MMULT(inverseG,IL$12:IL$62),$A21+1,1),MAX(strike-$B21,0)),"")</f>
        <v/>
      </c>
      <c r="IN21" s="9" t="str">
        <f t="array" ref="IN21">IF(IN$11&gt;=0,MAX(INDEX(MMULT(inverseG,IM$12:IM$62),$A21+1,1),MAX(strike-$B21,0)),"")</f>
        <v/>
      </c>
      <c r="IO21" s="9" t="str">
        <f t="array" ref="IO21">IF(IO$11&gt;=0,MAX(INDEX(MMULT(inverseG,IN$12:IN$62),$A21+1,1),MAX(strike-$B21,0)),"")</f>
        <v/>
      </c>
      <c r="IP21" s="9" t="str">
        <f t="array" ref="IP21">IF(IP$11&gt;=0,MAX(INDEX(MMULT(inverseG,IO$12:IO$62),$A21+1,1),MAX(strike-$B21,0)),"")</f>
        <v/>
      </c>
      <c r="IQ21" s="9" t="str">
        <f t="array" ref="IQ21">IF(IQ$11&gt;=0,MAX(INDEX(MMULT(inverseG,IP$12:IP$62),$A21+1,1),MAX(strike-$B21,0)),"")</f>
        <v/>
      </c>
      <c r="IR21" s="9" t="str">
        <f t="array" ref="IR21">IF(IR$11&gt;=0,MAX(INDEX(MMULT(inverseG,IQ$12:IQ$62),$A21+1,1),MAX(strike-$B21,0)),"")</f>
        <v/>
      </c>
      <c r="IS21" s="9" t="str">
        <f t="array" ref="IS21">IF(IS$11&gt;=0,MAX(INDEX(MMULT(inverseG,IR$12:IR$62),$A21+1,1),MAX(strike-$B21,0)),"")</f>
        <v/>
      </c>
      <c r="IT21" s="9" t="str">
        <f t="array" ref="IT21">IF(IT$11&gt;=0,MAX(INDEX(MMULT(inverseG,IS$12:IS$62),$A21+1,1),MAX(strike-$B21,0)),"")</f>
        <v/>
      </c>
      <c r="IU21" s="9" t="str">
        <f t="array" ref="IU21">IF(IU$11&gt;=0,MAX(INDEX(MMULT(inverseG,IT$12:IT$62),$A21+1,1),MAX(strike-$B21,0)),"")</f>
        <v/>
      </c>
      <c r="IV21" s="9" t="str">
        <f t="array" ref="IV21">IF(IV$11&gt;=0,MAX(INDEX(MMULT(inverseG,IU$12:IU$62),$A21+1,1),MAX(strike-$B21,0)),"")</f>
        <v/>
      </c>
    </row>
    <row r="22" spans="1:256" x14ac:dyDescent="0.2">
      <c r="A22" s="8">
        <f t="shared" si="7"/>
        <v>10</v>
      </c>
      <c r="B22" s="6">
        <f t="shared" si="4"/>
        <v>2.5</v>
      </c>
      <c r="C22" s="30">
        <f t="shared" ca="1" si="6"/>
        <v>2.5</v>
      </c>
      <c r="D22" s="9">
        <f t="shared" si="5"/>
        <v>2.5</v>
      </c>
      <c r="E22" s="9">
        <f t="array" ref="E22">IF(E$11&gt;=0,MAX(INDEX(MMULT(inverseG,D$12:D$62),$A22+1,1),MAX(strike-$B22,0)),"")</f>
        <v>2.5</v>
      </c>
      <c r="F22" s="9">
        <f t="array" ref="F22">IF(F$11&gt;=0,MAX(INDEX(MMULT(inverseG,E$12:E$62),$A22+1,1),MAX(strike-$B22,0)),"")</f>
        <v>2.5</v>
      </c>
      <c r="G22" s="9">
        <f t="array" ref="G22">IF(G$11&gt;=0,MAX(INDEX(MMULT(inverseG,F$12:F$62),$A22+1,1),MAX(strike-$B22,0)),"")</f>
        <v>2.5</v>
      </c>
      <c r="H22" s="9">
        <f t="array" ref="H22">IF(H$11&gt;=0,MAX(INDEX(MMULT(inverseG,G$12:G$62),$A22+1,1),MAX(strike-$B22,0)),"")</f>
        <v>2.5</v>
      </c>
      <c r="I22" s="9">
        <f t="array" ref="I22">IF(I$11&gt;=0,MAX(INDEX(MMULT(inverseG,H$12:H$62),$A22+1,1),MAX(strike-$B22,0)),"")</f>
        <v>2.5</v>
      </c>
      <c r="J22" s="9">
        <f t="array" ref="J22">IF(J$11&gt;=0,MAX(INDEX(MMULT(inverseG,I$12:I$62),$A22+1,1),MAX(strike-$B22,0)),"")</f>
        <v>2.5</v>
      </c>
      <c r="K22" s="9">
        <f t="array" ref="K22">IF(K$11&gt;=0,MAX(INDEX(MMULT(inverseG,J$12:J$62),$A22+1,1),MAX(strike-$B22,0)),"")</f>
        <v>2.5</v>
      </c>
      <c r="L22" s="9">
        <f t="array" ref="L22">IF(L$11&gt;=0,MAX(INDEX(MMULT(inverseG,K$12:K$62),$A22+1,1),MAX(strike-$B22,0)),"")</f>
        <v>2.5</v>
      </c>
      <c r="M22" s="9">
        <f t="array" ref="M22">IF(M$11&gt;=0,MAX(INDEX(MMULT(inverseG,L$12:L$62),$A22+1,1),MAX(strike-$B22,0)),"")</f>
        <v>2.5</v>
      </c>
      <c r="N22" s="9">
        <f t="array" ref="N22">IF(N$11&gt;=0,MAX(INDEX(MMULT(inverseG,M$12:M$62),$A22+1,1),MAX(strike-$B22,0)),"")</f>
        <v>2.5</v>
      </c>
      <c r="O22" s="9">
        <f t="array" ref="O22">IF(O$11&gt;=0,MAX(INDEX(MMULT(inverseG,N$12:N$62),$A22+1,1),MAX(strike-$B22,0)),"")</f>
        <v>2.5</v>
      </c>
      <c r="P22" s="9">
        <f t="array" ref="P22">IF(P$11&gt;=0,MAX(INDEX(MMULT(inverseG,O$12:O$62),$A22+1,1),MAX(strike-$B22,0)),"")</f>
        <v>2.5</v>
      </c>
      <c r="Q22" s="9">
        <f t="array" ref="Q22">IF(Q$11&gt;=0,MAX(INDEX(MMULT(inverseG,P$12:P$62),$A22+1,1),MAX(strike-$B22,0)),"")</f>
        <v>2.5</v>
      </c>
      <c r="R22" s="9">
        <f t="array" ref="R22">IF(R$11&gt;=0,MAX(INDEX(MMULT(inverseG,Q$12:Q$62),$A22+1,1),MAX(strike-$B22,0)),"")</f>
        <v>2.5</v>
      </c>
      <c r="S22" s="9">
        <f t="array" ref="S22">IF(S$11&gt;=0,MAX(INDEX(MMULT(inverseG,R$12:R$62),$A22+1,1),MAX(strike-$B22,0)),"")</f>
        <v>2.5</v>
      </c>
      <c r="T22" s="9">
        <f t="array" ref="T22">IF(T$11&gt;=0,MAX(INDEX(MMULT(inverseG,S$12:S$62),$A22+1,1),MAX(strike-$B22,0)),"")</f>
        <v>2.5</v>
      </c>
      <c r="U22" s="9">
        <f t="array" ref="U22">IF(U$11&gt;=0,MAX(INDEX(MMULT(inverseG,T$12:T$62),$A22+1,1),MAX(strike-$B22,0)),"")</f>
        <v>2.5</v>
      </c>
      <c r="V22" s="9">
        <f t="array" ref="V22">IF(V$11&gt;=0,MAX(INDEX(MMULT(inverseG,U$12:U$62),$A22+1,1),MAX(strike-$B22,0)),"")</f>
        <v>2.5</v>
      </c>
      <c r="W22" s="9">
        <f t="array" ref="W22">IF(W$11&gt;=0,MAX(INDEX(MMULT(inverseG,V$12:V$62),$A22+1,1),MAX(strike-$B22,0)),"")</f>
        <v>2.5</v>
      </c>
      <c r="X22" s="9">
        <f t="array" ref="X22">IF(X$11&gt;=0,MAX(INDEX(MMULT(inverseG,W$12:W$62),$A22+1,1),MAX(strike-$B22,0)),"")</f>
        <v>2.5</v>
      </c>
      <c r="Y22" s="9">
        <f t="array" ref="Y22">IF(Y$11&gt;=0,MAX(INDEX(MMULT(inverseG,X$12:X$62),$A22+1,1),MAX(strike-$B22,0)),"")</f>
        <v>2.5</v>
      </c>
      <c r="Z22" s="9">
        <f t="array" ref="Z22">IF(Z$11&gt;=0,MAX(INDEX(MMULT(inverseG,Y$12:Y$62),$A22+1,1),MAX(strike-$B22,0)),"")</f>
        <v>2.5</v>
      </c>
      <c r="AA22" s="9">
        <f t="array" ref="AA22">IF(AA$11&gt;=0,MAX(INDEX(MMULT(inverseG,Z$12:Z$62),$A22+1,1),MAX(strike-$B22,0)),"")</f>
        <v>2.5</v>
      </c>
      <c r="AB22" s="9">
        <f t="array" ref="AB22">IF(AB$11&gt;=0,MAX(INDEX(MMULT(inverseG,AA$12:AA$62),$A22+1,1),MAX(strike-$B22,0)),"")</f>
        <v>2.5</v>
      </c>
      <c r="AC22" s="9">
        <f t="array" ref="AC22">IF(AC$11&gt;=0,MAX(INDEX(MMULT(inverseG,AB$12:AB$62),$A22+1,1),MAX(strike-$B22,0)),"")</f>
        <v>2.5</v>
      </c>
      <c r="AD22" s="9">
        <f t="array" ref="AD22">IF(AD$11&gt;=0,MAX(INDEX(MMULT(inverseG,AC$12:AC$62),$A22+1,1),MAX(strike-$B22,0)),"")</f>
        <v>2.5</v>
      </c>
      <c r="AE22" s="9">
        <f t="array" ref="AE22">IF(AE$11&gt;=0,MAX(INDEX(MMULT(inverseG,AD$12:AD$62),$A22+1,1),MAX(strike-$B22,0)),"")</f>
        <v>2.5</v>
      </c>
      <c r="AF22" s="9">
        <f t="array" ref="AF22">IF(AF$11&gt;=0,MAX(INDEX(MMULT(inverseG,AE$12:AE$62),$A22+1,1),MAX(strike-$B22,0)),"")</f>
        <v>2.5</v>
      </c>
      <c r="AG22" s="9">
        <f t="array" ref="AG22">IF(AG$11&gt;=0,MAX(INDEX(MMULT(inverseG,AF$12:AF$62),$A22+1,1),MAX(strike-$B22,0)),"")</f>
        <v>2.5</v>
      </c>
      <c r="AH22" s="9">
        <f t="array" ref="AH22">IF(AH$11&gt;=0,MAX(INDEX(MMULT(inverseG,AG$12:AG$62),$A22+1,1),MAX(strike-$B22,0)),"")</f>
        <v>2.5</v>
      </c>
      <c r="AI22" s="9">
        <f t="array" ref="AI22">IF(AI$11&gt;=0,MAX(INDEX(MMULT(inverseG,AH$12:AH$62),$A22+1,1),MAX(strike-$B22,0)),"")</f>
        <v>2.5</v>
      </c>
      <c r="AJ22" s="9">
        <f t="array" ref="AJ22">IF(AJ$11&gt;=0,MAX(INDEX(MMULT(inverseG,AI$12:AI$62),$A22+1,1),MAX(strike-$B22,0)),"")</f>
        <v>2.5</v>
      </c>
      <c r="AK22" s="9">
        <f t="array" ref="AK22">IF(AK$11&gt;=0,MAX(INDEX(MMULT(inverseG,AJ$12:AJ$62),$A22+1,1),MAX(strike-$B22,0)),"")</f>
        <v>2.5</v>
      </c>
      <c r="AL22" s="9">
        <f t="array" ref="AL22">IF(AL$11&gt;=0,MAX(INDEX(MMULT(inverseG,AK$12:AK$62),$A22+1,1),MAX(strike-$B22,0)),"")</f>
        <v>2.5</v>
      </c>
      <c r="AM22" s="9">
        <f t="array" ref="AM22">IF(AM$11&gt;=0,MAX(INDEX(MMULT(inverseG,AL$12:AL$62),$A22+1,1),MAX(strike-$B22,0)),"")</f>
        <v>2.5</v>
      </c>
      <c r="AN22" s="9">
        <f t="array" ref="AN22">IF(AN$11&gt;=0,MAX(INDEX(MMULT(inverseG,AM$12:AM$62),$A22+1,1),MAX(strike-$B22,0)),"")</f>
        <v>2.5</v>
      </c>
      <c r="AO22" s="9">
        <f t="array" ref="AO22">IF(AO$11&gt;=0,MAX(INDEX(MMULT(inverseG,AN$12:AN$62),$A22+1,1),MAX(strike-$B22,0)),"")</f>
        <v>2.5</v>
      </c>
      <c r="AP22" s="9">
        <f t="array" ref="AP22">IF(AP$11&gt;=0,MAX(INDEX(MMULT(inverseG,AO$12:AO$62),$A22+1,1),MAX(strike-$B22,0)),"")</f>
        <v>2.5</v>
      </c>
      <c r="AQ22" s="9">
        <f t="array" ref="AQ22">IF(AQ$11&gt;=0,MAX(INDEX(MMULT(inverseG,AP$12:AP$62),$A22+1,1),MAX(strike-$B22,0)),"")</f>
        <v>2.5</v>
      </c>
      <c r="AR22" s="9">
        <f t="array" ref="AR22">IF(AR$11&gt;=0,MAX(INDEX(MMULT(inverseG,AQ$12:AQ$62),$A22+1,1),MAX(strike-$B22,0)),"")</f>
        <v>2.5</v>
      </c>
      <c r="AS22" s="9">
        <f t="array" ref="AS22">IF(AS$11&gt;=0,MAX(INDEX(MMULT(inverseG,AR$12:AR$62),$A22+1,1),MAX(strike-$B22,0)),"")</f>
        <v>2.5</v>
      </c>
      <c r="AT22" s="9">
        <f t="array" ref="AT22">IF(AT$11&gt;=0,MAX(INDEX(MMULT(inverseG,AS$12:AS$62),$A22+1,1),MAX(strike-$B22,0)),"")</f>
        <v>2.5</v>
      </c>
      <c r="AU22" s="9">
        <f t="array" ref="AU22">IF(AU$11&gt;=0,MAX(INDEX(MMULT(inverseG,AT$12:AT$62),$A22+1,1),MAX(strike-$B22,0)),"")</f>
        <v>2.5</v>
      </c>
      <c r="AV22" s="9">
        <f t="array" ref="AV22">IF(AV$11&gt;=0,MAX(INDEX(MMULT(inverseG,AU$12:AU$62),$A22+1,1),MAX(strike-$B22,0)),"")</f>
        <v>2.5</v>
      </c>
      <c r="AW22" s="9">
        <f t="array" ref="AW22">IF(AW$11&gt;=0,MAX(INDEX(MMULT(inverseG,AV$12:AV$62),$A22+1,1),MAX(strike-$B22,0)),"")</f>
        <v>2.5</v>
      </c>
      <c r="AX22" s="9">
        <f t="array" ref="AX22">IF(AX$11&gt;=0,MAX(INDEX(MMULT(inverseG,AW$12:AW$62),$A22+1,1),MAX(strike-$B22,0)),"")</f>
        <v>2.5</v>
      </c>
      <c r="AY22" s="9">
        <f t="array" ref="AY22">IF(AY$11&gt;=0,MAX(INDEX(MMULT(inverseG,AX$12:AX$62),$A22+1,1),MAX(strike-$B22,0)),"")</f>
        <v>2.5</v>
      </c>
      <c r="AZ22" s="9">
        <f t="array" ref="AZ22">IF(AZ$11&gt;=0,MAX(INDEX(MMULT(inverseG,AY$12:AY$62),$A22+1,1),MAX(strike-$B22,0)),"")</f>
        <v>2.5</v>
      </c>
      <c r="BA22" s="9">
        <f t="array" ref="BA22">IF(BA$11&gt;=0,MAX(INDEX(MMULT(inverseG,AZ$12:AZ$62),$A22+1,1),MAX(strike-$B22,0)),"")</f>
        <v>2.5</v>
      </c>
      <c r="BB22" s="9">
        <f t="array" ref="BB22">IF(BB$11&gt;=0,MAX(INDEX(MMULT(inverseG,BA$12:BA$62),$A22+1,1),MAX(strike-$B22,0)),"")</f>
        <v>2.5</v>
      </c>
      <c r="BC22" s="9">
        <f t="array" ref="BC22">IF(BC$11&gt;=0,MAX(INDEX(MMULT(inverseG,BB$12:BB$62),$A22+1,1),MAX(strike-$B22,0)),"")</f>
        <v>2.5</v>
      </c>
      <c r="BD22" s="9">
        <f t="array" ref="BD22">IF(BD$11&gt;=0,MAX(INDEX(MMULT(inverseG,BC$12:BC$62),$A22+1,1),MAX(strike-$B22,0)),"")</f>
        <v>2.5</v>
      </c>
      <c r="BE22" s="9">
        <f t="array" ref="BE22">IF(BE$11&gt;=0,MAX(INDEX(MMULT(inverseG,BD$12:BD$62),$A22+1,1),MAX(strike-$B22,0)),"")</f>
        <v>2.5</v>
      </c>
      <c r="BF22" s="9">
        <f t="array" ref="BF22">IF(BF$11&gt;=0,MAX(INDEX(MMULT(inverseG,BE$12:BE$62),$A22+1,1),MAX(strike-$B22,0)),"")</f>
        <v>2.5</v>
      </c>
      <c r="BG22" s="9">
        <f t="array" ref="BG22">IF(BG$11&gt;=0,MAX(INDEX(MMULT(inverseG,BF$12:BF$62),$A22+1,1),MAX(strike-$B22,0)),"")</f>
        <v>2.5</v>
      </c>
      <c r="BH22" s="9">
        <f t="array" ref="BH22">IF(BH$11&gt;=0,MAX(INDEX(MMULT(inverseG,BG$12:BG$62),$A22+1,1),MAX(strike-$B22,0)),"")</f>
        <v>2.5</v>
      </c>
      <c r="BI22" s="9">
        <f t="array" ref="BI22">IF(BI$11&gt;=0,MAX(INDEX(MMULT(inverseG,BH$12:BH$62),$A22+1,1),MAX(strike-$B22,0)),"")</f>
        <v>2.5</v>
      </c>
      <c r="BJ22" s="9">
        <f t="array" ref="BJ22">IF(BJ$11&gt;=0,MAX(INDEX(MMULT(inverseG,BI$12:BI$62),$A22+1,1),MAX(strike-$B22,0)),"")</f>
        <v>2.5</v>
      </c>
      <c r="BK22" s="9">
        <f t="array" ref="BK22">IF(BK$11&gt;=0,MAX(INDEX(MMULT(inverseG,BJ$12:BJ$62),$A22+1,1),MAX(strike-$B22,0)),"")</f>
        <v>2.5</v>
      </c>
      <c r="BL22" s="9">
        <f t="array" ref="BL22">IF(BL$11&gt;=0,MAX(INDEX(MMULT(inverseG,BK$12:BK$62),$A22+1,1),MAX(strike-$B22,0)),"")</f>
        <v>2.5</v>
      </c>
      <c r="BM22" s="9">
        <f t="array" ref="BM22">IF(BM$11&gt;=0,MAX(INDEX(MMULT(inverseG,BL$12:BL$62),$A22+1,1),MAX(strike-$B22,0)),"")</f>
        <v>2.5</v>
      </c>
      <c r="BN22" s="9">
        <f t="array" ref="BN22">IF(BN$11&gt;=0,MAX(INDEX(MMULT(inverseG,BM$12:BM$62),$A22+1,1),MAX(strike-$B22,0)),"")</f>
        <v>2.5</v>
      </c>
      <c r="BO22" s="9">
        <f t="array" ref="BO22">IF(BO$11&gt;=0,MAX(INDEX(MMULT(inverseG,BN$12:BN$62),$A22+1,1),MAX(strike-$B22,0)),"")</f>
        <v>2.5</v>
      </c>
      <c r="BP22" s="9">
        <f t="array" ref="BP22">IF(BP$11&gt;=0,MAX(INDEX(MMULT(inverseG,BO$12:BO$62),$A22+1,1),MAX(strike-$B22,0)),"")</f>
        <v>2.5</v>
      </c>
      <c r="BQ22" s="9">
        <f t="array" ref="BQ22">IF(BQ$11&gt;=0,MAX(INDEX(MMULT(inverseG,BP$12:BP$62),$A22+1,1),MAX(strike-$B22,0)),"")</f>
        <v>2.5</v>
      </c>
      <c r="BR22" s="9">
        <f t="array" ref="BR22">IF(BR$11&gt;=0,MAX(INDEX(MMULT(inverseG,BQ$12:BQ$62),$A22+1,1),MAX(strike-$B22,0)),"")</f>
        <v>2.5</v>
      </c>
      <c r="BS22" s="9">
        <f t="array" ref="BS22">IF(BS$11&gt;=0,MAX(INDEX(MMULT(inverseG,BR$12:BR$62),$A22+1,1),MAX(strike-$B22,0)),"")</f>
        <v>2.5</v>
      </c>
      <c r="BT22" s="9">
        <f t="array" ref="BT22">IF(BT$11&gt;=0,MAX(INDEX(MMULT(inverseG,BS$12:BS$62),$A22+1,1),MAX(strike-$B22,0)),"")</f>
        <v>2.5</v>
      </c>
      <c r="BU22" s="9">
        <f t="array" ref="BU22">IF(BU$11&gt;=0,MAX(INDEX(MMULT(inverseG,BT$12:BT$62),$A22+1,1),MAX(strike-$B22,0)),"")</f>
        <v>2.5</v>
      </c>
      <c r="BV22" s="9">
        <f t="array" ref="BV22">IF(BV$11&gt;=0,MAX(INDEX(MMULT(inverseG,BU$12:BU$62),$A22+1,1),MAX(strike-$B22,0)),"")</f>
        <v>2.5</v>
      </c>
      <c r="BW22" s="9">
        <f t="array" ref="BW22">IF(BW$11&gt;=0,MAX(INDEX(MMULT(inverseG,BV$12:BV$62),$A22+1,1),MAX(strike-$B22,0)),"")</f>
        <v>2.5</v>
      </c>
      <c r="BX22" s="9">
        <f t="array" ref="BX22">IF(BX$11&gt;=0,MAX(INDEX(MMULT(inverseG,BW$12:BW$62),$A22+1,1),MAX(strike-$B22,0)),"")</f>
        <v>2.5</v>
      </c>
      <c r="BY22" s="9">
        <f t="array" ref="BY22">IF(BY$11&gt;=0,MAX(INDEX(MMULT(inverseG,BX$12:BX$62),$A22+1,1),MAX(strike-$B22,0)),"")</f>
        <v>2.5</v>
      </c>
      <c r="BZ22" s="9">
        <f t="array" ref="BZ22">IF(BZ$11&gt;=0,MAX(INDEX(MMULT(inverseG,BY$12:BY$62),$A22+1,1),MAX(strike-$B22,0)),"")</f>
        <v>2.5</v>
      </c>
      <c r="CA22" s="9">
        <f t="array" ref="CA22">IF(CA$11&gt;=0,MAX(INDEX(MMULT(inverseG,BZ$12:BZ$62),$A22+1,1),MAX(strike-$B22,0)),"")</f>
        <v>2.5</v>
      </c>
      <c r="CB22" s="9">
        <f t="array" ref="CB22">IF(CB$11&gt;=0,MAX(INDEX(MMULT(inverseG,CA$12:CA$62),$A22+1,1),MAX(strike-$B22,0)),"")</f>
        <v>2.5</v>
      </c>
      <c r="CC22" s="9">
        <f t="array" ref="CC22">IF(CC$11&gt;=0,MAX(INDEX(MMULT(inverseG,CB$12:CB$62),$A22+1,1),MAX(strike-$B22,0)),"")</f>
        <v>2.5</v>
      </c>
      <c r="CD22" s="9">
        <f t="array" ref="CD22">IF(CD$11&gt;=0,MAX(INDEX(MMULT(inverseG,CC$12:CC$62),$A22+1,1),MAX(strike-$B22,0)),"")</f>
        <v>2.5</v>
      </c>
      <c r="CE22" s="9">
        <f t="array" ref="CE22">IF(CE$11&gt;=0,MAX(INDEX(MMULT(inverseG,CD$12:CD$62),$A22+1,1),MAX(strike-$B22,0)),"")</f>
        <v>2.5</v>
      </c>
      <c r="CF22" s="9">
        <f t="array" ref="CF22">IF(CF$11&gt;=0,MAX(INDEX(MMULT(inverseG,CE$12:CE$62),$A22+1,1),MAX(strike-$B22,0)),"")</f>
        <v>2.5</v>
      </c>
      <c r="CG22" s="9">
        <f t="array" ref="CG22">IF(CG$11&gt;=0,MAX(INDEX(MMULT(inverseG,CF$12:CF$62),$A22+1,1),MAX(strike-$B22,0)),"")</f>
        <v>2.5</v>
      </c>
      <c r="CH22" s="9">
        <f t="array" ref="CH22">IF(CH$11&gt;=0,MAX(INDEX(MMULT(inverseG,CG$12:CG$62),$A22+1,1),MAX(strike-$B22,0)),"")</f>
        <v>2.5</v>
      </c>
      <c r="CI22" s="9">
        <f t="array" ref="CI22">IF(CI$11&gt;=0,MAX(INDEX(MMULT(inverseG,CH$12:CH$62),$A22+1,1),MAX(strike-$B22,0)),"")</f>
        <v>2.5</v>
      </c>
      <c r="CJ22" s="9">
        <f t="array" ref="CJ22">IF(CJ$11&gt;=0,MAX(INDEX(MMULT(inverseG,CI$12:CI$62),$A22+1,1),MAX(strike-$B22,0)),"")</f>
        <v>2.5</v>
      </c>
      <c r="CK22" s="9">
        <f t="array" ref="CK22">IF(CK$11&gt;=0,MAX(INDEX(MMULT(inverseG,CJ$12:CJ$62),$A22+1,1),MAX(strike-$B22,0)),"")</f>
        <v>2.5</v>
      </c>
      <c r="CL22" s="9">
        <f t="array" ref="CL22">IF(CL$11&gt;=0,MAX(INDEX(MMULT(inverseG,CK$12:CK$62),$A22+1,1),MAX(strike-$B22,0)),"")</f>
        <v>2.5</v>
      </c>
      <c r="CM22" s="9">
        <f t="array" ref="CM22">IF(CM$11&gt;=0,MAX(INDEX(MMULT(inverseG,CL$12:CL$62),$A22+1,1),MAX(strike-$B22,0)),"")</f>
        <v>2.5</v>
      </c>
      <c r="CN22" s="9">
        <f t="array" ref="CN22">IF(CN$11&gt;=0,MAX(INDEX(MMULT(inverseG,CM$12:CM$62),$A22+1,1),MAX(strike-$B22,0)),"")</f>
        <v>2.5</v>
      </c>
      <c r="CO22" s="9">
        <f t="array" ref="CO22">IF(CO$11&gt;=0,MAX(INDEX(MMULT(inverseG,CN$12:CN$62),$A22+1,1),MAX(strike-$B22,0)),"")</f>
        <v>2.5</v>
      </c>
      <c r="CP22" s="9">
        <f t="array" ref="CP22">IF(CP$11&gt;=0,MAX(INDEX(MMULT(inverseG,CO$12:CO$62),$A22+1,1),MAX(strike-$B22,0)),"")</f>
        <v>2.5</v>
      </c>
      <c r="CQ22" s="9">
        <f t="array" ref="CQ22">IF(CQ$11&gt;=0,MAX(INDEX(MMULT(inverseG,CP$12:CP$62),$A22+1,1),MAX(strike-$B22,0)),"")</f>
        <v>2.5</v>
      </c>
      <c r="CR22" s="9">
        <f t="array" ref="CR22">IF(CR$11&gt;=0,MAX(INDEX(MMULT(inverseG,CQ$12:CQ$62),$A22+1,1),MAX(strike-$B22,0)),"")</f>
        <v>2.5</v>
      </c>
      <c r="CS22" s="9">
        <f t="array" ref="CS22">IF(CS$11&gt;=0,MAX(INDEX(MMULT(inverseG,CR$12:CR$62),$A22+1,1),MAX(strike-$B22,0)),"")</f>
        <v>2.5</v>
      </c>
      <c r="CT22" s="9">
        <f t="array" ref="CT22">IF(CT$11&gt;=0,MAX(INDEX(MMULT(inverseG,CS$12:CS$62),$A22+1,1),MAX(strike-$B22,0)),"")</f>
        <v>2.5</v>
      </c>
      <c r="CU22" s="9">
        <f t="array" ref="CU22">IF(CU$11&gt;=0,MAX(INDEX(MMULT(inverseG,CT$12:CT$62),$A22+1,1),MAX(strike-$B22,0)),"")</f>
        <v>2.5</v>
      </c>
      <c r="CV22" s="9">
        <f t="array" ref="CV22">IF(CV$11&gt;=0,MAX(INDEX(MMULT(inverseG,CU$12:CU$62),$A22+1,1),MAX(strike-$B22,0)),"")</f>
        <v>2.5</v>
      </c>
      <c r="CW22" s="9">
        <f t="array" ref="CW22">IF(CW$11&gt;=0,MAX(INDEX(MMULT(inverseG,CV$12:CV$62),$A22+1,1),MAX(strike-$B22,0)),"")</f>
        <v>2.5</v>
      </c>
      <c r="CX22" s="9">
        <f t="array" ref="CX22">IF(CX$11&gt;=0,MAX(INDEX(MMULT(inverseG,CW$12:CW$62),$A22+1,1),MAX(strike-$B22,0)),"")</f>
        <v>2.5</v>
      </c>
      <c r="CY22" s="9">
        <f t="array" ref="CY22">IF(CY$11&gt;=0,MAX(INDEX(MMULT(inverseG,CX$12:CX$62),$A22+1,1),MAX(strike-$B22,0)),"")</f>
        <v>2.5</v>
      </c>
      <c r="CZ22" s="9">
        <f t="array" ref="CZ22">IF(CZ$11&gt;=0,MAX(INDEX(MMULT(inverseG,CY$12:CY$62),$A22+1,1),MAX(strike-$B22,0)),"")</f>
        <v>2.5</v>
      </c>
      <c r="DA22" s="9" t="str">
        <f t="array" ref="DA22">IF(DA$11&gt;=0,MAX(INDEX(MMULT(inverseG,CZ$12:CZ$62),$A22+1,1),MAX(strike-$B22,0)),"")</f>
        <v/>
      </c>
      <c r="DB22" s="9" t="str">
        <f t="array" ref="DB22">IF(DB$11&gt;=0,MAX(INDEX(MMULT(inverseG,DA$12:DA$62),$A22+1,1),MAX(strike-$B22,0)),"")</f>
        <v/>
      </c>
      <c r="DC22" s="9" t="str">
        <f t="array" ref="DC22">IF(DC$11&gt;=0,MAX(INDEX(MMULT(inverseG,DB$12:DB$62),$A22+1,1),MAX(strike-$B22,0)),"")</f>
        <v/>
      </c>
      <c r="DD22" s="9" t="str">
        <f t="array" ref="DD22">IF(DD$11&gt;=0,MAX(INDEX(MMULT(inverseG,DC$12:DC$62),$A22+1,1),MAX(strike-$B22,0)),"")</f>
        <v/>
      </c>
      <c r="DE22" s="9" t="str">
        <f t="array" ref="DE22">IF(DE$11&gt;=0,MAX(INDEX(MMULT(inverseG,DD$12:DD$62),$A22+1,1),MAX(strike-$B22,0)),"")</f>
        <v/>
      </c>
      <c r="DF22" s="9" t="str">
        <f t="array" ref="DF22">IF(DF$11&gt;=0,MAX(INDEX(MMULT(inverseG,DE$12:DE$62),$A22+1,1),MAX(strike-$B22,0)),"")</f>
        <v/>
      </c>
      <c r="DG22" s="9" t="str">
        <f t="array" ref="DG22">IF(DG$11&gt;=0,MAX(INDEX(MMULT(inverseG,DF$12:DF$62),$A22+1,1),MAX(strike-$B22,0)),"")</f>
        <v/>
      </c>
      <c r="DH22" s="9" t="str">
        <f t="array" ref="DH22">IF(DH$11&gt;=0,MAX(INDEX(MMULT(inverseG,DG$12:DG$62),$A22+1,1),MAX(strike-$B22,0)),"")</f>
        <v/>
      </c>
      <c r="DI22" s="9" t="str">
        <f t="array" ref="DI22">IF(DI$11&gt;=0,MAX(INDEX(MMULT(inverseG,DH$12:DH$62),$A22+1,1),MAX(strike-$B22,0)),"")</f>
        <v/>
      </c>
      <c r="DJ22" s="9" t="str">
        <f t="array" ref="DJ22">IF(DJ$11&gt;=0,MAX(INDEX(MMULT(inverseG,DI$12:DI$62),$A22+1,1),MAX(strike-$B22,0)),"")</f>
        <v/>
      </c>
      <c r="DK22" s="9" t="str">
        <f t="array" ref="DK22">IF(DK$11&gt;=0,MAX(INDEX(MMULT(inverseG,DJ$12:DJ$62),$A22+1,1),MAX(strike-$B22,0)),"")</f>
        <v/>
      </c>
      <c r="DL22" s="9" t="str">
        <f t="array" ref="DL22">IF(DL$11&gt;=0,MAX(INDEX(MMULT(inverseG,DK$12:DK$62),$A22+1,1),MAX(strike-$B22,0)),"")</f>
        <v/>
      </c>
      <c r="DM22" s="9" t="str">
        <f t="array" ref="DM22">IF(DM$11&gt;=0,MAX(INDEX(MMULT(inverseG,DL$12:DL$62),$A22+1,1),MAX(strike-$B22,0)),"")</f>
        <v/>
      </c>
      <c r="DN22" s="9" t="str">
        <f t="array" ref="DN22">IF(DN$11&gt;=0,MAX(INDEX(MMULT(inverseG,DM$12:DM$62),$A22+1,1),MAX(strike-$B22,0)),"")</f>
        <v/>
      </c>
      <c r="DO22" s="9" t="str">
        <f t="array" ref="DO22">IF(DO$11&gt;=0,MAX(INDEX(MMULT(inverseG,DN$12:DN$62),$A22+1,1),MAX(strike-$B22,0)),"")</f>
        <v/>
      </c>
      <c r="DP22" s="9" t="str">
        <f t="array" ref="DP22">IF(DP$11&gt;=0,MAX(INDEX(MMULT(inverseG,DO$12:DO$62),$A22+1,1),MAX(strike-$B22,0)),"")</f>
        <v/>
      </c>
      <c r="DQ22" s="9" t="str">
        <f t="array" ref="DQ22">IF(DQ$11&gt;=0,MAX(INDEX(MMULT(inverseG,DP$12:DP$62),$A22+1,1),MAX(strike-$B22,0)),"")</f>
        <v/>
      </c>
      <c r="DR22" s="9" t="str">
        <f t="array" ref="DR22">IF(DR$11&gt;=0,MAX(INDEX(MMULT(inverseG,DQ$12:DQ$62),$A22+1,1),MAX(strike-$B22,0)),"")</f>
        <v/>
      </c>
      <c r="DS22" s="9" t="str">
        <f t="array" ref="DS22">IF(DS$11&gt;=0,MAX(INDEX(MMULT(inverseG,DR$12:DR$62),$A22+1,1),MAX(strike-$B22,0)),"")</f>
        <v/>
      </c>
      <c r="DT22" s="9" t="str">
        <f t="array" ref="DT22">IF(DT$11&gt;=0,MAX(INDEX(MMULT(inverseG,DS$12:DS$62),$A22+1,1),MAX(strike-$B22,0)),"")</f>
        <v/>
      </c>
      <c r="DU22" s="9" t="str">
        <f t="array" ref="DU22">IF(DU$11&gt;=0,MAX(INDEX(MMULT(inverseG,DT$12:DT$62),$A22+1,1),MAX(strike-$B22,0)),"")</f>
        <v/>
      </c>
      <c r="DV22" s="9" t="str">
        <f t="array" ref="DV22">IF(DV$11&gt;=0,MAX(INDEX(MMULT(inverseG,DU$12:DU$62),$A22+1,1),MAX(strike-$B22,0)),"")</f>
        <v/>
      </c>
      <c r="DW22" s="9" t="str">
        <f t="array" ref="DW22">IF(DW$11&gt;=0,MAX(INDEX(MMULT(inverseG,DV$12:DV$62),$A22+1,1),MAX(strike-$B22,0)),"")</f>
        <v/>
      </c>
      <c r="DX22" s="9" t="str">
        <f t="array" ref="DX22">IF(DX$11&gt;=0,MAX(INDEX(MMULT(inverseG,DW$12:DW$62),$A22+1,1),MAX(strike-$B22,0)),"")</f>
        <v/>
      </c>
      <c r="DY22" s="9" t="str">
        <f t="array" ref="DY22">IF(DY$11&gt;=0,MAX(INDEX(MMULT(inverseG,DX$12:DX$62),$A22+1,1),MAX(strike-$B22,0)),"")</f>
        <v/>
      </c>
      <c r="DZ22" s="9" t="str">
        <f t="array" ref="DZ22">IF(DZ$11&gt;=0,MAX(INDEX(MMULT(inverseG,DY$12:DY$62),$A22+1,1),MAX(strike-$B22,0)),"")</f>
        <v/>
      </c>
      <c r="EA22" s="9" t="str">
        <f t="array" ref="EA22">IF(EA$11&gt;=0,MAX(INDEX(MMULT(inverseG,DZ$12:DZ$62),$A22+1,1),MAX(strike-$B22,0)),"")</f>
        <v/>
      </c>
      <c r="EB22" s="9" t="str">
        <f t="array" ref="EB22">IF(EB$11&gt;=0,MAX(INDEX(MMULT(inverseG,EA$12:EA$62),$A22+1,1),MAX(strike-$B22,0)),"")</f>
        <v/>
      </c>
      <c r="EC22" s="9" t="str">
        <f t="array" ref="EC22">IF(EC$11&gt;=0,MAX(INDEX(MMULT(inverseG,EB$12:EB$62),$A22+1,1),MAX(strike-$B22,0)),"")</f>
        <v/>
      </c>
      <c r="ED22" s="9" t="str">
        <f t="array" ref="ED22">IF(ED$11&gt;=0,MAX(INDEX(MMULT(inverseG,EC$12:EC$62),$A22+1,1),MAX(strike-$B22,0)),"")</f>
        <v/>
      </c>
      <c r="EE22" s="9" t="str">
        <f t="array" ref="EE22">IF(EE$11&gt;=0,MAX(INDEX(MMULT(inverseG,ED$12:ED$62),$A22+1,1),MAX(strike-$B22,0)),"")</f>
        <v/>
      </c>
      <c r="EF22" s="9" t="str">
        <f t="array" ref="EF22">IF(EF$11&gt;=0,MAX(INDEX(MMULT(inverseG,EE$12:EE$62),$A22+1,1),MAX(strike-$B22,0)),"")</f>
        <v/>
      </c>
      <c r="EG22" s="9" t="str">
        <f t="array" ref="EG22">IF(EG$11&gt;=0,MAX(INDEX(MMULT(inverseG,EF$12:EF$62),$A22+1,1),MAX(strike-$B22,0)),"")</f>
        <v/>
      </c>
      <c r="EH22" s="9" t="str">
        <f t="array" ref="EH22">IF(EH$11&gt;=0,MAX(INDEX(MMULT(inverseG,EG$12:EG$62),$A22+1,1),MAX(strike-$B22,0)),"")</f>
        <v/>
      </c>
      <c r="EI22" s="9" t="str">
        <f t="array" ref="EI22">IF(EI$11&gt;=0,MAX(INDEX(MMULT(inverseG,EH$12:EH$62),$A22+1,1),MAX(strike-$B22,0)),"")</f>
        <v/>
      </c>
      <c r="EJ22" s="9" t="str">
        <f t="array" ref="EJ22">IF(EJ$11&gt;=0,MAX(INDEX(MMULT(inverseG,EI$12:EI$62),$A22+1,1),MAX(strike-$B22,0)),"")</f>
        <v/>
      </c>
      <c r="EK22" s="9" t="str">
        <f t="array" ref="EK22">IF(EK$11&gt;=0,MAX(INDEX(MMULT(inverseG,EJ$12:EJ$62),$A22+1,1),MAX(strike-$B22,0)),"")</f>
        <v/>
      </c>
      <c r="EL22" s="9" t="str">
        <f t="array" ref="EL22">IF(EL$11&gt;=0,MAX(INDEX(MMULT(inverseG,EK$12:EK$62),$A22+1,1),MAX(strike-$B22,0)),"")</f>
        <v/>
      </c>
      <c r="EM22" s="9" t="str">
        <f t="array" ref="EM22">IF(EM$11&gt;=0,MAX(INDEX(MMULT(inverseG,EL$12:EL$62),$A22+1,1),MAX(strike-$B22,0)),"")</f>
        <v/>
      </c>
      <c r="EN22" s="9" t="str">
        <f t="array" ref="EN22">IF(EN$11&gt;=0,MAX(INDEX(MMULT(inverseG,EM$12:EM$62),$A22+1,1),MAX(strike-$B22,0)),"")</f>
        <v/>
      </c>
      <c r="EO22" s="9" t="str">
        <f t="array" ref="EO22">IF(EO$11&gt;=0,MAX(INDEX(MMULT(inverseG,EN$12:EN$62),$A22+1,1),MAX(strike-$B22,0)),"")</f>
        <v/>
      </c>
      <c r="EP22" s="9" t="str">
        <f t="array" ref="EP22">IF(EP$11&gt;=0,MAX(INDEX(MMULT(inverseG,EO$12:EO$62),$A22+1,1),MAX(strike-$B22,0)),"")</f>
        <v/>
      </c>
      <c r="EQ22" s="9" t="str">
        <f t="array" ref="EQ22">IF(EQ$11&gt;=0,MAX(INDEX(MMULT(inverseG,EP$12:EP$62),$A22+1,1),MAX(strike-$B22,0)),"")</f>
        <v/>
      </c>
      <c r="ER22" s="9" t="str">
        <f t="array" ref="ER22">IF(ER$11&gt;=0,MAX(INDEX(MMULT(inverseG,EQ$12:EQ$62),$A22+1,1),MAX(strike-$B22,0)),"")</f>
        <v/>
      </c>
      <c r="ES22" s="9" t="str">
        <f t="array" ref="ES22">IF(ES$11&gt;=0,MAX(INDEX(MMULT(inverseG,ER$12:ER$62),$A22+1,1),MAX(strike-$B22,0)),"")</f>
        <v/>
      </c>
      <c r="ET22" s="9" t="str">
        <f t="array" ref="ET22">IF(ET$11&gt;=0,MAX(INDEX(MMULT(inverseG,ES$12:ES$62),$A22+1,1),MAX(strike-$B22,0)),"")</f>
        <v/>
      </c>
      <c r="EU22" s="9" t="str">
        <f t="array" ref="EU22">IF(EU$11&gt;=0,MAX(INDEX(MMULT(inverseG,ET$12:ET$62),$A22+1,1),MAX(strike-$B22,0)),"")</f>
        <v/>
      </c>
      <c r="EV22" s="9" t="str">
        <f t="array" ref="EV22">IF(EV$11&gt;=0,MAX(INDEX(MMULT(inverseG,EU$12:EU$62),$A22+1,1),MAX(strike-$B22,0)),"")</f>
        <v/>
      </c>
      <c r="EW22" s="9" t="str">
        <f t="array" ref="EW22">IF(EW$11&gt;=0,MAX(INDEX(MMULT(inverseG,EV$12:EV$62),$A22+1,1),MAX(strike-$B22,0)),"")</f>
        <v/>
      </c>
      <c r="EX22" s="9" t="str">
        <f t="array" ref="EX22">IF(EX$11&gt;=0,MAX(INDEX(MMULT(inverseG,EW$12:EW$62),$A22+1,1),MAX(strike-$B22,0)),"")</f>
        <v/>
      </c>
      <c r="EY22" s="9" t="str">
        <f t="array" ref="EY22">IF(EY$11&gt;=0,MAX(INDEX(MMULT(inverseG,EX$12:EX$62),$A22+1,1),MAX(strike-$B22,0)),"")</f>
        <v/>
      </c>
      <c r="EZ22" s="9" t="str">
        <f t="array" ref="EZ22">IF(EZ$11&gt;=0,MAX(INDEX(MMULT(inverseG,EY$12:EY$62),$A22+1,1),MAX(strike-$B22,0)),"")</f>
        <v/>
      </c>
      <c r="FA22" s="9" t="str">
        <f t="array" ref="FA22">IF(FA$11&gt;=0,MAX(INDEX(MMULT(inverseG,EZ$12:EZ$62),$A22+1,1),MAX(strike-$B22,0)),"")</f>
        <v/>
      </c>
      <c r="FB22" s="9" t="str">
        <f t="array" ref="FB22">IF(FB$11&gt;=0,MAX(INDEX(MMULT(inverseG,FA$12:FA$62),$A22+1,1),MAX(strike-$B22,0)),"")</f>
        <v/>
      </c>
      <c r="FC22" s="9" t="str">
        <f t="array" ref="FC22">IF(FC$11&gt;=0,MAX(INDEX(MMULT(inverseG,FB$12:FB$62),$A22+1,1),MAX(strike-$B22,0)),"")</f>
        <v/>
      </c>
      <c r="FD22" s="9" t="str">
        <f t="array" ref="FD22">IF(FD$11&gt;=0,MAX(INDEX(MMULT(inverseG,FC$12:FC$62),$A22+1,1),MAX(strike-$B22,0)),"")</f>
        <v/>
      </c>
      <c r="FE22" s="9" t="str">
        <f t="array" ref="FE22">IF(FE$11&gt;=0,MAX(INDEX(MMULT(inverseG,FD$12:FD$62),$A22+1,1),MAX(strike-$B22,0)),"")</f>
        <v/>
      </c>
      <c r="FF22" s="9" t="str">
        <f t="array" ref="FF22">IF(FF$11&gt;=0,MAX(INDEX(MMULT(inverseG,FE$12:FE$62),$A22+1,1),MAX(strike-$B22,0)),"")</f>
        <v/>
      </c>
      <c r="FG22" s="9" t="str">
        <f t="array" ref="FG22">IF(FG$11&gt;=0,MAX(INDEX(MMULT(inverseG,FF$12:FF$62),$A22+1,1),MAX(strike-$B22,0)),"")</f>
        <v/>
      </c>
      <c r="FH22" s="9" t="str">
        <f t="array" ref="FH22">IF(FH$11&gt;=0,MAX(INDEX(MMULT(inverseG,FG$12:FG$62),$A22+1,1),MAX(strike-$B22,0)),"")</f>
        <v/>
      </c>
      <c r="FI22" s="9" t="str">
        <f t="array" ref="FI22">IF(FI$11&gt;=0,MAX(INDEX(MMULT(inverseG,FH$12:FH$62),$A22+1,1),MAX(strike-$B22,0)),"")</f>
        <v/>
      </c>
      <c r="FJ22" s="9" t="str">
        <f t="array" ref="FJ22">IF(FJ$11&gt;=0,MAX(INDEX(MMULT(inverseG,FI$12:FI$62),$A22+1,1),MAX(strike-$B22,0)),"")</f>
        <v/>
      </c>
      <c r="FK22" s="9" t="str">
        <f t="array" ref="FK22">IF(FK$11&gt;=0,MAX(INDEX(MMULT(inverseG,FJ$12:FJ$62),$A22+1,1),MAX(strike-$B22,0)),"")</f>
        <v/>
      </c>
      <c r="FL22" s="9" t="str">
        <f t="array" ref="FL22">IF(FL$11&gt;=0,MAX(INDEX(MMULT(inverseG,FK$12:FK$62),$A22+1,1),MAX(strike-$B22,0)),"")</f>
        <v/>
      </c>
      <c r="FM22" s="9" t="str">
        <f t="array" ref="FM22">IF(FM$11&gt;=0,MAX(INDEX(MMULT(inverseG,FL$12:FL$62),$A22+1,1),MAX(strike-$B22,0)),"")</f>
        <v/>
      </c>
      <c r="FN22" s="9" t="str">
        <f t="array" ref="FN22">IF(FN$11&gt;=0,MAX(INDEX(MMULT(inverseG,FM$12:FM$62),$A22+1,1),MAX(strike-$B22,0)),"")</f>
        <v/>
      </c>
      <c r="FO22" s="9" t="str">
        <f t="array" ref="FO22">IF(FO$11&gt;=0,MAX(INDEX(MMULT(inverseG,FN$12:FN$62),$A22+1,1),MAX(strike-$B22,0)),"")</f>
        <v/>
      </c>
      <c r="FP22" s="9" t="str">
        <f t="array" ref="FP22">IF(FP$11&gt;=0,MAX(INDEX(MMULT(inverseG,FO$12:FO$62),$A22+1,1),MAX(strike-$B22,0)),"")</f>
        <v/>
      </c>
      <c r="FQ22" s="9" t="str">
        <f t="array" ref="FQ22">IF(FQ$11&gt;=0,MAX(INDEX(MMULT(inverseG,FP$12:FP$62),$A22+1,1),MAX(strike-$B22,0)),"")</f>
        <v/>
      </c>
      <c r="FR22" s="9" t="str">
        <f t="array" ref="FR22">IF(FR$11&gt;=0,MAX(INDEX(MMULT(inverseG,FQ$12:FQ$62),$A22+1,1),MAX(strike-$B22,0)),"")</f>
        <v/>
      </c>
      <c r="FS22" s="9" t="str">
        <f t="array" ref="FS22">IF(FS$11&gt;=0,MAX(INDEX(MMULT(inverseG,FR$12:FR$62),$A22+1,1),MAX(strike-$B22,0)),"")</f>
        <v/>
      </c>
      <c r="FT22" s="9" t="str">
        <f t="array" ref="FT22">IF(FT$11&gt;=0,MAX(INDEX(MMULT(inverseG,FS$12:FS$62),$A22+1,1),MAX(strike-$B22,0)),"")</f>
        <v/>
      </c>
      <c r="FU22" s="9" t="str">
        <f t="array" ref="FU22">IF(FU$11&gt;=0,MAX(INDEX(MMULT(inverseG,FT$12:FT$62),$A22+1,1),MAX(strike-$B22,0)),"")</f>
        <v/>
      </c>
      <c r="FV22" s="9" t="str">
        <f t="array" ref="FV22">IF(FV$11&gt;=0,MAX(INDEX(MMULT(inverseG,FU$12:FU$62),$A22+1,1),MAX(strike-$B22,0)),"")</f>
        <v/>
      </c>
      <c r="FW22" s="9" t="str">
        <f t="array" ref="FW22">IF(FW$11&gt;=0,MAX(INDEX(MMULT(inverseG,FV$12:FV$62),$A22+1,1),MAX(strike-$B22,0)),"")</f>
        <v/>
      </c>
      <c r="FX22" s="9" t="str">
        <f t="array" ref="FX22">IF(FX$11&gt;=0,MAX(INDEX(MMULT(inverseG,FW$12:FW$62),$A22+1,1),MAX(strike-$B22,0)),"")</f>
        <v/>
      </c>
      <c r="FY22" s="9" t="str">
        <f t="array" ref="FY22">IF(FY$11&gt;=0,MAX(INDEX(MMULT(inverseG,FX$12:FX$62),$A22+1,1),MAX(strike-$B22,0)),"")</f>
        <v/>
      </c>
      <c r="FZ22" s="9" t="str">
        <f t="array" ref="FZ22">IF(FZ$11&gt;=0,MAX(INDEX(MMULT(inverseG,FY$12:FY$62),$A22+1,1),MAX(strike-$B22,0)),"")</f>
        <v/>
      </c>
      <c r="GA22" s="9" t="str">
        <f t="array" ref="GA22">IF(GA$11&gt;=0,MAX(INDEX(MMULT(inverseG,FZ$12:FZ$62),$A22+1,1),MAX(strike-$B22,0)),"")</f>
        <v/>
      </c>
      <c r="GB22" s="9" t="str">
        <f t="array" ref="GB22">IF(GB$11&gt;=0,MAX(INDEX(MMULT(inverseG,GA$12:GA$62),$A22+1,1),MAX(strike-$B22,0)),"")</f>
        <v/>
      </c>
      <c r="GC22" s="9" t="str">
        <f t="array" ref="GC22">IF(GC$11&gt;=0,MAX(INDEX(MMULT(inverseG,GB$12:GB$62),$A22+1,1),MAX(strike-$B22,0)),"")</f>
        <v/>
      </c>
      <c r="GD22" s="9" t="str">
        <f t="array" ref="GD22">IF(GD$11&gt;=0,MAX(INDEX(MMULT(inverseG,GC$12:GC$62),$A22+1,1),MAX(strike-$B22,0)),"")</f>
        <v/>
      </c>
      <c r="GE22" s="9" t="str">
        <f t="array" ref="GE22">IF(GE$11&gt;=0,MAX(INDEX(MMULT(inverseG,GD$12:GD$62),$A22+1,1),MAX(strike-$B22,0)),"")</f>
        <v/>
      </c>
      <c r="GF22" s="9" t="str">
        <f t="array" ref="GF22">IF(GF$11&gt;=0,MAX(INDEX(MMULT(inverseG,GE$12:GE$62),$A22+1,1),MAX(strike-$B22,0)),"")</f>
        <v/>
      </c>
      <c r="GG22" s="9" t="str">
        <f t="array" ref="GG22">IF(GG$11&gt;=0,MAX(INDEX(MMULT(inverseG,GF$12:GF$62),$A22+1,1),MAX(strike-$B22,0)),"")</f>
        <v/>
      </c>
      <c r="GH22" s="9" t="str">
        <f t="array" ref="GH22">IF(GH$11&gt;=0,MAX(INDEX(MMULT(inverseG,GG$12:GG$62),$A22+1,1),MAX(strike-$B22,0)),"")</f>
        <v/>
      </c>
      <c r="GI22" s="9" t="str">
        <f t="array" ref="GI22">IF(GI$11&gt;=0,MAX(INDEX(MMULT(inverseG,GH$12:GH$62),$A22+1,1),MAX(strike-$B22,0)),"")</f>
        <v/>
      </c>
      <c r="GJ22" s="9" t="str">
        <f t="array" ref="GJ22">IF(GJ$11&gt;=0,MAX(INDEX(MMULT(inverseG,GI$12:GI$62),$A22+1,1),MAX(strike-$B22,0)),"")</f>
        <v/>
      </c>
      <c r="GK22" s="9" t="str">
        <f t="array" ref="GK22">IF(GK$11&gt;=0,MAX(INDEX(MMULT(inverseG,GJ$12:GJ$62),$A22+1,1),MAX(strike-$B22,0)),"")</f>
        <v/>
      </c>
      <c r="GL22" s="9" t="str">
        <f t="array" ref="GL22">IF(GL$11&gt;=0,MAX(INDEX(MMULT(inverseG,GK$12:GK$62),$A22+1,1),MAX(strike-$B22,0)),"")</f>
        <v/>
      </c>
      <c r="GM22" s="9" t="str">
        <f t="array" ref="GM22">IF(GM$11&gt;=0,MAX(INDEX(MMULT(inverseG,GL$12:GL$62),$A22+1,1),MAX(strike-$B22,0)),"")</f>
        <v/>
      </c>
      <c r="GN22" s="9" t="str">
        <f t="array" ref="GN22">IF(GN$11&gt;=0,MAX(INDEX(MMULT(inverseG,GM$12:GM$62),$A22+1,1),MAX(strike-$B22,0)),"")</f>
        <v/>
      </c>
      <c r="GO22" s="9" t="str">
        <f t="array" ref="GO22">IF(GO$11&gt;=0,MAX(INDEX(MMULT(inverseG,GN$12:GN$62),$A22+1,1),MAX(strike-$B22,0)),"")</f>
        <v/>
      </c>
      <c r="GP22" s="9" t="str">
        <f t="array" ref="GP22">IF(GP$11&gt;=0,MAX(INDEX(MMULT(inverseG,GO$12:GO$62),$A22+1,1),MAX(strike-$B22,0)),"")</f>
        <v/>
      </c>
      <c r="GQ22" s="9" t="str">
        <f t="array" ref="GQ22">IF(GQ$11&gt;=0,MAX(INDEX(MMULT(inverseG,GP$12:GP$62),$A22+1,1),MAX(strike-$B22,0)),"")</f>
        <v/>
      </c>
      <c r="GR22" s="9" t="str">
        <f t="array" ref="GR22">IF(GR$11&gt;=0,MAX(INDEX(MMULT(inverseG,GQ$12:GQ$62),$A22+1,1),MAX(strike-$B22,0)),"")</f>
        <v/>
      </c>
      <c r="GS22" s="9" t="str">
        <f t="array" ref="GS22">IF(GS$11&gt;=0,MAX(INDEX(MMULT(inverseG,GR$12:GR$62),$A22+1,1),MAX(strike-$B22,0)),"")</f>
        <v/>
      </c>
      <c r="GT22" s="9" t="str">
        <f t="array" ref="GT22">IF(GT$11&gt;=0,MAX(INDEX(MMULT(inverseG,GS$12:GS$62),$A22+1,1),MAX(strike-$B22,0)),"")</f>
        <v/>
      </c>
      <c r="GU22" s="9" t="str">
        <f t="array" ref="GU22">IF(GU$11&gt;=0,MAX(INDEX(MMULT(inverseG,GT$12:GT$62),$A22+1,1),MAX(strike-$B22,0)),"")</f>
        <v/>
      </c>
      <c r="GV22" s="9" t="str">
        <f t="array" ref="GV22">IF(GV$11&gt;=0,MAX(INDEX(MMULT(inverseG,GU$12:GU$62),$A22+1,1),MAX(strike-$B22,0)),"")</f>
        <v/>
      </c>
      <c r="GW22" s="9" t="str">
        <f t="array" ref="GW22">IF(GW$11&gt;=0,MAX(INDEX(MMULT(inverseG,GV$12:GV$62),$A22+1,1),MAX(strike-$B22,0)),"")</f>
        <v/>
      </c>
      <c r="GX22" s="9" t="str">
        <f t="array" ref="GX22">IF(GX$11&gt;=0,MAX(INDEX(MMULT(inverseG,GW$12:GW$62),$A22+1,1),MAX(strike-$B22,0)),"")</f>
        <v/>
      </c>
      <c r="GY22" s="9" t="str">
        <f t="array" ref="GY22">IF(GY$11&gt;=0,MAX(INDEX(MMULT(inverseG,GX$12:GX$62),$A22+1,1),MAX(strike-$B22,0)),"")</f>
        <v/>
      </c>
      <c r="GZ22" s="9" t="str">
        <f t="array" ref="GZ22">IF(GZ$11&gt;=0,MAX(INDEX(MMULT(inverseG,GY$12:GY$62),$A22+1,1),MAX(strike-$B22,0)),"")</f>
        <v/>
      </c>
      <c r="HA22" s="9" t="str">
        <f t="array" ref="HA22">IF(HA$11&gt;=0,MAX(INDEX(MMULT(inverseG,GZ$12:GZ$62),$A22+1,1),MAX(strike-$B22,0)),"")</f>
        <v/>
      </c>
      <c r="HB22" s="9" t="str">
        <f t="array" ref="HB22">IF(HB$11&gt;=0,MAX(INDEX(MMULT(inverseG,HA$12:HA$62),$A22+1,1),MAX(strike-$B22,0)),"")</f>
        <v/>
      </c>
      <c r="HC22" s="9" t="str">
        <f t="array" ref="HC22">IF(HC$11&gt;=0,MAX(INDEX(MMULT(inverseG,HB$12:HB$62),$A22+1,1),MAX(strike-$B22,0)),"")</f>
        <v/>
      </c>
      <c r="HD22" s="9" t="str">
        <f t="array" ref="HD22">IF(HD$11&gt;=0,MAX(INDEX(MMULT(inverseG,HC$12:HC$62),$A22+1,1),MAX(strike-$B22,0)),"")</f>
        <v/>
      </c>
      <c r="HE22" s="9" t="str">
        <f t="array" ref="HE22">IF(HE$11&gt;=0,MAX(INDEX(MMULT(inverseG,HD$12:HD$62),$A22+1,1),MAX(strike-$B22,0)),"")</f>
        <v/>
      </c>
      <c r="HF22" s="9" t="str">
        <f t="array" ref="HF22">IF(HF$11&gt;=0,MAX(INDEX(MMULT(inverseG,HE$12:HE$62),$A22+1,1),MAX(strike-$B22,0)),"")</f>
        <v/>
      </c>
      <c r="HG22" s="9" t="str">
        <f t="array" ref="HG22">IF(HG$11&gt;=0,MAX(INDEX(MMULT(inverseG,HF$12:HF$62),$A22+1,1),MAX(strike-$B22,0)),"")</f>
        <v/>
      </c>
      <c r="HH22" s="9" t="str">
        <f t="array" ref="HH22">IF(HH$11&gt;=0,MAX(INDEX(MMULT(inverseG,HG$12:HG$62),$A22+1,1),MAX(strike-$B22,0)),"")</f>
        <v/>
      </c>
      <c r="HI22" s="9" t="str">
        <f t="array" ref="HI22">IF(HI$11&gt;=0,MAX(INDEX(MMULT(inverseG,HH$12:HH$62),$A22+1,1),MAX(strike-$B22,0)),"")</f>
        <v/>
      </c>
      <c r="HJ22" s="9" t="str">
        <f t="array" ref="HJ22">IF(HJ$11&gt;=0,MAX(INDEX(MMULT(inverseG,HI$12:HI$62),$A22+1,1),MAX(strike-$B22,0)),"")</f>
        <v/>
      </c>
      <c r="HK22" s="9" t="str">
        <f t="array" ref="HK22">IF(HK$11&gt;=0,MAX(INDEX(MMULT(inverseG,HJ$12:HJ$62),$A22+1,1),MAX(strike-$B22,0)),"")</f>
        <v/>
      </c>
      <c r="HL22" s="9" t="str">
        <f t="array" ref="HL22">IF(HL$11&gt;=0,MAX(INDEX(MMULT(inverseG,HK$12:HK$62),$A22+1,1),MAX(strike-$B22,0)),"")</f>
        <v/>
      </c>
      <c r="HM22" s="9" t="str">
        <f t="array" ref="HM22">IF(HM$11&gt;=0,MAX(INDEX(MMULT(inverseG,HL$12:HL$62),$A22+1,1),MAX(strike-$B22,0)),"")</f>
        <v/>
      </c>
      <c r="HN22" s="9" t="str">
        <f t="array" ref="HN22">IF(HN$11&gt;=0,MAX(INDEX(MMULT(inverseG,HM$12:HM$62),$A22+1,1),MAX(strike-$B22,0)),"")</f>
        <v/>
      </c>
      <c r="HO22" s="9" t="str">
        <f t="array" ref="HO22">IF(HO$11&gt;=0,MAX(INDEX(MMULT(inverseG,HN$12:HN$62),$A22+1,1),MAX(strike-$B22,0)),"")</f>
        <v/>
      </c>
      <c r="HP22" s="9" t="str">
        <f t="array" ref="HP22">IF(HP$11&gt;=0,MAX(INDEX(MMULT(inverseG,HO$12:HO$62),$A22+1,1),MAX(strike-$B22,0)),"")</f>
        <v/>
      </c>
      <c r="HQ22" s="9" t="str">
        <f t="array" ref="HQ22">IF(HQ$11&gt;=0,MAX(INDEX(MMULT(inverseG,HP$12:HP$62),$A22+1,1),MAX(strike-$B22,0)),"")</f>
        <v/>
      </c>
      <c r="HR22" s="9" t="str">
        <f t="array" ref="HR22">IF(HR$11&gt;=0,MAX(INDEX(MMULT(inverseG,HQ$12:HQ$62),$A22+1,1),MAX(strike-$B22,0)),"")</f>
        <v/>
      </c>
      <c r="HS22" s="9" t="str">
        <f t="array" ref="HS22">IF(HS$11&gt;=0,MAX(INDEX(MMULT(inverseG,HR$12:HR$62),$A22+1,1),MAX(strike-$B22,0)),"")</f>
        <v/>
      </c>
      <c r="HT22" s="9" t="str">
        <f t="array" ref="HT22">IF(HT$11&gt;=0,MAX(INDEX(MMULT(inverseG,HS$12:HS$62),$A22+1,1),MAX(strike-$B22,0)),"")</f>
        <v/>
      </c>
      <c r="HU22" s="9" t="str">
        <f t="array" ref="HU22">IF(HU$11&gt;=0,MAX(INDEX(MMULT(inverseG,HT$12:HT$62),$A22+1,1),MAX(strike-$B22,0)),"")</f>
        <v/>
      </c>
      <c r="HV22" s="9" t="str">
        <f t="array" ref="HV22">IF(HV$11&gt;=0,MAX(INDEX(MMULT(inverseG,HU$12:HU$62),$A22+1,1),MAX(strike-$B22,0)),"")</f>
        <v/>
      </c>
      <c r="HW22" s="9" t="str">
        <f t="array" ref="HW22">IF(HW$11&gt;=0,MAX(INDEX(MMULT(inverseG,HV$12:HV$62),$A22+1,1),MAX(strike-$B22,0)),"")</f>
        <v/>
      </c>
      <c r="HX22" s="9" t="str">
        <f t="array" ref="HX22">IF(HX$11&gt;=0,MAX(INDEX(MMULT(inverseG,HW$12:HW$62),$A22+1,1),MAX(strike-$B22,0)),"")</f>
        <v/>
      </c>
      <c r="HY22" s="9" t="str">
        <f t="array" ref="HY22">IF(HY$11&gt;=0,MAX(INDEX(MMULT(inverseG,HX$12:HX$62),$A22+1,1),MAX(strike-$B22,0)),"")</f>
        <v/>
      </c>
      <c r="HZ22" s="9" t="str">
        <f t="array" ref="HZ22">IF(HZ$11&gt;=0,MAX(INDEX(MMULT(inverseG,HY$12:HY$62),$A22+1,1),MAX(strike-$B22,0)),"")</f>
        <v/>
      </c>
      <c r="IA22" s="9" t="str">
        <f t="array" ref="IA22">IF(IA$11&gt;=0,MAX(INDEX(MMULT(inverseG,HZ$12:HZ$62),$A22+1,1),MAX(strike-$B22,0)),"")</f>
        <v/>
      </c>
      <c r="IB22" s="9" t="str">
        <f t="array" ref="IB22">IF(IB$11&gt;=0,MAX(INDEX(MMULT(inverseG,IA$12:IA$62),$A22+1,1),MAX(strike-$B22,0)),"")</f>
        <v/>
      </c>
      <c r="IC22" s="9" t="str">
        <f t="array" ref="IC22">IF(IC$11&gt;=0,MAX(INDEX(MMULT(inverseG,IB$12:IB$62),$A22+1,1),MAX(strike-$B22,0)),"")</f>
        <v/>
      </c>
      <c r="ID22" s="9" t="str">
        <f t="array" ref="ID22">IF(ID$11&gt;=0,MAX(INDEX(MMULT(inverseG,IC$12:IC$62),$A22+1,1),MAX(strike-$B22,0)),"")</f>
        <v/>
      </c>
      <c r="IE22" s="9" t="str">
        <f t="array" ref="IE22">IF(IE$11&gt;=0,MAX(INDEX(MMULT(inverseG,ID$12:ID$62),$A22+1,1),MAX(strike-$B22,0)),"")</f>
        <v/>
      </c>
      <c r="IF22" s="9" t="str">
        <f t="array" ref="IF22">IF(IF$11&gt;=0,MAX(INDEX(MMULT(inverseG,IE$12:IE$62),$A22+1,1),MAX(strike-$B22,0)),"")</f>
        <v/>
      </c>
      <c r="IG22" s="9" t="str">
        <f t="array" ref="IG22">IF(IG$11&gt;=0,MAX(INDEX(MMULT(inverseG,IF$12:IF$62),$A22+1,1),MAX(strike-$B22,0)),"")</f>
        <v/>
      </c>
      <c r="IH22" s="9" t="str">
        <f t="array" ref="IH22">IF(IH$11&gt;=0,MAX(INDEX(MMULT(inverseG,IG$12:IG$62),$A22+1,1),MAX(strike-$B22,0)),"")</f>
        <v/>
      </c>
      <c r="II22" s="9" t="str">
        <f t="array" ref="II22">IF(II$11&gt;=0,MAX(INDEX(MMULT(inverseG,IH$12:IH$62),$A22+1,1),MAX(strike-$B22,0)),"")</f>
        <v/>
      </c>
      <c r="IJ22" s="9" t="str">
        <f t="array" ref="IJ22">IF(IJ$11&gt;=0,MAX(INDEX(MMULT(inverseG,II$12:II$62),$A22+1,1),MAX(strike-$B22,0)),"")</f>
        <v/>
      </c>
      <c r="IK22" s="9" t="str">
        <f t="array" ref="IK22">IF(IK$11&gt;=0,MAX(INDEX(MMULT(inverseG,IJ$12:IJ$62),$A22+1,1),MAX(strike-$B22,0)),"")</f>
        <v/>
      </c>
      <c r="IL22" s="9" t="str">
        <f t="array" ref="IL22">IF(IL$11&gt;=0,MAX(INDEX(MMULT(inverseG,IK$12:IK$62),$A22+1,1),MAX(strike-$B22,0)),"")</f>
        <v/>
      </c>
      <c r="IM22" s="9" t="str">
        <f t="array" ref="IM22">IF(IM$11&gt;=0,MAX(INDEX(MMULT(inverseG,IL$12:IL$62),$A22+1,1),MAX(strike-$B22,0)),"")</f>
        <v/>
      </c>
      <c r="IN22" s="9" t="str">
        <f t="array" ref="IN22">IF(IN$11&gt;=0,MAX(INDEX(MMULT(inverseG,IM$12:IM$62),$A22+1,1),MAX(strike-$B22,0)),"")</f>
        <v/>
      </c>
      <c r="IO22" s="9" t="str">
        <f t="array" ref="IO22">IF(IO$11&gt;=0,MAX(INDEX(MMULT(inverseG,IN$12:IN$62),$A22+1,1),MAX(strike-$B22,0)),"")</f>
        <v/>
      </c>
      <c r="IP22" s="9" t="str">
        <f t="array" ref="IP22">IF(IP$11&gt;=0,MAX(INDEX(MMULT(inverseG,IO$12:IO$62),$A22+1,1),MAX(strike-$B22,0)),"")</f>
        <v/>
      </c>
      <c r="IQ22" s="9" t="str">
        <f t="array" ref="IQ22">IF(IQ$11&gt;=0,MAX(INDEX(MMULT(inverseG,IP$12:IP$62),$A22+1,1),MAX(strike-$B22,0)),"")</f>
        <v/>
      </c>
      <c r="IR22" s="9" t="str">
        <f t="array" ref="IR22">IF(IR$11&gt;=0,MAX(INDEX(MMULT(inverseG,IQ$12:IQ$62),$A22+1,1),MAX(strike-$B22,0)),"")</f>
        <v/>
      </c>
      <c r="IS22" s="9" t="str">
        <f t="array" ref="IS22">IF(IS$11&gt;=0,MAX(INDEX(MMULT(inverseG,IR$12:IR$62),$A22+1,1),MAX(strike-$B22,0)),"")</f>
        <v/>
      </c>
      <c r="IT22" s="9" t="str">
        <f t="array" ref="IT22">IF(IT$11&gt;=0,MAX(INDEX(MMULT(inverseG,IS$12:IS$62),$A22+1,1),MAX(strike-$B22,0)),"")</f>
        <v/>
      </c>
      <c r="IU22" s="9" t="str">
        <f t="array" ref="IU22">IF(IU$11&gt;=0,MAX(INDEX(MMULT(inverseG,IT$12:IT$62),$A22+1,1),MAX(strike-$B22,0)),"")</f>
        <v/>
      </c>
      <c r="IV22" s="9" t="str">
        <f t="array" ref="IV22">IF(IV$11&gt;=0,MAX(INDEX(MMULT(inverseG,IU$12:IU$62),$A22+1,1),MAX(strike-$B22,0)),"")</f>
        <v/>
      </c>
    </row>
    <row r="23" spans="1:256" x14ac:dyDescent="0.2">
      <c r="A23" s="8">
        <f t="shared" si="7"/>
        <v>11</v>
      </c>
      <c r="B23" s="6">
        <f t="shared" si="4"/>
        <v>2.75</v>
      </c>
      <c r="C23" s="30">
        <f t="shared" ca="1" si="6"/>
        <v>2.25</v>
      </c>
      <c r="D23" s="9">
        <f t="shared" si="5"/>
        <v>2.25</v>
      </c>
      <c r="E23" s="9">
        <f t="array" ref="E23">IF(E$11&gt;=0,MAX(INDEX(MMULT(inverseG,D$12:D$62),$A23+1,1),MAX(strike-$B23,0)),"")</f>
        <v>2.25</v>
      </c>
      <c r="F23" s="9">
        <f t="array" ref="F23">IF(F$11&gt;=0,MAX(INDEX(MMULT(inverseG,E$12:E$62),$A23+1,1),MAX(strike-$B23,0)),"")</f>
        <v>2.25</v>
      </c>
      <c r="G23" s="9">
        <f t="array" ref="G23">IF(G$11&gt;=0,MAX(INDEX(MMULT(inverseG,F$12:F$62),$A23+1,1),MAX(strike-$B23,0)),"")</f>
        <v>2.25</v>
      </c>
      <c r="H23" s="9">
        <f t="array" ref="H23">IF(H$11&gt;=0,MAX(INDEX(MMULT(inverseG,G$12:G$62),$A23+1,1),MAX(strike-$B23,0)),"")</f>
        <v>2.25</v>
      </c>
      <c r="I23" s="9">
        <f t="array" ref="I23">IF(I$11&gt;=0,MAX(INDEX(MMULT(inverseG,H$12:H$62),$A23+1,1),MAX(strike-$B23,0)),"")</f>
        <v>2.25</v>
      </c>
      <c r="J23" s="9">
        <f t="array" ref="J23">IF(J$11&gt;=0,MAX(INDEX(MMULT(inverseG,I$12:I$62),$A23+1,1),MAX(strike-$B23,0)),"")</f>
        <v>2.25</v>
      </c>
      <c r="K23" s="9">
        <f t="array" ref="K23">IF(K$11&gt;=0,MAX(INDEX(MMULT(inverseG,J$12:J$62),$A23+1,1),MAX(strike-$B23,0)),"")</f>
        <v>2.25</v>
      </c>
      <c r="L23" s="9">
        <f t="array" ref="L23">IF(L$11&gt;=0,MAX(INDEX(MMULT(inverseG,K$12:K$62),$A23+1,1),MAX(strike-$B23,0)),"")</f>
        <v>2.25</v>
      </c>
      <c r="M23" s="9">
        <f t="array" ref="M23">IF(M$11&gt;=0,MAX(INDEX(MMULT(inverseG,L$12:L$62),$A23+1,1),MAX(strike-$B23,0)),"")</f>
        <v>2.25</v>
      </c>
      <c r="N23" s="9">
        <f t="array" ref="N23">IF(N$11&gt;=0,MAX(INDEX(MMULT(inverseG,M$12:M$62),$A23+1,1),MAX(strike-$B23,0)),"")</f>
        <v>2.25</v>
      </c>
      <c r="O23" s="9">
        <f t="array" ref="O23">IF(O$11&gt;=0,MAX(INDEX(MMULT(inverseG,N$12:N$62),$A23+1,1),MAX(strike-$B23,0)),"")</f>
        <v>2.25</v>
      </c>
      <c r="P23" s="9">
        <f t="array" ref="P23">IF(P$11&gt;=0,MAX(INDEX(MMULT(inverseG,O$12:O$62),$A23+1,1),MAX(strike-$B23,0)),"")</f>
        <v>2.25</v>
      </c>
      <c r="Q23" s="9">
        <f t="array" ref="Q23">IF(Q$11&gt;=0,MAX(INDEX(MMULT(inverseG,P$12:P$62),$A23+1,1),MAX(strike-$B23,0)),"")</f>
        <v>2.25</v>
      </c>
      <c r="R23" s="9">
        <f t="array" ref="R23">IF(R$11&gt;=0,MAX(INDEX(MMULT(inverseG,Q$12:Q$62),$A23+1,1),MAX(strike-$B23,0)),"")</f>
        <v>2.25</v>
      </c>
      <c r="S23" s="9">
        <f t="array" ref="S23">IF(S$11&gt;=0,MAX(INDEX(MMULT(inverseG,R$12:R$62),$A23+1,1),MAX(strike-$B23,0)),"")</f>
        <v>2.25</v>
      </c>
      <c r="T23" s="9">
        <f t="array" ref="T23">IF(T$11&gt;=0,MAX(INDEX(MMULT(inverseG,S$12:S$62),$A23+1,1),MAX(strike-$B23,0)),"")</f>
        <v>2.25</v>
      </c>
      <c r="U23" s="9">
        <f t="array" ref="U23">IF(U$11&gt;=0,MAX(INDEX(MMULT(inverseG,T$12:T$62),$A23+1,1),MAX(strike-$B23,0)),"")</f>
        <v>2.25</v>
      </c>
      <c r="V23" s="9">
        <f t="array" ref="V23">IF(V$11&gt;=0,MAX(INDEX(MMULT(inverseG,U$12:U$62),$A23+1,1),MAX(strike-$B23,0)),"")</f>
        <v>2.25</v>
      </c>
      <c r="W23" s="9">
        <f t="array" ref="W23">IF(W$11&gt;=0,MAX(INDEX(MMULT(inverseG,V$12:V$62),$A23+1,1),MAX(strike-$B23,0)),"")</f>
        <v>2.25</v>
      </c>
      <c r="X23" s="9">
        <f t="array" ref="X23">IF(X$11&gt;=0,MAX(INDEX(MMULT(inverseG,W$12:W$62),$A23+1,1),MAX(strike-$B23,0)),"")</f>
        <v>2.25</v>
      </c>
      <c r="Y23" s="9">
        <f t="array" ref="Y23">IF(Y$11&gt;=0,MAX(INDEX(MMULT(inverseG,X$12:X$62),$A23+1,1),MAX(strike-$B23,0)),"")</f>
        <v>2.25</v>
      </c>
      <c r="Z23" s="9">
        <f t="array" ref="Z23">IF(Z$11&gt;=0,MAX(INDEX(MMULT(inverseG,Y$12:Y$62),$A23+1,1),MAX(strike-$B23,0)),"")</f>
        <v>2.25</v>
      </c>
      <c r="AA23" s="9">
        <f t="array" ref="AA23">IF(AA$11&gt;=0,MAX(INDEX(MMULT(inverseG,Z$12:Z$62),$A23+1,1),MAX(strike-$B23,0)),"")</f>
        <v>2.25</v>
      </c>
      <c r="AB23" s="9">
        <f t="array" ref="AB23">IF(AB$11&gt;=0,MAX(INDEX(MMULT(inverseG,AA$12:AA$62),$A23+1,1),MAX(strike-$B23,0)),"")</f>
        <v>2.25</v>
      </c>
      <c r="AC23" s="9">
        <f t="array" ref="AC23">IF(AC$11&gt;=0,MAX(INDEX(MMULT(inverseG,AB$12:AB$62),$A23+1,1),MAX(strike-$B23,0)),"")</f>
        <v>2.25</v>
      </c>
      <c r="AD23" s="9">
        <f t="array" ref="AD23">IF(AD$11&gt;=0,MAX(INDEX(MMULT(inverseG,AC$12:AC$62),$A23+1,1),MAX(strike-$B23,0)),"")</f>
        <v>2.25</v>
      </c>
      <c r="AE23" s="9">
        <f t="array" ref="AE23">IF(AE$11&gt;=0,MAX(INDEX(MMULT(inverseG,AD$12:AD$62),$A23+1,1),MAX(strike-$B23,0)),"")</f>
        <v>2.25</v>
      </c>
      <c r="AF23" s="9">
        <f t="array" ref="AF23">IF(AF$11&gt;=0,MAX(INDEX(MMULT(inverseG,AE$12:AE$62),$A23+1,1),MAX(strike-$B23,0)),"")</f>
        <v>2.25</v>
      </c>
      <c r="AG23" s="9">
        <f t="array" ref="AG23">IF(AG$11&gt;=0,MAX(INDEX(MMULT(inverseG,AF$12:AF$62),$A23+1,1),MAX(strike-$B23,0)),"")</f>
        <v>2.25</v>
      </c>
      <c r="AH23" s="9">
        <f t="array" ref="AH23">IF(AH$11&gt;=0,MAX(INDEX(MMULT(inverseG,AG$12:AG$62),$A23+1,1),MAX(strike-$B23,0)),"")</f>
        <v>2.25</v>
      </c>
      <c r="AI23" s="9">
        <f t="array" ref="AI23">IF(AI$11&gt;=0,MAX(INDEX(MMULT(inverseG,AH$12:AH$62),$A23+1,1),MAX(strike-$B23,0)),"")</f>
        <v>2.25</v>
      </c>
      <c r="AJ23" s="9">
        <f t="array" ref="AJ23">IF(AJ$11&gt;=0,MAX(INDEX(MMULT(inverseG,AI$12:AI$62),$A23+1,1),MAX(strike-$B23,0)),"")</f>
        <v>2.25</v>
      </c>
      <c r="AK23" s="9">
        <f t="array" ref="AK23">IF(AK$11&gt;=0,MAX(INDEX(MMULT(inverseG,AJ$12:AJ$62),$A23+1,1),MAX(strike-$B23,0)),"")</f>
        <v>2.25</v>
      </c>
      <c r="AL23" s="9">
        <f t="array" ref="AL23">IF(AL$11&gt;=0,MAX(INDEX(MMULT(inverseG,AK$12:AK$62),$A23+1,1),MAX(strike-$B23,0)),"")</f>
        <v>2.25</v>
      </c>
      <c r="AM23" s="9">
        <f t="array" ref="AM23">IF(AM$11&gt;=0,MAX(INDEX(MMULT(inverseG,AL$12:AL$62),$A23+1,1),MAX(strike-$B23,0)),"")</f>
        <v>2.25</v>
      </c>
      <c r="AN23" s="9">
        <f t="array" ref="AN23">IF(AN$11&gt;=0,MAX(INDEX(MMULT(inverseG,AM$12:AM$62),$A23+1,1),MAX(strike-$B23,0)),"")</f>
        <v>2.25</v>
      </c>
      <c r="AO23" s="9">
        <f t="array" ref="AO23">IF(AO$11&gt;=0,MAX(INDEX(MMULT(inverseG,AN$12:AN$62),$A23+1,1),MAX(strike-$B23,0)),"")</f>
        <v>2.25</v>
      </c>
      <c r="AP23" s="9">
        <f t="array" ref="AP23">IF(AP$11&gt;=0,MAX(INDEX(MMULT(inverseG,AO$12:AO$62),$A23+1,1),MAX(strike-$B23,0)),"")</f>
        <v>2.25</v>
      </c>
      <c r="AQ23" s="9">
        <f t="array" ref="AQ23">IF(AQ$11&gt;=0,MAX(INDEX(MMULT(inverseG,AP$12:AP$62),$A23+1,1),MAX(strike-$B23,0)),"")</f>
        <v>2.25</v>
      </c>
      <c r="AR23" s="9">
        <f t="array" ref="AR23">IF(AR$11&gt;=0,MAX(INDEX(MMULT(inverseG,AQ$12:AQ$62),$A23+1,1),MAX(strike-$B23,0)),"")</f>
        <v>2.25</v>
      </c>
      <c r="AS23" s="9">
        <f t="array" ref="AS23">IF(AS$11&gt;=0,MAX(INDEX(MMULT(inverseG,AR$12:AR$62),$A23+1,1),MAX(strike-$B23,0)),"")</f>
        <v>2.25</v>
      </c>
      <c r="AT23" s="9">
        <f t="array" ref="AT23">IF(AT$11&gt;=0,MAX(INDEX(MMULT(inverseG,AS$12:AS$62),$A23+1,1),MAX(strike-$B23,0)),"")</f>
        <v>2.25</v>
      </c>
      <c r="AU23" s="9">
        <f t="array" ref="AU23">IF(AU$11&gt;=0,MAX(INDEX(MMULT(inverseG,AT$12:AT$62),$A23+1,1),MAX(strike-$B23,0)),"")</f>
        <v>2.25</v>
      </c>
      <c r="AV23" s="9">
        <f t="array" ref="AV23">IF(AV$11&gt;=0,MAX(INDEX(MMULT(inverseG,AU$12:AU$62),$A23+1,1),MAX(strike-$B23,0)),"")</f>
        <v>2.25</v>
      </c>
      <c r="AW23" s="9">
        <f t="array" ref="AW23">IF(AW$11&gt;=0,MAX(INDEX(MMULT(inverseG,AV$12:AV$62),$A23+1,1),MAX(strike-$B23,0)),"")</f>
        <v>2.25</v>
      </c>
      <c r="AX23" s="9">
        <f t="array" ref="AX23">IF(AX$11&gt;=0,MAX(INDEX(MMULT(inverseG,AW$12:AW$62),$A23+1,1),MAX(strike-$B23,0)),"")</f>
        <v>2.25</v>
      </c>
      <c r="AY23" s="9">
        <f t="array" ref="AY23">IF(AY$11&gt;=0,MAX(INDEX(MMULT(inverseG,AX$12:AX$62),$A23+1,1),MAX(strike-$B23,0)),"")</f>
        <v>2.25</v>
      </c>
      <c r="AZ23" s="9">
        <f t="array" ref="AZ23">IF(AZ$11&gt;=0,MAX(INDEX(MMULT(inverseG,AY$12:AY$62),$A23+1,1),MAX(strike-$B23,0)),"")</f>
        <v>2.25</v>
      </c>
      <c r="BA23" s="9">
        <f t="array" ref="BA23">IF(BA$11&gt;=0,MAX(INDEX(MMULT(inverseG,AZ$12:AZ$62),$A23+1,1),MAX(strike-$B23,0)),"")</f>
        <v>2.25</v>
      </c>
      <c r="BB23" s="9">
        <f t="array" ref="BB23">IF(BB$11&gt;=0,MAX(INDEX(MMULT(inverseG,BA$12:BA$62),$A23+1,1),MAX(strike-$B23,0)),"")</f>
        <v>2.25</v>
      </c>
      <c r="BC23" s="9">
        <f t="array" ref="BC23">IF(BC$11&gt;=0,MAX(INDEX(MMULT(inverseG,BB$12:BB$62),$A23+1,1),MAX(strike-$B23,0)),"")</f>
        <v>2.25</v>
      </c>
      <c r="BD23" s="9">
        <f t="array" ref="BD23">IF(BD$11&gt;=0,MAX(INDEX(MMULT(inverseG,BC$12:BC$62),$A23+1,1),MAX(strike-$B23,0)),"")</f>
        <v>2.25</v>
      </c>
      <c r="BE23" s="9">
        <f t="array" ref="BE23">IF(BE$11&gt;=0,MAX(INDEX(MMULT(inverseG,BD$12:BD$62),$A23+1,1),MAX(strike-$B23,0)),"")</f>
        <v>2.25</v>
      </c>
      <c r="BF23" s="9">
        <f t="array" ref="BF23">IF(BF$11&gt;=0,MAX(INDEX(MMULT(inverseG,BE$12:BE$62),$A23+1,1),MAX(strike-$B23,0)),"")</f>
        <v>2.25</v>
      </c>
      <c r="BG23" s="9">
        <f t="array" ref="BG23">IF(BG$11&gt;=0,MAX(INDEX(MMULT(inverseG,BF$12:BF$62),$A23+1,1),MAX(strike-$B23,0)),"")</f>
        <v>2.25</v>
      </c>
      <c r="BH23" s="9">
        <f t="array" ref="BH23">IF(BH$11&gt;=0,MAX(INDEX(MMULT(inverseG,BG$12:BG$62),$A23+1,1),MAX(strike-$B23,0)),"")</f>
        <v>2.25</v>
      </c>
      <c r="BI23" s="9">
        <f t="array" ref="BI23">IF(BI$11&gt;=0,MAX(INDEX(MMULT(inverseG,BH$12:BH$62),$A23+1,1),MAX(strike-$B23,0)),"")</f>
        <v>2.25</v>
      </c>
      <c r="BJ23" s="9">
        <f t="array" ref="BJ23">IF(BJ$11&gt;=0,MAX(INDEX(MMULT(inverseG,BI$12:BI$62),$A23+1,1),MAX(strike-$B23,0)),"")</f>
        <v>2.25</v>
      </c>
      <c r="BK23" s="9">
        <f t="array" ref="BK23">IF(BK$11&gt;=0,MAX(INDEX(MMULT(inverseG,BJ$12:BJ$62),$A23+1,1),MAX(strike-$B23,0)),"")</f>
        <v>2.25</v>
      </c>
      <c r="BL23" s="9">
        <f t="array" ref="BL23">IF(BL$11&gt;=0,MAX(INDEX(MMULT(inverseG,BK$12:BK$62),$A23+1,1),MAX(strike-$B23,0)),"")</f>
        <v>2.25</v>
      </c>
      <c r="BM23" s="9">
        <f t="array" ref="BM23">IF(BM$11&gt;=0,MAX(INDEX(MMULT(inverseG,BL$12:BL$62),$A23+1,1),MAX(strike-$B23,0)),"")</f>
        <v>2.25</v>
      </c>
      <c r="BN23" s="9">
        <f t="array" ref="BN23">IF(BN$11&gt;=0,MAX(INDEX(MMULT(inverseG,BM$12:BM$62),$A23+1,1),MAX(strike-$B23,0)),"")</f>
        <v>2.25</v>
      </c>
      <c r="BO23" s="9">
        <f t="array" ref="BO23">IF(BO$11&gt;=0,MAX(INDEX(MMULT(inverseG,BN$12:BN$62),$A23+1,1),MAX(strike-$B23,0)),"")</f>
        <v>2.25</v>
      </c>
      <c r="BP23" s="9">
        <f t="array" ref="BP23">IF(BP$11&gt;=0,MAX(INDEX(MMULT(inverseG,BO$12:BO$62),$A23+1,1),MAX(strike-$B23,0)),"")</f>
        <v>2.25</v>
      </c>
      <c r="BQ23" s="9">
        <f t="array" ref="BQ23">IF(BQ$11&gt;=0,MAX(INDEX(MMULT(inverseG,BP$12:BP$62),$A23+1,1),MAX(strike-$B23,0)),"")</f>
        <v>2.25</v>
      </c>
      <c r="BR23" s="9">
        <f t="array" ref="BR23">IF(BR$11&gt;=0,MAX(INDEX(MMULT(inverseG,BQ$12:BQ$62),$A23+1,1),MAX(strike-$B23,0)),"")</f>
        <v>2.25</v>
      </c>
      <c r="BS23" s="9">
        <f t="array" ref="BS23">IF(BS$11&gt;=0,MAX(INDEX(MMULT(inverseG,BR$12:BR$62),$A23+1,1),MAX(strike-$B23,0)),"")</f>
        <v>2.25</v>
      </c>
      <c r="BT23" s="9">
        <f t="array" ref="BT23">IF(BT$11&gt;=0,MAX(INDEX(MMULT(inverseG,BS$12:BS$62),$A23+1,1),MAX(strike-$B23,0)),"")</f>
        <v>2.25</v>
      </c>
      <c r="BU23" s="9">
        <f t="array" ref="BU23">IF(BU$11&gt;=0,MAX(INDEX(MMULT(inverseG,BT$12:BT$62),$A23+1,1),MAX(strike-$B23,0)),"")</f>
        <v>2.25</v>
      </c>
      <c r="BV23" s="9">
        <f t="array" ref="BV23">IF(BV$11&gt;=0,MAX(INDEX(MMULT(inverseG,BU$12:BU$62),$A23+1,1),MAX(strike-$B23,0)),"")</f>
        <v>2.25</v>
      </c>
      <c r="BW23" s="9">
        <f t="array" ref="BW23">IF(BW$11&gt;=0,MAX(INDEX(MMULT(inverseG,BV$12:BV$62),$A23+1,1),MAX(strike-$B23,0)),"")</f>
        <v>2.25</v>
      </c>
      <c r="BX23" s="9">
        <f t="array" ref="BX23">IF(BX$11&gt;=0,MAX(INDEX(MMULT(inverseG,BW$12:BW$62),$A23+1,1),MAX(strike-$B23,0)),"")</f>
        <v>2.25</v>
      </c>
      <c r="BY23" s="9">
        <f t="array" ref="BY23">IF(BY$11&gt;=0,MAX(INDEX(MMULT(inverseG,BX$12:BX$62),$A23+1,1),MAX(strike-$B23,0)),"")</f>
        <v>2.25</v>
      </c>
      <c r="BZ23" s="9">
        <f t="array" ref="BZ23">IF(BZ$11&gt;=0,MAX(INDEX(MMULT(inverseG,BY$12:BY$62),$A23+1,1),MAX(strike-$B23,0)),"")</f>
        <v>2.25</v>
      </c>
      <c r="CA23" s="9">
        <f t="array" ref="CA23">IF(CA$11&gt;=0,MAX(INDEX(MMULT(inverseG,BZ$12:BZ$62),$A23+1,1),MAX(strike-$B23,0)),"")</f>
        <v>2.25</v>
      </c>
      <c r="CB23" s="9">
        <f t="array" ref="CB23">IF(CB$11&gt;=0,MAX(INDEX(MMULT(inverseG,CA$12:CA$62),$A23+1,1),MAX(strike-$B23,0)),"")</f>
        <v>2.25</v>
      </c>
      <c r="CC23" s="9">
        <f t="array" ref="CC23">IF(CC$11&gt;=0,MAX(INDEX(MMULT(inverseG,CB$12:CB$62),$A23+1,1),MAX(strike-$B23,0)),"")</f>
        <v>2.25</v>
      </c>
      <c r="CD23" s="9">
        <f t="array" ref="CD23">IF(CD$11&gt;=0,MAX(INDEX(MMULT(inverseG,CC$12:CC$62),$A23+1,1),MAX(strike-$B23,0)),"")</f>
        <v>2.25</v>
      </c>
      <c r="CE23" s="9">
        <f t="array" ref="CE23">IF(CE$11&gt;=0,MAX(INDEX(MMULT(inverseG,CD$12:CD$62),$A23+1,1),MAX(strike-$B23,0)),"")</f>
        <v>2.25</v>
      </c>
      <c r="CF23" s="9">
        <f t="array" ref="CF23">IF(CF$11&gt;=0,MAX(INDEX(MMULT(inverseG,CE$12:CE$62),$A23+1,1),MAX(strike-$B23,0)),"")</f>
        <v>2.25</v>
      </c>
      <c r="CG23" s="9">
        <f t="array" ref="CG23">IF(CG$11&gt;=0,MAX(INDEX(MMULT(inverseG,CF$12:CF$62),$A23+1,1),MAX(strike-$B23,0)),"")</f>
        <v>2.25</v>
      </c>
      <c r="CH23" s="9">
        <f t="array" ref="CH23">IF(CH$11&gt;=0,MAX(INDEX(MMULT(inverseG,CG$12:CG$62),$A23+1,1),MAX(strike-$B23,0)),"")</f>
        <v>2.25</v>
      </c>
      <c r="CI23" s="9">
        <f t="array" ref="CI23">IF(CI$11&gt;=0,MAX(INDEX(MMULT(inverseG,CH$12:CH$62),$A23+1,1),MAX(strike-$B23,0)),"")</f>
        <v>2.25</v>
      </c>
      <c r="CJ23" s="9">
        <f t="array" ref="CJ23">IF(CJ$11&gt;=0,MAX(INDEX(MMULT(inverseG,CI$12:CI$62),$A23+1,1),MAX(strike-$B23,0)),"")</f>
        <v>2.25</v>
      </c>
      <c r="CK23" s="9">
        <f t="array" ref="CK23">IF(CK$11&gt;=0,MAX(INDEX(MMULT(inverseG,CJ$12:CJ$62),$A23+1,1),MAX(strike-$B23,0)),"")</f>
        <v>2.25</v>
      </c>
      <c r="CL23" s="9">
        <f t="array" ref="CL23">IF(CL$11&gt;=0,MAX(INDEX(MMULT(inverseG,CK$12:CK$62),$A23+1,1),MAX(strike-$B23,0)),"")</f>
        <v>2.25</v>
      </c>
      <c r="CM23" s="9">
        <f t="array" ref="CM23">IF(CM$11&gt;=0,MAX(INDEX(MMULT(inverseG,CL$12:CL$62),$A23+1,1),MAX(strike-$B23,0)),"")</f>
        <v>2.25</v>
      </c>
      <c r="CN23" s="9">
        <f t="array" ref="CN23">IF(CN$11&gt;=0,MAX(INDEX(MMULT(inverseG,CM$12:CM$62),$A23+1,1),MAX(strike-$B23,0)),"")</f>
        <v>2.25</v>
      </c>
      <c r="CO23" s="9">
        <f t="array" ref="CO23">IF(CO$11&gt;=0,MAX(INDEX(MMULT(inverseG,CN$12:CN$62),$A23+1,1),MAX(strike-$B23,0)),"")</f>
        <v>2.25</v>
      </c>
      <c r="CP23" s="9">
        <f t="array" ref="CP23">IF(CP$11&gt;=0,MAX(INDEX(MMULT(inverseG,CO$12:CO$62),$A23+1,1),MAX(strike-$B23,0)),"")</f>
        <v>2.25</v>
      </c>
      <c r="CQ23" s="9">
        <f t="array" ref="CQ23">IF(CQ$11&gt;=0,MAX(INDEX(MMULT(inverseG,CP$12:CP$62),$A23+1,1),MAX(strike-$B23,0)),"")</f>
        <v>2.25</v>
      </c>
      <c r="CR23" s="9">
        <f t="array" ref="CR23">IF(CR$11&gt;=0,MAX(INDEX(MMULT(inverseG,CQ$12:CQ$62),$A23+1,1),MAX(strike-$B23,0)),"")</f>
        <v>2.25</v>
      </c>
      <c r="CS23" s="9">
        <f t="array" ref="CS23">IF(CS$11&gt;=0,MAX(INDEX(MMULT(inverseG,CR$12:CR$62),$A23+1,1),MAX(strike-$B23,0)),"")</f>
        <v>2.25</v>
      </c>
      <c r="CT23" s="9">
        <f t="array" ref="CT23">IF(CT$11&gt;=0,MAX(INDEX(MMULT(inverseG,CS$12:CS$62),$A23+1,1),MAX(strike-$B23,0)),"")</f>
        <v>2.25</v>
      </c>
      <c r="CU23" s="9">
        <f t="array" ref="CU23">IF(CU$11&gt;=0,MAX(INDEX(MMULT(inverseG,CT$12:CT$62),$A23+1,1),MAX(strike-$B23,0)),"")</f>
        <v>2.25</v>
      </c>
      <c r="CV23" s="9">
        <f t="array" ref="CV23">IF(CV$11&gt;=0,MAX(INDEX(MMULT(inverseG,CU$12:CU$62),$A23+1,1),MAX(strike-$B23,0)),"")</f>
        <v>2.25</v>
      </c>
      <c r="CW23" s="9">
        <f t="array" ref="CW23">IF(CW$11&gt;=0,MAX(INDEX(MMULT(inverseG,CV$12:CV$62),$A23+1,1),MAX(strike-$B23,0)),"")</f>
        <v>2.25</v>
      </c>
      <c r="CX23" s="9">
        <f t="array" ref="CX23">IF(CX$11&gt;=0,MAX(INDEX(MMULT(inverseG,CW$12:CW$62),$A23+1,1),MAX(strike-$B23,0)),"")</f>
        <v>2.25</v>
      </c>
      <c r="CY23" s="9">
        <f t="array" ref="CY23">IF(CY$11&gt;=0,MAX(INDEX(MMULT(inverseG,CX$12:CX$62),$A23+1,1),MAX(strike-$B23,0)),"")</f>
        <v>2.25</v>
      </c>
      <c r="CZ23" s="9">
        <f t="array" ref="CZ23">IF(CZ$11&gt;=0,MAX(INDEX(MMULT(inverseG,CY$12:CY$62),$A23+1,1),MAX(strike-$B23,0)),"")</f>
        <v>2.25</v>
      </c>
      <c r="DA23" s="9" t="str">
        <f t="array" ref="DA23">IF(DA$11&gt;=0,MAX(INDEX(MMULT(inverseG,CZ$12:CZ$62),$A23+1,1),MAX(strike-$B23,0)),"")</f>
        <v/>
      </c>
      <c r="DB23" s="9" t="str">
        <f t="array" ref="DB23">IF(DB$11&gt;=0,MAX(INDEX(MMULT(inverseG,DA$12:DA$62),$A23+1,1),MAX(strike-$B23,0)),"")</f>
        <v/>
      </c>
      <c r="DC23" s="9" t="str">
        <f t="array" ref="DC23">IF(DC$11&gt;=0,MAX(INDEX(MMULT(inverseG,DB$12:DB$62),$A23+1,1),MAX(strike-$B23,0)),"")</f>
        <v/>
      </c>
      <c r="DD23" s="9" t="str">
        <f t="array" ref="DD23">IF(DD$11&gt;=0,MAX(INDEX(MMULT(inverseG,DC$12:DC$62),$A23+1,1),MAX(strike-$B23,0)),"")</f>
        <v/>
      </c>
      <c r="DE23" s="9" t="str">
        <f t="array" ref="DE23">IF(DE$11&gt;=0,MAX(INDEX(MMULT(inverseG,DD$12:DD$62),$A23+1,1),MAX(strike-$B23,0)),"")</f>
        <v/>
      </c>
      <c r="DF23" s="9" t="str">
        <f t="array" ref="DF23">IF(DF$11&gt;=0,MAX(INDEX(MMULT(inverseG,DE$12:DE$62),$A23+1,1),MAX(strike-$B23,0)),"")</f>
        <v/>
      </c>
      <c r="DG23" s="9" t="str">
        <f t="array" ref="DG23">IF(DG$11&gt;=0,MAX(INDEX(MMULT(inverseG,DF$12:DF$62),$A23+1,1),MAX(strike-$B23,0)),"")</f>
        <v/>
      </c>
      <c r="DH23" s="9" t="str">
        <f t="array" ref="DH23">IF(DH$11&gt;=0,MAX(INDEX(MMULT(inverseG,DG$12:DG$62),$A23+1,1),MAX(strike-$B23,0)),"")</f>
        <v/>
      </c>
      <c r="DI23" s="9" t="str">
        <f t="array" ref="DI23">IF(DI$11&gt;=0,MAX(INDEX(MMULT(inverseG,DH$12:DH$62),$A23+1,1),MAX(strike-$B23,0)),"")</f>
        <v/>
      </c>
      <c r="DJ23" s="9" t="str">
        <f t="array" ref="DJ23">IF(DJ$11&gt;=0,MAX(INDEX(MMULT(inverseG,DI$12:DI$62),$A23+1,1),MAX(strike-$B23,0)),"")</f>
        <v/>
      </c>
      <c r="DK23" s="9" t="str">
        <f t="array" ref="DK23">IF(DK$11&gt;=0,MAX(INDEX(MMULT(inverseG,DJ$12:DJ$62),$A23+1,1),MAX(strike-$B23,0)),"")</f>
        <v/>
      </c>
      <c r="DL23" s="9" t="str">
        <f t="array" ref="DL23">IF(DL$11&gt;=0,MAX(INDEX(MMULT(inverseG,DK$12:DK$62),$A23+1,1),MAX(strike-$B23,0)),"")</f>
        <v/>
      </c>
      <c r="DM23" s="9" t="str">
        <f t="array" ref="DM23">IF(DM$11&gt;=0,MAX(INDEX(MMULT(inverseG,DL$12:DL$62),$A23+1,1),MAX(strike-$B23,0)),"")</f>
        <v/>
      </c>
      <c r="DN23" s="9" t="str">
        <f t="array" ref="DN23">IF(DN$11&gt;=0,MAX(INDEX(MMULT(inverseG,DM$12:DM$62),$A23+1,1),MAX(strike-$B23,0)),"")</f>
        <v/>
      </c>
      <c r="DO23" s="9" t="str">
        <f t="array" ref="DO23">IF(DO$11&gt;=0,MAX(INDEX(MMULT(inverseG,DN$12:DN$62),$A23+1,1),MAX(strike-$B23,0)),"")</f>
        <v/>
      </c>
      <c r="DP23" s="9" t="str">
        <f t="array" ref="DP23">IF(DP$11&gt;=0,MAX(INDEX(MMULT(inverseG,DO$12:DO$62),$A23+1,1),MAX(strike-$B23,0)),"")</f>
        <v/>
      </c>
      <c r="DQ23" s="9" t="str">
        <f t="array" ref="DQ23">IF(DQ$11&gt;=0,MAX(INDEX(MMULT(inverseG,DP$12:DP$62),$A23+1,1),MAX(strike-$B23,0)),"")</f>
        <v/>
      </c>
      <c r="DR23" s="9" t="str">
        <f t="array" ref="DR23">IF(DR$11&gt;=0,MAX(INDEX(MMULT(inverseG,DQ$12:DQ$62),$A23+1,1),MAX(strike-$B23,0)),"")</f>
        <v/>
      </c>
      <c r="DS23" s="9" t="str">
        <f t="array" ref="DS23">IF(DS$11&gt;=0,MAX(INDEX(MMULT(inverseG,DR$12:DR$62),$A23+1,1),MAX(strike-$B23,0)),"")</f>
        <v/>
      </c>
      <c r="DT23" s="9" t="str">
        <f t="array" ref="DT23">IF(DT$11&gt;=0,MAX(INDEX(MMULT(inverseG,DS$12:DS$62),$A23+1,1),MAX(strike-$B23,0)),"")</f>
        <v/>
      </c>
      <c r="DU23" s="9" t="str">
        <f t="array" ref="DU23">IF(DU$11&gt;=0,MAX(INDEX(MMULT(inverseG,DT$12:DT$62),$A23+1,1),MAX(strike-$B23,0)),"")</f>
        <v/>
      </c>
      <c r="DV23" s="9" t="str">
        <f t="array" ref="DV23">IF(DV$11&gt;=0,MAX(INDEX(MMULT(inverseG,DU$12:DU$62),$A23+1,1),MAX(strike-$B23,0)),"")</f>
        <v/>
      </c>
      <c r="DW23" s="9" t="str">
        <f t="array" ref="DW23">IF(DW$11&gt;=0,MAX(INDEX(MMULT(inverseG,DV$12:DV$62),$A23+1,1),MAX(strike-$B23,0)),"")</f>
        <v/>
      </c>
      <c r="DX23" s="9" t="str">
        <f t="array" ref="DX23">IF(DX$11&gt;=0,MAX(INDEX(MMULT(inverseG,DW$12:DW$62),$A23+1,1),MAX(strike-$B23,0)),"")</f>
        <v/>
      </c>
      <c r="DY23" s="9" t="str">
        <f t="array" ref="DY23">IF(DY$11&gt;=0,MAX(INDEX(MMULT(inverseG,DX$12:DX$62),$A23+1,1),MAX(strike-$B23,0)),"")</f>
        <v/>
      </c>
      <c r="DZ23" s="9" t="str">
        <f t="array" ref="DZ23">IF(DZ$11&gt;=0,MAX(INDEX(MMULT(inverseG,DY$12:DY$62),$A23+1,1),MAX(strike-$B23,0)),"")</f>
        <v/>
      </c>
      <c r="EA23" s="9" t="str">
        <f t="array" ref="EA23">IF(EA$11&gt;=0,MAX(INDEX(MMULT(inverseG,DZ$12:DZ$62),$A23+1,1),MAX(strike-$B23,0)),"")</f>
        <v/>
      </c>
      <c r="EB23" s="9" t="str">
        <f t="array" ref="EB23">IF(EB$11&gt;=0,MAX(INDEX(MMULT(inverseG,EA$12:EA$62),$A23+1,1),MAX(strike-$B23,0)),"")</f>
        <v/>
      </c>
      <c r="EC23" s="9" t="str">
        <f t="array" ref="EC23">IF(EC$11&gt;=0,MAX(INDEX(MMULT(inverseG,EB$12:EB$62),$A23+1,1),MAX(strike-$B23,0)),"")</f>
        <v/>
      </c>
      <c r="ED23" s="9" t="str">
        <f t="array" ref="ED23">IF(ED$11&gt;=0,MAX(INDEX(MMULT(inverseG,EC$12:EC$62),$A23+1,1),MAX(strike-$B23,0)),"")</f>
        <v/>
      </c>
      <c r="EE23" s="9" t="str">
        <f t="array" ref="EE23">IF(EE$11&gt;=0,MAX(INDEX(MMULT(inverseG,ED$12:ED$62),$A23+1,1),MAX(strike-$B23,0)),"")</f>
        <v/>
      </c>
      <c r="EF23" s="9" t="str">
        <f t="array" ref="EF23">IF(EF$11&gt;=0,MAX(INDEX(MMULT(inverseG,EE$12:EE$62),$A23+1,1),MAX(strike-$B23,0)),"")</f>
        <v/>
      </c>
      <c r="EG23" s="9" t="str">
        <f t="array" ref="EG23">IF(EG$11&gt;=0,MAX(INDEX(MMULT(inverseG,EF$12:EF$62),$A23+1,1),MAX(strike-$B23,0)),"")</f>
        <v/>
      </c>
      <c r="EH23" s="9" t="str">
        <f t="array" ref="EH23">IF(EH$11&gt;=0,MAX(INDEX(MMULT(inverseG,EG$12:EG$62),$A23+1,1),MAX(strike-$B23,0)),"")</f>
        <v/>
      </c>
      <c r="EI23" s="9" t="str">
        <f t="array" ref="EI23">IF(EI$11&gt;=0,MAX(INDEX(MMULT(inverseG,EH$12:EH$62),$A23+1,1),MAX(strike-$B23,0)),"")</f>
        <v/>
      </c>
      <c r="EJ23" s="9" t="str">
        <f t="array" ref="EJ23">IF(EJ$11&gt;=0,MAX(INDEX(MMULT(inverseG,EI$12:EI$62),$A23+1,1),MAX(strike-$B23,0)),"")</f>
        <v/>
      </c>
      <c r="EK23" s="9" t="str">
        <f t="array" ref="EK23">IF(EK$11&gt;=0,MAX(INDEX(MMULT(inverseG,EJ$12:EJ$62),$A23+1,1),MAX(strike-$B23,0)),"")</f>
        <v/>
      </c>
      <c r="EL23" s="9" t="str">
        <f t="array" ref="EL23">IF(EL$11&gt;=0,MAX(INDEX(MMULT(inverseG,EK$12:EK$62),$A23+1,1),MAX(strike-$B23,0)),"")</f>
        <v/>
      </c>
      <c r="EM23" s="9" t="str">
        <f t="array" ref="EM23">IF(EM$11&gt;=0,MAX(INDEX(MMULT(inverseG,EL$12:EL$62),$A23+1,1),MAX(strike-$B23,0)),"")</f>
        <v/>
      </c>
      <c r="EN23" s="9" t="str">
        <f t="array" ref="EN23">IF(EN$11&gt;=0,MAX(INDEX(MMULT(inverseG,EM$12:EM$62),$A23+1,1),MAX(strike-$B23,0)),"")</f>
        <v/>
      </c>
      <c r="EO23" s="9" t="str">
        <f t="array" ref="EO23">IF(EO$11&gt;=0,MAX(INDEX(MMULT(inverseG,EN$12:EN$62),$A23+1,1),MAX(strike-$B23,0)),"")</f>
        <v/>
      </c>
      <c r="EP23" s="9" t="str">
        <f t="array" ref="EP23">IF(EP$11&gt;=0,MAX(INDEX(MMULT(inverseG,EO$12:EO$62),$A23+1,1),MAX(strike-$B23,0)),"")</f>
        <v/>
      </c>
      <c r="EQ23" s="9" t="str">
        <f t="array" ref="EQ23">IF(EQ$11&gt;=0,MAX(INDEX(MMULT(inverseG,EP$12:EP$62),$A23+1,1),MAX(strike-$B23,0)),"")</f>
        <v/>
      </c>
      <c r="ER23" s="9" t="str">
        <f t="array" ref="ER23">IF(ER$11&gt;=0,MAX(INDEX(MMULT(inverseG,EQ$12:EQ$62),$A23+1,1),MAX(strike-$B23,0)),"")</f>
        <v/>
      </c>
      <c r="ES23" s="9" t="str">
        <f t="array" ref="ES23">IF(ES$11&gt;=0,MAX(INDEX(MMULT(inverseG,ER$12:ER$62),$A23+1,1),MAX(strike-$B23,0)),"")</f>
        <v/>
      </c>
      <c r="ET23" s="9" t="str">
        <f t="array" ref="ET23">IF(ET$11&gt;=0,MAX(INDEX(MMULT(inverseG,ES$12:ES$62),$A23+1,1),MAX(strike-$B23,0)),"")</f>
        <v/>
      </c>
      <c r="EU23" s="9" t="str">
        <f t="array" ref="EU23">IF(EU$11&gt;=0,MAX(INDEX(MMULT(inverseG,ET$12:ET$62),$A23+1,1),MAX(strike-$B23,0)),"")</f>
        <v/>
      </c>
      <c r="EV23" s="9" t="str">
        <f t="array" ref="EV23">IF(EV$11&gt;=0,MAX(INDEX(MMULT(inverseG,EU$12:EU$62),$A23+1,1),MAX(strike-$B23,0)),"")</f>
        <v/>
      </c>
      <c r="EW23" s="9" t="str">
        <f t="array" ref="EW23">IF(EW$11&gt;=0,MAX(INDEX(MMULT(inverseG,EV$12:EV$62),$A23+1,1),MAX(strike-$B23,0)),"")</f>
        <v/>
      </c>
      <c r="EX23" s="9" t="str">
        <f t="array" ref="EX23">IF(EX$11&gt;=0,MAX(INDEX(MMULT(inverseG,EW$12:EW$62),$A23+1,1),MAX(strike-$B23,0)),"")</f>
        <v/>
      </c>
      <c r="EY23" s="9" t="str">
        <f t="array" ref="EY23">IF(EY$11&gt;=0,MAX(INDEX(MMULT(inverseG,EX$12:EX$62),$A23+1,1),MAX(strike-$B23,0)),"")</f>
        <v/>
      </c>
      <c r="EZ23" s="9" t="str">
        <f t="array" ref="EZ23">IF(EZ$11&gt;=0,MAX(INDEX(MMULT(inverseG,EY$12:EY$62),$A23+1,1),MAX(strike-$B23,0)),"")</f>
        <v/>
      </c>
      <c r="FA23" s="9" t="str">
        <f t="array" ref="FA23">IF(FA$11&gt;=0,MAX(INDEX(MMULT(inverseG,EZ$12:EZ$62),$A23+1,1),MAX(strike-$B23,0)),"")</f>
        <v/>
      </c>
      <c r="FB23" s="9" t="str">
        <f t="array" ref="FB23">IF(FB$11&gt;=0,MAX(INDEX(MMULT(inverseG,FA$12:FA$62),$A23+1,1),MAX(strike-$B23,0)),"")</f>
        <v/>
      </c>
      <c r="FC23" s="9" t="str">
        <f t="array" ref="FC23">IF(FC$11&gt;=0,MAX(INDEX(MMULT(inverseG,FB$12:FB$62),$A23+1,1),MAX(strike-$B23,0)),"")</f>
        <v/>
      </c>
      <c r="FD23" s="9" t="str">
        <f t="array" ref="FD23">IF(FD$11&gt;=0,MAX(INDEX(MMULT(inverseG,FC$12:FC$62),$A23+1,1),MAX(strike-$B23,0)),"")</f>
        <v/>
      </c>
      <c r="FE23" s="9" t="str">
        <f t="array" ref="FE23">IF(FE$11&gt;=0,MAX(INDEX(MMULT(inverseG,FD$12:FD$62),$A23+1,1),MAX(strike-$B23,0)),"")</f>
        <v/>
      </c>
      <c r="FF23" s="9" t="str">
        <f t="array" ref="FF23">IF(FF$11&gt;=0,MAX(INDEX(MMULT(inverseG,FE$12:FE$62),$A23+1,1),MAX(strike-$B23,0)),"")</f>
        <v/>
      </c>
      <c r="FG23" s="9" t="str">
        <f t="array" ref="FG23">IF(FG$11&gt;=0,MAX(INDEX(MMULT(inverseG,FF$12:FF$62),$A23+1,1),MAX(strike-$B23,0)),"")</f>
        <v/>
      </c>
      <c r="FH23" s="9" t="str">
        <f t="array" ref="FH23">IF(FH$11&gt;=0,MAX(INDEX(MMULT(inverseG,FG$12:FG$62),$A23+1,1),MAX(strike-$B23,0)),"")</f>
        <v/>
      </c>
      <c r="FI23" s="9" t="str">
        <f t="array" ref="FI23">IF(FI$11&gt;=0,MAX(INDEX(MMULT(inverseG,FH$12:FH$62),$A23+1,1),MAX(strike-$B23,0)),"")</f>
        <v/>
      </c>
      <c r="FJ23" s="9" t="str">
        <f t="array" ref="FJ23">IF(FJ$11&gt;=0,MAX(INDEX(MMULT(inverseG,FI$12:FI$62),$A23+1,1),MAX(strike-$B23,0)),"")</f>
        <v/>
      </c>
      <c r="FK23" s="9" t="str">
        <f t="array" ref="FK23">IF(FK$11&gt;=0,MAX(INDEX(MMULT(inverseG,FJ$12:FJ$62),$A23+1,1),MAX(strike-$B23,0)),"")</f>
        <v/>
      </c>
      <c r="FL23" s="9" t="str">
        <f t="array" ref="FL23">IF(FL$11&gt;=0,MAX(INDEX(MMULT(inverseG,FK$12:FK$62),$A23+1,1),MAX(strike-$B23,0)),"")</f>
        <v/>
      </c>
      <c r="FM23" s="9" t="str">
        <f t="array" ref="FM23">IF(FM$11&gt;=0,MAX(INDEX(MMULT(inverseG,FL$12:FL$62),$A23+1,1),MAX(strike-$B23,0)),"")</f>
        <v/>
      </c>
      <c r="FN23" s="9" t="str">
        <f t="array" ref="FN23">IF(FN$11&gt;=0,MAX(INDEX(MMULT(inverseG,FM$12:FM$62),$A23+1,1),MAX(strike-$B23,0)),"")</f>
        <v/>
      </c>
      <c r="FO23" s="9" t="str">
        <f t="array" ref="FO23">IF(FO$11&gt;=0,MAX(INDEX(MMULT(inverseG,FN$12:FN$62),$A23+1,1),MAX(strike-$B23,0)),"")</f>
        <v/>
      </c>
      <c r="FP23" s="9" t="str">
        <f t="array" ref="FP23">IF(FP$11&gt;=0,MAX(INDEX(MMULT(inverseG,FO$12:FO$62),$A23+1,1),MAX(strike-$B23,0)),"")</f>
        <v/>
      </c>
      <c r="FQ23" s="9" t="str">
        <f t="array" ref="FQ23">IF(FQ$11&gt;=0,MAX(INDEX(MMULT(inverseG,FP$12:FP$62),$A23+1,1),MAX(strike-$B23,0)),"")</f>
        <v/>
      </c>
      <c r="FR23" s="9" t="str">
        <f t="array" ref="FR23">IF(FR$11&gt;=0,MAX(INDEX(MMULT(inverseG,FQ$12:FQ$62),$A23+1,1),MAX(strike-$B23,0)),"")</f>
        <v/>
      </c>
      <c r="FS23" s="9" t="str">
        <f t="array" ref="FS23">IF(FS$11&gt;=0,MAX(INDEX(MMULT(inverseG,FR$12:FR$62),$A23+1,1),MAX(strike-$B23,0)),"")</f>
        <v/>
      </c>
      <c r="FT23" s="9" t="str">
        <f t="array" ref="FT23">IF(FT$11&gt;=0,MAX(INDEX(MMULT(inverseG,FS$12:FS$62),$A23+1,1),MAX(strike-$B23,0)),"")</f>
        <v/>
      </c>
      <c r="FU23" s="9" t="str">
        <f t="array" ref="FU23">IF(FU$11&gt;=0,MAX(INDEX(MMULT(inverseG,FT$12:FT$62),$A23+1,1),MAX(strike-$B23,0)),"")</f>
        <v/>
      </c>
      <c r="FV23" s="9" t="str">
        <f t="array" ref="FV23">IF(FV$11&gt;=0,MAX(INDEX(MMULT(inverseG,FU$12:FU$62),$A23+1,1),MAX(strike-$B23,0)),"")</f>
        <v/>
      </c>
      <c r="FW23" s="9" t="str">
        <f t="array" ref="FW23">IF(FW$11&gt;=0,MAX(INDEX(MMULT(inverseG,FV$12:FV$62),$A23+1,1),MAX(strike-$B23,0)),"")</f>
        <v/>
      </c>
      <c r="FX23" s="9" t="str">
        <f t="array" ref="FX23">IF(FX$11&gt;=0,MAX(INDEX(MMULT(inverseG,FW$12:FW$62),$A23+1,1),MAX(strike-$B23,0)),"")</f>
        <v/>
      </c>
      <c r="FY23" s="9" t="str">
        <f t="array" ref="FY23">IF(FY$11&gt;=0,MAX(INDEX(MMULT(inverseG,FX$12:FX$62),$A23+1,1),MAX(strike-$B23,0)),"")</f>
        <v/>
      </c>
      <c r="FZ23" s="9" t="str">
        <f t="array" ref="FZ23">IF(FZ$11&gt;=0,MAX(INDEX(MMULT(inverseG,FY$12:FY$62),$A23+1,1),MAX(strike-$B23,0)),"")</f>
        <v/>
      </c>
      <c r="GA23" s="9" t="str">
        <f t="array" ref="GA23">IF(GA$11&gt;=0,MAX(INDEX(MMULT(inverseG,FZ$12:FZ$62),$A23+1,1),MAX(strike-$B23,0)),"")</f>
        <v/>
      </c>
      <c r="GB23" s="9" t="str">
        <f t="array" ref="GB23">IF(GB$11&gt;=0,MAX(INDEX(MMULT(inverseG,GA$12:GA$62),$A23+1,1),MAX(strike-$B23,0)),"")</f>
        <v/>
      </c>
      <c r="GC23" s="9" t="str">
        <f t="array" ref="GC23">IF(GC$11&gt;=0,MAX(INDEX(MMULT(inverseG,GB$12:GB$62),$A23+1,1),MAX(strike-$B23,0)),"")</f>
        <v/>
      </c>
      <c r="GD23" s="9" t="str">
        <f t="array" ref="GD23">IF(GD$11&gt;=0,MAX(INDEX(MMULT(inverseG,GC$12:GC$62),$A23+1,1),MAX(strike-$B23,0)),"")</f>
        <v/>
      </c>
      <c r="GE23" s="9" t="str">
        <f t="array" ref="GE23">IF(GE$11&gt;=0,MAX(INDEX(MMULT(inverseG,GD$12:GD$62),$A23+1,1),MAX(strike-$B23,0)),"")</f>
        <v/>
      </c>
      <c r="GF23" s="9" t="str">
        <f t="array" ref="GF23">IF(GF$11&gt;=0,MAX(INDEX(MMULT(inverseG,GE$12:GE$62),$A23+1,1),MAX(strike-$B23,0)),"")</f>
        <v/>
      </c>
      <c r="GG23" s="9" t="str">
        <f t="array" ref="GG23">IF(GG$11&gt;=0,MAX(INDEX(MMULT(inverseG,GF$12:GF$62),$A23+1,1),MAX(strike-$B23,0)),"")</f>
        <v/>
      </c>
      <c r="GH23" s="9" t="str">
        <f t="array" ref="GH23">IF(GH$11&gt;=0,MAX(INDEX(MMULT(inverseG,GG$12:GG$62),$A23+1,1),MAX(strike-$B23,0)),"")</f>
        <v/>
      </c>
      <c r="GI23" s="9" t="str">
        <f t="array" ref="GI23">IF(GI$11&gt;=0,MAX(INDEX(MMULT(inverseG,GH$12:GH$62),$A23+1,1),MAX(strike-$B23,0)),"")</f>
        <v/>
      </c>
      <c r="GJ23" s="9" t="str">
        <f t="array" ref="GJ23">IF(GJ$11&gt;=0,MAX(INDEX(MMULT(inverseG,GI$12:GI$62),$A23+1,1),MAX(strike-$B23,0)),"")</f>
        <v/>
      </c>
      <c r="GK23" s="9" t="str">
        <f t="array" ref="GK23">IF(GK$11&gt;=0,MAX(INDEX(MMULT(inverseG,GJ$12:GJ$62),$A23+1,1),MAX(strike-$B23,0)),"")</f>
        <v/>
      </c>
      <c r="GL23" s="9" t="str">
        <f t="array" ref="GL23">IF(GL$11&gt;=0,MAX(INDEX(MMULT(inverseG,GK$12:GK$62),$A23+1,1),MAX(strike-$B23,0)),"")</f>
        <v/>
      </c>
      <c r="GM23" s="9" t="str">
        <f t="array" ref="GM23">IF(GM$11&gt;=0,MAX(INDEX(MMULT(inverseG,GL$12:GL$62),$A23+1,1),MAX(strike-$B23,0)),"")</f>
        <v/>
      </c>
      <c r="GN23" s="9" t="str">
        <f t="array" ref="GN23">IF(GN$11&gt;=0,MAX(INDEX(MMULT(inverseG,GM$12:GM$62),$A23+1,1),MAX(strike-$B23,0)),"")</f>
        <v/>
      </c>
      <c r="GO23" s="9" t="str">
        <f t="array" ref="GO23">IF(GO$11&gt;=0,MAX(INDEX(MMULT(inverseG,GN$12:GN$62),$A23+1,1),MAX(strike-$B23,0)),"")</f>
        <v/>
      </c>
      <c r="GP23" s="9" t="str">
        <f t="array" ref="GP23">IF(GP$11&gt;=0,MAX(INDEX(MMULT(inverseG,GO$12:GO$62),$A23+1,1),MAX(strike-$B23,0)),"")</f>
        <v/>
      </c>
      <c r="GQ23" s="9" t="str">
        <f t="array" ref="GQ23">IF(GQ$11&gt;=0,MAX(INDEX(MMULT(inverseG,GP$12:GP$62),$A23+1,1),MAX(strike-$B23,0)),"")</f>
        <v/>
      </c>
      <c r="GR23" s="9" t="str">
        <f t="array" ref="GR23">IF(GR$11&gt;=0,MAX(INDEX(MMULT(inverseG,GQ$12:GQ$62),$A23+1,1),MAX(strike-$B23,0)),"")</f>
        <v/>
      </c>
      <c r="GS23" s="9" t="str">
        <f t="array" ref="GS23">IF(GS$11&gt;=0,MAX(INDEX(MMULT(inverseG,GR$12:GR$62),$A23+1,1),MAX(strike-$B23,0)),"")</f>
        <v/>
      </c>
      <c r="GT23" s="9" t="str">
        <f t="array" ref="GT23">IF(GT$11&gt;=0,MAX(INDEX(MMULT(inverseG,GS$12:GS$62),$A23+1,1),MAX(strike-$B23,0)),"")</f>
        <v/>
      </c>
      <c r="GU23" s="9" t="str">
        <f t="array" ref="GU23">IF(GU$11&gt;=0,MAX(INDEX(MMULT(inverseG,GT$12:GT$62),$A23+1,1),MAX(strike-$B23,0)),"")</f>
        <v/>
      </c>
      <c r="GV23" s="9" t="str">
        <f t="array" ref="GV23">IF(GV$11&gt;=0,MAX(INDEX(MMULT(inverseG,GU$12:GU$62),$A23+1,1),MAX(strike-$B23,0)),"")</f>
        <v/>
      </c>
      <c r="GW23" s="9" t="str">
        <f t="array" ref="GW23">IF(GW$11&gt;=0,MAX(INDEX(MMULT(inverseG,GV$12:GV$62),$A23+1,1),MAX(strike-$B23,0)),"")</f>
        <v/>
      </c>
      <c r="GX23" s="9" t="str">
        <f t="array" ref="GX23">IF(GX$11&gt;=0,MAX(INDEX(MMULT(inverseG,GW$12:GW$62),$A23+1,1),MAX(strike-$B23,0)),"")</f>
        <v/>
      </c>
      <c r="GY23" s="9" t="str">
        <f t="array" ref="GY23">IF(GY$11&gt;=0,MAX(INDEX(MMULT(inverseG,GX$12:GX$62),$A23+1,1),MAX(strike-$B23,0)),"")</f>
        <v/>
      </c>
      <c r="GZ23" s="9" t="str">
        <f t="array" ref="GZ23">IF(GZ$11&gt;=0,MAX(INDEX(MMULT(inverseG,GY$12:GY$62),$A23+1,1),MAX(strike-$B23,0)),"")</f>
        <v/>
      </c>
      <c r="HA23" s="9" t="str">
        <f t="array" ref="HA23">IF(HA$11&gt;=0,MAX(INDEX(MMULT(inverseG,GZ$12:GZ$62),$A23+1,1),MAX(strike-$B23,0)),"")</f>
        <v/>
      </c>
      <c r="HB23" s="9" t="str">
        <f t="array" ref="HB23">IF(HB$11&gt;=0,MAX(INDEX(MMULT(inverseG,HA$12:HA$62),$A23+1,1),MAX(strike-$B23,0)),"")</f>
        <v/>
      </c>
      <c r="HC23" s="9" t="str">
        <f t="array" ref="HC23">IF(HC$11&gt;=0,MAX(INDEX(MMULT(inverseG,HB$12:HB$62),$A23+1,1),MAX(strike-$B23,0)),"")</f>
        <v/>
      </c>
      <c r="HD23" s="9" t="str">
        <f t="array" ref="HD23">IF(HD$11&gt;=0,MAX(INDEX(MMULT(inverseG,HC$12:HC$62),$A23+1,1),MAX(strike-$B23,0)),"")</f>
        <v/>
      </c>
      <c r="HE23" s="9" t="str">
        <f t="array" ref="HE23">IF(HE$11&gt;=0,MAX(INDEX(MMULT(inverseG,HD$12:HD$62),$A23+1,1),MAX(strike-$B23,0)),"")</f>
        <v/>
      </c>
      <c r="HF23" s="9" t="str">
        <f t="array" ref="HF23">IF(HF$11&gt;=0,MAX(INDEX(MMULT(inverseG,HE$12:HE$62),$A23+1,1),MAX(strike-$B23,0)),"")</f>
        <v/>
      </c>
      <c r="HG23" s="9" t="str">
        <f t="array" ref="HG23">IF(HG$11&gt;=0,MAX(INDEX(MMULT(inverseG,HF$12:HF$62),$A23+1,1),MAX(strike-$B23,0)),"")</f>
        <v/>
      </c>
      <c r="HH23" s="9" t="str">
        <f t="array" ref="HH23">IF(HH$11&gt;=0,MAX(INDEX(MMULT(inverseG,HG$12:HG$62),$A23+1,1),MAX(strike-$B23,0)),"")</f>
        <v/>
      </c>
      <c r="HI23" s="9" t="str">
        <f t="array" ref="HI23">IF(HI$11&gt;=0,MAX(INDEX(MMULT(inverseG,HH$12:HH$62),$A23+1,1),MAX(strike-$B23,0)),"")</f>
        <v/>
      </c>
      <c r="HJ23" s="9" t="str">
        <f t="array" ref="HJ23">IF(HJ$11&gt;=0,MAX(INDEX(MMULT(inverseG,HI$12:HI$62),$A23+1,1),MAX(strike-$B23,0)),"")</f>
        <v/>
      </c>
      <c r="HK23" s="9" t="str">
        <f t="array" ref="HK23">IF(HK$11&gt;=0,MAX(INDEX(MMULT(inverseG,HJ$12:HJ$62),$A23+1,1),MAX(strike-$B23,0)),"")</f>
        <v/>
      </c>
      <c r="HL23" s="9" t="str">
        <f t="array" ref="HL23">IF(HL$11&gt;=0,MAX(INDEX(MMULT(inverseG,HK$12:HK$62),$A23+1,1),MAX(strike-$B23,0)),"")</f>
        <v/>
      </c>
      <c r="HM23" s="9" t="str">
        <f t="array" ref="HM23">IF(HM$11&gt;=0,MAX(INDEX(MMULT(inverseG,HL$12:HL$62),$A23+1,1),MAX(strike-$B23,0)),"")</f>
        <v/>
      </c>
      <c r="HN23" s="9" t="str">
        <f t="array" ref="HN23">IF(HN$11&gt;=0,MAX(INDEX(MMULT(inverseG,HM$12:HM$62),$A23+1,1),MAX(strike-$B23,0)),"")</f>
        <v/>
      </c>
      <c r="HO23" s="9" t="str">
        <f t="array" ref="HO23">IF(HO$11&gt;=0,MAX(INDEX(MMULT(inverseG,HN$12:HN$62),$A23+1,1),MAX(strike-$B23,0)),"")</f>
        <v/>
      </c>
      <c r="HP23" s="9" t="str">
        <f t="array" ref="HP23">IF(HP$11&gt;=0,MAX(INDEX(MMULT(inverseG,HO$12:HO$62),$A23+1,1),MAX(strike-$B23,0)),"")</f>
        <v/>
      </c>
      <c r="HQ23" s="9" t="str">
        <f t="array" ref="HQ23">IF(HQ$11&gt;=0,MAX(INDEX(MMULT(inverseG,HP$12:HP$62),$A23+1,1),MAX(strike-$B23,0)),"")</f>
        <v/>
      </c>
      <c r="HR23" s="9" t="str">
        <f t="array" ref="HR23">IF(HR$11&gt;=0,MAX(INDEX(MMULT(inverseG,HQ$12:HQ$62),$A23+1,1),MAX(strike-$B23,0)),"")</f>
        <v/>
      </c>
      <c r="HS23" s="9" t="str">
        <f t="array" ref="HS23">IF(HS$11&gt;=0,MAX(INDEX(MMULT(inverseG,HR$12:HR$62),$A23+1,1),MAX(strike-$B23,0)),"")</f>
        <v/>
      </c>
      <c r="HT23" s="9" t="str">
        <f t="array" ref="HT23">IF(HT$11&gt;=0,MAX(INDEX(MMULT(inverseG,HS$12:HS$62),$A23+1,1),MAX(strike-$B23,0)),"")</f>
        <v/>
      </c>
      <c r="HU23" s="9" t="str">
        <f t="array" ref="HU23">IF(HU$11&gt;=0,MAX(INDEX(MMULT(inverseG,HT$12:HT$62),$A23+1,1),MAX(strike-$B23,0)),"")</f>
        <v/>
      </c>
      <c r="HV23" s="9" t="str">
        <f t="array" ref="HV23">IF(HV$11&gt;=0,MAX(INDEX(MMULT(inverseG,HU$12:HU$62),$A23+1,1),MAX(strike-$B23,0)),"")</f>
        <v/>
      </c>
      <c r="HW23" s="9" t="str">
        <f t="array" ref="HW23">IF(HW$11&gt;=0,MAX(INDEX(MMULT(inverseG,HV$12:HV$62),$A23+1,1),MAX(strike-$B23,0)),"")</f>
        <v/>
      </c>
      <c r="HX23" s="9" t="str">
        <f t="array" ref="HX23">IF(HX$11&gt;=0,MAX(INDEX(MMULT(inverseG,HW$12:HW$62),$A23+1,1),MAX(strike-$B23,0)),"")</f>
        <v/>
      </c>
      <c r="HY23" s="9" t="str">
        <f t="array" ref="HY23">IF(HY$11&gt;=0,MAX(INDEX(MMULT(inverseG,HX$12:HX$62),$A23+1,1),MAX(strike-$B23,0)),"")</f>
        <v/>
      </c>
      <c r="HZ23" s="9" t="str">
        <f t="array" ref="HZ23">IF(HZ$11&gt;=0,MAX(INDEX(MMULT(inverseG,HY$12:HY$62),$A23+1,1),MAX(strike-$B23,0)),"")</f>
        <v/>
      </c>
      <c r="IA23" s="9" t="str">
        <f t="array" ref="IA23">IF(IA$11&gt;=0,MAX(INDEX(MMULT(inverseG,HZ$12:HZ$62),$A23+1,1),MAX(strike-$B23,0)),"")</f>
        <v/>
      </c>
      <c r="IB23" s="9" t="str">
        <f t="array" ref="IB23">IF(IB$11&gt;=0,MAX(INDEX(MMULT(inverseG,IA$12:IA$62),$A23+1,1),MAX(strike-$B23,0)),"")</f>
        <v/>
      </c>
      <c r="IC23" s="9" t="str">
        <f t="array" ref="IC23">IF(IC$11&gt;=0,MAX(INDEX(MMULT(inverseG,IB$12:IB$62),$A23+1,1),MAX(strike-$B23,0)),"")</f>
        <v/>
      </c>
      <c r="ID23" s="9" t="str">
        <f t="array" ref="ID23">IF(ID$11&gt;=0,MAX(INDEX(MMULT(inverseG,IC$12:IC$62),$A23+1,1),MAX(strike-$B23,0)),"")</f>
        <v/>
      </c>
      <c r="IE23" s="9" t="str">
        <f t="array" ref="IE23">IF(IE$11&gt;=0,MAX(INDEX(MMULT(inverseG,ID$12:ID$62),$A23+1,1),MAX(strike-$B23,0)),"")</f>
        <v/>
      </c>
      <c r="IF23" s="9" t="str">
        <f t="array" ref="IF23">IF(IF$11&gt;=0,MAX(INDEX(MMULT(inverseG,IE$12:IE$62),$A23+1,1),MAX(strike-$B23,0)),"")</f>
        <v/>
      </c>
      <c r="IG23" s="9" t="str">
        <f t="array" ref="IG23">IF(IG$11&gt;=0,MAX(INDEX(MMULT(inverseG,IF$12:IF$62),$A23+1,1),MAX(strike-$B23,0)),"")</f>
        <v/>
      </c>
      <c r="IH23" s="9" t="str">
        <f t="array" ref="IH23">IF(IH$11&gt;=0,MAX(INDEX(MMULT(inverseG,IG$12:IG$62),$A23+1,1),MAX(strike-$B23,0)),"")</f>
        <v/>
      </c>
      <c r="II23" s="9" t="str">
        <f t="array" ref="II23">IF(II$11&gt;=0,MAX(INDEX(MMULT(inverseG,IH$12:IH$62),$A23+1,1),MAX(strike-$B23,0)),"")</f>
        <v/>
      </c>
      <c r="IJ23" s="9" t="str">
        <f t="array" ref="IJ23">IF(IJ$11&gt;=0,MAX(INDEX(MMULT(inverseG,II$12:II$62),$A23+1,1),MAX(strike-$B23,0)),"")</f>
        <v/>
      </c>
      <c r="IK23" s="9" t="str">
        <f t="array" ref="IK23">IF(IK$11&gt;=0,MAX(INDEX(MMULT(inverseG,IJ$12:IJ$62),$A23+1,1),MAX(strike-$B23,0)),"")</f>
        <v/>
      </c>
      <c r="IL23" s="9" t="str">
        <f t="array" ref="IL23">IF(IL$11&gt;=0,MAX(INDEX(MMULT(inverseG,IK$12:IK$62),$A23+1,1),MAX(strike-$B23,0)),"")</f>
        <v/>
      </c>
      <c r="IM23" s="9" t="str">
        <f t="array" ref="IM23">IF(IM$11&gt;=0,MAX(INDEX(MMULT(inverseG,IL$12:IL$62),$A23+1,1),MAX(strike-$B23,0)),"")</f>
        <v/>
      </c>
      <c r="IN23" s="9" t="str">
        <f t="array" ref="IN23">IF(IN$11&gt;=0,MAX(INDEX(MMULT(inverseG,IM$12:IM$62),$A23+1,1),MAX(strike-$B23,0)),"")</f>
        <v/>
      </c>
      <c r="IO23" s="9" t="str">
        <f t="array" ref="IO23">IF(IO$11&gt;=0,MAX(INDEX(MMULT(inverseG,IN$12:IN$62),$A23+1,1),MAX(strike-$B23,0)),"")</f>
        <v/>
      </c>
      <c r="IP23" s="9" t="str">
        <f t="array" ref="IP23">IF(IP$11&gt;=0,MAX(INDEX(MMULT(inverseG,IO$12:IO$62),$A23+1,1),MAX(strike-$B23,0)),"")</f>
        <v/>
      </c>
      <c r="IQ23" s="9" t="str">
        <f t="array" ref="IQ23">IF(IQ$11&gt;=0,MAX(INDEX(MMULT(inverseG,IP$12:IP$62),$A23+1,1),MAX(strike-$B23,0)),"")</f>
        <v/>
      </c>
      <c r="IR23" s="9" t="str">
        <f t="array" ref="IR23">IF(IR$11&gt;=0,MAX(INDEX(MMULT(inverseG,IQ$12:IQ$62),$A23+1,1),MAX(strike-$B23,0)),"")</f>
        <v/>
      </c>
      <c r="IS23" s="9" t="str">
        <f t="array" ref="IS23">IF(IS$11&gt;=0,MAX(INDEX(MMULT(inverseG,IR$12:IR$62),$A23+1,1),MAX(strike-$B23,0)),"")</f>
        <v/>
      </c>
      <c r="IT23" s="9" t="str">
        <f t="array" ref="IT23">IF(IT$11&gt;=0,MAX(INDEX(MMULT(inverseG,IS$12:IS$62),$A23+1,1),MAX(strike-$B23,0)),"")</f>
        <v/>
      </c>
      <c r="IU23" s="9" t="str">
        <f t="array" ref="IU23">IF(IU$11&gt;=0,MAX(INDEX(MMULT(inverseG,IT$12:IT$62),$A23+1,1),MAX(strike-$B23,0)),"")</f>
        <v/>
      </c>
      <c r="IV23" s="9" t="str">
        <f t="array" ref="IV23">IF(IV$11&gt;=0,MAX(INDEX(MMULT(inverseG,IU$12:IU$62),$A23+1,1),MAX(strike-$B23,0)),"")</f>
        <v/>
      </c>
    </row>
    <row r="24" spans="1:256" x14ac:dyDescent="0.2">
      <c r="A24" s="8">
        <f t="shared" si="7"/>
        <v>12</v>
      </c>
      <c r="B24" s="6">
        <f t="shared" si="4"/>
        <v>3</v>
      </c>
      <c r="C24" s="30">
        <f t="shared" ca="1" si="6"/>
        <v>2</v>
      </c>
      <c r="D24" s="9">
        <f t="shared" si="5"/>
        <v>2</v>
      </c>
      <c r="E24" s="9">
        <f t="array" ref="E24">IF(E$11&gt;=0,MAX(INDEX(MMULT(inverseG,D$12:D$62),$A24+1,1),MAX(strike-$B24,0)),"")</f>
        <v>2</v>
      </c>
      <c r="F24" s="9">
        <f t="array" ref="F24">IF(F$11&gt;=0,MAX(INDEX(MMULT(inverseG,E$12:E$62),$A24+1,1),MAX(strike-$B24,0)),"")</f>
        <v>2</v>
      </c>
      <c r="G24" s="9">
        <f t="array" ref="G24">IF(G$11&gt;=0,MAX(INDEX(MMULT(inverseG,F$12:F$62),$A24+1,1),MAX(strike-$B24,0)),"")</f>
        <v>2</v>
      </c>
      <c r="H24" s="9">
        <f t="array" ref="H24">IF(H$11&gt;=0,MAX(INDEX(MMULT(inverseG,G$12:G$62),$A24+1,1),MAX(strike-$B24,0)),"")</f>
        <v>2</v>
      </c>
      <c r="I24" s="9">
        <f t="array" ref="I24">IF(I$11&gt;=0,MAX(INDEX(MMULT(inverseG,H$12:H$62),$A24+1,1),MAX(strike-$B24,0)),"")</f>
        <v>2</v>
      </c>
      <c r="J24" s="9">
        <f t="array" ref="J24">IF(J$11&gt;=0,MAX(INDEX(MMULT(inverseG,I$12:I$62),$A24+1,1),MAX(strike-$B24,0)),"")</f>
        <v>2</v>
      </c>
      <c r="K24" s="9">
        <f t="array" ref="K24">IF(K$11&gt;=0,MAX(INDEX(MMULT(inverseG,J$12:J$62),$A24+1,1),MAX(strike-$B24,0)),"")</f>
        <v>2</v>
      </c>
      <c r="L24" s="9">
        <f t="array" ref="L24">IF(L$11&gt;=0,MAX(INDEX(MMULT(inverseG,K$12:K$62),$A24+1,1),MAX(strike-$B24,0)),"")</f>
        <v>2</v>
      </c>
      <c r="M24" s="9">
        <f t="array" ref="M24">IF(M$11&gt;=0,MAX(INDEX(MMULT(inverseG,L$12:L$62),$A24+1,1),MAX(strike-$B24,0)),"")</f>
        <v>2</v>
      </c>
      <c r="N24" s="9">
        <f t="array" ref="N24">IF(N$11&gt;=0,MAX(INDEX(MMULT(inverseG,M$12:M$62),$A24+1,1),MAX(strike-$B24,0)),"")</f>
        <v>2</v>
      </c>
      <c r="O24" s="9">
        <f t="array" ref="O24">IF(O$11&gt;=0,MAX(INDEX(MMULT(inverseG,N$12:N$62),$A24+1,1),MAX(strike-$B24,0)),"")</f>
        <v>2</v>
      </c>
      <c r="P24" s="9">
        <f t="array" ref="P24">IF(P$11&gt;=0,MAX(INDEX(MMULT(inverseG,O$12:O$62),$A24+1,1),MAX(strike-$B24,0)),"")</f>
        <v>2</v>
      </c>
      <c r="Q24" s="9">
        <f t="array" ref="Q24">IF(Q$11&gt;=0,MAX(INDEX(MMULT(inverseG,P$12:P$62),$A24+1,1),MAX(strike-$B24,0)),"")</f>
        <v>2</v>
      </c>
      <c r="R24" s="9">
        <f t="array" ref="R24">IF(R$11&gt;=0,MAX(INDEX(MMULT(inverseG,Q$12:Q$62),$A24+1,1),MAX(strike-$B24,0)),"")</f>
        <v>2</v>
      </c>
      <c r="S24" s="9">
        <f t="array" ref="S24">IF(S$11&gt;=0,MAX(INDEX(MMULT(inverseG,R$12:R$62),$A24+1,1),MAX(strike-$B24,0)),"")</f>
        <v>2</v>
      </c>
      <c r="T24" s="9">
        <f t="array" ref="T24">IF(T$11&gt;=0,MAX(INDEX(MMULT(inverseG,S$12:S$62),$A24+1,1),MAX(strike-$B24,0)),"")</f>
        <v>2</v>
      </c>
      <c r="U24" s="9">
        <f t="array" ref="U24">IF(U$11&gt;=0,MAX(INDEX(MMULT(inverseG,T$12:T$62),$A24+1,1),MAX(strike-$B24,0)),"")</f>
        <v>2</v>
      </c>
      <c r="V24" s="9">
        <f t="array" ref="V24">IF(V$11&gt;=0,MAX(INDEX(MMULT(inverseG,U$12:U$62),$A24+1,1),MAX(strike-$B24,0)),"")</f>
        <v>2</v>
      </c>
      <c r="W24" s="9">
        <f t="array" ref="W24">IF(W$11&gt;=0,MAX(INDEX(MMULT(inverseG,V$12:V$62),$A24+1,1),MAX(strike-$B24,0)),"")</f>
        <v>2</v>
      </c>
      <c r="X24" s="9">
        <f t="array" ref="X24">IF(X$11&gt;=0,MAX(INDEX(MMULT(inverseG,W$12:W$62),$A24+1,1),MAX(strike-$B24,0)),"")</f>
        <v>2</v>
      </c>
      <c r="Y24" s="9">
        <f t="array" ref="Y24">IF(Y$11&gt;=0,MAX(INDEX(MMULT(inverseG,X$12:X$62),$A24+1,1),MAX(strike-$B24,0)),"")</f>
        <v>2</v>
      </c>
      <c r="Z24" s="9">
        <f t="array" ref="Z24">IF(Z$11&gt;=0,MAX(INDEX(MMULT(inverseG,Y$12:Y$62),$A24+1,1),MAX(strike-$B24,0)),"")</f>
        <v>2</v>
      </c>
      <c r="AA24" s="9">
        <f t="array" ref="AA24">IF(AA$11&gt;=0,MAX(INDEX(MMULT(inverseG,Z$12:Z$62),$A24+1,1),MAX(strike-$B24,0)),"")</f>
        <v>2</v>
      </c>
      <c r="AB24" s="9">
        <f t="array" ref="AB24">IF(AB$11&gt;=0,MAX(INDEX(MMULT(inverseG,AA$12:AA$62),$A24+1,1),MAX(strike-$B24,0)),"")</f>
        <v>2</v>
      </c>
      <c r="AC24" s="9">
        <f t="array" ref="AC24">IF(AC$11&gt;=0,MAX(INDEX(MMULT(inverseG,AB$12:AB$62),$A24+1,1),MAX(strike-$B24,0)),"")</f>
        <v>2</v>
      </c>
      <c r="AD24" s="9">
        <f t="array" ref="AD24">IF(AD$11&gt;=0,MAX(INDEX(MMULT(inverseG,AC$12:AC$62),$A24+1,1),MAX(strike-$B24,0)),"")</f>
        <v>2</v>
      </c>
      <c r="AE24" s="9">
        <f t="array" ref="AE24">IF(AE$11&gt;=0,MAX(INDEX(MMULT(inverseG,AD$12:AD$62),$A24+1,1),MAX(strike-$B24,0)),"")</f>
        <v>2</v>
      </c>
      <c r="AF24" s="9">
        <f t="array" ref="AF24">IF(AF$11&gt;=0,MAX(INDEX(MMULT(inverseG,AE$12:AE$62),$A24+1,1),MAX(strike-$B24,0)),"")</f>
        <v>2</v>
      </c>
      <c r="AG24" s="9">
        <f t="array" ref="AG24">IF(AG$11&gt;=0,MAX(INDEX(MMULT(inverseG,AF$12:AF$62),$A24+1,1),MAX(strike-$B24,0)),"")</f>
        <v>2</v>
      </c>
      <c r="AH24" s="9">
        <f t="array" ref="AH24">IF(AH$11&gt;=0,MAX(INDEX(MMULT(inverseG,AG$12:AG$62),$A24+1,1),MAX(strike-$B24,0)),"")</f>
        <v>2</v>
      </c>
      <c r="AI24" s="9">
        <f t="array" ref="AI24">IF(AI$11&gt;=0,MAX(INDEX(MMULT(inverseG,AH$12:AH$62),$A24+1,1),MAX(strike-$B24,0)),"")</f>
        <v>2</v>
      </c>
      <c r="AJ24" s="9">
        <f t="array" ref="AJ24">IF(AJ$11&gt;=0,MAX(INDEX(MMULT(inverseG,AI$12:AI$62),$A24+1,1),MAX(strike-$B24,0)),"")</f>
        <v>2</v>
      </c>
      <c r="AK24" s="9">
        <f t="array" ref="AK24">IF(AK$11&gt;=0,MAX(INDEX(MMULT(inverseG,AJ$12:AJ$62),$A24+1,1),MAX(strike-$B24,0)),"")</f>
        <v>2</v>
      </c>
      <c r="AL24" s="9">
        <f t="array" ref="AL24">IF(AL$11&gt;=0,MAX(INDEX(MMULT(inverseG,AK$12:AK$62),$A24+1,1),MAX(strike-$B24,0)),"")</f>
        <v>2</v>
      </c>
      <c r="AM24" s="9">
        <f t="array" ref="AM24">IF(AM$11&gt;=0,MAX(INDEX(MMULT(inverseG,AL$12:AL$62),$A24+1,1),MAX(strike-$B24,0)),"")</f>
        <v>2</v>
      </c>
      <c r="AN24" s="9">
        <f t="array" ref="AN24">IF(AN$11&gt;=0,MAX(INDEX(MMULT(inverseG,AM$12:AM$62),$A24+1,1),MAX(strike-$B24,0)),"")</f>
        <v>2</v>
      </c>
      <c r="AO24" s="9">
        <f t="array" ref="AO24">IF(AO$11&gt;=0,MAX(INDEX(MMULT(inverseG,AN$12:AN$62),$A24+1,1),MAX(strike-$B24,0)),"")</f>
        <v>2</v>
      </c>
      <c r="AP24" s="9">
        <f t="array" ref="AP24">IF(AP$11&gt;=0,MAX(INDEX(MMULT(inverseG,AO$12:AO$62),$A24+1,1),MAX(strike-$B24,0)),"")</f>
        <v>2</v>
      </c>
      <c r="AQ24" s="9">
        <f t="array" ref="AQ24">IF(AQ$11&gt;=0,MAX(INDEX(MMULT(inverseG,AP$12:AP$62),$A24+1,1),MAX(strike-$B24,0)),"")</f>
        <v>2</v>
      </c>
      <c r="AR24" s="9">
        <f t="array" ref="AR24">IF(AR$11&gt;=0,MAX(INDEX(MMULT(inverseG,AQ$12:AQ$62),$A24+1,1),MAX(strike-$B24,0)),"")</f>
        <v>2</v>
      </c>
      <c r="AS24" s="9">
        <f t="array" ref="AS24">IF(AS$11&gt;=0,MAX(INDEX(MMULT(inverseG,AR$12:AR$62),$A24+1,1),MAX(strike-$B24,0)),"")</f>
        <v>2</v>
      </c>
      <c r="AT24" s="9">
        <f t="array" ref="AT24">IF(AT$11&gt;=0,MAX(INDEX(MMULT(inverseG,AS$12:AS$62),$A24+1,1),MAX(strike-$B24,0)),"")</f>
        <v>2</v>
      </c>
      <c r="AU24" s="9">
        <f t="array" ref="AU24">IF(AU$11&gt;=0,MAX(INDEX(MMULT(inverseG,AT$12:AT$62),$A24+1,1),MAX(strike-$B24,0)),"")</f>
        <v>2</v>
      </c>
      <c r="AV24" s="9">
        <f t="array" ref="AV24">IF(AV$11&gt;=0,MAX(INDEX(MMULT(inverseG,AU$12:AU$62),$A24+1,1),MAX(strike-$B24,0)),"")</f>
        <v>2</v>
      </c>
      <c r="AW24" s="9">
        <f t="array" ref="AW24">IF(AW$11&gt;=0,MAX(INDEX(MMULT(inverseG,AV$12:AV$62),$A24+1,1),MAX(strike-$B24,0)),"")</f>
        <v>2</v>
      </c>
      <c r="AX24" s="9">
        <f t="array" ref="AX24">IF(AX$11&gt;=0,MAX(INDEX(MMULT(inverseG,AW$12:AW$62),$A24+1,1),MAX(strike-$B24,0)),"")</f>
        <v>2</v>
      </c>
      <c r="AY24" s="9">
        <f t="array" ref="AY24">IF(AY$11&gt;=0,MAX(INDEX(MMULT(inverseG,AX$12:AX$62),$A24+1,1),MAX(strike-$B24,0)),"")</f>
        <v>2</v>
      </c>
      <c r="AZ24" s="9">
        <f t="array" ref="AZ24">IF(AZ$11&gt;=0,MAX(INDEX(MMULT(inverseG,AY$12:AY$62),$A24+1,1),MAX(strike-$B24,0)),"")</f>
        <v>2</v>
      </c>
      <c r="BA24" s="9">
        <f t="array" ref="BA24">IF(BA$11&gt;=0,MAX(INDEX(MMULT(inverseG,AZ$12:AZ$62),$A24+1,1),MAX(strike-$B24,0)),"")</f>
        <v>2</v>
      </c>
      <c r="BB24" s="9">
        <f t="array" ref="BB24">IF(BB$11&gt;=0,MAX(INDEX(MMULT(inverseG,BA$12:BA$62),$A24+1,1),MAX(strike-$B24,0)),"")</f>
        <v>2</v>
      </c>
      <c r="BC24" s="9">
        <f t="array" ref="BC24">IF(BC$11&gt;=0,MAX(INDEX(MMULT(inverseG,BB$12:BB$62),$A24+1,1),MAX(strike-$B24,0)),"")</f>
        <v>2</v>
      </c>
      <c r="BD24" s="9">
        <f t="array" ref="BD24">IF(BD$11&gt;=0,MAX(INDEX(MMULT(inverseG,BC$12:BC$62),$A24+1,1),MAX(strike-$B24,0)),"")</f>
        <v>2</v>
      </c>
      <c r="BE24" s="9">
        <f t="array" ref="BE24">IF(BE$11&gt;=0,MAX(INDEX(MMULT(inverseG,BD$12:BD$62),$A24+1,1),MAX(strike-$B24,0)),"")</f>
        <v>2</v>
      </c>
      <c r="BF24" s="9">
        <f t="array" ref="BF24">IF(BF$11&gt;=0,MAX(INDEX(MMULT(inverseG,BE$12:BE$62),$A24+1,1),MAX(strike-$B24,0)),"")</f>
        <v>2</v>
      </c>
      <c r="BG24" s="9">
        <f t="array" ref="BG24">IF(BG$11&gt;=0,MAX(INDEX(MMULT(inverseG,BF$12:BF$62),$A24+1,1),MAX(strike-$B24,0)),"")</f>
        <v>2</v>
      </c>
      <c r="BH24" s="9">
        <f t="array" ref="BH24">IF(BH$11&gt;=0,MAX(INDEX(MMULT(inverseG,BG$12:BG$62),$A24+1,1),MAX(strike-$B24,0)),"")</f>
        <v>2</v>
      </c>
      <c r="BI24" s="9">
        <f t="array" ref="BI24">IF(BI$11&gt;=0,MAX(INDEX(MMULT(inverseG,BH$12:BH$62),$A24+1,1),MAX(strike-$B24,0)),"")</f>
        <v>2</v>
      </c>
      <c r="BJ24" s="9">
        <f t="array" ref="BJ24">IF(BJ$11&gt;=0,MAX(INDEX(MMULT(inverseG,BI$12:BI$62),$A24+1,1),MAX(strike-$B24,0)),"")</f>
        <v>2</v>
      </c>
      <c r="BK24" s="9">
        <f t="array" ref="BK24">IF(BK$11&gt;=0,MAX(INDEX(MMULT(inverseG,BJ$12:BJ$62),$A24+1,1),MAX(strike-$B24,0)),"")</f>
        <v>2</v>
      </c>
      <c r="BL24" s="9">
        <f t="array" ref="BL24">IF(BL$11&gt;=0,MAX(INDEX(MMULT(inverseG,BK$12:BK$62),$A24+1,1),MAX(strike-$B24,0)),"")</f>
        <v>2</v>
      </c>
      <c r="BM24" s="9">
        <f t="array" ref="BM24">IF(BM$11&gt;=0,MAX(INDEX(MMULT(inverseG,BL$12:BL$62),$A24+1,1),MAX(strike-$B24,0)),"")</f>
        <v>2</v>
      </c>
      <c r="BN24" s="9">
        <f t="array" ref="BN24">IF(BN$11&gt;=0,MAX(INDEX(MMULT(inverseG,BM$12:BM$62),$A24+1,1),MAX(strike-$B24,0)),"")</f>
        <v>2</v>
      </c>
      <c r="BO24" s="9">
        <f t="array" ref="BO24">IF(BO$11&gt;=0,MAX(INDEX(MMULT(inverseG,BN$12:BN$62),$A24+1,1),MAX(strike-$B24,0)),"")</f>
        <v>2</v>
      </c>
      <c r="BP24" s="9">
        <f t="array" ref="BP24">IF(BP$11&gt;=0,MAX(INDEX(MMULT(inverseG,BO$12:BO$62),$A24+1,1),MAX(strike-$B24,0)),"")</f>
        <v>2</v>
      </c>
      <c r="BQ24" s="9">
        <f t="array" ref="BQ24">IF(BQ$11&gt;=0,MAX(INDEX(MMULT(inverseG,BP$12:BP$62),$A24+1,1),MAX(strike-$B24,0)),"")</f>
        <v>2</v>
      </c>
      <c r="BR24" s="9">
        <f t="array" ref="BR24">IF(BR$11&gt;=0,MAX(INDEX(MMULT(inverseG,BQ$12:BQ$62),$A24+1,1),MAX(strike-$B24,0)),"")</f>
        <v>2</v>
      </c>
      <c r="BS24" s="9">
        <f t="array" ref="BS24">IF(BS$11&gt;=0,MAX(INDEX(MMULT(inverseG,BR$12:BR$62),$A24+1,1),MAX(strike-$B24,0)),"")</f>
        <v>2</v>
      </c>
      <c r="BT24" s="9">
        <f t="array" ref="BT24">IF(BT$11&gt;=0,MAX(INDEX(MMULT(inverseG,BS$12:BS$62),$A24+1,1),MAX(strike-$B24,0)),"")</f>
        <v>2</v>
      </c>
      <c r="BU24" s="9">
        <f t="array" ref="BU24">IF(BU$11&gt;=0,MAX(INDEX(MMULT(inverseG,BT$12:BT$62),$A24+1,1),MAX(strike-$B24,0)),"")</f>
        <v>2</v>
      </c>
      <c r="BV24" s="9">
        <f t="array" ref="BV24">IF(BV$11&gt;=0,MAX(INDEX(MMULT(inverseG,BU$12:BU$62),$A24+1,1),MAX(strike-$B24,0)),"")</f>
        <v>2</v>
      </c>
      <c r="BW24" s="9">
        <f t="array" ref="BW24">IF(BW$11&gt;=0,MAX(INDEX(MMULT(inverseG,BV$12:BV$62),$A24+1,1),MAX(strike-$B24,0)),"")</f>
        <v>2</v>
      </c>
      <c r="BX24" s="9">
        <f t="array" ref="BX24">IF(BX$11&gt;=0,MAX(INDEX(MMULT(inverseG,BW$12:BW$62),$A24+1,1),MAX(strike-$B24,0)),"")</f>
        <v>2</v>
      </c>
      <c r="BY24" s="9">
        <f t="array" ref="BY24">IF(BY$11&gt;=0,MAX(INDEX(MMULT(inverseG,BX$12:BX$62),$A24+1,1),MAX(strike-$B24,0)),"")</f>
        <v>2</v>
      </c>
      <c r="BZ24" s="9">
        <f t="array" ref="BZ24">IF(BZ$11&gt;=0,MAX(INDEX(MMULT(inverseG,BY$12:BY$62),$A24+1,1),MAX(strike-$B24,0)),"")</f>
        <v>2</v>
      </c>
      <c r="CA24" s="9">
        <f t="array" ref="CA24">IF(CA$11&gt;=0,MAX(INDEX(MMULT(inverseG,BZ$12:BZ$62),$A24+1,1),MAX(strike-$B24,0)),"")</f>
        <v>2</v>
      </c>
      <c r="CB24" s="9">
        <f t="array" ref="CB24">IF(CB$11&gt;=0,MAX(INDEX(MMULT(inverseG,CA$12:CA$62),$A24+1,1),MAX(strike-$B24,0)),"")</f>
        <v>2</v>
      </c>
      <c r="CC24" s="9">
        <f t="array" ref="CC24">IF(CC$11&gt;=0,MAX(INDEX(MMULT(inverseG,CB$12:CB$62),$A24+1,1),MAX(strike-$B24,0)),"")</f>
        <v>2</v>
      </c>
      <c r="CD24" s="9">
        <f t="array" ref="CD24">IF(CD$11&gt;=0,MAX(INDEX(MMULT(inverseG,CC$12:CC$62),$A24+1,1),MAX(strike-$B24,0)),"")</f>
        <v>2</v>
      </c>
      <c r="CE24" s="9">
        <f t="array" ref="CE24">IF(CE$11&gt;=0,MAX(INDEX(MMULT(inverseG,CD$12:CD$62),$A24+1,1),MAX(strike-$B24,0)),"")</f>
        <v>2</v>
      </c>
      <c r="CF24" s="9">
        <f t="array" ref="CF24">IF(CF$11&gt;=0,MAX(INDEX(MMULT(inverseG,CE$12:CE$62),$A24+1,1),MAX(strike-$B24,0)),"")</f>
        <v>2</v>
      </c>
      <c r="CG24" s="9">
        <f t="array" ref="CG24">IF(CG$11&gt;=0,MAX(INDEX(MMULT(inverseG,CF$12:CF$62),$A24+1,1),MAX(strike-$B24,0)),"")</f>
        <v>2</v>
      </c>
      <c r="CH24" s="9">
        <f t="array" ref="CH24">IF(CH$11&gt;=0,MAX(INDEX(MMULT(inverseG,CG$12:CG$62),$A24+1,1),MAX(strike-$B24,0)),"")</f>
        <v>2</v>
      </c>
      <c r="CI24" s="9">
        <f t="array" ref="CI24">IF(CI$11&gt;=0,MAX(INDEX(MMULT(inverseG,CH$12:CH$62),$A24+1,1),MAX(strike-$B24,0)),"")</f>
        <v>2</v>
      </c>
      <c r="CJ24" s="9">
        <f t="array" ref="CJ24">IF(CJ$11&gt;=0,MAX(INDEX(MMULT(inverseG,CI$12:CI$62),$A24+1,1),MAX(strike-$B24,0)),"")</f>
        <v>2</v>
      </c>
      <c r="CK24" s="9">
        <f t="array" ref="CK24">IF(CK$11&gt;=0,MAX(INDEX(MMULT(inverseG,CJ$12:CJ$62),$A24+1,1),MAX(strike-$B24,0)),"")</f>
        <v>2</v>
      </c>
      <c r="CL24" s="9">
        <f t="array" ref="CL24">IF(CL$11&gt;=0,MAX(INDEX(MMULT(inverseG,CK$12:CK$62),$A24+1,1),MAX(strike-$B24,0)),"")</f>
        <v>2</v>
      </c>
      <c r="CM24" s="9">
        <f t="array" ref="CM24">IF(CM$11&gt;=0,MAX(INDEX(MMULT(inverseG,CL$12:CL$62),$A24+1,1),MAX(strike-$B24,0)),"")</f>
        <v>2</v>
      </c>
      <c r="CN24" s="9">
        <f t="array" ref="CN24">IF(CN$11&gt;=0,MAX(INDEX(MMULT(inverseG,CM$12:CM$62),$A24+1,1),MAX(strike-$B24,0)),"")</f>
        <v>2</v>
      </c>
      <c r="CO24" s="9">
        <f t="array" ref="CO24">IF(CO$11&gt;=0,MAX(INDEX(MMULT(inverseG,CN$12:CN$62),$A24+1,1),MAX(strike-$B24,0)),"")</f>
        <v>2</v>
      </c>
      <c r="CP24" s="9">
        <f t="array" ref="CP24">IF(CP$11&gt;=0,MAX(INDEX(MMULT(inverseG,CO$12:CO$62),$A24+1,1),MAX(strike-$B24,0)),"")</f>
        <v>2</v>
      </c>
      <c r="CQ24" s="9">
        <f t="array" ref="CQ24">IF(CQ$11&gt;=0,MAX(INDEX(MMULT(inverseG,CP$12:CP$62),$A24+1,1),MAX(strike-$B24,0)),"")</f>
        <v>2</v>
      </c>
      <c r="CR24" s="9">
        <f t="array" ref="CR24">IF(CR$11&gt;=0,MAX(INDEX(MMULT(inverseG,CQ$12:CQ$62),$A24+1,1),MAX(strike-$B24,0)),"")</f>
        <v>2</v>
      </c>
      <c r="CS24" s="9">
        <f t="array" ref="CS24">IF(CS$11&gt;=0,MAX(INDEX(MMULT(inverseG,CR$12:CR$62),$A24+1,1),MAX(strike-$B24,0)),"")</f>
        <v>2</v>
      </c>
      <c r="CT24" s="9">
        <f t="array" ref="CT24">IF(CT$11&gt;=0,MAX(INDEX(MMULT(inverseG,CS$12:CS$62),$A24+1,1),MAX(strike-$B24,0)),"")</f>
        <v>2</v>
      </c>
      <c r="CU24" s="9">
        <f t="array" ref="CU24">IF(CU$11&gt;=0,MAX(INDEX(MMULT(inverseG,CT$12:CT$62),$A24+1,1),MAX(strike-$B24,0)),"")</f>
        <v>2</v>
      </c>
      <c r="CV24" s="9">
        <f t="array" ref="CV24">IF(CV$11&gt;=0,MAX(INDEX(MMULT(inverseG,CU$12:CU$62),$A24+1,1),MAX(strike-$B24,0)),"")</f>
        <v>2</v>
      </c>
      <c r="CW24" s="9">
        <f t="array" ref="CW24">IF(CW$11&gt;=0,MAX(INDEX(MMULT(inverseG,CV$12:CV$62),$A24+1,1),MAX(strike-$B24,0)),"")</f>
        <v>2</v>
      </c>
      <c r="CX24" s="9">
        <f t="array" ref="CX24">IF(CX$11&gt;=0,MAX(INDEX(MMULT(inverseG,CW$12:CW$62),$A24+1,1),MAX(strike-$B24,0)),"")</f>
        <v>2</v>
      </c>
      <c r="CY24" s="9">
        <f t="array" ref="CY24">IF(CY$11&gt;=0,MAX(INDEX(MMULT(inverseG,CX$12:CX$62),$A24+1,1),MAX(strike-$B24,0)),"")</f>
        <v>2</v>
      </c>
      <c r="CZ24" s="9">
        <f t="array" ref="CZ24">IF(CZ$11&gt;=0,MAX(INDEX(MMULT(inverseG,CY$12:CY$62),$A24+1,1),MAX(strike-$B24,0)),"")</f>
        <v>2</v>
      </c>
      <c r="DA24" s="9" t="str">
        <f t="array" ref="DA24">IF(DA$11&gt;=0,MAX(INDEX(MMULT(inverseG,CZ$12:CZ$62),$A24+1,1),MAX(strike-$B24,0)),"")</f>
        <v/>
      </c>
      <c r="DB24" s="9" t="str">
        <f t="array" ref="DB24">IF(DB$11&gt;=0,MAX(INDEX(MMULT(inverseG,DA$12:DA$62),$A24+1,1),MAX(strike-$B24,0)),"")</f>
        <v/>
      </c>
      <c r="DC24" s="9" t="str">
        <f t="array" ref="DC24">IF(DC$11&gt;=0,MAX(INDEX(MMULT(inverseG,DB$12:DB$62),$A24+1,1),MAX(strike-$B24,0)),"")</f>
        <v/>
      </c>
      <c r="DD24" s="9" t="str">
        <f t="array" ref="DD24">IF(DD$11&gt;=0,MAX(INDEX(MMULT(inverseG,DC$12:DC$62),$A24+1,1),MAX(strike-$B24,0)),"")</f>
        <v/>
      </c>
      <c r="DE24" s="9" t="str">
        <f t="array" ref="DE24">IF(DE$11&gt;=0,MAX(INDEX(MMULT(inverseG,DD$12:DD$62),$A24+1,1),MAX(strike-$B24,0)),"")</f>
        <v/>
      </c>
      <c r="DF24" s="9" t="str">
        <f t="array" ref="DF24">IF(DF$11&gt;=0,MAX(INDEX(MMULT(inverseG,DE$12:DE$62),$A24+1,1),MAX(strike-$B24,0)),"")</f>
        <v/>
      </c>
      <c r="DG24" s="9" t="str">
        <f t="array" ref="DG24">IF(DG$11&gt;=0,MAX(INDEX(MMULT(inverseG,DF$12:DF$62),$A24+1,1),MAX(strike-$B24,0)),"")</f>
        <v/>
      </c>
      <c r="DH24" s="9" t="str">
        <f t="array" ref="DH24">IF(DH$11&gt;=0,MAX(INDEX(MMULT(inverseG,DG$12:DG$62),$A24+1,1),MAX(strike-$B24,0)),"")</f>
        <v/>
      </c>
      <c r="DI24" s="9" t="str">
        <f t="array" ref="DI24">IF(DI$11&gt;=0,MAX(INDEX(MMULT(inverseG,DH$12:DH$62),$A24+1,1),MAX(strike-$B24,0)),"")</f>
        <v/>
      </c>
      <c r="DJ24" s="9" t="str">
        <f t="array" ref="DJ24">IF(DJ$11&gt;=0,MAX(INDEX(MMULT(inverseG,DI$12:DI$62),$A24+1,1),MAX(strike-$B24,0)),"")</f>
        <v/>
      </c>
      <c r="DK24" s="9" t="str">
        <f t="array" ref="DK24">IF(DK$11&gt;=0,MAX(INDEX(MMULT(inverseG,DJ$12:DJ$62),$A24+1,1),MAX(strike-$B24,0)),"")</f>
        <v/>
      </c>
      <c r="DL24" s="9" t="str">
        <f t="array" ref="DL24">IF(DL$11&gt;=0,MAX(INDEX(MMULT(inverseG,DK$12:DK$62),$A24+1,1),MAX(strike-$B24,0)),"")</f>
        <v/>
      </c>
      <c r="DM24" s="9" t="str">
        <f t="array" ref="DM24">IF(DM$11&gt;=0,MAX(INDEX(MMULT(inverseG,DL$12:DL$62),$A24+1,1),MAX(strike-$B24,0)),"")</f>
        <v/>
      </c>
      <c r="DN24" s="9" t="str">
        <f t="array" ref="DN24">IF(DN$11&gt;=0,MAX(INDEX(MMULT(inverseG,DM$12:DM$62),$A24+1,1),MAX(strike-$B24,0)),"")</f>
        <v/>
      </c>
      <c r="DO24" s="9" t="str">
        <f t="array" ref="DO24">IF(DO$11&gt;=0,MAX(INDEX(MMULT(inverseG,DN$12:DN$62),$A24+1,1),MAX(strike-$B24,0)),"")</f>
        <v/>
      </c>
      <c r="DP24" s="9" t="str">
        <f t="array" ref="DP24">IF(DP$11&gt;=0,MAX(INDEX(MMULT(inverseG,DO$12:DO$62),$A24+1,1),MAX(strike-$B24,0)),"")</f>
        <v/>
      </c>
      <c r="DQ24" s="9" t="str">
        <f t="array" ref="DQ24">IF(DQ$11&gt;=0,MAX(INDEX(MMULT(inverseG,DP$12:DP$62),$A24+1,1),MAX(strike-$B24,0)),"")</f>
        <v/>
      </c>
      <c r="DR24" s="9" t="str">
        <f t="array" ref="DR24">IF(DR$11&gt;=0,MAX(INDEX(MMULT(inverseG,DQ$12:DQ$62),$A24+1,1),MAX(strike-$B24,0)),"")</f>
        <v/>
      </c>
      <c r="DS24" s="9" t="str">
        <f t="array" ref="DS24">IF(DS$11&gt;=0,MAX(INDEX(MMULT(inverseG,DR$12:DR$62),$A24+1,1),MAX(strike-$B24,0)),"")</f>
        <v/>
      </c>
      <c r="DT24" s="9" t="str">
        <f t="array" ref="DT24">IF(DT$11&gt;=0,MAX(INDEX(MMULT(inverseG,DS$12:DS$62),$A24+1,1),MAX(strike-$B24,0)),"")</f>
        <v/>
      </c>
      <c r="DU24" s="9" t="str">
        <f t="array" ref="DU24">IF(DU$11&gt;=0,MAX(INDEX(MMULT(inverseG,DT$12:DT$62),$A24+1,1),MAX(strike-$B24,0)),"")</f>
        <v/>
      </c>
      <c r="DV24" s="9" t="str">
        <f t="array" ref="DV24">IF(DV$11&gt;=0,MAX(INDEX(MMULT(inverseG,DU$12:DU$62),$A24+1,1),MAX(strike-$B24,0)),"")</f>
        <v/>
      </c>
      <c r="DW24" s="9" t="str">
        <f t="array" ref="DW24">IF(DW$11&gt;=0,MAX(INDEX(MMULT(inverseG,DV$12:DV$62),$A24+1,1),MAX(strike-$B24,0)),"")</f>
        <v/>
      </c>
      <c r="DX24" s="9" t="str">
        <f t="array" ref="DX24">IF(DX$11&gt;=0,MAX(INDEX(MMULT(inverseG,DW$12:DW$62),$A24+1,1),MAX(strike-$B24,0)),"")</f>
        <v/>
      </c>
      <c r="DY24" s="9" t="str">
        <f t="array" ref="DY24">IF(DY$11&gt;=0,MAX(INDEX(MMULT(inverseG,DX$12:DX$62),$A24+1,1),MAX(strike-$B24,0)),"")</f>
        <v/>
      </c>
      <c r="DZ24" s="9" t="str">
        <f t="array" ref="DZ24">IF(DZ$11&gt;=0,MAX(INDEX(MMULT(inverseG,DY$12:DY$62),$A24+1,1),MAX(strike-$B24,0)),"")</f>
        <v/>
      </c>
      <c r="EA24" s="9" t="str">
        <f t="array" ref="EA24">IF(EA$11&gt;=0,MAX(INDEX(MMULT(inverseG,DZ$12:DZ$62),$A24+1,1),MAX(strike-$B24,0)),"")</f>
        <v/>
      </c>
      <c r="EB24" s="9" t="str">
        <f t="array" ref="EB24">IF(EB$11&gt;=0,MAX(INDEX(MMULT(inverseG,EA$12:EA$62),$A24+1,1),MAX(strike-$B24,0)),"")</f>
        <v/>
      </c>
      <c r="EC24" s="9" t="str">
        <f t="array" ref="EC24">IF(EC$11&gt;=0,MAX(INDEX(MMULT(inverseG,EB$12:EB$62),$A24+1,1),MAX(strike-$B24,0)),"")</f>
        <v/>
      </c>
      <c r="ED24" s="9" t="str">
        <f t="array" ref="ED24">IF(ED$11&gt;=0,MAX(INDEX(MMULT(inverseG,EC$12:EC$62),$A24+1,1),MAX(strike-$B24,0)),"")</f>
        <v/>
      </c>
      <c r="EE24" s="9" t="str">
        <f t="array" ref="EE24">IF(EE$11&gt;=0,MAX(INDEX(MMULT(inverseG,ED$12:ED$62),$A24+1,1),MAX(strike-$B24,0)),"")</f>
        <v/>
      </c>
      <c r="EF24" s="9" t="str">
        <f t="array" ref="EF24">IF(EF$11&gt;=0,MAX(INDEX(MMULT(inverseG,EE$12:EE$62),$A24+1,1),MAX(strike-$B24,0)),"")</f>
        <v/>
      </c>
      <c r="EG24" s="9" t="str">
        <f t="array" ref="EG24">IF(EG$11&gt;=0,MAX(INDEX(MMULT(inverseG,EF$12:EF$62),$A24+1,1),MAX(strike-$B24,0)),"")</f>
        <v/>
      </c>
      <c r="EH24" s="9" t="str">
        <f t="array" ref="EH24">IF(EH$11&gt;=0,MAX(INDEX(MMULT(inverseG,EG$12:EG$62),$A24+1,1),MAX(strike-$B24,0)),"")</f>
        <v/>
      </c>
      <c r="EI24" s="9" t="str">
        <f t="array" ref="EI24">IF(EI$11&gt;=0,MAX(INDEX(MMULT(inverseG,EH$12:EH$62),$A24+1,1),MAX(strike-$B24,0)),"")</f>
        <v/>
      </c>
      <c r="EJ24" s="9" t="str">
        <f t="array" ref="EJ24">IF(EJ$11&gt;=0,MAX(INDEX(MMULT(inverseG,EI$12:EI$62),$A24+1,1),MAX(strike-$B24,0)),"")</f>
        <v/>
      </c>
      <c r="EK24" s="9" t="str">
        <f t="array" ref="EK24">IF(EK$11&gt;=0,MAX(INDEX(MMULT(inverseG,EJ$12:EJ$62),$A24+1,1),MAX(strike-$B24,0)),"")</f>
        <v/>
      </c>
      <c r="EL24" s="9" t="str">
        <f t="array" ref="EL24">IF(EL$11&gt;=0,MAX(INDEX(MMULT(inverseG,EK$12:EK$62),$A24+1,1),MAX(strike-$B24,0)),"")</f>
        <v/>
      </c>
      <c r="EM24" s="9" t="str">
        <f t="array" ref="EM24">IF(EM$11&gt;=0,MAX(INDEX(MMULT(inverseG,EL$12:EL$62),$A24+1,1),MAX(strike-$B24,0)),"")</f>
        <v/>
      </c>
      <c r="EN24" s="9" t="str">
        <f t="array" ref="EN24">IF(EN$11&gt;=0,MAX(INDEX(MMULT(inverseG,EM$12:EM$62),$A24+1,1),MAX(strike-$B24,0)),"")</f>
        <v/>
      </c>
      <c r="EO24" s="9" t="str">
        <f t="array" ref="EO24">IF(EO$11&gt;=0,MAX(INDEX(MMULT(inverseG,EN$12:EN$62),$A24+1,1),MAX(strike-$B24,0)),"")</f>
        <v/>
      </c>
      <c r="EP24" s="9" t="str">
        <f t="array" ref="EP24">IF(EP$11&gt;=0,MAX(INDEX(MMULT(inverseG,EO$12:EO$62),$A24+1,1),MAX(strike-$B24,0)),"")</f>
        <v/>
      </c>
      <c r="EQ24" s="9" t="str">
        <f t="array" ref="EQ24">IF(EQ$11&gt;=0,MAX(INDEX(MMULT(inverseG,EP$12:EP$62),$A24+1,1),MAX(strike-$B24,0)),"")</f>
        <v/>
      </c>
      <c r="ER24" s="9" t="str">
        <f t="array" ref="ER24">IF(ER$11&gt;=0,MAX(INDEX(MMULT(inverseG,EQ$12:EQ$62),$A24+1,1),MAX(strike-$B24,0)),"")</f>
        <v/>
      </c>
      <c r="ES24" s="9" t="str">
        <f t="array" ref="ES24">IF(ES$11&gt;=0,MAX(INDEX(MMULT(inverseG,ER$12:ER$62),$A24+1,1),MAX(strike-$B24,0)),"")</f>
        <v/>
      </c>
      <c r="ET24" s="9" t="str">
        <f t="array" ref="ET24">IF(ET$11&gt;=0,MAX(INDEX(MMULT(inverseG,ES$12:ES$62),$A24+1,1),MAX(strike-$B24,0)),"")</f>
        <v/>
      </c>
      <c r="EU24" s="9" t="str">
        <f t="array" ref="EU24">IF(EU$11&gt;=0,MAX(INDEX(MMULT(inverseG,ET$12:ET$62),$A24+1,1),MAX(strike-$B24,0)),"")</f>
        <v/>
      </c>
      <c r="EV24" s="9" t="str">
        <f t="array" ref="EV24">IF(EV$11&gt;=0,MAX(INDEX(MMULT(inverseG,EU$12:EU$62),$A24+1,1),MAX(strike-$B24,0)),"")</f>
        <v/>
      </c>
      <c r="EW24" s="9" t="str">
        <f t="array" ref="EW24">IF(EW$11&gt;=0,MAX(INDEX(MMULT(inverseG,EV$12:EV$62),$A24+1,1),MAX(strike-$B24,0)),"")</f>
        <v/>
      </c>
      <c r="EX24" s="9" t="str">
        <f t="array" ref="EX24">IF(EX$11&gt;=0,MAX(INDEX(MMULT(inverseG,EW$12:EW$62),$A24+1,1),MAX(strike-$B24,0)),"")</f>
        <v/>
      </c>
      <c r="EY24" s="9" t="str">
        <f t="array" ref="EY24">IF(EY$11&gt;=0,MAX(INDEX(MMULT(inverseG,EX$12:EX$62),$A24+1,1),MAX(strike-$B24,0)),"")</f>
        <v/>
      </c>
      <c r="EZ24" s="9" t="str">
        <f t="array" ref="EZ24">IF(EZ$11&gt;=0,MAX(INDEX(MMULT(inverseG,EY$12:EY$62),$A24+1,1),MAX(strike-$B24,0)),"")</f>
        <v/>
      </c>
      <c r="FA24" s="9" t="str">
        <f t="array" ref="FA24">IF(FA$11&gt;=0,MAX(INDEX(MMULT(inverseG,EZ$12:EZ$62),$A24+1,1),MAX(strike-$B24,0)),"")</f>
        <v/>
      </c>
      <c r="FB24" s="9" t="str">
        <f t="array" ref="FB24">IF(FB$11&gt;=0,MAX(INDEX(MMULT(inverseG,FA$12:FA$62),$A24+1,1),MAX(strike-$B24,0)),"")</f>
        <v/>
      </c>
      <c r="FC24" s="9" t="str">
        <f t="array" ref="FC24">IF(FC$11&gt;=0,MAX(INDEX(MMULT(inverseG,FB$12:FB$62),$A24+1,1),MAX(strike-$B24,0)),"")</f>
        <v/>
      </c>
      <c r="FD24" s="9" t="str">
        <f t="array" ref="FD24">IF(FD$11&gt;=0,MAX(INDEX(MMULT(inverseG,FC$12:FC$62),$A24+1,1),MAX(strike-$B24,0)),"")</f>
        <v/>
      </c>
      <c r="FE24" s="9" t="str">
        <f t="array" ref="FE24">IF(FE$11&gt;=0,MAX(INDEX(MMULT(inverseG,FD$12:FD$62),$A24+1,1),MAX(strike-$B24,0)),"")</f>
        <v/>
      </c>
      <c r="FF24" s="9" t="str">
        <f t="array" ref="FF24">IF(FF$11&gt;=0,MAX(INDEX(MMULT(inverseG,FE$12:FE$62),$A24+1,1),MAX(strike-$B24,0)),"")</f>
        <v/>
      </c>
      <c r="FG24" s="9" t="str">
        <f t="array" ref="FG24">IF(FG$11&gt;=0,MAX(INDEX(MMULT(inverseG,FF$12:FF$62),$A24+1,1),MAX(strike-$B24,0)),"")</f>
        <v/>
      </c>
      <c r="FH24" s="9" t="str">
        <f t="array" ref="FH24">IF(FH$11&gt;=0,MAX(INDEX(MMULT(inverseG,FG$12:FG$62),$A24+1,1),MAX(strike-$B24,0)),"")</f>
        <v/>
      </c>
      <c r="FI24" s="9" t="str">
        <f t="array" ref="FI24">IF(FI$11&gt;=0,MAX(INDEX(MMULT(inverseG,FH$12:FH$62),$A24+1,1),MAX(strike-$B24,0)),"")</f>
        <v/>
      </c>
      <c r="FJ24" s="9" t="str">
        <f t="array" ref="FJ24">IF(FJ$11&gt;=0,MAX(INDEX(MMULT(inverseG,FI$12:FI$62),$A24+1,1),MAX(strike-$B24,0)),"")</f>
        <v/>
      </c>
      <c r="FK24" s="9" t="str">
        <f t="array" ref="FK24">IF(FK$11&gt;=0,MAX(INDEX(MMULT(inverseG,FJ$12:FJ$62),$A24+1,1),MAX(strike-$B24,0)),"")</f>
        <v/>
      </c>
      <c r="FL24" s="9" t="str">
        <f t="array" ref="FL24">IF(FL$11&gt;=0,MAX(INDEX(MMULT(inverseG,FK$12:FK$62),$A24+1,1),MAX(strike-$B24,0)),"")</f>
        <v/>
      </c>
      <c r="FM24" s="9" t="str">
        <f t="array" ref="FM24">IF(FM$11&gt;=0,MAX(INDEX(MMULT(inverseG,FL$12:FL$62),$A24+1,1),MAX(strike-$B24,0)),"")</f>
        <v/>
      </c>
      <c r="FN24" s="9" t="str">
        <f t="array" ref="FN24">IF(FN$11&gt;=0,MAX(INDEX(MMULT(inverseG,FM$12:FM$62),$A24+1,1),MAX(strike-$B24,0)),"")</f>
        <v/>
      </c>
      <c r="FO24" s="9" t="str">
        <f t="array" ref="FO24">IF(FO$11&gt;=0,MAX(INDEX(MMULT(inverseG,FN$12:FN$62),$A24+1,1),MAX(strike-$B24,0)),"")</f>
        <v/>
      </c>
      <c r="FP24" s="9" t="str">
        <f t="array" ref="FP24">IF(FP$11&gt;=0,MAX(INDEX(MMULT(inverseG,FO$12:FO$62),$A24+1,1),MAX(strike-$B24,0)),"")</f>
        <v/>
      </c>
      <c r="FQ24" s="9" t="str">
        <f t="array" ref="FQ24">IF(FQ$11&gt;=0,MAX(INDEX(MMULT(inverseG,FP$12:FP$62),$A24+1,1),MAX(strike-$B24,0)),"")</f>
        <v/>
      </c>
      <c r="FR24" s="9" t="str">
        <f t="array" ref="FR24">IF(FR$11&gt;=0,MAX(INDEX(MMULT(inverseG,FQ$12:FQ$62),$A24+1,1),MAX(strike-$B24,0)),"")</f>
        <v/>
      </c>
      <c r="FS24" s="9" t="str">
        <f t="array" ref="FS24">IF(FS$11&gt;=0,MAX(INDEX(MMULT(inverseG,FR$12:FR$62),$A24+1,1),MAX(strike-$B24,0)),"")</f>
        <v/>
      </c>
      <c r="FT24" s="9" t="str">
        <f t="array" ref="FT24">IF(FT$11&gt;=0,MAX(INDEX(MMULT(inverseG,FS$12:FS$62),$A24+1,1),MAX(strike-$B24,0)),"")</f>
        <v/>
      </c>
      <c r="FU24" s="9" t="str">
        <f t="array" ref="FU24">IF(FU$11&gt;=0,MAX(INDEX(MMULT(inverseG,FT$12:FT$62),$A24+1,1),MAX(strike-$B24,0)),"")</f>
        <v/>
      </c>
      <c r="FV24" s="9" t="str">
        <f t="array" ref="FV24">IF(FV$11&gt;=0,MAX(INDEX(MMULT(inverseG,FU$12:FU$62),$A24+1,1),MAX(strike-$B24,0)),"")</f>
        <v/>
      </c>
      <c r="FW24" s="9" t="str">
        <f t="array" ref="FW24">IF(FW$11&gt;=0,MAX(INDEX(MMULT(inverseG,FV$12:FV$62),$A24+1,1),MAX(strike-$B24,0)),"")</f>
        <v/>
      </c>
      <c r="FX24" s="9" t="str">
        <f t="array" ref="FX24">IF(FX$11&gt;=0,MAX(INDEX(MMULT(inverseG,FW$12:FW$62),$A24+1,1),MAX(strike-$B24,0)),"")</f>
        <v/>
      </c>
      <c r="FY24" s="9" t="str">
        <f t="array" ref="FY24">IF(FY$11&gt;=0,MAX(INDEX(MMULT(inverseG,FX$12:FX$62),$A24+1,1),MAX(strike-$B24,0)),"")</f>
        <v/>
      </c>
      <c r="FZ24" s="9" t="str">
        <f t="array" ref="FZ24">IF(FZ$11&gt;=0,MAX(INDEX(MMULT(inverseG,FY$12:FY$62),$A24+1,1),MAX(strike-$B24,0)),"")</f>
        <v/>
      </c>
      <c r="GA24" s="9" t="str">
        <f t="array" ref="GA24">IF(GA$11&gt;=0,MAX(INDEX(MMULT(inverseG,FZ$12:FZ$62),$A24+1,1),MAX(strike-$B24,0)),"")</f>
        <v/>
      </c>
      <c r="GB24" s="9" t="str">
        <f t="array" ref="GB24">IF(GB$11&gt;=0,MAX(INDEX(MMULT(inverseG,GA$12:GA$62),$A24+1,1),MAX(strike-$B24,0)),"")</f>
        <v/>
      </c>
      <c r="GC24" s="9" t="str">
        <f t="array" ref="GC24">IF(GC$11&gt;=0,MAX(INDEX(MMULT(inverseG,GB$12:GB$62),$A24+1,1),MAX(strike-$B24,0)),"")</f>
        <v/>
      </c>
      <c r="GD24" s="9" t="str">
        <f t="array" ref="GD24">IF(GD$11&gt;=0,MAX(INDEX(MMULT(inverseG,GC$12:GC$62),$A24+1,1),MAX(strike-$B24,0)),"")</f>
        <v/>
      </c>
      <c r="GE24" s="9" t="str">
        <f t="array" ref="GE24">IF(GE$11&gt;=0,MAX(INDEX(MMULT(inverseG,GD$12:GD$62),$A24+1,1),MAX(strike-$B24,0)),"")</f>
        <v/>
      </c>
      <c r="GF24" s="9" t="str">
        <f t="array" ref="GF24">IF(GF$11&gt;=0,MAX(INDEX(MMULT(inverseG,GE$12:GE$62),$A24+1,1),MAX(strike-$B24,0)),"")</f>
        <v/>
      </c>
      <c r="GG24" s="9" t="str">
        <f t="array" ref="GG24">IF(GG$11&gt;=0,MAX(INDEX(MMULT(inverseG,GF$12:GF$62),$A24+1,1),MAX(strike-$B24,0)),"")</f>
        <v/>
      </c>
      <c r="GH24" s="9" t="str">
        <f t="array" ref="GH24">IF(GH$11&gt;=0,MAX(INDEX(MMULT(inverseG,GG$12:GG$62),$A24+1,1),MAX(strike-$B24,0)),"")</f>
        <v/>
      </c>
      <c r="GI24" s="9" t="str">
        <f t="array" ref="GI24">IF(GI$11&gt;=0,MAX(INDEX(MMULT(inverseG,GH$12:GH$62),$A24+1,1),MAX(strike-$B24,0)),"")</f>
        <v/>
      </c>
      <c r="GJ24" s="9" t="str">
        <f t="array" ref="GJ24">IF(GJ$11&gt;=0,MAX(INDEX(MMULT(inverseG,GI$12:GI$62),$A24+1,1),MAX(strike-$B24,0)),"")</f>
        <v/>
      </c>
      <c r="GK24" s="9" t="str">
        <f t="array" ref="GK24">IF(GK$11&gt;=0,MAX(INDEX(MMULT(inverseG,GJ$12:GJ$62),$A24+1,1),MAX(strike-$B24,0)),"")</f>
        <v/>
      </c>
      <c r="GL24" s="9" t="str">
        <f t="array" ref="GL24">IF(GL$11&gt;=0,MAX(INDEX(MMULT(inverseG,GK$12:GK$62),$A24+1,1),MAX(strike-$B24,0)),"")</f>
        <v/>
      </c>
      <c r="GM24" s="9" t="str">
        <f t="array" ref="GM24">IF(GM$11&gt;=0,MAX(INDEX(MMULT(inverseG,GL$12:GL$62),$A24+1,1),MAX(strike-$B24,0)),"")</f>
        <v/>
      </c>
      <c r="GN24" s="9" t="str">
        <f t="array" ref="GN24">IF(GN$11&gt;=0,MAX(INDEX(MMULT(inverseG,GM$12:GM$62),$A24+1,1),MAX(strike-$B24,0)),"")</f>
        <v/>
      </c>
      <c r="GO24" s="9" t="str">
        <f t="array" ref="GO24">IF(GO$11&gt;=0,MAX(INDEX(MMULT(inverseG,GN$12:GN$62),$A24+1,1),MAX(strike-$B24,0)),"")</f>
        <v/>
      </c>
      <c r="GP24" s="9" t="str">
        <f t="array" ref="GP24">IF(GP$11&gt;=0,MAX(INDEX(MMULT(inverseG,GO$12:GO$62),$A24+1,1),MAX(strike-$B24,0)),"")</f>
        <v/>
      </c>
      <c r="GQ24" s="9" t="str">
        <f t="array" ref="GQ24">IF(GQ$11&gt;=0,MAX(INDEX(MMULT(inverseG,GP$12:GP$62),$A24+1,1),MAX(strike-$B24,0)),"")</f>
        <v/>
      </c>
      <c r="GR24" s="9" t="str">
        <f t="array" ref="GR24">IF(GR$11&gt;=0,MAX(INDEX(MMULT(inverseG,GQ$12:GQ$62),$A24+1,1),MAX(strike-$B24,0)),"")</f>
        <v/>
      </c>
      <c r="GS24" s="9" t="str">
        <f t="array" ref="GS24">IF(GS$11&gt;=0,MAX(INDEX(MMULT(inverseG,GR$12:GR$62),$A24+1,1),MAX(strike-$B24,0)),"")</f>
        <v/>
      </c>
      <c r="GT24" s="9" t="str">
        <f t="array" ref="GT24">IF(GT$11&gt;=0,MAX(INDEX(MMULT(inverseG,GS$12:GS$62),$A24+1,1),MAX(strike-$B24,0)),"")</f>
        <v/>
      </c>
      <c r="GU24" s="9" t="str">
        <f t="array" ref="GU24">IF(GU$11&gt;=0,MAX(INDEX(MMULT(inverseG,GT$12:GT$62),$A24+1,1),MAX(strike-$B24,0)),"")</f>
        <v/>
      </c>
      <c r="GV24" s="9" t="str">
        <f t="array" ref="GV24">IF(GV$11&gt;=0,MAX(INDEX(MMULT(inverseG,GU$12:GU$62),$A24+1,1),MAX(strike-$B24,0)),"")</f>
        <v/>
      </c>
      <c r="GW24" s="9" t="str">
        <f t="array" ref="GW24">IF(GW$11&gt;=0,MAX(INDEX(MMULT(inverseG,GV$12:GV$62),$A24+1,1),MAX(strike-$B24,0)),"")</f>
        <v/>
      </c>
      <c r="GX24" s="9" t="str">
        <f t="array" ref="GX24">IF(GX$11&gt;=0,MAX(INDEX(MMULT(inverseG,GW$12:GW$62),$A24+1,1),MAX(strike-$B24,0)),"")</f>
        <v/>
      </c>
      <c r="GY24" s="9" t="str">
        <f t="array" ref="GY24">IF(GY$11&gt;=0,MAX(INDEX(MMULT(inverseG,GX$12:GX$62),$A24+1,1),MAX(strike-$B24,0)),"")</f>
        <v/>
      </c>
      <c r="GZ24" s="9" t="str">
        <f t="array" ref="GZ24">IF(GZ$11&gt;=0,MAX(INDEX(MMULT(inverseG,GY$12:GY$62),$A24+1,1),MAX(strike-$B24,0)),"")</f>
        <v/>
      </c>
      <c r="HA24" s="9" t="str">
        <f t="array" ref="HA24">IF(HA$11&gt;=0,MAX(INDEX(MMULT(inverseG,GZ$12:GZ$62),$A24+1,1),MAX(strike-$B24,0)),"")</f>
        <v/>
      </c>
      <c r="HB24" s="9" t="str">
        <f t="array" ref="HB24">IF(HB$11&gt;=0,MAX(INDEX(MMULT(inverseG,HA$12:HA$62),$A24+1,1),MAX(strike-$B24,0)),"")</f>
        <v/>
      </c>
      <c r="HC24" s="9" t="str">
        <f t="array" ref="HC24">IF(HC$11&gt;=0,MAX(INDEX(MMULT(inverseG,HB$12:HB$62),$A24+1,1),MAX(strike-$B24,0)),"")</f>
        <v/>
      </c>
      <c r="HD24" s="9" t="str">
        <f t="array" ref="HD24">IF(HD$11&gt;=0,MAX(INDEX(MMULT(inverseG,HC$12:HC$62),$A24+1,1),MAX(strike-$B24,0)),"")</f>
        <v/>
      </c>
      <c r="HE24" s="9" t="str">
        <f t="array" ref="HE24">IF(HE$11&gt;=0,MAX(INDEX(MMULT(inverseG,HD$12:HD$62),$A24+1,1),MAX(strike-$B24,0)),"")</f>
        <v/>
      </c>
      <c r="HF24" s="9" t="str">
        <f t="array" ref="HF24">IF(HF$11&gt;=0,MAX(INDEX(MMULT(inverseG,HE$12:HE$62),$A24+1,1),MAX(strike-$B24,0)),"")</f>
        <v/>
      </c>
      <c r="HG24" s="9" t="str">
        <f t="array" ref="HG24">IF(HG$11&gt;=0,MAX(INDEX(MMULT(inverseG,HF$12:HF$62),$A24+1,1),MAX(strike-$B24,0)),"")</f>
        <v/>
      </c>
      <c r="HH24" s="9" t="str">
        <f t="array" ref="HH24">IF(HH$11&gt;=0,MAX(INDEX(MMULT(inverseG,HG$12:HG$62),$A24+1,1),MAX(strike-$B24,0)),"")</f>
        <v/>
      </c>
      <c r="HI24" s="9" t="str">
        <f t="array" ref="HI24">IF(HI$11&gt;=0,MAX(INDEX(MMULT(inverseG,HH$12:HH$62),$A24+1,1),MAX(strike-$B24,0)),"")</f>
        <v/>
      </c>
      <c r="HJ24" s="9" t="str">
        <f t="array" ref="HJ24">IF(HJ$11&gt;=0,MAX(INDEX(MMULT(inverseG,HI$12:HI$62),$A24+1,1),MAX(strike-$B24,0)),"")</f>
        <v/>
      </c>
      <c r="HK24" s="9" t="str">
        <f t="array" ref="HK24">IF(HK$11&gt;=0,MAX(INDEX(MMULT(inverseG,HJ$12:HJ$62),$A24+1,1),MAX(strike-$B24,0)),"")</f>
        <v/>
      </c>
      <c r="HL24" s="9" t="str">
        <f t="array" ref="HL24">IF(HL$11&gt;=0,MAX(INDEX(MMULT(inverseG,HK$12:HK$62),$A24+1,1),MAX(strike-$B24,0)),"")</f>
        <v/>
      </c>
      <c r="HM24" s="9" t="str">
        <f t="array" ref="HM24">IF(HM$11&gt;=0,MAX(INDEX(MMULT(inverseG,HL$12:HL$62),$A24+1,1),MAX(strike-$B24,0)),"")</f>
        <v/>
      </c>
      <c r="HN24" s="9" t="str">
        <f t="array" ref="HN24">IF(HN$11&gt;=0,MAX(INDEX(MMULT(inverseG,HM$12:HM$62),$A24+1,1),MAX(strike-$B24,0)),"")</f>
        <v/>
      </c>
      <c r="HO24" s="9" t="str">
        <f t="array" ref="HO24">IF(HO$11&gt;=0,MAX(INDEX(MMULT(inverseG,HN$12:HN$62),$A24+1,1),MAX(strike-$B24,0)),"")</f>
        <v/>
      </c>
      <c r="HP24" s="9" t="str">
        <f t="array" ref="HP24">IF(HP$11&gt;=0,MAX(INDEX(MMULT(inverseG,HO$12:HO$62),$A24+1,1),MAX(strike-$B24,0)),"")</f>
        <v/>
      </c>
      <c r="HQ24" s="9" t="str">
        <f t="array" ref="HQ24">IF(HQ$11&gt;=0,MAX(INDEX(MMULT(inverseG,HP$12:HP$62),$A24+1,1),MAX(strike-$B24,0)),"")</f>
        <v/>
      </c>
      <c r="HR24" s="9" t="str">
        <f t="array" ref="HR24">IF(HR$11&gt;=0,MAX(INDEX(MMULT(inverseG,HQ$12:HQ$62),$A24+1,1),MAX(strike-$B24,0)),"")</f>
        <v/>
      </c>
      <c r="HS24" s="9" t="str">
        <f t="array" ref="HS24">IF(HS$11&gt;=0,MAX(INDEX(MMULT(inverseG,HR$12:HR$62),$A24+1,1),MAX(strike-$B24,0)),"")</f>
        <v/>
      </c>
      <c r="HT24" s="9" t="str">
        <f t="array" ref="HT24">IF(HT$11&gt;=0,MAX(INDEX(MMULT(inverseG,HS$12:HS$62),$A24+1,1),MAX(strike-$B24,0)),"")</f>
        <v/>
      </c>
      <c r="HU24" s="9" t="str">
        <f t="array" ref="HU24">IF(HU$11&gt;=0,MAX(INDEX(MMULT(inverseG,HT$12:HT$62),$A24+1,1),MAX(strike-$B24,0)),"")</f>
        <v/>
      </c>
      <c r="HV24" s="9" t="str">
        <f t="array" ref="HV24">IF(HV$11&gt;=0,MAX(INDEX(MMULT(inverseG,HU$12:HU$62),$A24+1,1),MAX(strike-$B24,0)),"")</f>
        <v/>
      </c>
      <c r="HW24" s="9" t="str">
        <f t="array" ref="HW24">IF(HW$11&gt;=0,MAX(INDEX(MMULT(inverseG,HV$12:HV$62),$A24+1,1),MAX(strike-$B24,0)),"")</f>
        <v/>
      </c>
      <c r="HX24" s="9" t="str">
        <f t="array" ref="HX24">IF(HX$11&gt;=0,MAX(INDEX(MMULT(inverseG,HW$12:HW$62),$A24+1,1),MAX(strike-$B24,0)),"")</f>
        <v/>
      </c>
      <c r="HY24" s="9" t="str">
        <f t="array" ref="HY24">IF(HY$11&gt;=0,MAX(INDEX(MMULT(inverseG,HX$12:HX$62),$A24+1,1),MAX(strike-$B24,0)),"")</f>
        <v/>
      </c>
      <c r="HZ24" s="9" t="str">
        <f t="array" ref="HZ24">IF(HZ$11&gt;=0,MAX(INDEX(MMULT(inverseG,HY$12:HY$62),$A24+1,1),MAX(strike-$B24,0)),"")</f>
        <v/>
      </c>
      <c r="IA24" s="9" t="str">
        <f t="array" ref="IA24">IF(IA$11&gt;=0,MAX(INDEX(MMULT(inverseG,HZ$12:HZ$62),$A24+1,1),MAX(strike-$B24,0)),"")</f>
        <v/>
      </c>
      <c r="IB24" s="9" t="str">
        <f t="array" ref="IB24">IF(IB$11&gt;=0,MAX(INDEX(MMULT(inverseG,IA$12:IA$62),$A24+1,1),MAX(strike-$B24,0)),"")</f>
        <v/>
      </c>
      <c r="IC24" s="9" t="str">
        <f t="array" ref="IC24">IF(IC$11&gt;=0,MAX(INDEX(MMULT(inverseG,IB$12:IB$62),$A24+1,1),MAX(strike-$B24,0)),"")</f>
        <v/>
      </c>
      <c r="ID24" s="9" t="str">
        <f t="array" ref="ID24">IF(ID$11&gt;=0,MAX(INDEX(MMULT(inverseG,IC$12:IC$62),$A24+1,1),MAX(strike-$B24,0)),"")</f>
        <v/>
      </c>
      <c r="IE24" s="9" t="str">
        <f t="array" ref="IE24">IF(IE$11&gt;=0,MAX(INDEX(MMULT(inverseG,ID$12:ID$62),$A24+1,1),MAX(strike-$B24,0)),"")</f>
        <v/>
      </c>
      <c r="IF24" s="9" t="str">
        <f t="array" ref="IF24">IF(IF$11&gt;=0,MAX(INDEX(MMULT(inverseG,IE$12:IE$62),$A24+1,1),MAX(strike-$B24,0)),"")</f>
        <v/>
      </c>
      <c r="IG24" s="9" t="str">
        <f t="array" ref="IG24">IF(IG$11&gt;=0,MAX(INDEX(MMULT(inverseG,IF$12:IF$62),$A24+1,1),MAX(strike-$B24,0)),"")</f>
        <v/>
      </c>
      <c r="IH24" s="9" t="str">
        <f t="array" ref="IH24">IF(IH$11&gt;=0,MAX(INDEX(MMULT(inverseG,IG$12:IG$62),$A24+1,1),MAX(strike-$B24,0)),"")</f>
        <v/>
      </c>
      <c r="II24" s="9" t="str">
        <f t="array" ref="II24">IF(II$11&gt;=0,MAX(INDEX(MMULT(inverseG,IH$12:IH$62),$A24+1,1),MAX(strike-$B24,0)),"")</f>
        <v/>
      </c>
      <c r="IJ24" s="9" t="str">
        <f t="array" ref="IJ24">IF(IJ$11&gt;=0,MAX(INDEX(MMULT(inverseG,II$12:II$62),$A24+1,1),MAX(strike-$B24,0)),"")</f>
        <v/>
      </c>
      <c r="IK24" s="9" t="str">
        <f t="array" ref="IK24">IF(IK$11&gt;=0,MAX(INDEX(MMULT(inverseG,IJ$12:IJ$62),$A24+1,1),MAX(strike-$B24,0)),"")</f>
        <v/>
      </c>
      <c r="IL24" s="9" t="str">
        <f t="array" ref="IL24">IF(IL$11&gt;=0,MAX(INDEX(MMULT(inverseG,IK$12:IK$62),$A24+1,1),MAX(strike-$B24,0)),"")</f>
        <v/>
      </c>
      <c r="IM24" s="9" t="str">
        <f t="array" ref="IM24">IF(IM$11&gt;=0,MAX(INDEX(MMULT(inverseG,IL$12:IL$62),$A24+1,1),MAX(strike-$B24,0)),"")</f>
        <v/>
      </c>
      <c r="IN24" s="9" t="str">
        <f t="array" ref="IN24">IF(IN$11&gt;=0,MAX(INDEX(MMULT(inverseG,IM$12:IM$62),$A24+1,1),MAX(strike-$B24,0)),"")</f>
        <v/>
      </c>
      <c r="IO24" s="9" t="str">
        <f t="array" ref="IO24">IF(IO$11&gt;=0,MAX(INDEX(MMULT(inverseG,IN$12:IN$62),$A24+1,1),MAX(strike-$B24,0)),"")</f>
        <v/>
      </c>
      <c r="IP24" s="9" t="str">
        <f t="array" ref="IP24">IF(IP$11&gt;=0,MAX(INDEX(MMULT(inverseG,IO$12:IO$62),$A24+1,1),MAX(strike-$B24,0)),"")</f>
        <v/>
      </c>
      <c r="IQ24" s="9" t="str">
        <f t="array" ref="IQ24">IF(IQ$11&gt;=0,MAX(INDEX(MMULT(inverseG,IP$12:IP$62),$A24+1,1),MAX(strike-$B24,0)),"")</f>
        <v/>
      </c>
      <c r="IR24" s="9" t="str">
        <f t="array" ref="IR24">IF(IR$11&gt;=0,MAX(INDEX(MMULT(inverseG,IQ$12:IQ$62),$A24+1,1),MAX(strike-$B24,0)),"")</f>
        <v/>
      </c>
      <c r="IS24" s="9" t="str">
        <f t="array" ref="IS24">IF(IS$11&gt;=0,MAX(INDEX(MMULT(inverseG,IR$12:IR$62),$A24+1,1),MAX(strike-$B24,0)),"")</f>
        <v/>
      </c>
      <c r="IT24" s="9" t="str">
        <f t="array" ref="IT24">IF(IT$11&gt;=0,MAX(INDEX(MMULT(inverseG,IS$12:IS$62),$A24+1,1),MAX(strike-$B24,0)),"")</f>
        <v/>
      </c>
      <c r="IU24" s="9" t="str">
        <f t="array" ref="IU24">IF(IU$11&gt;=0,MAX(INDEX(MMULT(inverseG,IT$12:IT$62),$A24+1,1),MAX(strike-$B24,0)),"")</f>
        <v/>
      </c>
      <c r="IV24" s="9" t="str">
        <f t="array" ref="IV24">IF(IV$11&gt;=0,MAX(INDEX(MMULT(inverseG,IU$12:IU$62),$A24+1,1),MAX(strike-$B24,0)),"")</f>
        <v/>
      </c>
    </row>
    <row r="25" spans="1:256" x14ac:dyDescent="0.2">
      <c r="A25" s="8">
        <f t="shared" si="7"/>
        <v>13</v>
      </c>
      <c r="B25" s="6">
        <f t="shared" si="4"/>
        <v>3.25</v>
      </c>
      <c r="C25" s="30">
        <f t="shared" ca="1" si="6"/>
        <v>1.75</v>
      </c>
      <c r="D25" s="9">
        <f t="shared" si="5"/>
        <v>1.75</v>
      </c>
      <c r="E25" s="9">
        <f t="array" ref="E25">IF(E$11&gt;=0,MAX(INDEX(MMULT(inverseG,D$12:D$62),$A25+1,1),MAX(strike-$B25,0)),"")</f>
        <v>1.75</v>
      </c>
      <c r="F25" s="9">
        <f t="array" ref="F25">IF(F$11&gt;=0,MAX(INDEX(MMULT(inverseG,E$12:E$62),$A25+1,1),MAX(strike-$B25,0)),"")</f>
        <v>1.75</v>
      </c>
      <c r="G25" s="9">
        <f t="array" ref="G25">IF(G$11&gt;=0,MAX(INDEX(MMULT(inverseG,F$12:F$62),$A25+1,1),MAX(strike-$B25,0)),"")</f>
        <v>1.75</v>
      </c>
      <c r="H25" s="9">
        <f t="array" ref="H25">IF(H$11&gt;=0,MAX(INDEX(MMULT(inverseG,G$12:G$62),$A25+1,1),MAX(strike-$B25,0)),"")</f>
        <v>1.75</v>
      </c>
      <c r="I25" s="9">
        <f t="array" ref="I25">IF(I$11&gt;=0,MAX(INDEX(MMULT(inverseG,H$12:H$62),$A25+1,1),MAX(strike-$B25,0)),"")</f>
        <v>1.75</v>
      </c>
      <c r="J25" s="9">
        <f t="array" ref="J25">IF(J$11&gt;=0,MAX(INDEX(MMULT(inverseG,I$12:I$62),$A25+1,1),MAX(strike-$B25,0)),"")</f>
        <v>1.75</v>
      </c>
      <c r="K25" s="9">
        <f t="array" ref="K25">IF(K$11&gt;=0,MAX(INDEX(MMULT(inverseG,J$12:J$62),$A25+1,1),MAX(strike-$B25,0)),"")</f>
        <v>1.75</v>
      </c>
      <c r="L25" s="9">
        <f t="array" ref="L25">IF(L$11&gt;=0,MAX(INDEX(MMULT(inverseG,K$12:K$62),$A25+1,1),MAX(strike-$B25,0)),"")</f>
        <v>1.75</v>
      </c>
      <c r="M25" s="9">
        <f t="array" ref="M25">IF(M$11&gt;=0,MAX(INDEX(MMULT(inverseG,L$12:L$62),$A25+1,1),MAX(strike-$B25,0)),"")</f>
        <v>1.75</v>
      </c>
      <c r="N25" s="9">
        <f t="array" ref="N25">IF(N$11&gt;=0,MAX(INDEX(MMULT(inverseG,M$12:M$62),$A25+1,1),MAX(strike-$B25,0)),"")</f>
        <v>1.75</v>
      </c>
      <c r="O25" s="9">
        <f t="array" ref="O25">IF(O$11&gt;=0,MAX(INDEX(MMULT(inverseG,N$12:N$62),$A25+1,1),MAX(strike-$B25,0)),"")</f>
        <v>1.75</v>
      </c>
      <c r="P25" s="9">
        <f t="array" ref="P25">IF(P$11&gt;=0,MAX(INDEX(MMULT(inverseG,O$12:O$62),$A25+1,1),MAX(strike-$B25,0)),"")</f>
        <v>1.75</v>
      </c>
      <c r="Q25" s="9">
        <f t="array" ref="Q25">IF(Q$11&gt;=0,MAX(INDEX(MMULT(inverseG,P$12:P$62),$A25+1,1),MAX(strike-$B25,0)),"")</f>
        <v>1.75</v>
      </c>
      <c r="R25" s="9">
        <f t="array" ref="R25">IF(R$11&gt;=0,MAX(INDEX(MMULT(inverseG,Q$12:Q$62),$A25+1,1),MAX(strike-$B25,0)),"")</f>
        <v>1.75</v>
      </c>
      <c r="S25" s="9">
        <f t="array" ref="S25">IF(S$11&gt;=0,MAX(INDEX(MMULT(inverseG,R$12:R$62),$A25+1,1),MAX(strike-$B25,0)),"")</f>
        <v>1.75</v>
      </c>
      <c r="T25" s="9">
        <f t="array" ref="T25">IF(T$11&gt;=0,MAX(INDEX(MMULT(inverseG,S$12:S$62),$A25+1,1),MAX(strike-$B25,0)),"")</f>
        <v>1.75</v>
      </c>
      <c r="U25" s="9">
        <f t="array" ref="U25">IF(U$11&gt;=0,MAX(INDEX(MMULT(inverseG,T$12:T$62),$A25+1,1),MAX(strike-$B25,0)),"")</f>
        <v>1.75</v>
      </c>
      <c r="V25" s="9">
        <f t="array" ref="V25">IF(V$11&gt;=0,MAX(INDEX(MMULT(inverseG,U$12:U$62),$A25+1,1),MAX(strike-$B25,0)),"")</f>
        <v>1.75</v>
      </c>
      <c r="W25" s="9">
        <f t="array" ref="W25">IF(W$11&gt;=0,MAX(INDEX(MMULT(inverseG,V$12:V$62),$A25+1,1),MAX(strike-$B25,0)),"")</f>
        <v>1.75</v>
      </c>
      <c r="X25" s="9">
        <f t="array" ref="X25">IF(X$11&gt;=0,MAX(INDEX(MMULT(inverseG,W$12:W$62),$A25+1,1),MAX(strike-$B25,0)),"")</f>
        <v>1.75</v>
      </c>
      <c r="Y25" s="9">
        <f t="array" ref="Y25">IF(Y$11&gt;=0,MAX(INDEX(MMULT(inverseG,X$12:X$62),$A25+1,1),MAX(strike-$B25,0)),"")</f>
        <v>1.75</v>
      </c>
      <c r="Z25" s="9">
        <f t="array" ref="Z25">IF(Z$11&gt;=0,MAX(INDEX(MMULT(inverseG,Y$12:Y$62),$A25+1,1),MAX(strike-$B25,0)),"")</f>
        <v>1.75</v>
      </c>
      <c r="AA25" s="9">
        <f t="array" ref="AA25">IF(AA$11&gt;=0,MAX(INDEX(MMULT(inverseG,Z$12:Z$62),$A25+1,1),MAX(strike-$B25,0)),"")</f>
        <v>1.75</v>
      </c>
      <c r="AB25" s="9">
        <f t="array" ref="AB25">IF(AB$11&gt;=0,MAX(INDEX(MMULT(inverseG,AA$12:AA$62),$A25+1,1),MAX(strike-$B25,0)),"")</f>
        <v>1.75</v>
      </c>
      <c r="AC25" s="9">
        <f t="array" ref="AC25">IF(AC$11&gt;=0,MAX(INDEX(MMULT(inverseG,AB$12:AB$62),$A25+1,1),MAX(strike-$B25,0)),"")</f>
        <v>1.75</v>
      </c>
      <c r="AD25" s="9">
        <f t="array" ref="AD25">IF(AD$11&gt;=0,MAX(INDEX(MMULT(inverseG,AC$12:AC$62),$A25+1,1),MAX(strike-$B25,0)),"")</f>
        <v>1.75</v>
      </c>
      <c r="AE25" s="9">
        <f t="array" ref="AE25">IF(AE$11&gt;=0,MAX(INDEX(MMULT(inverseG,AD$12:AD$62),$A25+1,1),MAX(strike-$B25,0)),"")</f>
        <v>1.75</v>
      </c>
      <c r="AF25" s="9">
        <f t="array" ref="AF25">IF(AF$11&gt;=0,MAX(INDEX(MMULT(inverseG,AE$12:AE$62),$A25+1,1),MAX(strike-$B25,0)),"")</f>
        <v>1.75</v>
      </c>
      <c r="AG25" s="9">
        <f t="array" ref="AG25">IF(AG$11&gt;=0,MAX(INDEX(MMULT(inverseG,AF$12:AF$62),$A25+1,1),MAX(strike-$B25,0)),"")</f>
        <v>1.75</v>
      </c>
      <c r="AH25" s="9">
        <f t="array" ref="AH25">IF(AH$11&gt;=0,MAX(INDEX(MMULT(inverseG,AG$12:AG$62),$A25+1,1),MAX(strike-$B25,0)),"")</f>
        <v>1.75</v>
      </c>
      <c r="AI25" s="9">
        <f t="array" ref="AI25">IF(AI$11&gt;=0,MAX(INDEX(MMULT(inverseG,AH$12:AH$62),$A25+1,1),MAX(strike-$B25,0)),"")</f>
        <v>1.75</v>
      </c>
      <c r="AJ25" s="9">
        <f t="array" ref="AJ25">IF(AJ$11&gt;=0,MAX(INDEX(MMULT(inverseG,AI$12:AI$62),$A25+1,1),MAX(strike-$B25,0)),"")</f>
        <v>1.75</v>
      </c>
      <c r="AK25" s="9">
        <f t="array" ref="AK25">IF(AK$11&gt;=0,MAX(INDEX(MMULT(inverseG,AJ$12:AJ$62),$A25+1,1),MAX(strike-$B25,0)),"")</f>
        <v>1.75</v>
      </c>
      <c r="AL25" s="9">
        <f t="array" ref="AL25">IF(AL$11&gt;=0,MAX(INDEX(MMULT(inverseG,AK$12:AK$62),$A25+1,1),MAX(strike-$B25,0)),"")</f>
        <v>1.75</v>
      </c>
      <c r="AM25" s="9">
        <f t="array" ref="AM25">IF(AM$11&gt;=0,MAX(INDEX(MMULT(inverseG,AL$12:AL$62),$A25+1,1),MAX(strike-$B25,0)),"")</f>
        <v>1.75</v>
      </c>
      <c r="AN25" s="9">
        <f t="array" ref="AN25">IF(AN$11&gt;=0,MAX(INDEX(MMULT(inverseG,AM$12:AM$62),$A25+1,1),MAX(strike-$B25,0)),"")</f>
        <v>1.75</v>
      </c>
      <c r="AO25" s="9">
        <f t="array" ref="AO25">IF(AO$11&gt;=0,MAX(INDEX(MMULT(inverseG,AN$12:AN$62),$A25+1,1),MAX(strike-$B25,0)),"")</f>
        <v>1.75</v>
      </c>
      <c r="AP25" s="9">
        <f t="array" ref="AP25">IF(AP$11&gt;=0,MAX(INDEX(MMULT(inverseG,AO$12:AO$62),$A25+1,1),MAX(strike-$B25,0)),"")</f>
        <v>1.75</v>
      </c>
      <c r="AQ25" s="9">
        <f t="array" ref="AQ25">IF(AQ$11&gt;=0,MAX(INDEX(MMULT(inverseG,AP$12:AP$62),$A25+1,1),MAX(strike-$B25,0)),"")</f>
        <v>1.75</v>
      </c>
      <c r="AR25" s="9">
        <f t="array" ref="AR25">IF(AR$11&gt;=0,MAX(INDEX(MMULT(inverseG,AQ$12:AQ$62),$A25+1,1),MAX(strike-$B25,0)),"")</f>
        <v>1.75</v>
      </c>
      <c r="AS25" s="9">
        <f t="array" ref="AS25">IF(AS$11&gt;=0,MAX(INDEX(MMULT(inverseG,AR$12:AR$62),$A25+1,1),MAX(strike-$B25,0)),"")</f>
        <v>1.75</v>
      </c>
      <c r="AT25" s="9">
        <f t="array" ref="AT25">IF(AT$11&gt;=0,MAX(INDEX(MMULT(inverseG,AS$12:AS$62),$A25+1,1),MAX(strike-$B25,0)),"")</f>
        <v>1.75</v>
      </c>
      <c r="AU25" s="9">
        <f t="array" ref="AU25">IF(AU$11&gt;=0,MAX(INDEX(MMULT(inverseG,AT$12:AT$62),$A25+1,1),MAX(strike-$B25,0)),"")</f>
        <v>1.75</v>
      </c>
      <c r="AV25" s="9">
        <f t="array" ref="AV25">IF(AV$11&gt;=0,MAX(INDEX(MMULT(inverseG,AU$12:AU$62),$A25+1,1),MAX(strike-$B25,0)),"")</f>
        <v>1.75</v>
      </c>
      <c r="AW25" s="9">
        <f t="array" ref="AW25">IF(AW$11&gt;=0,MAX(INDEX(MMULT(inverseG,AV$12:AV$62),$A25+1,1),MAX(strike-$B25,0)),"")</f>
        <v>1.75</v>
      </c>
      <c r="AX25" s="9">
        <f t="array" ref="AX25">IF(AX$11&gt;=0,MAX(INDEX(MMULT(inverseG,AW$12:AW$62),$A25+1,1),MAX(strike-$B25,0)),"")</f>
        <v>1.75</v>
      </c>
      <c r="AY25" s="9">
        <f t="array" ref="AY25">IF(AY$11&gt;=0,MAX(INDEX(MMULT(inverseG,AX$12:AX$62),$A25+1,1),MAX(strike-$B25,0)),"")</f>
        <v>1.75</v>
      </c>
      <c r="AZ25" s="9">
        <f t="array" ref="AZ25">IF(AZ$11&gt;=0,MAX(INDEX(MMULT(inverseG,AY$12:AY$62),$A25+1,1),MAX(strike-$B25,0)),"")</f>
        <v>1.75</v>
      </c>
      <c r="BA25" s="9">
        <f t="array" ref="BA25">IF(BA$11&gt;=0,MAX(INDEX(MMULT(inverseG,AZ$12:AZ$62),$A25+1,1),MAX(strike-$B25,0)),"")</f>
        <v>1.75</v>
      </c>
      <c r="BB25" s="9">
        <f t="array" ref="BB25">IF(BB$11&gt;=0,MAX(INDEX(MMULT(inverseG,BA$12:BA$62),$A25+1,1),MAX(strike-$B25,0)),"")</f>
        <v>1.75</v>
      </c>
      <c r="BC25" s="9">
        <f t="array" ref="BC25">IF(BC$11&gt;=0,MAX(INDEX(MMULT(inverseG,BB$12:BB$62),$A25+1,1),MAX(strike-$B25,0)),"")</f>
        <v>1.75</v>
      </c>
      <c r="BD25" s="9">
        <f t="array" ref="BD25">IF(BD$11&gt;=0,MAX(INDEX(MMULT(inverseG,BC$12:BC$62),$A25+1,1),MAX(strike-$B25,0)),"")</f>
        <v>1.75</v>
      </c>
      <c r="BE25" s="9">
        <f t="array" ref="BE25">IF(BE$11&gt;=0,MAX(INDEX(MMULT(inverseG,BD$12:BD$62),$A25+1,1),MAX(strike-$B25,0)),"")</f>
        <v>1.75</v>
      </c>
      <c r="BF25" s="9">
        <f t="array" ref="BF25">IF(BF$11&gt;=0,MAX(INDEX(MMULT(inverseG,BE$12:BE$62),$A25+1,1),MAX(strike-$B25,0)),"")</f>
        <v>1.75</v>
      </c>
      <c r="BG25" s="9">
        <f t="array" ref="BG25">IF(BG$11&gt;=0,MAX(INDEX(MMULT(inverseG,BF$12:BF$62),$A25+1,1),MAX(strike-$B25,0)),"")</f>
        <v>1.75</v>
      </c>
      <c r="BH25" s="9">
        <f t="array" ref="BH25">IF(BH$11&gt;=0,MAX(INDEX(MMULT(inverseG,BG$12:BG$62),$A25+1,1),MAX(strike-$B25,0)),"")</f>
        <v>1.75</v>
      </c>
      <c r="BI25" s="9">
        <f t="array" ref="BI25">IF(BI$11&gt;=0,MAX(INDEX(MMULT(inverseG,BH$12:BH$62),$A25+1,1),MAX(strike-$B25,0)),"")</f>
        <v>1.75</v>
      </c>
      <c r="BJ25" s="9">
        <f t="array" ref="BJ25">IF(BJ$11&gt;=0,MAX(INDEX(MMULT(inverseG,BI$12:BI$62),$A25+1,1),MAX(strike-$B25,0)),"")</f>
        <v>1.75</v>
      </c>
      <c r="BK25" s="9">
        <f t="array" ref="BK25">IF(BK$11&gt;=0,MAX(INDEX(MMULT(inverseG,BJ$12:BJ$62),$A25+1,1),MAX(strike-$B25,0)),"")</f>
        <v>1.75</v>
      </c>
      <c r="BL25" s="9">
        <f t="array" ref="BL25">IF(BL$11&gt;=0,MAX(INDEX(MMULT(inverseG,BK$12:BK$62),$A25+1,1),MAX(strike-$B25,0)),"")</f>
        <v>1.75</v>
      </c>
      <c r="BM25" s="9">
        <f t="array" ref="BM25">IF(BM$11&gt;=0,MAX(INDEX(MMULT(inverseG,BL$12:BL$62),$A25+1,1),MAX(strike-$B25,0)),"")</f>
        <v>1.75</v>
      </c>
      <c r="BN25" s="9">
        <f t="array" ref="BN25">IF(BN$11&gt;=0,MAX(INDEX(MMULT(inverseG,BM$12:BM$62),$A25+1,1),MAX(strike-$B25,0)),"")</f>
        <v>1.75</v>
      </c>
      <c r="BO25" s="9">
        <f t="array" ref="BO25">IF(BO$11&gt;=0,MAX(INDEX(MMULT(inverseG,BN$12:BN$62),$A25+1,1),MAX(strike-$B25,0)),"")</f>
        <v>1.75</v>
      </c>
      <c r="BP25" s="9">
        <f t="array" ref="BP25">IF(BP$11&gt;=0,MAX(INDEX(MMULT(inverseG,BO$12:BO$62),$A25+1,1),MAX(strike-$B25,0)),"")</f>
        <v>1.75</v>
      </c>
      <c r="BQ25" s="9">
        <f t="array" ref="BQ25">IF(BQ$11&gt;=0,MAX(INDEX(MMULT(inverseG,BP$12:BP$62),$A25+1,1),MAX(strike-$B25,0)),"")</f>
        <v>1.75</v>
      </c>
      <c r="BR25" s="9">
        <f t="array" ref="BR25">IF(BR$11&gt;=0,MAX(INDEX(MMULT(inverseG,BQ$12:BQ$62),$A25+1,1),MAX(strike-$B25,0)),"")</f>
        <v>1.75</v>
      </c>
      <c r="BS25" s="9">
        <f t="array" ref="BS25">IF(BS$11&gt;=0,MAX(INDEX(MMULT(inverseG,BR$12:BR$62),$A25+1,1),MAX(strike-$B25,0)),"")</f>
        <v>1.75</v>
      </c>
      <c r="BT25" s="9">
        <f t="array" ref="BT25">IF(BT$11&gt;=0,MAX(INDEX(MMULT(inverseG,BS$12:BS$62),$A25+1,1),MAX(strike-$B25,0)),"")</f>
        <v>1.75</v>
      </c>
      <c r="BU25" s="9">
        <f t="array" ref="BU25">IF(BU$11&gt;=0,MAX(INDEX(MMULT(inverseG,BT$12:BT$62),$A25+1,1),MAX(strike-$B25,0)),"")</f>
        <v>1.75</v>
      </c>
      <c r="BV25" s="9">
        <f t="array" ref="BV25">IF(BV$11&gt;=0,MAX(INDEX(MMULT(inverseG,BU$12:BU$62),$A25+1,1),MAX(strike-$B25,0)),"")</f>
        <v>1.75</v>
      </c>
      <c r="BW25" s="9">
        <f t="array" ref="BW25">IF(BW$11&gt;=0,MAX(INDEX(MMULT(inverseG,BV$12:BV$62),$A25+1,1),MAX(strike-$B25,0)),"")</f>
        <v>1.75</v>
      </c>
      <c r="BX25" s="9">
        <f t="array" ref="BX25">IF(BX$11&gt;=0,MAX(INDEX(MMULT(inverseG,BW$12:BW$62),$A25+1,1),MAX(strike-$B25,0)),"")</f>
        <v>1.75</v>
      </c>
      <c r="BY25" s="9">
        <f t="array" ref="BY25">IF(BY$11&gt;=0,MAX(INDEX(MMULT(inverseG,BX$12:BX$62),$A25+1,1),MAX(strike-$B25,0)),"")</f>
        <v>1.75</v>
      </c>
      <c r="BZ25" s="9">
        <f t="array" ref="BZ25">IF(BZ$11&gt;=0,MAX(INDEX(MMULT(inverseG,BY$12:BY$62),$A25+1,1),MAX(strike-$B25,0)),"")</f>
        <v>1.75</v>
      </c>
      <c r="CA25" s="9">
        <f t="array" ref="CA25">IF(CA$11&gt;=0,MAX(INDEX(MMULT(inverseG,BZ$12:BZ$62),$A25+1,1),MAX(strike-$B25,0)),"")</f>
        <v>1.75</v>
      </c>
      <c r="CB25" s="9">
        <f t="array" ref="CB25">IF(CB$11&gt;=0,MAX(INDEX(MMULT(inverseG,CA$12:CA$62),$A25+1,1),MAX(strike-$B25,0)),"")</f>
        <v>1.75</v>
      </c>
      <c r="CC25" s="9">
        <f t="array" ref="CC25">IF(CC$11&gt;=0,MAX(INDEX(MMULT(inverseG,CB$12:CB$62),$A25+1,1),MAX(strike-$B25,0)),"")</f>
        <v>1.75</v>
      </c>
      <c r="CD25" s="9">
        <f t="array" ref="CD25">IF(CD$11&gt;=0,MAX(INDEX(MMULT(inverseG,CC$12:CC$62),$A25+1,1),MAX(strike-$B25,0)),"")</f>
        <v>1.75</v>
      </c>
      <c r="CE25" s="9">
        <f t="array" ref="CE25">IF(CE$11&gt;=0,MAX(INDEX(MMULT(inverseG,CD$12:CD$62),$A25+1,1),MAX(strike-$B25,0)),"")</f>
        <v>1.75</v>
      </c>
      <c r="CF25" s="9">
        <f t="array" ref="CF25">IF(CF$11&gt;=0,MAX(INDEX(MMULT(inverseG,CE$12:CE$62),$A25+1,1),MAX(strike-$B25,0)),"")</f>
        <v>1.75</v>
      </c>
      <c r="CG25" s="9">
        <f t="array" ref="CG25">IF(CG$11&gt;=0,MAX(INDEX(MMULT(inverseG,CF$12:CF$62),$A25+1,1),MAX(strike-$B25,0)),"")</f>
        <v>1.75</v>
      </c>
      <c r="CH25" s="9">
        <f t="array" ref="CH25">IF(CH$11&gt;=0,MAX(INDEX(MMULT(inverseG,CG$12:CG$62),$A25+1,1),MAX(strike-$B25,0)),"")</f>
        <v>1.75</v>
      </c>
      <c r="CI25" s="9">
        <f t="array" ref="CI25">IF(CI$11&gt;=0,MAX(INDEX(MMULT(inverseG,CH$12:CH$62),$A25+1,1),MAX(strike-$B25,0)),"")</f>
        <v>1.75</v>
      </c>
      <c r="CJ25" s="9">
        <f t="array" ref="CJ25">IF(CJ$11&gt;=0,MAX(INDEX(MMULT(inverseG,CI$12:CI$62),$A25+1,1),MAX(strike-$B25,0)),"")</f>
        <v>1.75</v>
      </c>
      <c r="CK25" s="9">
        <f t="array" ref="CK25">IF(CK$11&gt;=0,MAX(INDEX(MMULT(inverseG,CJ$12:CJ$62),$A25+1,1),MAX(strike-$B25,0)),"")</f>
        <v>1.75</v>
      </c>
      <c r="CL25" s="9">
        <f t="array" ref="CL25">IF(CL$11&gt;=0,MAX(INDEX(MMULT(inverseG,CK$12:CK$62),$A25+1,1),MAX(strike-$B25,0)),"")</f>
        <v>1.75</v>
      </c>
      <c r="CM25" s="9">
        <f t="array" ref="CM25">IF(CM$11&gt;=0,MAX(INDEX(MMULT(inverseG,CL$12:CL$62),$A25+1,1),MAX(strike-$B25,0)),"")</f>
        <v>1.75</v>
      </c>
      <c r="CN25" s="9">
        <f t="array" ref="CN25">IF(CN$11&gt;=0,MAX(INDEX(MMULT(inverseG,CM$12:CM$62),$A25+1,1),MAX(strike-$B25,0)),"")</f>
        <v>1.75</v>
      </c>
      <c r="CO25" s="9">
        <f t="array" ref="CO25">IF(CO$11&gt;=0,MAX(INDEX(MMULT(inverseG,CN$12:CN$62),$A25+1,1),MAX(strike-$B25,0)),"")</f>
        <v>1.75</v>
      </c>
      <c r="CP25" s="9">
        <f t="array" ref="CP25">IF(CP$11&gt;=0,MAX(INDEX(MMULT(inverseG,CO$12:CO$62),$A25+1,1),MAX(strike-$B25,0)),"")</f>
        <v>1.75</v>
      </c>
      <c r="CQ25" s="9">
        <f t="array" ref="CQ25">IF(CQ$11&gt;=0,MAX(INDEX(MMULT(inverseG,CP$12:CP$62),$A25+1,1),MAX(strike-$B25,0)),"")</f>
        <v>1.75</v>
      </c>
      <c r="CR25" s="9">
        <f t="array" ref="CR25">IF(CR$11&gt;=0,MAX(INDEX(MMULT(inverseG,CQ$12:CQ$62),$A25+1,1),MAX(strike-$B25,0)),"")</f>
        <v>1.75</v>
      </c>
      <c r="CS25" s="9">
        <f t="array" ref="CS25">IF(CS$11&gt;=0,MAX(INDEX(MMULT(inverseG,CR$12:CR$62),$A25+1,1),MAX(strike-$B25,0)),"")</f>
        <v>1.75</v>
      </c>
      <c r="CT25" s="9">
        <f t="array" ref="CT25">IF(CT$11&gt;=0,MAX(INDEX(MMULT(inverseG,CS$12:CS$62),$A25+1,1),MAX(strike-$B25,0)),"")</f>
        <v>1.75</v>
      </c>
      <c r="CU25" s="9">
        <f t="array" ref="CU25">IF(CU$11&gt;=0,MAX(INDEX(MMULT(inverseG,CT$12:CT$62),$A25+1,1),MAX(strike-$B25,0)),"")</f>
        <v>1.75</v>
      </c>
      <c r="CV25" s="9">
        <f t="array" ref="CV25">IF(CV$11&gt;=0,MAX(INDEX(MMULT(inverseG,CU$12:CU$62),$A25+1,1),MAX(strike-$B25,0)),"")</f>
        <v>1.75</v>
      </c>
      <c r="CW25" s="9">
        <f t="array" ref="CW25">IF(CW$11&gt;=0,MAX(INDEX(MMULT(inverseG,CV$12:CV$62),$A25+1,1),MAX(strike-$B25,0)),"")</f>
        <v>1.75</v>
      </c>
      <c r="CX25" s="9">
        <f t="array" ref="CX25">IF(CX$11&gt;=0,MAX(INDEX(MMULT(inverseG,CW$12:CW$62),$A25+1,1),MAX(strike-$B25,0)),"")</f>
        <v>1.75</v>
      </c>
      <c r="CY25" s="9">
        <f t="array" ref="CY25">IF(CY$11&gt;=0,MAX(INDEX(MMULT(inverseG,CX$12:CX$62),$A25+1,1),MAX(strike-$B25,0)),"")</f>
        <v>1.75</v>
      </c>
      <c r="CZ25" s="9">
        <f t="array" ref="CZ25">IF(CZ$11&gt;=0,MAX(INDEX(MMULT(inverseG,CY$12:CY$62),$A25+1,1),MAX(strike-$B25,0)),"")</f>
        <v>1.75</v>
      </c>
      <c r="DA25" s="9" t="str">
        <f t="array" ref="DA25">IF(DA$11&gt;=0,MAX(INDEX(MMULT(inverseG,CZ$12:CZ$62),$A25+1,1),MAX(strike-$B25,0)),"")</f>
        <v/>
      </c>
      <c r="DB25" s="9" t="str">
        <f t="array" ref="DB25">IF(DB$11&gt;=0,MAX(INDEX(MMULT(inverseG,DA$12:DA$62),$A25+1,1),MAX(strike-$B25,0)),"")</f>
        <v/>
      </c>
      <c r="DC25" s="9" t="str">
        <f t="array" ref="DC25">IF(DC$11&gt;=0,MAX(INDEX(MMULT(inverseG,DB$12:DB$62),$A25+1,1),MAX(strike-$B25,0)),"")</f>
        <v/>
      </c>
      <c r="DD25" s="9" t="str">
        <f t="array" ref="DD25">IF(DD$11&gt;=0,MAX(INDEX(MMULT(inverseG,DC$12:DC$62),$A25+1,1),MAX(strike-$B25,0)),"")</f>
        <v/>
      </c>
      <c r="DE25" s="9" t="str">
        <f t="array" ref="DE25">IF(DE$11&gt;=0,MAX(INDEX(MMULT(inverseG,DD$12:DD$62),$A25+1,1),MAX(strike-$B25,0)),"")</f>
        <v/>
      </c>
      <c r="DF25" s="9" t="str">
        <f t="array" ref="DF25">IF(DF$11&gt;=0,MAX(INDEX(MMULT(inverseG,DE$12:DE$62),$A25+1,1),MAX(strike-$B25,0)),"")</f>
        <v/>
      </c>
      <c r="DG25" s="9" t="str">
        <f t="array" ref="DG25">IF(DG$11&gt;=0,MAX(INDEX(MMULT(inverseG,DF$12:DF$62),$A25+1,1),MAX(strike-$B25,0)),"")</f>
        <v/>
      </c>
      <c r="DH25" s="9" t="str">
        <f t="array" ref="DH25">IF(DH$11&gt;=0,MAX(INDEX(MMULT(inverseG,DG$12:DG$62),$A25+1,1),MAX(strike-$B25,0)),"")</f>
        <v/>
      </c>
      <c r="DI25" s="9" t="str">
        <f t="array" ref="DI25">IF(DI$11&gt;=0,MAX(INDEX(MMULT(inverseG,DH$12:DH$62),$A25+1,1),MAX(strike-$B25,0)),"")</f>
        <v/>
      </c>
      <c r="DJ25" s="9" t="str">
        <f t="array" ref="DJ25">IF(DJ$11&gt;=0,MAX(INDEX(MMULT(inverseG,DI$12:DI$62),$A25+1,1),MAX(strike-$B25,0)),"")</f>
        <v/>
      </c>
      <c r="DK25" s="9" t="str">
        <f t="array" ref="DK25">IF(DK$11&gt;=0,MAX(INDEX(MMULT(inverseG,DJ$12:DJ$62),$A25+1,1),MAX(strike-$B25,0)),"")</f>
        <v/>
      </c>
      <c r="DL25" s="9" t="str">
        <f t="array" ref="DL25">IF(DL$11&gt;=0,MAX(INDEX(MMULT(inverseG,DK$12:DK$62),$A25+1,1),MAX(strike-$B25,0)),"")</f>
        <v/>
      </c>
      <c r="DM25" s="9" t="str">
        <f t="array" ref="DM25">IF(DM$11&gt;=0,MAX(INDEX(MMULT(inverseG,DL$12:DL$62),$A25+1,1),MAX(strike-$B25,0)),"")</f>
        <v/>
      </c>
      <c r="DN25" s="9" t="str">
        <f t="array" ref="DN25">IF(DN$11&gt;=0,MAX(INDEX(MMULT(inverseG,DM$12:DM$62),$A25+1,1),MAX(strike-$B25,0)),"")</f>
        <v/>
      </c>
      <c r="DO25" s="9" t="str">
        <f t="array" ref="DO25">IF(DO$11&gt;=0,MAX(INDEX(MMULT(inverseG,DN$12:DN$62),$A25+1,1),MAX(strike-$B25,0)),"")</f>
        <v/>
      </c>
      <c r="DP25" s="9" t="str">
        <f t="array" ref="DP25">IF(DP$11&gt;=0,MAX(INDEX(MMULT(inverseG,DO$12:DO$62),$A25+1,1),MAX(strike-$B25,0)),"")</f>
        <v/>
      </c>
      <c r="DQ25" s="9" t="str">
        <f t="array" ref="DQ25">IF(DQ$11&gt;=0,MAX(INDEX(MMULT(inverseG,DP$12:DP$62),$A25+1,1),MAX(strike-$B25,0)),"")</f>
        <v/>
      </c>
      <c r="DR25" s="9" t="str">
        <f t="array" ref="DR25">IF(DR$11&gt;=0,MAX(INDEX(MMULT(inverseG,DQ$12:DQ$62),$A25+1,1),MAX(strike-$B25,0)),"")</f>
        <v/>
      </c>
      <c r="DS25" s="9" t="str">
        <f t="array" ref="DS25">IF(DS$11&gt;=0,MAX(INDEX(MMULT(inverseG,DR$12:DR$62),$A25+1,1),MAX(strike-$B25,0)),"")</f>
        <v/>
      </c>
      <c r="DT25" s="9" t="str">
        <f t="array" ref="DT25">IF(DT$11&gt;=0,MAX(INDEX(MMULT(inverseG,DS$12:DS$62),$A25+1,1),MAX(strike-$B25,0)),"")</f>
        <v/>
      </c>
      <c r="DU25" s="9" t="str">
        <f t="array" ref="DU25">IF(DU$11&gt;=0,MAX(INDEX(MMULT(inverseG,DT$12:DT$62),$A25+1,1),MAX(strike-$B25,0)),"")</f>
        <v/>
      </c>
      <c r="DV25" s="9" t="str">
        <f t="array" ref="DV25">IF(DV$11&gt;=0,MAX(INDEX(MMULT(inverseG,DU$12:DU$62),$A25+1,1),MAX(strike-$B25,0)),"")</f>
        <v/>
      </c>
      <c r="DW25" s="9" t="str">
        <f t="array" ref="DW25">IF(DW$11&gt;=0,MAX(INDEX(MMULT(inverseG,DV$12:DV$62),$A25+1,1),MAX(strike-$B25,0)),"")</f>
        <v/>
      </c>
      <c r="DX25" s="9" t="str">
        <f t="array" ref="DX25">IF(DX$11&gt;=0,MAX(INDEX(MMULT(inverseG,DW$12:DW$62),$A25+1,1),MAX(strike-$B25,0)),"")</f>
        <v/>
      </c>
      <c r="DY25" s="9" t="str">
        <f t="array" ref="DY25">IF(DY$11&gt;=0,MAX(INDEX(MMULT(inverseG,DX$12:DX$62),$A25+1,1),MAX(strike-$B25,0)),"")</f>
        <v/>
      </c>
      <c r="DZ25" s="9" t="str">
        <f t="array" ref="DZ25">IF(DZ$11&gt;=0,MAX(INDEX(MMULT(inverseG,DY$12:DY$62),$A25+1,1),MAX(strike-$B25,0)),"")</f>
        <v/>
      </c>
      <c r="EA25" s="9" t="str">
        <f t="array" ref="EA25">IF(EA$11&gt;=0,MAX(INDEX(MMULT(inverseG,DZ$12:DZ$62),$A25+1,1),MAX(strike-$B25,0)),"")</f>
        <v/>
      </c>
      <c r="EB25" s="9" t="str">
        <f t="array" ref="EB25">IF(EB$11&gt;=0,MAX(INDEX(MMULT(inverseG,EA$12:EA$62),$A25+1,1),MAX(strike-$B25,0)),"")</f>
        <v/>
      </c>
      <c r="EC25" s="9" t="str">
        <f t="array" ref="EC25">IF(EC$11&gt;=0,MAX(INDEX(MMULT(inverseG,EB$12:EB$62),$A25+1,1),MAX(strike-$B25,0)),"")</f>
        <v/>
      </c>
      <c r="ED25" s="9" t="str">
        <f t="array" ref="ED25">IF(ED$11&gt;=0,MAX(INDEX(MMULT(inverseG,EC$12:EC$62),$A25+1,1),MAX(strike-$B25,0)),"")</f>
        <v/>
      </c>
      <c r="EE25" s="9" t="str">
        <f t="array" ref="EE25">IF(EE$11&gt;=0,MAX(INDEX(MMULT(inverseG,ED$12:ED$62),$A25+1,1),MAX(strike-$B25,0)),"")</f>
        <v/>
      </c>
      <c r="EF25" s="9" t="str">
        <f t="array" ref="EF25">IF(EF$11&gt;=0,MAX(INDEX(MMULT(inverseG,EE$12:EE$62),$A25+1,1),MAX(strike-$B25,0)),"")</f>
        <v/>
      </c>
      <c r="EG25" s="9" t="str">
        <f t="array" ref="EG25">IF(EG$11&gt;=0,MAX(INDEX(MMULT(inverseG,EF$12:EF$62),$A25+1,1),MAX(strike-$B25,0)),"")</f>
        <v/>
      </c>
      <c r="EH25" s="9" t="str">
        <f t="array" ref="EH25">IF(EH$11&gt;=0,MAX(INDEX(MMULT(inverseG,EG$12:EG$62),$A25+1,1),MAX(strike-$B25,0)),"")</f>
        <v/>
      </c>
      <c r="EI25" s="9" t="str">
        <f t="array" ref="EI25">IF(EI$11&gt;=0,MAX(INDEX(MMULT(inverseG,EH$12:EH$62),$A25+1,1),MAX(strike-$B25,0)),"")</f>
        <v/>
      </c>
      <c r="EJ25" s="9" t="str">
        <f t="array" ref="EJ25">IF(EJ$11&gt;=0,MAX(INDEX(MMULT(inverseG,EI$12:EI$62),$A25+1,1),MAX(strike-$B25,0)),"")</f>
        <v/>
      </c>
      <c r="EK25" s="9" t="str">
        <f t="array" ref="EK25">IF(EK$11&gt;=0,MAX(INDEX(MMULT(inverseG,EJ$12:EJ$62),$A25+1,1),MAX(strike-$B25,0)),"")</f>
        <v/>
      </c>
      <c r="EL25" s="9" t="str">
        <f t="array" ref="EL25">IF(EL$11&gt;=0,MAX(INDEX(MMULT(inverseG,EK$12:EK$62),$A25+1,1),MAX(strike-$B25,0)),"")</f>
        <v/>
      </c>
      <c r="EM25" s="9" t="str">
        <f t="array" ref="EM25">IF(EM$11&gt;=0,MAX(INDEX(MMULT(inverseG,EL$12:EL$62),$A25+1,1),MAX(strike-$B25,0)),"")</f>
        <v/>
      </c>
      <c r="EN25" s="9" t="str">
        <f t="array" ref="EN25">IF(EN$11&gt;=0,MAX(INDEX(MMULT(inverseG,EM$12:EM$62),$A25+1,1),MAX(strike-$B25,0)),"")</f>
        <v/>
      </c>
      <c r="EO25" s="9" t="str">
        <f t="array" ref="EO25">IF(EO$11&gt;=0,MAX(INDEX(MMULT(inverseG,EN$12:EN$62),$A25+1,1),MAX(strike-$B25,0)),"")</f>
        <v/>
      </c>
      <c r="EP25" s="9" t="str">
        <f t="array" ref="EP25">IF(EP$11&gt;=0,MAX(INDEX(MMULT(inverseG,EO$12:EO$62),$A25+1,1),MAX(strike-$B25,0)),"")</f>
        <v/>
      </c>
      <c r="EQ25" s="9" t="str">
        <f t="array" ref="EQ25">IF(EQ$11&gt;=0,MAX(INDEX(MMULT(inverseG,EP$12:EP$62),$A25+1,1),MAX(strike-$B25,0)),"")</f>
        <v/>
      </c>
      <c r="ER25" s="9" t="str">
        <f t="array" ref="ER25">IF(ER$11&gt;=0,MAX(INDEX(MMULT(inverseG,EQ$12:EQ$62),$A25+1,1),MAX(strike-$B25,0)),"")</f>
        <v/>
      </c>
      <c r="ES25" s="9" t="str">
        <f t="array" ref="ES25">IF(ES$11&gt;=0,MAX(INDEX(MMULT(inverseG,ER$12:ER$62),$A25+1,1),MAX(strike-$B25,0)),"")</f>
        <v/>
      </c>
      <c r="ET25" s="9" t="str">
        <f t="array" ref="ET25">IF(ET$11&gt;=0,MAX(INDEX(MMULT(inverseG,ES$12:ES$62),$A25+1,1),MAX(strike-$B25,0)),"")</f>
        <v/>
      </c>
      <c r="EU25" s="9" t="str">
        <f t="array" ref="EU25">IF(EU$11&gt;=0,MAX(INDEX(MMULT(inverseG,ET$12:ET$62),$A25+1,1),MAX(strike-$B25,0)),"")</f>
        <v/>
      </c>
      <c r="EV25" s="9" t="str">
        <f t="array" ref="EV25">IF(EV$11&gt;=0,MAX(INDEX(MMULT(inverseG,EU$12:EU$62),$A25+1,1),MAX(strike-$B25,0)),"")</f>
        <v/>
      </c>
      <c r="EW25" s="9" t="str">
        <f t="array" ref="EW25">IF(EW$11&gt;=0,MAX(INDEX(MMULT(inverseG,EV$12:EV$62),$A25+1,1),MAX(strike-$B25,0)),"")</f>
        <v/>
      </c>
      <c r="EX25" s="9" t="str">
        <f t="array" ref="EX25">IF(EX$11&gt;=0,MAX(INDEX(MMULT(inverseG,EW$12:EW$62),$A25+1,1),MAX(strike-$B25,0)),"")</f>
        <v/>
      </c>
      <c r="EY25" s="9" t="str">
        <f t="array" ref="EY25">IF(EY$11&gt;=0,MAX(INDEX(MMULT(inverseG,EX$12:EX$62),$A25+1,1),MAX(strike-$B25,0)),"")</f>
        <v/>
      </c>
      <c r="EZ25" s="9" t="str">
        <f t="array" ref="EZ25">IF(EZ$11&gt;=0,MAX(INDEX(MMULT(inverseG,EY$12:EY$62),$A25+1,1),MAX(strike-$B25,0)),"")</f>
        <v/>
      </c>
      <c r="FA25" s="9" t="str">
        <f t="array" ref="FA25">IF(FA$11&gt;=0,MAX(INDEX(MMULT(inverseG,EZ$12:EZ$62),$A25+1,1),MAX(strike-$B25,0)),"")</f>
        <v/>
      </c>
      <c r="FB25" s="9" t="str">
        <f t="array" ref="FB25">IF(FB$11&gt;=0,MAX(INDEX(MMULT(inverseG,FA$12:FA$62),$A25+1,1),MAX(strike-$B25,0)),"")</f>
        <v/>
      </c>
      <c r="FC25" s="9" t="str">
        <f t="array" ref="FC25">IF(FC$11&gt;=0,MAX(INDEX(MMULT(inverseG,FB$12:FB$62),$A25+1,1),MAX(strike-$B25,0)),"")</f>
        <v/>
      </c>
      <c r="FD25" s="9" t="str">
        <f t="array" ref="FD25">IF(FD$11&gt;=0,MAX(INDEX(MMULT(inverseG,FC$12:FC$62),$A25+1,1),MAX(strike-$B25,0)),"")</f>
        <v/>
      </c>
      <c r="FE25" s="9" t="str">
        <f t="array" ref="FE25">IF(FE$11&gt;=0,MAX(INDEX(MMULT(inverseG,FD$12:FD$62),$A25+1,1),MAX(strike-$B25,0)),"")</f>
        <v/>
      </c>
      <c r="FF25" s="9" t="str">
        <f t="array" ref="FF25">IF(FF$11&gt;=0,MAX(INDEX(MMULT(inverseG,FE$12:FE$62),$A25+1,1),MAX(strike-$B25,0)),"")</f>
        <v/>
      </c>
      <c r="FG25" s="9" t="str">
        <f t="array" ref="FG25">IF(FG$11&gt;=0,MAX(INDEX(MMULT(inverseG,FF$12:FF$62),$A25+1,1),MAX(strike-$B25,0)),"")</f>
        <v/>
      </c>
      <c r="FH25" s="9" t="str">
        <f t="array" ref="FH25">IF(FH$11&gt;=0,MAX(INDEX(MMULT(inverseG,FG$12:FG$62),$A25+1,1),MAX(strike-$B25,0)),"")</f>
        <v/>
      </c>
      <c r="FI25" s="9" t="str">
        <f t="array" ref="FI25">IF(FI$11&gt;=0,MAX(INDEX(MMULT(inverseG,FH$12:FH$62),$A25+1,1),MAX(strike-$B25,0)),"")</f>
        <v/>
      </c>
      <c r="FJ25" s="9" t="str">
        <f t="array" ref="FJ25">IF(FJ$11&gt;=0,MAX(INDEX(MMULT(inverseG,FI$12:FI$62),$A25+1,1),MAX(strike-$B25,0)),"")</f>
        <v/>
      </c>
      <c r="FK25" s="9" t="str">
        <f t="array" ref="FK25">IF(FK$11&gt;=0,MAX(INDEX(MMULT(inverseG,FJ$12:FJ$62),$A25+1,1),MAX(strike-$B25,0)),"")</f>
        <v/>
      </c>
      <c r="FL25" s="9" t="str">
        <f t="array" ref="FL25">IF(FL$11&gt;=0,MAX(INDEX(MMULT(inverseG,FK$12:FK$62),$A25+1,1),MAX(strike-$B25,0)),"")</f>
        <v/>
      </c>
      <c r="FM25" s="9" t="str">
        <f t="array" ref="FM25">IF(FM$11&gt;=0,MAX(INDEX(MMULT(inverseG,FL$12:FL$62),$A25+1,1),MAX(strike-$B25,0)),"")</f>
        <v/>
      </c>
      <c r="FN25" s="9" t="str">
        <f t="array" ref="FN25">IF(FN$11&gt;=0,MAX(INDEX(MMULT(inverseG,FM$12:FM$62),$A25+1,1),MAX(strike-$B25,0)),"")</f>
        <v/>
      </c>
      <c r="FO25" s="9" t="str">
        <f t="array" ref="FO25">IF(FO$11&gt;=0,MAX(INDEX(MMULT(inverseG,FN$12:FN$62),$A25+1,1),MAX(strike-$B25,0)),"")</f>
        <v/>
      </c>
      <c r="FP25" s="9" t="str">
        <f t="array" ref="FP25">IF(FP$11&gt;=0,MAX(INDEX(MMULT(inverseG,FO$12:FO$62),$A25+1,1),MAX(strike-$B25,0)),"")</f>
        <v/>
      </c>
      <c r="FQ25" s="9" t="str">
        <f t="array" ref="FQ25">IF(FQ$11&gt;=0,MAX(INDEX(MMULT(inverseG,FP$12:FP$62),$A25+1,1),MAX(strike-$B25,0)),"")</f>
        <v/>
      </c>
      <c r="FR25" s="9" t="str">
        <f t="array" ref="FR25">IF(FR$11&gt;=0,MAX(INDEX(MMULT(inverseG,FQ$12:FQ$62),$A25+1,1),MAX(strike-$B25,0)),"")</f>
        <v/>
      </c>
      <c r="FS25" s="9" t="str">
        <f t="array" ref="FS25">IF(FS$11&gt;=0,MAX(INDEX(MMULT(inverseG,FR$12:FR$62),$A25+1,1),MAX(strike-$B25,0)),"")</f>
        <v/>
      </c>
      <c r="FT25" s="9" t="str">
        <f t="array" ref="FT25">IF(FT$11&gt;=0,MAX(INDEX(MMULT(inverseG,FS$12:FS$62),$A25+1,1),MAX(strike-$B25,0)),"")</f>
        <v/>
      </c>
      <c r="FU25" s="9" t="str">
        <f t="array" ref="FU25">IF(FU$11&gt;=0,MAX(INDEX(MMULT(inverseG,FT$12:FT$62),$A25+1,1),MAX(strike-$B25,0)),"")</f>
        <v/>
      </c>
      <c r="FV25" s="9" t="str">
        <f t="array" ref="FV25">IF(FV$11&gt;=0,MAX(INDEX(MMULT(inverseG,FU$12:FU$62),$A25+1,1),MAX(strike-$B25,0)),"")</f>
        <v/>
      </c>
      <c r="FW25" s="9" t="str">
        <f t="array" ref="FW25">IF(FW$11&gt;=0,MAX(INDEX(MMULT(inverseG,FV$12:FV$62),$A25+1,1),MAX(strike-$B25,0)),"")</f>
        <v/>
      </c>
      <c r="FX25" s="9" t="str">
        <f t="array" ref="FX25">IF(FX$11&gt;=0,MAX(INDEX(MMULT(inverseG,FW$12:FW$62),$A25+1,1),MAX(strike-$B25,0)),"")</f>
        <v/>
      </c>
      <c r="FY25" s="9" t="str">
        <f t="array" ref="FY25">IF(FY$11&gt;=0,MAX(INDEX(MMULT(inverseG,FX$12:FX$62),$A25+1,1),MAX(strike-$B25,0)),"")</f>
        <v/>
      </c>
      <c r="FZ25" s="9" t="str">
        <f t="array" ref="FZ25">IF(FZ$11&gt;=0,MAX(INDEX(MMULT(inverseG,FY$12:FY$62),$A25+1,1),MAX(strike-$B25,0)),"")</f>
        <v/>
      </c>
      <c r="GA25" s="9" t="str">
        <f t="array" ref="GA25">IF(GA$11&gt;=0,MAX(INDEX(MMULT(inverseG,FZ$12:FZ$62),$A25+1,1),MAX(strike-$B25,0)),"")</f>
        <v/>
      </c>
      <c r="GB25" s="9" t="str">
        <f t="array" ref="GB25">IF(GB$11&gt;=0,MAX(INDEX(MMULT(inverseG,GA$12:GA$62),$A25+1,1),MAX(strike-$B25,0)),"")</f>
        <v/>
      </c>
      <c r="GC25" s="9" t="str">
        <f t="array" ref="GC25">IF(GC$11&gt;=0,MAX(INDEX(MMULT(inverseG,GB$12:GB$62),$A25+1,1),MAX(strike-$B25,0)),"")</f>
        <v/>
      </c>
      <c r="GD25" s="9" t="str">
        <f t="array" ref="GD25">IF(GD$11&gt;=0,MAX(INDEX(MMULT(inverseG,GC$12:GC$62),$A25+1,1),MAX(strike-$B25,0)),"")</f>
        <v/>
      </c>
      <c r="GE25" s="9" t="str">
        <f t="array" ref="GE25">IF(GE$11&gt;=0,MAX(INDEX(MMULT(inverseG,GD$12:GD$62),$A25+1,1),MAX(strike-$B25,0)),"")</f>
        <v/>
      </c>
      <c r="GF25" s="9" t="str">
        <f t="array" ref="GF25">IF(GF$11&gt;=0,MAX(INDEX(MMULT(inverseG,GE$12:GE$62),$A25+1,1),MAX(strike-$B25,0)),"")</f>
        <v/>
      </c>
      <c r="GG25" s="9" t="str">
        <f t="array" ref="GG25">IF(GG$11&gt;=0,MAX(INDEX(MMULT(inverseG,GF$12:GF$62),$A25+1,1),MAX(strike-$B25,0)),"")</f>
        <v/>
      </c>
      <c r="GH25" s="9" t="str">
        <f t="array" ref="GH25">IF(GH$11&gt;=0,MAX(INDEX(MMULT(inverseG,GG$12:GG$62),$A25+1,1),MAX(strike-$B25,0)),"")</f>
        <v/>
      </c>
      <c r="GI25" s="9" t="str">
        <f t="array" ref="GI25">IF(GI$11&gt;=0,MAX(INDEX(MMULT(inverseG,GH$12:GH$62),$A25+1,1),MAX(strike-$B25,0)),"")</f>
        <v/>
      </c>
      <c r="GJ25" s="9" t="str">
        <f t="array" ref="GJ25">IF(GJ$11&gt;=0,MAX(INDEX(MMULT(inverseG,GI$12:GI$62),$A25+1,1),MAX(strike-$B25,0)),"")</f>
        <v/>
      </c>
      <c r="GK25" s="9" t="str">
        <f t="array" ref="GK25">IF(GK$11&gt;=0,MAX(INDEX(MMULT(inverseG,GJ$12:GJ$62),$A25+1,1),MAX(strike-$B25,0)),"")</f>
        <v/>
      </c>
      <c r="GL25" s="9" t="str">
        <f t="array" ref="GL25">IF(GL$11&gt;=0,MAX(INDEX(MMULT(inverseG,GK$12:GK$62),$A25+1,1),MAX(strike-$B25,0)),"")</f>
        <v/>
      </c>
      <c r="GM25" s="9" t="str">
        <f t="array" ref="GM25">IF(GM$11&gt;=0,MAX(INDEX(MMULT(inverseG,GL$12:GL$62),$A25+1,1),MAX(strike-$B25,0)),"")</f>
        <v/>
      </c>
      <c r="GN25" s="9" t="str">
        <f t="array" ref="GN25">IF(GN$11&gt;=0,MAX(INDEX(MMULT(inverseG,GM$12:GM$62),$A25+1,1),MAX(strike-$B25,0)),"")</f>
        <v/>
      </c>
      <c r="GO25" s="9" t="str">
        <f t="array" ref="GO25">IF(GO$11&gt;=0,MAX(INDEX(MMULT(inverseG,GN$12:GN$62),$A25+1,1),MAX(strike-$B25,0)),"")</f>
        <v/>
      </c>
      <c r="GP25" s="9" t="str">
        <f t="array" ref="GP25">IF(GP$11&gt;=0,MAX(INDEX(MMULT(inverseG,GO$12:GO$62),$A25+1,1),MAX(strike-$B25,0)),"")</f>
        <v/>
      </c>
      <c r="GQ25" s="9" t="str">
        <f t="array" ref="GQ25">IF(GQ$11&gt;=0,MAX(INDEX(MMULT(inverseG,GP$12:GP$62),$A25+1,1),MAX(strike-$B25,0)),"")</f>
        <v/>
      </c>
      <c r="GR25" s="9" t="str">
        <f t="array" ref="GR25">IF(GR$11&gt;=0,MAX(INDEX(MMULT(inverseG,GQ$12:GQ$62),$A25+1,1),MAX(strike-$B25,0)),"")</f>
        <v/>
      </c>
      <c r="GS25" s="9" t="str">
        <f t="array" ref="GS25">IF(GS$11&gt;=0,MAX(INDEX(MMULT(inverseG,GR$12:GR$62),$A25+1,1),MAX(strike-$B25,0)),"")</f>
        <v/>
      </c>
      <c r="GT25" s="9" t="str">
        <f t="array" ref="GT25">IF(GT$11&gt;=0,MAX(INDEX(MMULT(inverseG,GS$12:GS$62),$A25+1,1),MAX(strike-$B25,0)),"")</f>
        <v/>
      </c>
      <c r="GU25" s="9" t="str">
        <f t="array" ref="GU25">IF(GU$11&gt;=0,MAX(INDEX(MMULT(inverseG,GT$12:GT$62),$A25+1,1),MAX(strike-$B25,0)),"")</f>
        <v/>
      </c>
      <c r="GV25" s="9" t="str">
        <f t="array" ref="GV25">IF(GV$11&gt;=0,MAX(INDEX(MMULT(inverseG,GU$12:GU$62),$A25+1,1),MAX(strike-$B25,0)),"")</f>
        <v/>
      </c>
      <c r="GW25" s="9" t="str">
        <f t="array" ref="GW25">IF(GW$11&gt;=0,MAX(INDEX(MMULT(inverseG,GV$12:GV$62),$A25+1,1),MAX(strike-$B25,0)),"")</f>
        <v/>
      </c>
      <c r="GX25" s="9" t="str">
        <f t="array" ref="GX25">IF(GX$11&gt;=0,MAX(INDEX(MMULT(inverseG,GW$12:GW$62),$A25+1,1),MAX(strike-$B25,0)),"")</f>
        <v/>
      </c>
      <c r="GY25" s="9" t="str">
        <f t="array" ref="GY25">IF(GY$11&gt;=0,MAX(INDEX(MMULT(inverseG,GX$12:GX$62),$A25+1,1),MAX(strike-$B25,0)),"")</f>
        <v/>
      </c>
      <c r="GZ25" s="9" t="str">
        <f t="array" ref="GZ25">IF(GZ$11&gt;=0,MAX(INDEX(MMULT(inverseG,GY$12:GY$62),$A25+1,1),MAX(strike-$B25,0)),"")</f>
        <v/>
      </c>
      <c r="HA25" s="9" t="str">
        <f t="array" ref="HA25">IF(HA$11&gt;=0,MAX(INDEX(MMULT(inverseG,GZ$12:GZ$62),$A25+1,1),MAX(strike-$B25,0)),"")</f>
        <v/>
      </c>
      <c r="HB25" s="9" t="str">
        <f t="array" ref="HB25">IF(HB$11&gt;=0,MAX(INDEX(MMULT(inverseG,HA$12:HA$62),$A25+1,1),MAX(strike-$B25,0)),"")</f>
        <v/>
      </c>
      <c r="HC25" s="9" t="str">
        <f t="array" ref="HC25">IF(HC$11&gt;=0,MAX(INDEX(MMULT(inverseG,HB$12:HB$62),$A25+1,1),MAX(strike-$B25,0)),"")</f>
        <v/>
      </c>
      <c r="HD25" s="9" t="str">
        <f t="array" ref="HD25">IF(HD$11&gt;=0,MAX(INDEX(MMULT(inverseG,HC$12:HC$62),$A25+1,1),MAX(strike-$B25,0)),"")</f>
        <v/>
      </c>
      <c r="HE25" s="9" t="str">
        <f t="array" ref="HE25">IF(HE$11&gt;=0,MAX(INDEX(MMULT(inverseG,HD$12:HD$62),$A25+1,1),MAX(strike-$B25,0)),"")</f>
        <v/>
      </c>
      <c r="HF25" s="9" t="str">
        <f t="array" ref="HF25">IF(HF$11&gt;=0,MAX(INDEX(MMULT(inverseG,HE$12:HE$62),$A25+1,1),MAX(strike-$B25,0)),"")</f>
        <v/>
      </c>
      <c r="HG25" s="9" t="str">
        <f t="array" ref="HG25">IF(HG$11&gt;=0,MAX(INDEX(MMULT(inverseG,HF$12:HF$62),$A25+1,1),MAX(strike-$B25,0)),"")</f>
        <v/>
      </c>
      <c r="HH25" s="9" t="str">
        <f t="array" ref="HH25">IF(HH$11&gt;=0,MAX(INDEX(MMULT(inverseG,HG$12:HG$62),$A25+1,1),MAX(strike-$B25,0)),"")</f>
        <v/>
      </c>
      <c r="HI25" s="9" t="str">
        <f t="array" ref="HI25">IF(HI$11&gt;=0,MAX(INDEX(MMULT(inverseG,HH$12:HH$62),$A25+1,1),MAX(strike-$B25,0)),"")</f>
        <v/>
      </c>
      <c r="HJ25" s="9" t="str">
        <f t="array" ref="HJ25">IF(HJ$11&gt;=0,MAX(INDEX(MMULT(inverseG,HI$12:HI$62),$A25+1,1),MAX(strike-$B25,0)),"")</f>
        <v/>
      </c>
      <c r="HK25" s="9" t="str">
        <f t="array" ref="HK25">IF(HK$11&gt;=0,MAX(INDEX(MMULT(inverseG,HJ$12:HJ$62),$A25+1,1),MAX(strike-$B25,0)),"")</f>
        <v/>
      </c>
      <c r="HL25" s="9" t="str">
        <f t="array" ref="HL25">IF(HL$11&gt;=0,MAX(INDEX(MMULT(inverseG,HK$12:HK$62),$A25+1,1),MAX(strike-$B25,0)),"")</f>
        <v/>
      </c>
      <c r="HM25" s="9" t="str">
        <f t="array" ref="HM25">IF(HM$11&gt;=0,MAX(INDEX(MMULT(inverseG,HL$12:HL$62),$A25+1,1),MAX(strike-$B25,0)),"")</f>
        <v/>
      </c>
      <c r="HN25" s="9" t="str">
        <f t="array" ref="HN25">IF(HN$11&gt;=0,MAX(INDEX(MMULT(inverseG,HM$12:HM$62),$A25+1,1),MAX(strike-$B25,0)),"")</f>
        <v/>
      </c>
      <c r="HO25" s="9" t="str">
        <f t="array" ref="HO25">IF(HO$11&gt;=0,MAX(INDEX(MMULT(inverseG,HN$12:HN$62),$A25+1,1),MAX(strike-$B25,0)),"")</f>
        <v/>
      </c>
      <c r="HP25" s="9" t="str">
        <f t="array" ref="HP25">IF(HP$11&gt;=0,MAX(INDEX(MMULT(inverseG,HO$12:HO$62),$A25+1,1),MAX(strike-$B25,0)),"")</f>
        <v/>
      </c>
      <c r="HQ25" s="9" t="str">
        <f t="array" ref="HQ25">IF(HQ$11&gt;=0,MAX(INDEX(MMULT(inverseG,HP$12:HP$62),$A25+1,1),MAX(strike-$B25,0)),"")</f>
        <v/>
      </c>
      <c r="HR25" s="9" t="str">
        <f t="array" ref="HR25">IF(HR$11&gt;=0,MAX(INDEX(MMULT(inverseG,HQ$12:HQ$62),$A25+1,1),MAX(strike-$B25,0)),"")</f>
        <v/>
      </c>
      <c r="HS25" s="9" t="str">
        <f t="array" ref="HS25">IF(HS$11&gt;=0,MAX(INDEX(MMULT(inverseG,HR$12:HR$62),$A25+1,1),MAX(strike-$B25,0)),"")</f>
        <v/>
      </c>
      <c r="HT25" s="9" t="str">
        <f t="array" ref="HT25">IF(HT$11&gt;=0,MAX(INDEX(MMULT(inverseG,HS$12:HS$62),$A25+1,1),MAX(strike-$B25,0)),"")</f>
        <v/>
      </c>
      <c r="HU25" s="9" t="str">
        <f t="array" ref="HU25">IF(HU$11&gt;=0,MAX(INDEX(MMULT(inverseG,HT$12:HT$62),$A25+1,1),MAX(strike-$B25,0)),"")</f>
        <v/>
      </c>
      <c r="HV25" s="9" t="str">
        <f t="array" ref="HV25">IF(HV$11&gt;=0,MAX(INDEX(MMULT(inverseG,HU$12:HU$62),$A25+1,1),MAX(strike-$B25,0)),"")</f>
        <v/>
      </c>
      <c r="HW25" s="9" t="str">
        <f t="array" ref="HW25">IF(HW$11&gt;=0,MAX(INDEX(MMULT(inverseG,HV$12:HV$62),$A25+1,1),MAX(strike-$B25,0)),"")</f>
        <v/>
      </c>
      <c r="HX25" s="9" t="str">
        <f t="array" ref="HX25">IF(HX$11&gt;=0,MAX(INDEX(MMULT(inverseG,HW$12:HW$62),$A25+1,1),MAX(strike-$B25,0)),"")</f>
        <v/>
      </c>
      <c r="HY25" s="9" t="str">
        <f t="array" ref="HY25">IF(HY$11&gt;=0,MAX(INDEX(MMULT(inverseG,HX$12:HX$62),$A25+1,1),MAX(strike-$B25,0)),"")</f>
        <v/>
      </c>
      <c r="HZ25" s="9" t="str">
        <f t="array" ref="HZ25">IF(HZ$11&gt;=0,MAX(INDEX(MMULT(inverseG,HY$12:HY$62),$A25+1,1),MAX(strike-$B25,0)),"")</f>
        <v/>
      </c>
      <c r="IA25" s="9" t="str">
        <f t="array" ref="IA25">IF(IA$11&gt;=0,MAX(INDEX(MMULT(inverseG,HZ$12:HZ$62),$A25+1,1),MAX(strike-$B25,0)),"")</f>
        <v/>
      </c>
      <c r="IB25" s="9" t="str">
        <f t="array" ref="IB25">IF(IB$11&gt;=0,MAX(INDEX(MMULT(inverseG,IA$12:IA$62),$A25+1,1),MAX(strike-$B25,0)),"")</f>
        <v/>
      </c>
      <c r="IC25" s="9" t="str">
        <f t="array" ref="IC25">IF(IC$11&gt;=0,MAX(INDEX(MMULT(inverseG,IB$12:IB$62),$A25+1,1),MAX(strike-$B25,0)),"")</f>
        <v/>
      </c>
      <c r="ID25" s="9" t="str">
        <f t="array" ref="ID25">IF(ID$11&gt;=0,MAX(INDEX(MMULT(inverseG,IC$12:IC$62),$A25+1,1),MAX(strike-$B25,0)),"")</f>
        <v/>
      </c>
      <c r="IE25" s="9" t="str">
        <f t="array" ref="IE25">IF(IE$11&gt;=0,MAX(INDEX(MMULT(inverseG,ID$12:ID$62),$A25+1,1),MAX(strike-$B25,0)),"")</f>
        <v/>
      </c>
      <c r="IF25" s="9" t="str">
        <f t="array" ref="IF25">IF(IF$11&gt;=0,MAX(INDEX(MMULT(inverseG,IE$12:IE$62),$A25+1,1),MAX(strike-$B25,0)),"")</f>
        <v/>
      </c>
      <c r="IG25" s="9" t="str">
        <f t="array" ref="IG25">IF(IG$11&gt;=0,MAX(INDEX(MMULT(inverseG,IF$12:IF$62),$A25+1,1),MAX(strike-$B25,0)),"")</f>
        <v/>
      </c>
      <c r="IH25" s="9" t="str">
        <f t="array" ref="IH25">IF(IH$11&gt;=0,MAX(INDEX(MMULT(inverseG,IG$12:IG$62),$A25+1,1),MAX(strike-$B25,0)),"")</f>
        <v/>
      </c>
      <c r="II25" s="9" t="str">
        <f t="array" ref="II25">IF(II$11&gt;=0,MAX(INDEX(MMULT(inverseG,IH$12:IH$62),$A25+1,1),MAX(strike-$B25,0)),"")</f>
        <v/>
      </c>
      <c r="IJ25" s="9" t="str">
        <f t="array" ref="IJ25">IF(IJ$11&gt;=0,MAX(INDEX(MMULT(inverseG,II$12:II$62),$A25+1,1),MAX(strike-$B25,0)),"")</f>
        <v/>
      </c>
      <c r="IK25" s="9" t="str">
        <f t="array" ref="IK25">IF(IK$11&gt;=0,MAX(INDEX(MMULT(inverseG,IJ$12:IJ$62),$A25+1,1),MAX(strike-$B25,0)),"")</f>
        <v/>
      </c>
      <c r="IL25" s="9" t="str">
        <f t="array" ref="IL25">IF(IL$11&gt;=0,MAX(INDEX(MMULT(inverseG,IK$12:IK$62),$A25+1,1),MAX(strike-$B25,0)),"")</f>
        <v/>
      </c>
      <c r="IM25" s="9" t="str">
        <f t="array" ref="IM25">IF(IM$11&gt;=0,MAX(INDEX(MMULT(inverseG,IL$12:IL$62),$A25+1,1),MAX(strike-$B25,0)),"")</f>
        <v/>
      </c>
      <c r="IN25" s="9" t="str">
        <f t="array" ref="IN25">IF(IN$11&gt;=0,MAX(INDEX(MMULT(inverseG,IM$12:IM$62),$A25+1,1),MAX(strike-$B25,0)),"")</f>
        <v/>
      </c>
      <c r="IO25" s="9" t="str">
        <f t="array" ref="IO25">IF(IO$11&gt;=0,MAX(INDEX(MMULT(inverseG,IN$12:IN$62),$A25+1,1),MAX(strike-$B25,0)),"")</f>
        <v/>
      </c>
      <c r="IP25" s="9" t="str">
        <f t="array" ref="IP25">IF(IP$11&gt;=0,MAX(INDEX(MMULT(inverseG,IO$12:IO$62),$A25+1,1),MAX(strike-$B25,0)),"")</f>
        <v/>
      </c>
      <c r="IQ25" s="9" t="str">
        <f t="array" ref="IQ25">IF(IQ$11&gt;=0,MAX(INDEX(MMULT(inverseG,IP$12:IP$62),$A25+1,1),MAX(strike-$B25,0)),"")</f>
        <v/>
      </c>
      <c r="IR25" s="9" t="str">
        <f t="array" ref="IR25">IF(IR$11&gt;=0,MAX(INDEX(MMULT(inverseG,IQ$12:IQ$62),$A25+1,1),MAX(strike-$B25,0)),"")</f>
        <v/>
      </c>
      <c r="IS25" s="9" t="str">
        <f t="array" ref="IS25">IF(IS$11&gt;=0,MAX(INDEX(MMULT(inverseG,IR$12:IR$62),$A25+1,1),MAX(strike-$B25,0)),"")</f>
        <v/>
      </c>
      <c r="IT25" s="9" t="str">
        <f t="array" ref="IT25">IF(IT$11&gt;=0,MAX(INDEX(MMULT(inverseG,IS$12:IS$62),$A25+1,1),MAX(strike-$B25,0)),"")</f>
        <v/>
      </c>
      <c r="IU25" s="9" t="str">
        <f t="array" ref="IU25">IF(IU$11&gt;=0,MAX(INDEX(MMULT(inverseG,IT$12:IT$62),$A25+1,1),MAX(strike-$B25,0)),"")</f>
        <v/>
      </c>
      <c r="IV25" s="9" t="str">
        <f t="array" ref="IV25">IF(IV$11&gt;=0,MAX(INDEX(MMULT(inverseG,IU$12:IU$62),$A25+1,1),MAX(strike-$B25,0)),"")</f>
        <v/>
      </c>
    </row>
    <row r="26" spans="1:256" x14ac:dyDescent="0.2">
      <c r="A26" s="8">
        <f t="shared" si="7"/>
        <v>14</v>
      </c>
      <c r="B26" s="6">
        <f t="shared" si="4"/>
        <v>3.5</v>
      </c>
      <c r="C26" s="30">
        <f t="shared" ca="1" si="6"/>
        <v>1.5023708766483195</v>
      </c>
      <c r="D26" s="9">
        <f t="shared" si="5"/>
        <v>1.5</v>
      </c>
      <c r="E26" s="9">
        <f t="array" ref="E26">IF(E$11&gt;=0,MAX(INDEX(MMULT(inverseG,D$12:D$62),$A26+1,1),MAX(strike-$B26,0)),"")</f>
        <v>1.5</v>
      </c>
      <c r="F26" s="9">
        <f t="array" ref="F26">IF(F$11&gt;=0,MAX(INDEX(MMULT(inverseG,E$12:E$62),$A26+1,1),MAX(strike-$B26,0)),"")</f>
        <v>1.5</v>
      </c>
      <c r="G26" s="9">
        <f t="array" ref="G26">IF(G$11&gt;=0,MAX(INDEX(MMULT(inverseG,F$12:F$62),$A26+1,1),MAX(strike-$B26,0)),"")</f>
        <v>1.5</v>
      </c>
      <c r="H26" s="9">
        <f t="array" ref="H26">IF(H$11&gt;=0,MAX(INDEX(MMULT(inverseG,G$12:G$62),$A26+1,1),MAX(strike-$B26,0)),"")</f>
        <v>1.5</v>
      </c>
      <c r="I26" s="9">
        <f t="array" ref="I26">IF(I$11&gt;=0,MAX(INDEX(MMULT(inverseG,H$12:H$62),$A26+1,1),MAX(strike-$B26,0)),"")</f>
        <v>1.5</v>
      </c>
      <c r="J26" s="9">
        <f t="array" ref="J26">IF(J$11&gt;=0,MAX(INDEX(MMULT(inverseG,I$12:I$62),$A26+1,1),MAX(strike-$B26,0)),"")</f>
        <v>1.5</v>
      </c>
      <c r="K26" s="9">
        <f t="array" ref="K26">IF(K$11&gt;=0,MAX(INDEX(MMULT(inverseG,J$12:J$62),$A26+1,1),MAX(strike-$B26,0)),"")</f>
        <v>1.5</v>
      </c>
      <c r="L26" s="9">
        <f t="array" ref="L26">IF(L$11&gt;=0,MAX(INDEX(MMULT(inverseG,K$12:K$62),$A26+1,1),MAX(strike-$B26,0)),"")</f>
        <v>1.5</v>
      </c>
      <c r="M26" s="9">
        <f t="array" ref="M26">IF(M$11&gt;=0,MAX(INDEX(MMULT(inverseG,L$12:L$62),$A26+1,1),MAX(strike-$B26,0)),"")</f>
        <v>1.5</v>
      </c>
      <c r="N26" s="9">
        <f t="array" ref="N26">IF(N$11&gt;=0,MAX(INDEX(MMULT(inverseG,M$12:M$62),$A26+1,1),MAX(strike-$B26,0)),"")</f>
        <v>1.5</v>
      </c>
      <c r="O26" s="9">
        <f t="array" ref="O26">IF(O$11&gt;=0,MAX(INDEX(MMULT(inverseG,N$12:N$62),$A26+1,1),MAX(strike-$B26,0)),"")</f>
        <v>1.5</v>
      </c>
      <c r="P26" s="9">
        <f t="array" ref="P26">IF(P$11&gt;=0,MAX(INDEX(MMULT(inverseG,O$12:O$62),$A26+1,1),MAX(strike-$B26,0)),"")</f>
        <v>1.5</v>
      </c>
      <c r="Q26" s="9">
        <f t="array" ref="Q26">IF(Q$11&gt;=0,MAX(INDEX(MMULT(inverseG,P$12:P$62),$A26+1,1),MAX(strike-$B26,0)),"")</f>
        <v>1.5</v>
      </c>
      <c r="R26" s="9">
        <f t="array" ref="R26">IF(R$11&gt;=0,MAX(INDEX(MMULT(inverseG,Q$12:Q$62),$A26+1,1),MAX(strike-$B26,0)),"")</f>
        <v>1.5</v>
      </c>
      <c r="S26" s="9">
        <f t="array" ref="S26">IF(S$11&gt;=0,MAX(INDEX(MMULT(inverseG,R$12:R$62),$A26+1,1),MAX(strike-$B26,0)),"")</f>
        <v>1.5</v>
      </c>
      <c r="T26" s="9">
        <f t="array" ref="T26">IF(T$11&gt;=0,MAX(INDEX(MMULT(inverseG,S$12:S$62),$A26+1,1),MAX(strike-$B26,0)),"")</f>
        <v>1.5</v>
      </c>
      <c r="U26" s="9">
        <f t="array" ref="U26">IF(U$11&gt;=0,MAX(INDEX(MMULT(inverseG,T$12:T$62),$A26+1,1),MAX(strike-$B26,0)),"")</f>
        <v>1.5</v>
      </c>
      <c r="V26" s="9">
        <f t="array" ref="V26">IF(V$11&gt;=0,MAX(INDEX(MMULT(inverseG,U$12:U$62),$A26+1,1),MAX(strike-$B26,0)),"")</f>
        <v>1.5</v>
      </c>
      <c r="W26" s="9">
        <f t="array" ref="W26">IF(W$11&gt;=0,MAX(INDEX(MMULT(inverseG,V$12:V$62),$A26+1,1),MAX(strike-$B26,0)),"")</f>
        <v>1.5</v>
      </c>
      <c r="X26" s="9">
        <f t="array" ref="X26">IF(X$11&gt;=0,MAX(INDEX(MMULT(inverseG,W$12:W$62),$A26+1,1),MAX(strike-$B26,0)),"")</f>
        <v>1.5</v>
      </c>
      <c r="Y26" s="9">
        <f t="array" ref="Y26">IF(Y$11&gt;=0,MAX(INDEX(MMULT(inverseG,X$12:X$62),$A26+1,1),MAX(strike-$B26,0)),"")</f>
        <v>1.5</v>
      </c>
      <c r="Z26" s="9">
        <f t="array" ref="Z26">IF(Z$11&gt;=0,MAX(INDEX(MMULT(inverseG,Y$12:Y$62),$A26+1,1),MAX(strike-$B26,0)),"")</f>
        <v>1.5</v>
      </c>
      <c r="AA26" s="9">
        <f t="array" ref="AA26">IF(AA$11&gt;=0,MAX(INDEX(MMULT(inverseG,Z$12:Z$62),$A26+1,1),MAX(strike-$B26,0)),"")</f>
        <v>1.5</v>
      </c>
      <c r="AB26" s="9">
        <f t="array" ref="AB26">IF(AB$11&gt;=0,MAX(INDEX(MMULT(inverseG,AA$12:AA$62),$A26+1,1),MAX(strike-$B26,0)),"")</f>
        <v>1.5</v>
      </c>
      <c r="AC26" s="9">
        <f t="array" ref="AC26">IF(AC$11&gt;=0,MAX(INDEX(MMULT(inverseG,AB$12:AB$62),$A26+1,1),MAX(strike-$B26,0)),"")</f>
        <v>1.5</v>
      </c>
      <c r="AD26" s="9">
        <f t="array" ref="AD26">IF(AD$11&gt;=0,MAX(INDEX(MMULT(inverseG,AC$12:AC$62),$A26+1,1),MAX(strike-$B26,0)),"")</f>
        <v>1.5</v>
      </c>
      <c r="AE26" s="9">
        <f t="array" ref="AE26">IF(AE$11&gt;=0,MAX(INDEX(MMULT(inverseG,AD$12:AD$62),$A26+1,1),MAX(strike-$B26,0)),"")</f>
        <v>1.5</v>
      </c>
      <c r="AF26" s="9">
        <f t="array" ref="AF26">IF(AF$11&gt;=0,MAX(INDEX(MMULT(inverseG,AE$12:AE$62),$A26+1,1),MAX(strike-$B26,0)),"")</f>
        <v>1.5</v>
      </c>
      <c r="AG26" s="9">
        <f t="array" ref="AG26">IF(AG$11&gt;=0,MAX(INDEX(MMULT(inverseG,AF$12:AF$62),$A26+1,1),MAX(strike-$B26,0)),"")</f>
        <v>1.5</v>
      </c>
      <c r="AH26" s="9">
        <f t="array" ref="AH26">IF(AH$11&gt;=0,MAX(INDEX(MMULT(inverseG,AG$12:AG$62),$A26+1,1),MAX(strike-$B26,0)),"")</f>
        <v>1.5</v>
      </c>
      <c r="AI26" s="9">
        <f t="array" ref="AI26">IF(AI$11&gt;=0,MAX(INDEX(MMULT(inverseG,AH$12:AH$62),$A26+1,1),MAX(strike-$B26,0)),"")</f>
        <v>1.5</v>
      </c>
      <c r="AJ26" s="9">
        <f t="array" ref="AJ26">IF(AJ$11&gt;=0,MAX(INDEX(MMULT(inverseG,AI$12:AI$62),$A26+1,1),MAX(strike-$B26,0)),"")</f>
        <v>1.5</v>
      </c>
      <c r="AK26" s="9">
        <f t="array" ref="AK26">IF(AK$11&gt;=0,MAX(INDEX(MMULT(inverseG,AJ$12:AJ$62),$A26+1,1),MAX(strike-$B26,0)),"")</f>
        <v>1.5</v>
      </c>
      <c r="AL26" s="9">
        <f t="array" ref="AL26">IF(AL$11&gt;=0,MAX(INDEX(MMULT(inverseG,AK$12:AK$62),$A26+1,1),MAX(strike-$B26,0)),"")</f>
        <v>1.5</v>
      </c>
      <c r="AM26" s="9">
        <f t="array" ref="AM26">IF(AM$11&gt;=0,MAX(INDEX(MMULT(inverseG,AL$12:AL$62),$A26+1,1),MAX(strike-$B26,0)),"")</f>
        <v>1.5</v>
      </c>
      <c r="AN26" s="9">
        <f t="array" ref="AN26">IF(AN$11&gt;=0,MAX(INDEX(MMULT(inverseG,AM$12:AM$62),$A26+1,1),MAX(strike-$B26,0)),"")</f>
        <v>1.5</v>
      </c>
      <c r="AO26" s="9">
        <f t="array" ref="AO26">IF(AO$11&gt;=0,MAX(INDEX(MMULT(inverseG,AN$12:AN$62),$A26+1,1),MAX(strike-$B26,0)),"")</f>
        <v>1.5</v>
      </c>
      <c r="AP26" s="9">
        <f t="array" ref="AP26">IF(AP$11&gt;=0,MAX(INDEX(MMULT(inverseG,AO$12:AO$62),$A26+1,1),MAX(strike-$B26,0)),"")</f>
        <v>1.5</v>
      </c>
      <c r="AQ26" s="9">
        <f t="array" ref="AQ26">IF(AQ$11&gt;=0,MAX(INDEX(MMULT(inverseG,AP$12:AP$62),$A26+1,1),MAX(strike-$B26,0)),"")</f>
        <v>1.5</v>
      </c>
      <c r="AR26" s="9">
        <f t="array" ref="AR26">IF(AR$11&gt;=0,MAX(INDEX(MMULT(inverseG,AQ$12:AQ$62),$A26+1,1),MAX(strike-$B26,0)),"")</f>
        <v>1.5</v>
      </c>
      <c r="AS26" s="9">
        <f t="array" ref="AS26">IF(AS$11&gt;=0,MAX(INDEX(MMULT(inverseG,AR$12:AR$62),$A26+1,1),MAX(strike-$B26,0)),"")</f>
        <v>1.5</v>
      </c>
      <c r="AT26" s="9">
        <f t="array" ref="AT26">IF(AT$11&gt;=0,MAX(INDEX(MMULT(inverseG,AS$12:AS$62),$A26+1,1),MAX(strike-$B26,0)),"")</f>
        <v>1.5</v>
      </c>
      <c r="AU26" s="9">
        <f t="array" ref="AU26">IF(AU$11&gt;=0,MAX(INDEX(MMULT(inverseG,AT$12:AT$62),$A26+1,1),MAX(strike-$B26,0)),"")</f>
        <v>1.5</v>
      </c>
      <c r="AV26" s="9">
        <f t="array" ref="AV26">IF(AV$11&gt;=0,MAX(INDEX(MMULT(inverseG,AU$12:AU$62),$A26+1,1),MAX(strike-$B26,0)),"")</f>
        <v>1.5</v>
      </c>
      <c r="AW26" s="9">
        <f t="array" ref="AW26">IF(AW$11&gt;=0,MAX(INDEX(MMULT(inverseG,AV$12:AV$62),$A26+1,1),MAX(strike-$B26,0)),"")</f>
        <v>1.5</v>
      </c>
      <c r="AX26" s="9">
        <f t="array" ref="AX26">IF(AX$11&gt;=0,MAX(INDEX(MMULT(inverseG,AW$12:AW$62),$A26+1,1),MAX(strike-$B26,0)),"")</f>
        <v>1.5</v>
      </c>
      <c r="AY26" s="9">
        <f t="array" ref="AY26">IF(AY$11&gt;=0,MAX(INDEX(MMULT(inverseG,AX$12:AX$62),$A26+1,1),MAX(strike-$B26,0)),"")</f>
        <v>1.5</v>
      </c>
      <c r="AZ26" s="9">
        <f t="array" ref="AZ26">IF(AZ$11&gt;=0,MAX(INDEX(MMULT(inverseG,AY$12:AY$62),$A26+1,1),MAX(strike-$B26,0)),"")</f>
        <v>1.5</v>
      </c>
      <c r="BA26" s="9">
        <f t="array" ref="BA26">IF(BA$11&gt;=0,MAX(INDEX(MMULT(inverseG,AZ$12:AZ$62),$A26+1,1),MAX(strike-$B26,0)),"")</f>
        <v>1.5</v>
      </c>
      <c r="BB26" s="9">
        <f t="array" ref="BB26">IF(BB$11&gt;=0,MAX(INDEX(MMULT(inverseG,BA$12:BA$62),$A26+1,1),MAX(strike-$B26,0)),"")</f>
        <v>1.5</v>
      </c>
      <c r="BC26" s="9">
        <f t="array" ref="BC26">IF(BC$11&gt;=0,MAX(INDEX(MMULT(inverseG,BB$12:BB$62),$A26+1,1),MAX(strike-$B26,0)),"")</f>
        <v>1.5</v>
      </c>
      <c r="BD26" s="9">
        <f t="array" ref="BD26">IF(BD$11&gt;=0,MAX(INDEX(MMULT(inverseG,BC$12:BC$62),$A26+1,1),MAX(strike-$B26,0)),"")</f>
        <v>1.5</v>
      </c>
      <c r="BE26" s="9">
        <f t="array" ref="BE26">IF(BE$11&gt;=0,MAX(INDEX(MMULT(inverseG,BD$12:BD$62),$A26+1,1),MAX(strike-$B26,0)),"")</f>
        <v>1.5</v>
      </c>
      <c r="BF26" s="9">
        <f t="array" ref="BF26">IF(BF$11&gt;=0,MAX(INDEX(MMULT(inverseG,BE$12:BE$62),$A26+1,1),MAX(strike-$B26,0)),"")</f>
        <v>1.5</v>
      </c>
      <c r="BG26" s="9">
        <f t="array" ref="BG26">IF(BG$11&gt;=0,MAX(INDEX(MMULT(inverseG,BF$12:BF$62),$A26+1,1),MAX(strike-$B26,0)),"")</f>
        <v>1.5</v>
      </c>
      <c r="BH26" s="9">
        <f t="array" ref="BH26">IF(BH$11&gt;=0,MAX(INDEX(MMULT(inverseG,BG$12:BG$62),$A26+1,1),MAX(strike-$B26,0)),"")</f>
        <v>1.5</v>
      </c>
      <c r="BI26" s="9">
        <f t="array" ref="BI26">IF(BI$11&gt;=0,MAX(INDEX(MMULT(inverseG,BH$12:BH$62),$A26+1,1),MAX(strike-$B26,0)),"")</f>
        <v>1.5</v>
      </c>
      <c r="BJ26" s="9">
        <f t="array" ref="BJ26">IF(BJ$11&gt;=0,MAX(INDEX(MMULT(inverseG,BI$12:BI$62),$A26+1,1),MAX(strike-$B26,0)),"")</f>
        <v>1.5</v>
      </c>
      <c r="BK26" s="9">
        <f t="array" ref="BK26">IF(BK$11&gt;=0,MAX(INDEX(MMULT(inverseG,BJ$12:BJ$62),$A26+1,1),MAX(strike-$B26,0)),"")</f>
        <v>1.5</v>
      </c>
      <c r="BL26" s="9">
        <f t="array" ref="BL26">IF(BL$11&gt;=0,MAX(INDEX(MMULT(inverseG,BK$12:BK$62),$A26+1,1),MAX(strike-$B26,0)),"")</f>
        <v>1.5</v>
      </c>
      <c r="BM26" s="9">
        <f t="array" ref="BM26">IF(BM$11&gt;=0,MAX(INDEX(MMULT(inverseG,BL$12:BL$62),$A26+1,1),MAX(strike-$B26,0)),"")</f>
        <v>1.5</v>
      </c>
      <c r="BN26" s="9">
        <f t="array" ref="BN26">IF(BN$11&gt;=0,MAX(INDEX(MMULT(inverseG,BM$12:BM$62),$A26+1,1),MAX(strike-$B26,0)),"")</f>
        <v>1.5</v>
      </c>
      <c r="BO26" s="9">
        <f t="array" ref="BO26">IF(BO$11&gt;=0,MAX(INDEX(MMULT(inverseG,BN$12:BN$62),$A26+1,1),MAX(strike-$B26,0)),"")</f>
        <v>1.5</v>
      </c>
      <c r="BP26" s="9">
        <f t="array" ref="BP26">IF(BP$11&gt;=0,MAX(INDEX(MMULT(inverseG,BO$12:BO$62),$A26+1,1),MAX(strike-$B26,0)),"")</f>
        <v>1.5</v>
      </c>
      <c r="BQ26" s="9">
        <f t="array" ref="BQ26">IF(BQ$11&gt;=0,MAX(INDEX(MMULT(inverseG,BP$12:BP$62),$A26+1,1),MAX(strike-$B26,0)),"")</f>
        <v>1.5</v>
      </c>
      <c r="BR26" s="9">
        <f t="array" ref="BR26">IF(BR$11&gt;=0,MAX(INDEX(MMULT(inverseG,BQ$12:BQ$62),$A26+1,1),MAX(strike-$B26,0)),"")</f>
        <v>1.5</v>
      </c>
      <c r="BS26" s="9">
        <f t="array" ref="BS26">IF(BS$11&gt;=0,MAX(INDEX(MMULT(inverseG,BR$12:BR$62),$A26+1,1),MAX(strike-$B26,0)),"")</f>
        <v>1.5</v>
      </c>
      <c r="BT26" s="9">
        <f t="array" ref="BT26">IF(BT$11&gt;=0,MAX(INDEX(MMULT(inverseG,BS$12:BS$62),$A26+1,1),MAX(strike-$B26,0)),"")</f>
        <v>1.5</v>
      </c>
      <c r="BU26" s="9">
        <f t="array" ref="BU26">IF(BU$11&gt;=0,MAX(INDEX(MMULT(inverseG,BT$12:BT$62),$A26+1,1),MAX(strike-$B26,0)),"")</f>
        <v>1.5</v>
      </c>
      <c r="BV26" s="9">
        <f t="array" ref="BV26">IF(BV$11&gt;=0,MAX(INDEX(MMULT(inverseG,BU$12:BU$62),$A26+1,1),MAX(strike-$B26,0)),"")</f>
        <v>1.5</v>
      </c>
      <c r="BW26" s="9">
        <f t="array" ref="BW26">IF(BW$11&gt;=0,MAX(INDEX(MMULT(inverseG,BV$12:BV$62),$A26+1,1),MAX(strike-$B26,0)),"")</f>
        <v>1.5</v>
      </c>
      <c r="BX26" s="9">
        <f t="array" ref="BX26">IF(BX$11&gt;=0,MAX(INDEX(MMULT(inverseG,BW$12:BW$62),$A26+1,1),MAX(strike-$B26,0)),"")</f>
        <v>1.5</v>
      </c>
      <c r="BY26" s="9">
        <f t="array" ref="BY26">IF(BY$11&gt;=0,MAX(INDEX(MMULT(inverseG,BX$12:BX$62),$A26+1,1),MAX(strike-$B26,0)),"")</f>
        <v>1.5</v>
      </c>
      <c r="BZ26" s="9">
        <f t="array" ref="BZ26">IF(BZ$11&gt;=0,MAX(INDEX(MMULT(inverseG,BY$12:BY$62),$A26+1,1),MAX(strike-$B26,0)),"")</f>
        <v>1.5</v>
      </c>
      <c r="CA26" s="9">
        <f t="array" ref="CA26">IF(CA$11&gt;=0,MAX(INDEX(MMULT(inverseG,BZ$12:BZ$62),$A26+1,1),MAX(strike-$B26,0)),"")</f>
        <v>1.5</v>
      </c>
      <c r="CB26" s="9">
        <f t="array" ref="CB26">IF(CB$11&gt;=0,MAX(INDEX(MMULT(inverseG,CA$12:CA$62),$A26+1,1),MAX(strike-$B26,0)),"")</f>
        <v>1.5</v>
      </c>
      <c r="CC26" s="9">
        <f t="array" ref="CC26">IF(CC$11&gt;=0,MAX(INDEX(MMULT(inverseG,CB$12:CB$62),$A26+1,1),MAX(strike-$B26,0)),"")</f>
        <v>1.5</v>
      </c>
      <c r="CD26" s="9">
        <f t="array" ref="CD26">IF(CD$11&gt;=0,MAX(INDEX(MMULT(inverseG,CC$12:CC$62),$A26+1,1),MAX(strike-$B26,0)),"")</f>
        <v>1.5</v>
      </c>
      <c r="CE26" s="9">
        <f t="array" ref="CE26">IF(CE$11&gt;=0,MAX(INDEX(MMULT(inverseG,CD$12:CD$62),$A26+1,1),MAX(strike-$B26,0)),"")</f>
        <v>1.5</v>
      </c>
      <c r="CF26" s="9">
        <f t="array" ref="CF26">IF(CF$11&gt;=0,MAX(INDEX(MMULT(inverseG,CE$12:CE$62),$A26+1,1),MAX(strike-$B26,0)),"")</f>
        <v>1.5</v>
      </c>
      <c r="CG26" s="9">
        <f t="array" ref="CG26">IF(CG$11&gt;=0,MAX(INDEX(MMULT(inverseG,CF$12:CF$62),$A26+1,1),MAX(strike-$B26,0)),"")</f>
        <v>1.5</v>
      </c>
      <c r="CH26" s="9">
        <f t="array" ref="CH26">IF(CH$11&gt;=0,MAX(INDEX(MMULT(inverseG,CG$12:CG$62),$A26+1,1),MAX(strike-$B26,0)),"")</f>
        <v>1.5</v>
      </c>
      <c r="CI26" s="9">
        <f t="array" ref="CI26">IF(CI$11&gt;=0,MAX(INDEX(MMULT(inverseG,CH$12:CH$62),$A26+1,1),MAX(strike-$B26,0)),"")</f>
        <v>1.5</v>
      </c>
      <c r="CJ26" s="9">
        <f t="array" ref="CJ26">IF(CJ$11&gt;=0,MAX(INDEX(MMULT(inverseG,CI$12:CI$62),$A26+1,1),MAX(strike-$B26,0)),"")</f>
        <v>1.5</v>
      </c>
      <c r="CK26" s="9">
        <f t="array" ref="CK26">IF(CK$11&gt;=0,MAX(INDEX(MMULT(inverseG,CJ$12:CJ$62),$A26+1,1),MAX(strike-$B26,0)),"")</f>
        <v>1.5</v>
      </c>
      <c r="CL26" s="9">
        <f t="array" ref="CL26">IF(CL$11&gt;=0,MAX(INDEX(MMULT(inverseG,CK$12:CK$62),$A26+1,1),MAX(strike-$B26,0)),"")</f>
        <v>1.5</v>
      </c>
      <c r="CM26" s="9">
        <f t="array" ref="CM26">IF(CM$11&gt;=0,MAX(INDEX(MMULT(inverseG,CL$12:CL$62),$A26+1,1),MAX(strike-$B26,0)),"")</f>
        <v>1.5</v>
      </c>
      <c r="CN26" s="9">
        <f t="array" ref="CN26">IF(CN$11&gt;=0,MAX(INDEX(MMULT(inverseG,CM$12:CM$62),$A26+1,1),MAX(strike-$B26,0)),"")</f>
        <v>1.5</v>
      </c>
      <c r="CO26" s="9">
        <f t="array" ref="CO26">IF(CO$11&gt;=0,MAX(INDEX(MMULT(inverseG,CN$12:CN$62),$A26+1,1),MAX(strike-$B26,0)),"")</f>
        <v>1.5</v>
      </c>
      <c r="CP26" s="9">
        <f t="array" ref="CP26">IF(CP$11&gt;=0,MAX(INDEX(MMULT(inverseG,CO$12:CO$62),$A26+1,1),MAX(strike-$B26,0)),"")</f>
        <v>1.5</v>
      </c>
      <c r="CQ26" s="9">
        <f t="array" ref="CQ26">IF(CQ$11&gt;=0,MAX(INDEX(MMULT(inverseG,CP$12:CP$62),$A26+1,1),MAX(strike-$B26,0)),"")</f>
        <v>1.5</v>
      </c>
      <c r="CR26" s="9">
        <f t="array" ref="CR26">IF(CR$11&gt;=0,MAX(INDEX(MMULT(inverseG,CQ$12:CQ$62),$A26+1,1),MAX(strike-$B26,0)),"")</f>
        <v>1.5000702137426367</v>
      </c>
      <c r="CS26" s="9">
        <f t="array" ref="CS26">IF(CS$11&gt;=0,MAX(INDEX(MMULT(inverseG,CR$12:CR$62),$A26+1,1),MAX(strike-$B26,0)),"")</f>
        <v>1.5002329955158376</v>
      </c>
      <c r="CT26" s="9">
        <f t="array" ref="CT26">IF(CT$11&gt;=0,MAX(INDEX(MMULT(inverseG,CS$12:CS$62),$A26+1,1),MAX(strike-$B26,0)),"")</f>
        <v>1.5004573639766137</v>
      </c>
      <c r="CU26" s="9">
        <f t="array" ref="CU26">IF(CU$11&gt;=0,MAX(INDEX(MMULT(inverseG,CT$12:CT$62),$A26+1,1),MAX(strike-$B26,0)),"")</f>
        <v>1.5007240077697779</v>
      </c>
      <c r="CV26" s="9">
        <f t="array" ref="CV26">IF(CV$11&gt;=0,MAX(INDEX(MMULT(inverseG,CU$12:CU$62),$A26+1,1),MAX(strike-$B26,0)),"")</f>
        <v>1.5010204526476976</v>
      </c>
      <c r="CW26" s="9">
        <f t="array" ref="CW26">IF(CW$11&gt;=0,MAX(INDEX(MMULT(inverseG,CV$12:CV$62),$A26+1,1),MAX(strike-$B26,0)),"")</f>
        <v>1.5013383558876003</v>
      </c>
      <c r="CX26" s="9">
        <f t="array" ref="CX26">IF(CX$11&gt;=0,MAX(INDEX(MMULT(inverseG,CW$12:CW$62),$A26+1,1),MAX(strike-$B26,0)),"")</f>
        <v>1.5016719508649883</v>
      </c>
      <c r="CY26" s="9">
        <f t="array" ref="CY26">IF(CY$11&gt;=0,MAX(INDEX(MMULT(inverseG,CX$12:CX$62),$A26+1,1),MAX(strike-$B26,0)),"")</f>
        <v>1.5020171280390511</v>
      </c>
      <c r="CZ26" s="9">
        <f t="array" ref="CZ26">IF(CZ$11&gt;=0,MAX(INDEX(MMULT(inverseG,CY$12:CY$62),$A26+1,1),MAX(strike-$B26,0)),"")</f>
        <v>1.5023708766483195</v>
      </c>
      <c r="DA26" s="9" t="str">
        <f t="array" ref="DA26">IF(DA$11&gt;=0,MAX(INDEX(MMULT(inverseG,CZ$12:CZ$62),$A26+1,1),MAX(strike-$B26,0)),"")</f>
        <v/>
      </c>
      <c r="DB26" s="9" t="str">
        <f t="array" ref="DB26">IF(DB$11&gt;=0,MAX(INDEX(MMULT(inverseG,DA$12:DA$62),$A26+1,1),MAX(strike-$B26,0)),"")</f>
        <v/>
      </c>
      <c r="DC26" s="9" t="str">
        <f t="array" ref="DC26">IF(DC$11&gt;=0,MAX(INDEX(MMULT(inverseG,DB$12:DB$62),$A26+1,1),MAX(strike-$B26,0)),"")</f>
        <v/>
      </c>
      <c r="DD26" s="9" t="str">
        <f t="array" ref="DD26">IF(DD$11&gt;=0,MAX(INDEX(MMULT(inverseG,DC$12:DC$62),$A26+1,1),MAX(strike-$B26,0)),"")</f>
        <v/>
      </c>
      <c r="DE26" s="9" t="str">
        <f t="array" ref="DE26">IF(DE$11&gt;=0,MAX(INDEX(MMULT(inverseG,DD$12:DD$62),$A26+1,1),MAX(strike-$B26,0)),"")</f>
        <v/>
      </c>
      <c r="DF26" s="9" t="str">
        <f t="array" ref="DF26">IF(DF$11&gt;=0,MAX(INDEX(MMULT(inverseG,DE$12:DE$62),$A26+1,1),MAX(strike-$B26,0)),"")</f>
        <v/>
      </c>
      <c r="DG26" s="9" t="str">
        <f t="array" ref="DG26">IF(DG$11&gt;=0,MAX(INDEX(MMULT(inverseG,DF$12:DF$62),$A26+1,1),MAX(strike-$B26,0)),"")</f>
        <v/>
      </c>
      <c r="DH26" s="9" t="str">
        <f t="array" ref="DH26">IF(DH$11&gt;=0,MAX(INDEX(MMULT(inverseG,DG$12:DG$62),$A26+1,1),MAX(strike-$B26,0)),"")</f>
        <v/>
      </c>
      <c r="DI26" s="9" t="str">
        <f t="array" ref="DI26">IF(DI$11&gt;=0,MAX(INDEX(MMULT(inverseG,DH$12:DH$62),$A26+1,1),MAX(strike-$B26,0)),"")</f>
        <v/>
      </c>
      <c r="DJ26" s="9" t="str">
        <f t="array" ref="DJ26">IF(DJ$11&gt;=0,MAX(INDEX(MMULT(inverseG,DI$12:DI$62),$A26+1,1),MAX(strike-$B26,0)),"")</f>
        <v/>
      </c>
      <c r="DK26" s="9" t="str">
        <f t="array" ref="DK26">IF(DK$11&gt;=0,MAX(INDEX(MMULT(inverseG,DJ$12:DJ$62),$A26+1,1),MAX(strike-$B26,0)),"")</f>
        <v/>
      </c>
      <c r="DL26" s="9" t="str">
        <f t="array" ref="DL26">IF(DL$11&gt;=0,MAX(INDEX(MMULT(inverseG,DK$12:DK$62),$A26+1,1),MAX(strike-$B26,0)),"")</f>
        <v/>
      </c>
      <c r="DM26" s="9" t="str">
        <f t="array" ref="DM26">IF(DM$11&gt;=0,MAX(INDEX(MMULT(inverseG,DL$12:DL$62),$A26+1,1),MAX(strike-$B26,0)),"")</f>
        <v/>
      </c>
      <c r="DN26" s="9" t="str">
        <f t="array" ref="DN26">IF(DN$11&gt;=0,MAX(INDEX(MMULT(inverseG,DM$12:DM$62),$A26+1,1),MAX(strike-$B26,0)),"")</f>
        <v/>
      </c>
      <c r="DO26" s="9" t="str">
        <f t="array" ref="DO26">IF(DO$11&gt;=0,MAX(INDEX(MMULT(inverseG,DN$12:DN$62),$A26+1,1),MAX(strike-$B26,0)),"")</f>
        <v/>
      </c>
      <c r="DP26" s="9" t="str">
        <f t="array" ref="DP26">IF(DP$11&gt;=0,MAX(INDEX(MMULT(inverseG,DO$12:DO$62),$A26+1,1),MAX(strike-$B26,0)),"")</f>
        <v/>
      </c>
      <c r="DQ26" s="9" t="str">
        <f t="array" ref="DQ26">IF(DQ$11&gt;=0,MAX(INDEX(MMULT(inverseG,DP$12:DP$62),$A26+1,1),MAX(strike-$B26,0)),"")</f>
        <v/>
      </c>
      <c r="DR26" s="9" t="str">
        <f t="array" ref="DR26">IF(DR$11&gt;=0,MAX(INDEX(MMULT(inverseG,DQ$12:DQ$62),$A26+1,1),MAX(strike-$B26,0)),"")</f>
        <v/>
      </c>
      <c r="DS26" s="9" t="str">
        <f t="array" ref="DS26">IF(DS$11&gt;=0,MAX(INDEX(MMULT(inverseG,DR$12:DR$62),$A26+1,1),MAX(strike-$B26,0)),"")</f>
        <v/>
      </c>
      <c r="DT26" s="9" t="str">
        <f t="array" ref="DT26">IF(DT$11&gt;=0,MAX(INDEX(MMULT(inverseG,DS$12:DS$62),$A26+1,1),MAX(strike-$B26,0)),"")</f>
        <v/>
      </c>
      <c r="DU26" s="9" t="str">
        <f t="array" ref="DU26">IF(DU$11&gt;=0,MAX(INDEX(MMULT(inverseG,DT$12:DT$62),$A26+1,1),MAX(strike-$B26,0)),"")</f>
        <v/>
      </c>
      <c r="DV26" s="9" t="str">
        <f t="array" ref="DV26">IF(DV$11&gt;=0,MAX(INDEX(MMULT(inverseG,DU$12:DU$62),$A26+1,1),MAX(strike-$B26,0)),"")</f>
        <v/>
      </c>
      <c r="DW26" s="9" t="str">
        <f t="array" ref="DW26">IF(DW$11&gt;=0,MAX(INDEX(MMULT(inverseG,DV$12:DV$62),$A26+1,1),MAX(strike-$B26,0)),"")</f>
        <v/>
      </c>
      <c r="DX26" s="9" t="str">
        <f t="array" ref="DX26">IF(DX$11&gt;=0,MAX(INDEX(MMULT(inverseG,DW$12:DW$62),$A26+1,1),MAX(strike-$B26,0)),"")</f>
        <v/>
      </c>
      <c r="DY26" s="9" t="str">
        <f t="array" ref="DY26">IF(DY$11&gt;=0,MAX(INDEX(MMULT(inverseG,DX$12:DX$62),$A26+1,1),MAX(strike-$B26,0)),"")</f>
        <v/>
      </c>
      <c r="DZ26" s="9" t="str">
        <f t="array" ref="DZ26">IF(DZ$11&gt;=0,MAX(INDEX(MMULT(inverseG,DY$12:DY$62),$A26+1,1),MAX(strike-$B26,0)),"")</f>
        <v/>
      </c>
      <c r="EA26" s="9" t="str">
        <f t="array" ref="EA26">IF(EA$11&gt;=0,MAX(INDEX(MMULT(inverseG,DZ$12:DZ$62),$A26+1,1),MAX(strike-$B26,0)),"")</f>
        <v/>
      </c>
      <c r="EB26" s="9" t="str">
        <f t="array" ref="EB26">IF(EB$11&gt;=0,MAX(INDEX(MMULT(inverseG,EA$12:EA$62),$A26+1,1),MAX(strike-$B26,0)),"")</f>
        <v/>
      </c>
      <c r="EC26" s="9" t="str">
        <f t="array" ref="EC26">IF(EC$11&gt;=0,MAX(INDEX(MMULT(inverseG,EB$12:EB$62),$A26+1,1),MAX(strike-$B26,0)),"")</f>
        <v/>
      </c>
      <c r="ED26" s="9" t="str">
        <f t="array" ref="ED26">IF(ED$11&gt;=0,MAX(INDEX(MMULT(inverseG,EC$12:EC$62),$A26+1,1),MAX(strike-$B26,0)),"")</f>
        <v/>
      </c>
      <c r="EE26" s="9" t="str">
        <f t="array" ref="EE26">IF(EE$11&gt;=0,MAX(INDEX(MMULT(inverseG,ED$12:ED$62),$A26+1,1),MAX(strike-$B26,0)),"")</f>
        <v/>
      </c>
      <c r="EF26" s="9" t="str">
        <f t="array" ref="EF26">IF(EF$11&gt;=0,MAX(INDEX(MMULT(inverseG,EE$12:EE$62),$A26+1,1),MAX(strike-$B26,0)),"")</f>
        <v/>
      </c>
      <c r="EG26" s="9" t="str">
        <f t="array" ref="EG26">IF(EG$11&gt;=0,MAX(INDEX(MMULT(inverseG,EF$12:EF$62),$A26+1,1),MAX(strike-$B26,0)),"")</f>
        <v/>
      </c>
      <c r="EH26" s="9" t="str">
        <f t="array" ref="EH26">IF(EH$11&gt;=0,MAX(INDEX(MMULT(inverseG,EG$12:EG$62),$A26+1,1),MAX(strike-$B26,0)),"")</f>
        <v/>
      </c>
      <c r="EI26" s="9" t="str">
        <f t="array" ref="EI26">IF(EI$11&gt;=0,MAX(INDEX(MMULT(inverseG,EH$12:EH$62),$A26+1,1),MAX(strike-$B26,0)),"")</f>
        <v/>
      </c>
      <c r="EJ26" s="9" t="str">
        <f t="array" ref="EJ26">IF(EJ$11&gt;=0,MAX(INDEX(MMULT(inverseG,EI$12:EI$62),$A26+1,1),MAX(strike-$B26,0)),"")</f>
        <v/>
      </c>
      <c r="EK26" s="9" t="str">
        <f t="array" ref="EK26">IF(EK$11&gt;=0,MAX(INDEX(MMULT(inverseG,EJ$12:EJ$62),$A26+1,1),MAX(strike-$B26,0)),"")</f>
        <v/>
      </c>
      <c r="EL26" s="9" t="str">
        <f t="array" ref="EL26">IF(EL$11&gt;=0,MAX(INDEX(MMULT(inverseG,EK$12:EK$62),$A26+1,1),MAX(strike-$B26,0)),"")</f>
        <v/>
      </c>
      <c r="EM26" s="9" t="str">
        <f t="array" ref="EM26">IF(EM$11&gt;=0,MAX(INDEX(MMULT(inverseG,EL$12:EL$62),$A26+1,1),MAX(strike-$B26,0)),"")</f>
        <v/>
      </c>
      <c r="EN26" s="9" t="str">
        <f t="array" ref="EN26">IF(EN$11&gt;=0,MAX(INDEX(MMULT(inverseG,EM$12:EM$62),$A26+1,1),MAX(strike-$B26,0)),"")</f>
        <v/>
      </c>
      <c r="EO26" s="9" t="str">
        <f t="array" ref="EO26">IF(EO$11&gt;=0,MAX(INDEX(MMULT(inverseG,EN$12:EN$62),$A26+1,1),MAX(strike-$B26,0)),"")</f>
        <v/>
      </c>
      <c r="EP26" s="9" t="str">
        <f t="array" ref="EP26">IF(EP$11&gt;=0,MAX(INDEX(MMULT(inverseG,EO$12:EO$62),$A26+1,1),MAX(strike-$B26,0)),"")</f>
        <v/>
      </c>
      <c r="EQ26" s="9" t="str">
        <f t="array" ref="EQ26">IF(EQ$11&gt;=0,MAX(INDEX(MMULT(inverseG,EP$12:EP$62),$A26+1,1),MAX(strike-$B26,0)),"")</f>
        <v/>
      </c>
      <c r="ER26" s="9" t="str">
        <f t="array" ref="ER26">IF(ER$11&gt;=0,MAX(INDEX(MMULT(inverseG,EQ$12:EQ$62),$A26+1,1),MAX(strike-$B26,0)),"")</f>
        <v/>
      </c>
      <c r="ES26" s="9" t="str">
        <f t="array" ref="ES26">IF(ES$11&gt;=0,MAX(INDEX(MMULT(inverseG,ER$12:ER$62),$A26+1,1),MAX(strike-$B26,0)),"")</f>
        <v/>
      </c>
      <c r="ET26" s="9" t="str">
        <f t="array" ref="ET26">IF(ET$11&gt;=0,MAX(INDEX(MMULT(inverseG,ES$12:ES$62),$A26+1,1),MAX(strike-$B26,0)),"")</f>
        <v/>
      </c>
      <c r="EU26" s="9" t="str">
        <f t="array" ref="EU26">IF(EU$11&gt;=0,MAX(INDEX(MMULT(inverseG,ET$12:ET$62),$A26+1,1),MAX(strike-$B26,0)),"")</f>
        <v/>
      </c>
      <c r="EV26" s="9" t="str">
        <f t="array" ref="EV26">IF(EV$11&gt;=0,MAX(INDEX(MMULT(inverseG,EU$12:EU$62),$A26+1,1),MAX(strike-$B26,0)),"")</f>
        <v/>
      </c>
      <c r="EW26" s="9" t="str">
        <f t="array" ref="EW26">IF(EW$11&gt;=0,MAX(INDEX(MMULT(inverseG,EV$12:EV$62),$A26+1,1),MAX(strike-$B26,0)),"")</f>
        <v/>
      </c>
      <c r="EX26" s="9" t="str">
        <f t="array" ref="EX26">IF(EX$11&gt;=0,MAX(INDEX(MMULT(inverseG,EW$12:EW$62),$A26+1,1),MAX(strike-$B26,0)),"")</f>
        <v/>
      </c>
      <c r="EY26" s="9" t="str">
        <f t="array" ref="EY26">IF(EY$11&gt;=0,MAX(INDEX(MMULT(inverseG,EX$12:EX$62),$A26+1,1),MAX(strike-$B26,0)),"")</f>
        <v/>
      </c>
      <c r="EZ26" s="9" t="str">
        <f t="array" ref="EZ26">IF(EZ$11&gt;=0,MAX(INDEX(MMULT(inverseG,EY$12:EY$62),$A26+1,1),MAX(strike-$B26,0)),"")</f>
        <v/>
      </c>
      <c r="FA26" s="9" t="str">
        <f t="array" ref="FA26">IF(FA$11&gt;=0,MAX(INDEX(MMULT(inverseG,EZ$12:EZ$62),$A26+1,1),MAX(strike-$B26,0)),"")</f>
        <v/>
      </c>
      <c r="FB26" s="9" t="str">
        <f t="array" ref="FB26">IF(FB$11&gt;=0,MAX(INDEX(MMULT(inverseG,FA$12:FA$62),$A26+1,1),MAX(strike-$B26,0)),"")</f>
        <v/>
      </c>
      <c r="FC26" s="9" t="str">
        <f t="array" ref="FC26">IF(FC$11&gt;=0,MAX(INDEX(MMULT(inverseG,FB$12:FB$62),$A26+1,1),MAX(strike-$B26,0)),"")</f>
        <v/>
      </c>
      <c r="FD26" s="9" t="str">
        <f t="array" ref="FD26">IF(FD$11&gt;=0,MAX(INDEX(MMULT(inverseG,FC$12:FC$62),$A26+1,1),MAX(strike-$B26,0)),"")</f>
        <v/>
      </c>
      <c r="FE26" s="9" t="str">
        <f t="array" ref="FE26">IF(FE$11&gt;=0,MAX(INDEX(MMULT(inverseG,FD$12:FD$62),$A26+1,1),MAX(strike-$B26,0)),"")</f>
        <v/>
      </c>
      <c r="FF26" s="9" t="str">
        <f t="array" ref="FF26">IF(FF$11&gt;=0,MAX(INDEX(MMULT(inverseG,FE$12:FE$62),$A26+1,1),MAX(strike-$B26,0)),"")</f>
        <v/>
      </c>
      <c r="FG26" s="9" t="str">
        <f t="array" ref="FG26">IF(FG$11&gt;=0,MAX(INDEX(MMULT(inverseG,FF$12:FF$62),$A26+1,1),MAX(strike-$B26,0)),"")</f>
        <v/>
      </c>
      <c r="FH26" s="9" t="str">
        <f t="array" ref="FH26">IF(FH$11&gt;=0,MAX(INDEX(MMULT(inverseG,FG$12:FG$62),$A26+1,1),MAX(strike-$B26,0)),"")</f>
        <v/>
      </c>
      <c r="FI26" s="9" t="str">
        <f t="array" ref="FI26">IF(FI$11&gt;=0,MAX(INDEX(MMULT(inverseG,FH$12:FH$62),$A26+1,1),MAX(strike-$B26,0)),"")</f>
        <v/>
      </c>
      <c r="FJ26" s="9" t="str">
        <f t="array" ref="FJ26">IF(FJ$11&gt;=0,MAX(INDEX(MMULT(inverseG,FI$12:FI$62),$A26+1,1),MAX(strike-$B26,0)),"")</f>
        <v/>
      </c>
      <c r="FK26" s="9" t="str">
        <f t="array" ref="FK26">IF(FK$11&gt;=0,MAX(INDEX(MMULT(inverseG,FJ$12:FJ$62),$A26+1,1),MAX(strike-$B26,0)),"")</f>
        <v/>
      </c>
      <c r="FL26" s="9" t="str">
        <f t="array" ref="FL26">IF(FL$11&gt;=0,MAX(INDEX(MMULT(inverseG,FK$12:FK$62),$A26+1,1),MAX(strike-$B26,0)),"")</f>
        <v/>
      </c>
      <c r="FM26" s="9" t="str">
        <f t="array" ref="FM26">IF(FM$11&gt;=0,MAX(INDEX(MMULT(inverseG,FL$12:FL$62),$A26+1,1),MAX(strike-$B26,0)),"")</f>
        <v/>
      </c>
      <c r="FN26" s="9" t="str">
        <f t="array" ref="FN26">IF(FN$11&gt;=0,MAX(INDEX(MMULT(inverseG,FM$12:FM$62),$A26+1,1),MAX(strike-$B26,0)),"")</f>
        <v/>
      </c>
      <c r="FO26" s="9" t="str">
        <f t="array" ref="FO26">IF(FO$11&gt;=0,MAX(INDEX(MMULT(inverseG,FN$12:FN$62),$A26+1,1),MAX(strike-$B26,0)),"")</f>
        <v/>
      </c>
      <c r="FP26" s="9" t="str">
        <f t="array" ref="FP26">IF(FP$11&gt;=0,MAX(INDEX(MMULT(inverseG,FO$12:FO$62),$A26+1,1),MAX(strike-$B26,0)),"")</f>
        <v/>
      </c>
      <c r="FQ26" s="9" t="str">
        <f t="array" ref="FQ26">IF(FQ$11&gt;=0,MAX(INDEX(MMULT(inverseG,FP$12:FP$62),$A26+1,1),MAX(strike-$B26,0)),"")</f>
        <v/>
      </c>
      <c r="FR26" s="9" t="str">
        <f t="array" ref="FR26">IF(FR$11&gt;=0,MAX(INDEX(MMULT(inverseG,FQ$12:FQ$62),$A26+1,1),MAX(strike-$B26,0)),"")</f>
        <v/>
      </c>
      <c r="FS26" s="9" t="str">
        <f t="array" ref="FS26">IF(FS$11&gt;=0,MAX(INDEX(MMULT(inverseG,FR$12:FR$62),$A26+1,1),MAX(strike-$B26,0)),"")</f>
        <v/>
      </c>
      <c r="FT26" s="9" t="str">
        <f t="array" ref="FT26">IF(FT$11&gt;=0,MAX(INDEX(MMULT(inverseG,FS$12:FS$62),$A26+1,1),MAX(strike-$B26,0)),"")</f>
        <v/>
      </c>
      <c r="FU26" s="9" t="str">
        <f t="array" ref="FU26">IF(FU$11&gt;=0,MAX(INDEX(MMULT(inverseG,FT$12:FT$62),$A26+1,1),MAX(strike-$B26,0)),"")</f>
        <v/>
      </c>
      <c r="FV26" s="9" t="str">
        <f t="array" ref="FV26">IF(FV$11&gt;=0,MAX(INDEX(MMULT(inverseG,FU$12:FU$62),$A26+1,1),MAX(strike-$B26,0)),"")</f>
        <v/>
      </c>
      <c r="FW26" s="9" t="str">
        <f t="array" ref="FW26">IF(FW$11&gt;=0,MAX(INDEX(MMULT(inverseG,FV$12:FV$62),$A26+1,1),MAX(strike-$B26,0)),"")</f>
        <v/>
      </c>
      <c r="FX26" s="9" t="str">
        <f t="array" ref="FX26">IF(FX$11&gt;=0,MAX(INDEX(MMULT(inverseG,FW$12:FW$62),$A26+1,1),MAX(strike-$B26,0)),"")</f>
        <v/>
      </c>
      <c r="FY26" s="9" t="str">
        <f t="array" ref="FY26">IF(FY$11&gt;=0,MAX(INDEX(MMULT(inverseG,FX$12:FX$62),$A26+1,1),MAX(strike-$B26,0)),"")</f>
        <v/>
      </c>
      <c r="FZ26" s="9" t="str">
        <f t="array" ref="FZ26">IF(FZ$11&gt;=0,MAX(INDEX(MMULT(inverseG,FY$12:FY$62),$A26+1,1),MAX(strike-$B26,0)),"")</f>
        <v/>
      </c>
      <c r="GA26" s="9" t="str">
        <f t="array" ref="GA26">IF(GA$11&gt;=0,MAX(INDEX(MMULT(inverseG,FZ$12:FZ$62),$A26+1,1),MAX(strike-$B26,0)),"")</f>
        <v/>
      </c>
      <c r="GB26" s="9" t="str">
        <f t="array" ref="GB26">IF(GB$11&gt;=0,MAX(INDEX(MMULT(inverseG,GA$12:GA$62),$A26+1,1),MAX(strike-$B26,0)),"")</f>
        <v/>
      </c>
      <c r="GC26" s="9" t="str">
        <f t="array" ref="GC26">IF(GC$11&gt;=0,MAX(INDEX(MMULT(inverseG,GB$12:GB$62),$A26+1,1),MAX(strike-$B26,0)),"")</f>
        <v/>
      </c>
      <c r="GD26" s="9" t="str">
        <f t="array" ref="GD26">IF(GD$11&gt;=0,MAX(INDEX(MMULT(inverseG,GC$12:GC$62),$A26+1,1),MAX(strike-$B26,0)),"")</f>
        <v/>
      </c>
      <c r="GE26" s="9" t="str">
        <f t="array" ref="GE26">IF(GE$11&gt;=0,MAX(INDEX(MMULT(inverseG,GD$12:GD$62),$A26+1,1),MAX(strike-$B26,0)),"")</f>
        <v/>
      </c>
      <c r="GF26" s="9" t="str">
        <f t="array" ref="GF26">IF(GF$11&gt;=0,MAX(INDEX(MMULT(inverseG,GE$12:GE$62),$A26+1,1),MAX(strike-$B26,0)),"")</f>
        <v/>
      </c>
      <c r="GG26" s="9" t="str">
        <f t="array" ref="GG26">IF(GG$11&gt;=0,MAX(INDEX(MMULT(inverseG,GF$12:GF$62),$A26+1,1),MAX(strike-$B26,0)),"")</f>
        <v/>
      </c>
      <c r="GH26" s="9" t="str">
        <f t="array" ref="GH26">IF(GH$11&gt;=0,MAX(INDEX(MMULT(inverseG,GG$12:GG$62),$A26+1,1),MAX(strike-$B26,0)),"")</f>
        <v/>
      </c>
      <c r="GI26" s="9" t="str">
        <f t="array" ref="GI26">IF(GI$11&gt;=0,MAX(INDEX(MMULT(inverseG,GH$12:GH$62),$A26+1,1),MAX(strike-$B26,0)),"")</f>
        <v/>
      </c>
      <c r="GJ26" s="9" t="str">
        <f t="array" ref="GJ26">IF(GJ$11&gt;=0,MAX(INDEX(MMULT(inverseG,GI$12:GI$62),$A26+1,1),MAX(strike-$B26,0)),"")</f>
        <v/>
      </c>
      <c r="GK26" s="9" t="str">
        <f t="array" ref="GK26">IF(GK$11&gt;=0,MAX(INDEX(MMULT(inverseG,GJ$12:GJ$62),$A26+1,1),MAX(strike-$B26,0)),"")</f>
        <v/>
      </c>
      <c r="GL26" s="9" t="str">
        <f t="array" ref="GL26">IF(GL$11&gt;=0,MAX(INDEX(MMULT(inverseG,GK$12:GK$62),$A26+1,1),MAX(strike-$B26,0)),"")</f>
        <v/>
      </c>
      <c r="GM26" s="9" t="str">
        <f t="array" ref="GM26">IF(GM$11&gt;=0,MAX(INDEX(MMULT(inverseG,GL$12:GL$62),$A26+1,1),MAX(strike-$B26,0)),"")</f>
        <v/>
      </c>
      <c r="GN26" s="9" t="str">
        <f t="array" ref="GN26">IF(GN$11&gt;=0,MAX(INDEX(MMULT(inverseG,GM$12:GM$62),$A26+1,1),MAX(strike-$B26,0)),"")</f>
        <v/>
      </c>
      <c r="GO26" s="9" t="str">
        <f t="array" ref="GO26">IF(GO$11&gt;=0,MAX(INDEX(MMULT(inverseG,GN$12:GN$62),$A26+1,1),MAX(strike-$B26,0)),"")</f>
        <v/>
      </c>
      <c r="GP26" s="9" t="str">
        <f t="array" ref="GP26">IF(GP$11&gt;=0,MAX(INDEX(MMULT(inverseG,GO$12:GO$62),$A26+1,1),MAX(strike-$B26,0)),"")</f>
        <v/>
      </c>
      <c r="GQ26" s="9" t="str">
        <f t="array" ref="GQ26">IF(GQ$11&gt;=0,MAX(INDEX(MMULT(inverseG,GP$12:GP$62),$A26+1,1),MAX(strike-$B26,0)),"")</f>
        <v/>
      </c>
      <c r="GR26" s="9" t="str">
        <f t="array" ref="GR26">IF(GR$11&gt;=0,MAX(INDEX(MMULT(inverseG,GQ$12:GQ$62),$A26+1,1),MAX(strike-$B26,0)),"")</f>
        <v/>
      </c>
      <c r="GS26" s="9" t="str">
        <f t="array" ref="GS26">IF(GS$11&gt;=0,MAX(INDEX(MMULT(inverseG,GR$12:GR$62),$A26+1,1),MAX(strike-$B26,0)),"")</f>
        <v/>
      </c>
      <c r="GT26" s="9" t="str">
        <f t="array" ref="GT26">IF(GT$11&gt;=0,MAX(INDEX(MMULT(inverseG,GS$12:GS$62),$A26+1,1),MAX(strike-$B26,0)),"")</f>
        <v/>
      </c>
      <c r="GU26" s="9" t="str">
        <f t="array" ref="GU26">IF(GU$11&gt;=0,MAX(INDEX(MMULT(inverseG,GT$12:GT$62),$A26+1,1),MAX(strike-$B26,0)),"")</f>
        <v/>
      </c>
      <c r="GV26" s="9" t="str">
        <f t="array" ref="GV26">IF(GV$11&gt;=0,MAX(INDEX(MMULT(inverseG,GU$12:GU$62),$A26+1,1),MAX(strike-$B26,0)),"")</f>
        <v/>
      </c>
      <c r="GW26" s="9" t="str">
        <f t="array" ref="GW26">IF(GW$11&gt;=0,MAX(INDEX(MMULT(inverseG,GV$12:GV$62),$A26+1,1),MAX(strike-$B26,0)),"")</f>
        <v/>
      </c>
      <c r="GX26" s="9" t="str">
        <f t="array" ref="GX26">IF(GX$11&gt;=0,MAX(INDEX(MMULT(inverseG,GW$12:GW$62),$A26+1,1),MAX(strike-$B26,0)),"")</f>
        <v/>
      </c>
      <c r="GY26" s="9" t="str">
        <f t="array" ref="GY26">IF(GY$11&gt;=0,MAX(INDEX(MMULT(inverseG,GX$12:GX$62),$A26+1,1),MAX(strike-$B26,0)),"")</f>
        <v/>
      </c>
      <c r="GZ26" s="9" t="str">
        <f t="array" ref="GZ26">IF(GZ$11&gt;=0,MAX(INDEX(MMULT(inverseG,GY$12:GY$62),$A26+1,1),MAX(strike-$B26,0)),"")</f>
        <v/>
      </c>
      <c r="HA26" s="9" t="str">
        <f t="array" ref="HA26">IF(HA$11&gt;=0,MAX(INDEX(MMULT(inverseG,GZ$12:GZ$62),$A26+1,1),MAX(strike-$B26,0)),"")</f>
        <v/>
      </c>
      <c r="HB26" s="9" t="str">
        <f t="array" ref="HB26">IF(HB$11&gt;=0,MAX(INDEX(MMULT(inverseG,HA$12:HA$62),$A26+1,1),MAX(strike-$B26,0)),"")</f>
        <v/>
      </c>
      <c r="HC26" s="9" t="str">
        <f t="array" ref="HC26">IF(HC$11&gt;=0,MAX(INDEX(MMULT(inverseG,HB$12:HB$62),$A26+1,1),MAX(strike-$B26,0)),"")</f>
        <v/>
      </c>
      <c r="HD26" s="9" t="str">
        <f t="array" ref="HD26">IF(HD$11&gt;=0,MAX(INDEX(MMULT(inverseG,HC$12:HC$62),$A26+1,1),MAX(strike-$B26,0)),"")</f>
        <v/>
      </c>
      <c r="HE26" s="9" t="str">
        <f t="array" ref="HE26">IF(HE$11&gt;=0,MAX(INDEX(MMULT(inverseG,HD$12:HD$62),$A26+1,1),MAX(strike-$B26,0)),"")</f>
        <v/>
      </c>
      <c r="HF26" s="9" t="str">
        <f t="array" ref="HF26">IF(HF$11&gt;=0,MAX(INDEX(MMULT(inverseG,HE$12:HE$62),$A26+1,1),MAX(strike-$B26,0)),"")</f>
        <v/>
      </c>
      <c r="HG26" s="9" t="str">
        <f t="array" ref="HG26">IF(HG$11&gt;=0,MAX(INDEX(MMULT(inverseG,HF$12:HF$62),$A26+1,1),MAX(strike-$B26,0)),"")</f>
        <v/>
      </c>
      <c r="HH26" s="9" t="str">
        <f t="array" ref="HH26">IF(HH$11&gt;=0,MAX(INDEX(MMULT(inverseG,HG$12:HG$62),$A26+1,1),MAX(strike-$B26,0)),"")</f>
        <v/>
      </c>
      <c r="HI26" s="9" t="str">
        <f t="array" ref="HI26">IF(HI$11&gt;=0,MAX(INDEX(MMULT(inverseG,HH$12:HH$62),$A26+1,1),MAX(strike-$B26,0)),"")</f>
        <v/>
      </c>
      <c r="HJ26" s="9" t="str">
        <f t="array" ref="HJ26">IF(HJ$11&gt;=0,MAX(INDEX(MMULT(inverseG,HI$12:HI$62),$A26+1,1),MAX(strike-$B26,0)),"")</f>
        <v/>
      </c>
      <c r="HK26" s="9" t="str">
        <f t="array" ref="HK26">IF(HK$11&gt;=0,MAX(INDEX(MMULT(inverseG,HJ$12:HJ$62),$A26+1,1),MAX(strike-$B26,0)),"")</f>
        <v/>
      </c>
      <c r="HL26" s="9" t="str">
        <f t="array" ref="HL26">IF(HL$11&gt;=0,MAX(INDEX(MMULT(inverseG,HK$12:HK$62),$A26+1,1),MAX(strike-$B26,0)),"")</f>
        <v/>
      </c>
      <c r="HM26" s="9" t="str">
        <f t="array" ref="HM26">IF(HM$11&gt;=0,MAX(INDEX(MMULT(inverseG,HL$12:HL$62),$A26+1,1),MAX(strike-$B26,0)),"")</f>
        <v/>
      </c>
      <c r="HN26" s="9" t="str">
        <f t="array" ref="HN26">IF(HN$11&gt;=0,MAX(INDEX(MMULT(inverseG,HM$12:HM$62),$A26+1,1),MAX(strike-$B26,0)),"")</f>
        <v/>
      </c>
      <c r="HO26" s="9" t="str">
        <f t="array" ref="HO26">IF(HO$11&gt;=0,MAX(INDEX(MMULT(inverseG,HN$12:HN$62),$A26+1,1),MAX(strike-$B26,0)),"")</f>
        <v/>
      </c>
      <c r="HP26" s="9" t="str">
        <f t="array" ref="HP26">IF(HP$11&gt;=0,MAX(INDEX(MMULT(inverseG,HO$12:HO$62),$A26+1,1),MAX(strike-$B26,0)),"")</f>
        <v/>
      </c>
      <c r="HQ26" s="9" t="str">
        <f t="array" ref="HQ26">IF(HQ$11&gt;=0,MAX(INDEX(MMULT(inverseG,HP$12:HP$62),$A26+1,1),MAX(strike-$B26,0)),"")</f>
        <v/>
      </c>
      <c r="HR26" s="9" t="str">
        <f t="array" ref="HR26">IF(HR$11&gt;=0,MAX(INDEX(MMULT(inverseG,HQ$12:HQ$62),$A26+1,1),MAX(strike-$B26,0)),"")</f>
        <v/>
      </c>
      <c r="HS26" s="9" t="str">
        <f t="array" ref="HS26">IF(HS$11&gt;=0,MAX(INDEX(MMULT(inverseG,HR$12:HR$62),$A26+1,1),MAX(strike-$B26,0)),"")</f>
        <v/>
      </c>
      <c r="HT26" s="9" t="str">
        <f t="array" ref="HT26">IF(HT$11&gt;=0,MAX(INDEX(MMULT(inverseG,HS$12:HS$62),$A26+1,1),MAX(strike-$B26,0)),"")</f>
        <v/>
      </c>
      <c r="HU26" s="9" t="str">
        <f t="array" ref="HU26">IF(HU$11&gt;=0,MAX(INDEX(MMULT(inverseG,HT$12:HT$62),$A26+1,1),MAX(strike-$B26,0)),"")</f>
        <v/>
      </c>
      <c r="HV26" s="9" t="str">
        <f t="array" ref="HV26">IF(HV$11&gt;=0,MAX(INDEX(MMULT(inverseG,HU$12:HU$62),$A26+1,1),MAX(strike-$B26,0)),"")</f>
        <v/>
      </c>
      <c r="HW26" s="9" t="str">
        <f t="array" ref="HW26">IF(HW$11&gt;=0,MAX(INDEX(MMULT(inverseG,HV$12:HV$62),$A26+1,1),MAX(strike-$B26,0)),"")</f>
        <v/>
      </c>
      <c r="HX26" s="9" t="str">
        <f t="array" ref="HX26">IF(HX$11&gt;=0,MAX(INDEX(MMULT(inverseG,HW$12:HW$62),$A26+1,1),MAX(strike-$B26,0)),"")</f>
        <v/>
      </c>
      <c r="HY26" s="9" t="str">
        <f t="array" ref="HY26">IF(HY$11&gt;=0,MAX(INDEX(MMULT(inverseG,HX$12:HX$62),$A26+1,1),MAX(strike-$B26,0)),"")</f>
        <v/>
      </c>
      <c r="HZ26" s="9" t="str">
        <f t="array" ref="HZ26">IF(HZ$11&gt;=0,MAX(INDEX(MMULT(inverseG,HY$12:HY$62),$A26+1,1),MAX(strike-$B26,0)),"")</f>
        <v/>
      </c>
      <c r="IA26" s="9" t="str">
        <f t="array" ref="IA26">IF(IA$11&gt;=0,MAX(INDEX(MMULT(inverseG,HZ$12:HZ$62),$A26+1,1),MAX(strike-$B26,0)),"")</f>
        <v/>
      </c>
      <c r="IB26" s="9" t="str">
        <f t="array" ref="IB26">IF(IB$11&gt;=0,MAX(INDEX(MMULT(inverseG,IA$12:IA$62),$A26+1,1),MAX(strike-$B26,0)),"")</f>
        <v/>
      </c>
      <c r="IC26" s="9" t="str">
        <f t="array" ref="IC26">IF(IC$11&gt;=0,MAX(INDEX(MMULT(inverseG,IB$12:IB$62),$A26+1,1),MAX(strike-$B26,0)),"")</f>
        <v/>
      </c>
      <c r="ID26" s="9" t="str">
        <f t="array" ref="ID26">IF(ID$11&gt;=0,MAX(INDEX(MMULT(inverseG,IC$12:IC$62),$A26+1,1),MAX(strike-$B26,0)),"")</f>
        <v/>
      </c>
      <c r="IE26" s="9" t="str">
        <f t="array" ref="IE26">IF(IE$11&gt;=0,MAX(INDEX(MMULT(inverseG,ID$12:ID$62),$A26+1,1),MAX(strike-$B26,0)),"")</f>
        <v/>
      </c>
      <c r="IF26" s="9" t="str">
        <f t="array" ref="IF26">IF(IF$11&gt;=0,MAX(INDEX(MMULT(inverseG,IE$12:IE$62),$A26+1,1),MAX(strike-$B26,0)),"")</f>
        <v/>
      </c>
      <c r="IG26" s="9" t="str">
        <f t="array" ref="IG26">IF(IG$11&gt;=0,MAX(INDEX(MMULT(inverseG,IF$12:IF$62),$A26+1,1),MAX(strike-$B26,0)),"")</f>
        <v/>
      </c>
      <c r="IH26" s="9" t="str">
        <f t="array" ref="IH26">IF(IH$11&gt;=0,MAX(INDEX(MMULT(inverseG,IG$12:IG$62),$A26+1,1),MAX(strike-$B26,0)),"")</f>
        <v/>
      </c>
      <c r="II26" s="9" t="str">
        <f t="array" ref="II26">IF(II$11&gt;=0,MAX(INDEX(MMULT(inverseG,IH$12:IH$62),$A26+1,1),MAX(strike-$B26,0)),"")</f>
        <v/>
      </c>
      <c r="IJ26" s="9" t="str">
        <f t="array" ref="IJ26">IF(IJ$11&gt;=0,MAX(INDEX(MMULT(inverseG,II$12:II$62),$A26+1,1),MAX(strike-$B26,0)),"")</f>
        <v/>
      </c>
      <c r="IK26" s="9" t="str">
        <f t="array" ref="IK26">IF(IK$11&gt;=0,MAX(INDEX(MMULT(inverseG,IJ$12:IJ$62),$A26+1,1),MAX(strike-$B26,0)),"")</f>
        <v/>
      </c>
      <c r="IL26" s="9" t="str">
        <f t="array" ref="IL26">IF(IL$11&gt;=0,MAX(INDEX(MMULT(inverseG,IK$12:IK$62),$A26+1,1),MAX(strike-$B26,0)),"")</f>
        <v/>
      </c>
      <c r="IM26" s="9" t="str">
        <f t="array" ref="IM26">IF(IM$11&gt;=0,MAX(INDEX(MMULT(inverseG,IL$12:IL$62),$A26+1,1),MAX(strike-$B26,0)),"")</f>
        <v/>
      </c>
      <c r="IN26" s="9" t="str">
        <f t="array" ref="IN26">IF(IN$11&gt;=0,MAX(INDEX(MMULT(inverseG,IM$12:IM$62),$A26+1,1),MAX(strike-$B26,0)),"")</f>
        <v/>
      </c>
      <c r="IO26" s="9" t="str">
        <f t="array" ref="IO26">IF(IO$11&gt;=0,MAX(INDEX(MMULT(inverseG,IN$12:IN$62),$A26+1,1),MAX(strike-$B26,0)),"")</f>
        <v/>
      </c>
      <c r="IP26" s="9" t="str">
        <f t="array" ref="IP26">IF(IP$11&gt;=0,MAX(INDEX(MMULT(inverseG,IO$12:IO$62),$A26+1,1),MAX(strike-$B26,0)),"")</f>
        <v/>
      </c>
      <c r="IQ26" s="9" t="str">
        <f t="array" ref="IQ26">IF(IQ$11&gt;=0,MAX(INDEX(MMULT(inverseG,IP$12:IP$62),$A26+1,1),MAX(strike-$B26,0)),"")</f>
        <v/>
      </c>
      <c r="IR26" s="9" t="str">
        <f t="array" ref="IR26">IF(IR$11&gt;=0,MAX(INDEX(MMULT(inverseG,IQ$12:IQ$62),$A26+1,1),MAX(strike-$B26,0)),"")</f>
        <v/>
      </c>
      <c r="IS26" s="9" t="str">
        <f t="array" ref="IS26">IF(IS$11&gt;=0,MAX(INDEX(MMULT(inverseG,IR$12:IR$62),$A26+1,1),MAX(strike-$B26,0)),"")</f>
        <v/>
      </c>
      <c r="IT26" s="9" t="str">
        <f t="array" ref="IT26">IF(IT$11&gt;=0,MAX(INDEX(MMULT(inverseG,IS$12:IS$62),$A26+1,1),MAX(strike-$B26,0)),"")</f>
        <v/>
      </c>
      <c r="IU26" s="9" t="str">
        <f t="array" ref="IU26">IF(IU$11&gt;=0,MAX(INDEX(MMULT(inverseG,IT$12:IT$62),$A26+1,1),MAX(strike-$B26,0)),"")</f>
        <v/>
      </c>
      <c r="IV26" s="9" t="str">
        <f t="array" ref="IV26">IF(IV$11&gt;=0,MAX(INDEX(MMULT(inverseG,IU$12:IU$62),$A26+1,1),MAX(strike-$B26,0)),"")</f>
        <v/>
      </c>
    </row>
    <row r="27" spans="1:256" x14ac:dyDescent="0.2">
      <c r="A27" s="8">
        <f t="shared" si="7"/>
        <v>15</v>
      </c>
      <c r="B27" s="6">
        <f t="shared" si="4"/>
        <v>3.75</v>
      </c>
      <c r="C27" s="30">
        <f t="shared" ca="1" si="6"/>
        <v>1.3028352782861632</v>
      </c>
      <c r="D27" s="9">
        <f t="shared" si="5"/>
        <v>1.25</v>
      </c>
      <c r="E27" s="9">
        <f t="array" ref="E27">IF(E$11&gt;=0,MAX(INDEX(MMULT(inverseG,D$12:D$62),$A27+1,1),MAX(strike-$B27,0)),"")</f>
        <v>1.25</v>
      </c>
      <c r="F27" s="9">
        <f t="array" ref="F27">IF(F$11&gt;=0,MAX(INDEX(MMULT(inverseG,E$12:E$62),$A27+1,1),MAX(strike-$B27,0)),"")</f>
        <v>1.25</v>
      </c>
      <c r="G27" s="9">
        <f t="array" ref="G27">IF(G$11&gt;=0,MAX(INDEX(MMULT(inverseG,F$12:F$62),$A27+1,1),MAX(strike-$B27,0)),"")</f>
        <v>1.25</v>
      </c>
      <c r="H27" s="9">
        <f t="array" ref="H27">IF(H$11&gt;=0,MAX(INDEX(MMULT(inverseG,G$12:G$62),$A27+1,1),MAX(strike-$B27,0)),"")</f>
        <v>1.25</v>
      </c>
      <c r="I27" s="9">
        <f t="array" ref="I27">IF(I$11&gt;=0,MAX(INDEX(MMULT(inverseG,H$12:H$62),$A27+1,1),MAX(strike-$B27,0)),"")</f>
        <v>1.25</v>
      </c>
      <c r="J27" s="9">
        <f t="array" ref="J27">IF(J$11&gt;=0,MAX(INDEX(MMULT(inverseG,I$12:I$62),$A27+1,1),MAX(strike-$B27,0)),"")</f>
        <v>1.25</v>
      </c>
      <c r="K27" s="9">
        <f t="array" ref="K27">IF(K$11&gt;=0,MAX(INDEX(MMULT(inverseG,J$12:J$62),$A27+1,1),MAX(strike-$B27,0)),"")</f>
        <v>1.25</v>
      </c>
      <c r="L27" s="9">
        <f t="array" ref="L27">IF(L$11&gt;=0,MAX(INDEX(MMULT(inverseG,K$12:K$62),$A27+1,1),MAX(strike-$B27,0)),"")</f>
        <v>1.25</v>
      </c>
      <c r="M27" s="9">
        <f t="array" ref="M27">IF(M$11&gt;=0,MAX(INDEX(MMULT(inverseG,L$12:L$62),$A27+1,1),MAX(strike-$B27,0)),"")</f>
        <v>1.25</v>
      </c>
      <c r="N27" s="9">
        <f t="array" ref="N27">IF(N$11&gt;=0,MAX(INDEX(MMULT(inverseG,M$12:M$62),$A27+1,1),MAX(strike-$B27,0)),"")</f>
        <v>1.25</v>
      </c>
      <c r="O27" s="9">
        <f t="array" ref="O27">IF(O$11&gt;=0,MAX(INDEX(MMULT(inverseG,N$12:N$62),$A27+1,1),MAX(strike-$B27,0)),"")</f>
        <v>1.25</v>
      </c>
      <c r="P27" s="9">
        <f t="array" ref="P27">IF(P$11&gt;=0,MAX(INDEX(MMULT(inverseG,O$12:O$62),$A27+1,1),MAX(strike-$B27,0)),"")</f>
        <v>1.25</v>
      </c>
      <c r="Q27" s="9">
        <f t="array" ref="Q27">IF(Q$11&gt;=0,MAX(INDEX(MMULT(inverseG,P$12:P$62),$A27+1,1),MAX(strike-$B27,0)),"")</f>
        <v>1.25</v>
      </c>
      <c r="R27" s="9">
        <f t="array" ref="R27">IF(R$11&gt;=0,MAX(INDEX(MMULT(inverseG,Q$12:Q$62),$A27+1,1),MAX(strike-$B27,0)),"")</f>
        <v>1.25</v>
      </c>
      <c r="S27" s="9">
        <f t="array" ref="S27">IF(S$11&gt;=0,MAX(INDEX(MMULT(inverseG,R$12:R$62),$A27+1,1),MAX(strike-$B27,0)),"")</f>
        <v>1.25</v>
      </c>
      <c r="T27" s="9">
        <f t="array" ref="T27">IF(T$11&gt;=0,MAX(INDEX(MMULT(inverseG,S$12:S$62),$A27+1,1),MAX(strike-$B27,0)),"")</f>
        <v>1.25</v>
      </c>
      <c r="U27" s="9">
        <f t="array" ref="U27">IF(U$11&gt;=0,MAX(INDEX(MMULT(inverseG,T$12:T$62),$A27+1,1),MAX(strike-$B27,0)),"")</f>
        <v>1.25</v>
      </c>
      <c r="V27" s="9">
        <f t="array" ref="V27">IF(V$11&gt;=0,MAX(INDEX(MMULT(inverseG,U$12:U$62),$A27+1,1),MAX(strike-$B27,0)),"")</f>
        <v>1.25</v>
      </c>
      <c r="W27" s="9">
        <f t="array" ref="W27">IF(W$11&gt;=0,MAX(INDEX(MMULT(inverseG,V$12:V$62),$A27+1,1),MAX(strike-$B27,0)),"")</f>
        <v>1.25</v>
      </c>
      <c r="X27" s="9">
        <f t="array" ref="X27">IF(X$11&gt;=0,MAX(INDEX(MMULT(inverseG,W$12:W$62),$A27+1,1),MAX(strike-$B27,0)),"")</f>
        <v>1.25</v>
      </c>
      <c r="Y27" s="9">
        <f t="array" ref="Y27">IF(Y$11&gt;=0,MAX(INDEX(MMULT(inverseG,X$12:X$62),$A27+1,1),MAX(strike-$B27,0)),"")</f>
        <v>1.25</v>
      </c>
      <c r="Z27" s="9">
        <f t="array" ref="Z27">IF(Z$11&gt;=0,MAX(INDEX(MMULT(inverseG,Y$12:Y$62),$A27+1,1),MAX(strike-$B27,0)),"")</f>
        <v>1.25</v>
      </c>
      <c r="AA27" s="9">
        <f t="array" ref="AA27">IF(AA$11&gt;=0,MAX(INDEX(MMULT(inverseG,Z$12:Z$62),$A27+1,1),MAX(strike-$B27,0)),"")</f>
        <v>1.25</v>
      </c>
      <c r="AB27" s="9">
        <f t="array" ref="AB27">IF(AB$11&gt;=0,MAX(INDEX(MMULT(inverseG,AA$12:AA$62),$A27+1,1),MAX(strike-$B27,0)),"")</f>
        <v>1.25</v>
      </c>
      <c r="AC27" s="9">
        <f t="array" ref="AC27">IF(AC$11&gt;=0,MAX(INDEX(MMULT(inverseG,AB$12:AB$62),$A27+1,1),MAX(strike-$B27,0)),"")</f>
        <v>1.25</v>
      </c>
      <c r="AD27" s="9">
        <f t="array" ref="AD27">IF(AD$11&gt;=0,MAX(INDEX(MMULT(inverseG,AC$12:AC$62),$A27+1,1),MAX(strike-$B27,0)),"")</f>
        <v>1.25</v>
      </c>
      <c r="AE27" s="9">
        <f t="array" ref="AE27">IF(AE$11&gt;=0,MAX(INDEX(MMULT(inverseG,AD$12:AD$62),$A27+1,1),MAX(strike-$B27,0)),"")</f>
        <v>1.25</v>
      </c>
      <c r="AF27" s="9">
        <f t="array" ref="AF27">IF(AF$11&gt;=0,MAX(INDEX(MMULT(inverseG,AE$12:AE$62),$A27+1,1),MAX(strike-$B27,0)),"")</f>
        <v>1.25</v>
      </c>
      <c r="AG27" s="9">
        <f t="array" ref="AG27">IF(AG$11&gt;=0,MAX(INDEX(MMULT(inverseG,AF$12:AF$62),$A27+1,1),MAX(strike-$B27,0)),"")</f>
        <v>1.25</v>
      </c>
      <c r="AH27" s="9">
        <f t="array" ref="AH27">IF(AH$11&gt;=0,MAX(INDEX(MMULT(inverseG,AG$12:AG$62),$A27+1,1),MAX(strike-$B27,0)),"")</f>
        <v>1.25</v>
      </c>
      <c r="AI27" s="9">
        <f t="array" ref="AI27">IF(AI$11&gt;=0,MAX(INDEX(MMULT(inverseG,AH$12:AH$62),$A27+1,1),MAX(strike-$B27,0)),"")</f>
        <v>1.25</v>
      </c>
      <c r="AJ27" s="9">
        <f t="array" ref="AJ27">IF(AJ$11&gt;=0,MAX(INDEX(MMULT(inverseG,AI$12:AI$62),$A27+1,1),MAX(strike-$B27,0)),"")</f>
        <v>1.25</v>
      </c>
      <c r="AK27" s="9">
        <f t="array" ref="AK27">IF(AK$11&gt;=0,MAX(INDEX(MMULT(inverseG,AJ$12:AJ$62),$A27+1,1),MAX(strike-$B27,0)),"")</f>
        <v>1.25</v>
      </c>
      <c r="AL27" s="9">
        <f t="array" ref="AL27">IF(AL$11&gt;=0,MAX(INDEX(MMULT(inverseG,AK$12:AK$62),$A27+1,1),MAX(strike-$B27,0)),"")</f>
        <v>1.25</v>
      </c>
      <c r="AM27" s="9">
        <f t="array" ref="AM27">IF(AM$11&gt;=0,MAX(INDEX(MMULT(inverseG,AL$12:AL$62),$A27+1,1),MAX(strike-$B27,0)),"")</f>
        <v>1.25</v>
      </c>
      <c r="AN27" s="9">
        <f t="array" ref="AN27">IF(AN$11&gt;=0,MAX(INDEX(MMULT(inverseG,AM$12:AM$62),$A27+1,1),MAX(strike-$B27,0)),"")</f>
        <v>1.2503897301314915</v>
      </c>
      <c r="AO27" s="9">
        <f t="array" ref="AO27">IF(AO$11&gt;=0,MAX(INDEX(MMULT(inverseG,AN$12:AN$62),$A27+1,1),MAX(strike-$B27,0)),"")</f>
        <v>1.2510391899215703</v>
      </c>
      <c r="AP27" s="9">
        <f t="array" ref="AP27">IF(AP$11&gt;=0,MAX(INDEX(MMULT(inverseG,AO$12:AO$62),$A27+1,1),MAX(strike-$B27,0)),"")</f>
        <v>1.25185361821416</v>
      </c>
      <c r="AQ27" s="9">
        <f t="array" ref="AQ27">IF(AQ$11&gt;=0,MAX(INDEX(MMULT(inverseG,AP$12:AP$62),$A27+1,1),MAX(strike-$B27,0)),"")</f>
        <v>1.2527753341264591</v>
      </c>
      <c r="AR27" s="9">
        <f t="array" ref="AR27">IF(AR$11&gt;=0,MAX(INDEX(MMULT(inverseG,AQ$12:AQ$62),$A27+1,1),MAX(strike-$B27,0)),"")</f>
        <v>1.2537677781035841</v>
      </c>
      <c r="AS27" s="9">
        <f t="array" ref="AS27">IF(AS$11&gt;=0,MAX(INDEX(MMULT(inverseG,AR$12:AR$62),$A27+1,1),MAX(strike-$B27,0)),"")</f>
        <v>1.2548068801499346</v>
      </c>
      <c r="AT27" s="9">
        <f t="array" ref="AT27">IF(AT$11&gt;=0,MAX(INDEX(MMULT(inverseG,AS$12:AS$62),$A27+1,1),MAX(strike-$B27,0)),"")</f>
        <v>1.2558762372221739</v>
      </c>
      <c r="AU27" s="9">
        <f t="array" ref="AU27">IF(AU$11&gt;=0,MAX(INDEX(MMULT(inverseG,AT$12:AT$62),$A27+1,1),MAX(strike-$B27,0)),"")</f>
        <v>1.2569643275280056</v>
      </c>
      <c r="AV27" s="9">
        <f t="array" ref="AV27">IF(AV$11&gt;=0,MAX(INDEX(MMULT(inverseG,AU$12:AU$62),$A27+1,1),MAX(strike-$B27,0)),"")</f>
        <v>1.2580628464420727</v>
      </c>
      <c r="AW27" s="9">
        <f t="array" ref="AW27">IF(AW$11&gt;=0,MAX(INDEX(MMULT(inverseG,AV$12:AV$62),$A27+1,1),MAX(strike-$B27,0)),"")</f>
        <v>1.2591656788842862</v>
      </c>
      <c r="AX27" s="9">
        <f t="array" ref="AX27">IF(AX$11&gt;=0,MAX(INDEX(MMULT(inverseG,AW$12:AW$62),$A27+1,1),MAX(strike-$B27,0)),"")</f>
        <v>1.2602682439906496</v>
      </c>
      <c r="AY27" s="9">
        <f t="array" ref="AY27">IF(AY$11&gt;=0,MAX(INDEX(MMULT(inverseG,AX$12:AX$62),$A27+1,1),MAX(strike-$B27,0)),"")</f>
        <v>1.2613670642232679</v>
      </c>
      <c r="AZ27" s="9">
        <f t="array" ref="AZ27">IF(AZ$11&gt;=0,MAX(INDEX(MMULT(inverseG,AY$12:AY$62),$A27+1,1),MAX(strike-$B27,0)),"")</f>
        <v>1.2624594738376285</v>
      </c>
      <c r="BA27" s="9">
        <f t="array" ref="BA27">IF(BA$11&gt;=0,MAX(INDEX(MMULT(inverseG,AZ$12:AZ$62),$A27+1,1),MAX(strike-$B27,0)),"")</f>
        <v>1.2635434163738615</v>
      </c>
      <c r="BB27" s="9">
        <f t="array" ref="BB27">IF(BB$11&gt;=0,MAX(INDEX(MMULT(inverseG,BA$12:BA$62),$A27+1,1),MAX(strike-$B27,0)),"")</f>
        <v>1.2646173005749477</v>
      </c>
      <c r="BC27" s="9">
        <f t="array" ref="BC27">IF(BC$11&gt;=0,MAX(INDEX(MMULT(inverseG,BB$12:BB$62),$A27+1,1),MAX(strike-$B27,0)),"")</f>
        <v>1.265679895635113</v>
      </c>
      <c r="BD27" s="9">
        <f t="array" ref="BD27">IF(BD$11&gt;=0,MAX(INDEX(MMULT(inverseG,BC$12:BC$62),$A27+1,1),MAX(strike-$B27,0)),"")</f>
        <v>1.2667302535540483</v>
      </c>
      <c r="BE27" s="9">
        <f t="array" ref="BE27">IF(BE$11&gt;=0,MAX(INDEX(MMULT(inverseG,BD$12:BD$62),$A27+1,1),MAX(strike-$B27,0)),"")</f>
        <v>1.2677676505816606</v>
      </c>
      <c r="BF27" s="9">
        <f t="array" ref="BF27">IF(BF$11&gt;=0,MAX(INDEX(MMULT(inverseG,BE$12:BE$62),$A27+1,1),MAX(strike-$B27,0)),"")</f>
        <v>1.2687915423778273</v>
      </c>
      <c r="BG27" s="9">
        <f t="array" ref="BG27">IF(BG$11&gt;=0,MAX(INDEX(MMULT(inverseG,BF$12:BF$62),$A27+1,1),MAX(strike-$B27,0)),"")</f>
        <v>1.2698015292051708</v>
      </c>
      <c r="BH27" s="9">
        <f t="array" ref="BH27">IF(BH$11&gt;=0,MAX(INDEX(MMULT(inverseG,BG$12:BG$62),$A27+1,1),MAX(strike-$B27,0)),"")</f>
        <v>1.2707973285829715</v>
      </c>
      <c r="BI27" s="9">
        <f t="array" ref="BI27">IF(BI$11&gt;=0,MAX(INDEX(MMULT(inverseG,BH$12:BH$62),$A27+1,1),MAX(strike-$B27,0)),"")</f>
        <v>1.2717787535729237</v>
      </c>
      <c r="BJ27" s="9">
        <f t="array" ref="BJ27">IF(BJ$11&gt;=0,MAX(INDEX(MMULT(inverseG,BI$12:BI$62),$A27+1,1),MAX(strike-$B27,0)),"")</f>
        <v>1.272745695373686</v>
      </c>
      <c r="BK27" s="9">
        <f t="array" ref="BK27">IF(BK$11&gt;=0,MAX(INDEX(MMULT(inverseG,BJ$12:BJ$62),$A27+1,1),MAX(strike-$B27,0)),"")</f>
        <v>1.2736981092525177</v>
      </c>
      <c r="BL27" s="9">
        <f t="array" ref="BL27">IF(BL$11&gt;=0,MAX(INDEX(MMULT(inverseG,BK$12:BK$62),$A27+1,1),MAX(strike-$B27,0)),"")</f>
        <v>1.2746360030901853</v>
      </c>
      <c r="BM27" s="9">
        <f t="array" ref="BM27">IF(BM$11&gt;=0,MAX(INDEX(MMULT(inverseG,BL$12:BL$62),$A27+1,1),MAX(strike-$B27,0)),"")</f>
        <v>1.2755594279929223</v>
      </c>
      <c r="BN27" s="9">
        <f t="array" ref="BN27">IF(BN$11&gt;=0,MAX(INDEX(MMULT(inverseG,BM$12:BM$62),$A27+1,1),MAX(strike-$B27,0)),"")</f>
        <v>1.2764684705542986</v>
      </c>
      <c r="BO27" s="9">
        <f t="array" ref="BO27">IF(BO$11&gt;=0,MAX(INDEX(MMULT(inverseG,BN$12:BN$62),$A27+1,1),MAX(strike-$B27,0)),"")</f>
        <v>1.2773632464449622</v>
      </c>
      <c r="BP27" s="9">
        <f t="array" ref="BP27">IF(BP$11&gt;=0,MAX(INDEX(MMULT(inverseG,BO$12:BO$62),$A27+1,1),MAX(strike-$B27,0)),"")</f>
        <v>1.2782438950790591</v>
      </c>
      <c r="BQ27" s="9">
        <f t="array" ref="BQ27">IF(BQ$11&gt;=0,MAX(INDEX(MMULT(inverseG,BP$12:BP$62),$A27+1,1),MAX(strike-$B27,0)),"")</f>
        <v>1.2791105751596306</v>
      </c>
      <c r="BR27" s="9">
        <f t="array" ref="BR27">IF(BR$11&gt;=0,MAX(INDEX(MMULT(inverseG,BQ$12:BQ$62),$A27+1,1),MAX(strike-$B27,0)),"")</f>
        <v>1.2799634609460302</v>
      </c>
      <c r="BS27" s="9">
        <f t="array" ref="BS27">IF(BS$11&gt;=0,MAX(INDEX(MMULT(inverseG,BR$12:BR$62),$A27+1,1),MAX(strike-$B27,0)),"")</f>
        <v>1.2808027391177599</v>
      </c>
      <c r="BT27" s="9">
        <f t="array" ref="BT27">IF(BT$11&gt;=0,MAX(INDEX(MMULT(inverseG,BS$12:BS$62),$A27+1,1),MAX(strike-$B27,0)),"")</f>
        <v>1.2816286061335054</v>
      </c>
      <c r="BU27" s="9">
        <f t="array" ref="BU27">IF(BU$11&gt;=0,MAX(INDEX(MMULT(inverseG,BT$12:BT$62),$A27+1,1),MAX(strike-$B27,0)),"")</f>
        <v>1.282441266003244</v>
      </c>
      <c r="BV27" s="9">
        <f t="array" ref="BV27">IF(BV$11&gt;=0,MAX(INDEX(MMULT(inverseG,BU$12:BU$62),$A27+1,1),MAX(strike-$B27,0)),"")</f>
        <v>1.2832409284063664</v>
      </c>
      <c r="BW27" s="9">
        <f t="array" ref="BW27">IF(BW$11&gt;=0,MAX(INDEX(MMULT(inverseG,BV$12:BV$62),$A27+1,1),MAX(strike-$B27,0)),"")</f>
        <v>1.284027807100758</v>
      </c>
      <c r="BX27" s="9">
        <f t="array" ref="BX27">IF(BX$11&gt;=0,MAX(INDEX(MMULT(inverseG,BW$12:BW$62),$A27+1,1),MAX(strike-$B27,0)),"")</f>
        <v>1.2848021185774088</v>
      </c>
      <c r="BY27" s="9">
        <f t="array" ref="BY27">IF(BY$11&gt;=0,MAX(INDEX(MMULT(inverseG,BX$12:BX$62),$A27+1,1),MAX(strike-$B27,0)),"")</f>
        <v>1.2855640809228321</v>
      </c>
      <c r="BZ27" s="9">
        <f t="array" ref="BZ27">IF(BZ$11&gt;=0,MAX(INDEX(MMULT(inverseG,BY$12:BY$62),$A27+1,1),MAX(strike-$B27,0)),"")</f>
        <v>1.2863139128579064</v>
      </c>
      <c r="CA27" s="9">
        <f t="array" ref="CA27">IF(CA$11&gt;=0,MAX(INDEX(MMULT(inverseG,BZ$12:BZ$62),$A27+1,1),MAX(strike-$B27,0)),"")</f>
        <v>1.2870518329268428</v>
      </c>
      <c r="CB27" s="9">
        <f t="array" ref="CB27">IF(CB$11&gt;=0,MAX(INDEX(MMULT(inverseG,CA$12:CA$62),$A27+1,1),MAX(strike-$B27,0)),"")</f>
        <v>1.2877780588141994</v>
      </c>
      <c r="CC27" s="9">
        <f t="array" ref="CC27">IF(CC$11&gt;=0,MAX(INDEX(MMULT(inverseG,CB$12:CB$62),$A27+1,1),MAX(strike-$B27,0)),"")</f>
        <v>1.2884928067713379</v>
      </c>
      <c r="CD27" s="9">
        <f t="array" ref="CD27">IF(CD$11&gt;=0,MAX(INDEX(MMULT(inverseG,CC$12:CC$62),$A27+1,1),MAX(strike-$B27,0)),"")</f>
        <v>1.2891962911365644</v>
      </c>
      <c r="CE27" s="9">
        <f t="array" ref="CE27">IF(CE$11&gt;=0,MAX(INDEX(MMULT(inverseG,CD$12:CD$62),$A27+1,1),MAX(strike-$B27,0)),"")</f>
        <v>1.2898887239355972</v>
      </c>
      <c r="CF27" s="9">
        <f t="array" ref="CF27">IF(CF$11&gt;=0,MAX(INDEX(MMULT(inverseG,CE$12:CE$62),$A27+1,1),MAX(strike-$B27,0)),"")</f>
        <v>1.2905703145509959</v>
      </c>
      <c r="CG27" s="9">
        <f t="array" ref="CG27">IF(CG$11&gt;=0,MAX(INDEX(MMULT(inverseG,CF$12:CF$62),$A27+1,1),MAX(strike-$B27,0)),"")</f>
        <v>1.2912412694508284</v>
      </c>
      <c r="CH27" s="9">
        <f t="array" ref="CH27">IF(CH$11&gt;=0,MAX(INDEX(MMULT(inverseG,CG$12:CG$62),$A27+1,1),MAX(strike-$B27,0)),"")</f>
        <v>1.2919017919683018</v>
      </c>
      <c r="CI27" s="9">
        <f t="array" ref="CI27">IF(CI$11&gt;=0,MAX(INDEX(MMULT(inverseG,CH$12:CH$62),$A27+1,1),MAX(strike-$B27,0)),"")</f>
        <v>1.2925520821252141</v>
      </c>
      <c r="CJ27" s="9">
        <f t="array" ref="CJ27">IF(CJ$11&gt;=0,MAX(INDEX(MMULT(inverseG,CI$12:CI$62),$A27+1,1),MAX(strike-$B27,0)),"")</f>
        <v>1.2931923364931304</v>
      </c>
      <c r="CK27" s="9">
        <f t="array" ref="CK27">IF(CK$11&gt;=0,MAX(INDEX(MMULT(inverseG,CJ$12:CJ$62),$A27+1,1),MAX(strike-$B27,0)),"")</f>
        <v>1.2938227480870068</v>
      </c>
      <c r="CL27" s="9">
        <f t="array" ref="CL27">IF(CL$11&gt;=0,MAX(INDEX(MMULT(inverseG,CK$12:CK$62),$A27+1,1),MAX(strike-$B27,0)),"")</f>
        <v>1.2944435062867266</v>
      </c>
      <c r="CM27" s="9">
        <f t="array" ref="CM27">IF(CM$11&gt;=0,MAX(INDEX(MMULT(inverseG,CL$12:CL$62),$A27+1,1),MAX(strike-$B27,0)),"")</f>
        <v>1.2950547967826207</v>
      </c>
      <c r="CN27" s="9">
        <f t="array" ref="CN27">IF(CN$11&gt;=0,MAX(INDEX(MMULT(inverseG,CM$12:CM$62),$A27+1,1),MAX(strike-$B27,0)),"")</f>
        <v>1.2956568015415901</v>
      </c>
      <c r="CO27" s="9">
        <f t="array" ref="CO27">IF(CO$11&gt;=0,MAX(INDEX(MMULT(inverseG,CN$12:CN$62),$A27+1,1),MAX(strike-$B27,0)),"")</f>
        <v>1.2962496987908769</v>
      </c>
      <c r="CP27" s="9">
        <f t="array" ref="CP27">IF(CP$11&gt;=0,MAX(INDEX(MMULT(inverseG,CO$12:CO$62),$A27+1,1),MAX(strike-$B27,0)),"")</f>
        <v>1.2968336630169408</v>
      </c>
      <c r="CQ27" s="9">
        <f t="array" ref="CQ27">IF(CQ$11&gt;=0,MAX(INDEX(MMULT(inverseG,CP$12:CP$62),$A27+1,1),MAX(strike-$B27,0)),"")</f>
        <v>1.2974088649772313</v>
      </c>
      <c r="CR27" s="9">
        <f t="array" ref="CR27">IF(CR$11&gt;=0,MAX(INDEX(MMULT(inverseG,CQ$12:CQ$62),$A27+1,1),MAX(strike-$B27,0)),"")</f>
        <v>1.2979754717229195</v>
      </c>
      <c r="CS27" s="9">
        <f t="array" ref="CS27">IF(CS$11&gt;=0,MAX(INDEX(MMULT(inverseG,CR$12:CR$62),$A27+1,1),MAX(strike-$B27,0)),"")</f>
        <v>1.2985432828787156</v>
      </c>
      <c r="CT27" s="9">
        <f t="array" ref="CT27">IF(CT$11&gt;=0,MAX(INDEX(MMULT(inverseG,CS$12:CS$62),$A27+1,1),MAX(strike-$B27,0)),"")</f>
        <v>1.2991220475029057</v>
      </c>
      <c r="CU27" s="9">
        <f t="array" ref="CU27">IF(CU$11&gt;=0,MAX(INDEX(MMULT(inverseG,CT$12:CT$62),$A27+1,1),MAX(strike-$B27,0)),"")</f>
        <v>1.2997143707078758</v>
      </c>
      <c r="CV27" s="9">
        <f t="array" ref="CV27">IF(CV$11&gt;=0,MAX(INDEX(MMULT(inverseG,CU$12:CU$62),$A27+1,1),MAX(strike-$B27,0)),"")</f>
        <v>1.3003197695064199</v>
      </c>
      <c r="CW27" s="9">
        <f t="array" ref="CW27">IF(CW$11&gt;=0,MAX(INDEX(MMULT(inverseG,CV$12:CV$62),$A27+1,1),MAX(strike-$B27,0)),"")</f>
        <v>1.3009365583983057</v>
      </c>
      <c r="CX27" s="9">
        <f t="array" ref="CX27">IF(CX$11&gt;=0,MAX(INDEX(MMULT(inverseG,CW$12:CW$62),$A27+1,1),MAX(strike-$B27,0)),"")</f>
        <v>1.3015627084673358</v>
      </c>
      <c r="CY27" s="9">
        <f t="array" ref="CY27">IF(CY$11&gt;=0,MAX(INDEX(MMULT(inverseG,CX$12:CX$62),$A27+1,1),MAX(strike-$B27,0)),"")</f>
        <v>1.3021962216889942</v>
      </c>
      <c r="CZ27" s="9">
        <f t="array" ref="CZ27">IF(CZ$11&gt;=0,MAX(INDEX(MMULT(inverseG,CY$12:CY$62),$A27+1,1),MAX(strike-$B27,0)),"")</f>
        <v>1.3028352782861632</v>
      </c>
      <c r="DA27" s="9" t="str">
        <f t="array" ref="DA27">IF(DA$11&gt;=0,MAX(INDEX(MMULT(inverseG,CZ$12:CZ$62),$A27+1,1),MAX(strike-$B27,0)),"")</f>
        <v/>
      </c>
      <c r="DB27" s="9" t="str">
        <f t="array" ref="DB27">IF(DB$11&gt;=0,MAX(INDEX(MMULT(inverseG,DA$12:DA$62),$A27+1,1),MAX(strike-$B27,0)),"")</f>
        <v/>
      </c>
      <c r="DC27" s="9" t="str">
        <f t="array" ref="DC27">IF(DC$11&gt;=0,MAX(INDEX(MMULT(inverseG,DB$12:DB$62),$A27+1,1),MAX(strike-$B27,0)),"")</f>
        <v/>
      </c>
      <c r="DD27" s="9" t="str">
        <f t="array" ref="DD27">IF(DD$11&gt;=0,MAX(INDEX(MMULT(inverseG,DC$12:DC$62),$A27+1,1),MAX(strike-$B27,0)),"")</f>
        <v/>
      </c>
      <c r="DE27" s="9" t="str">
        <f t="array" ref="DE27">IF(DE$11&gt;=0,MAX(INDEX(MMULT(inverseG,DD$12:DD$62),$A27+1,1),MAX(strike-$B27,0)),"")</f>
        <v/>
      </c>
      <c r="DF27" s="9" t="str">
        <f t="array" ref="DF27">IF(DF$11&gt;=0,MAX(INDEX(MMULT(inverseG,DE$12:DE$62),$A27+1,1),MAX(strike-$B27,0)),"")</f>
        <v/>
      </c>
      <c r="DG27" s="9" t="str">
        <f t="array" ref="DG27">IF(DG$11&gt;=0,MAX(INDEX(MMULT(inverseG,DF$12:DF$62),$A27+1,1),MAX(strike-$B27,0)),"")</f>
        <v/>
      </c>
      <c r="DH27" s="9" t="str">
        <f t="array" ref="DH27">IF(DH$11&gt;=0,MAX(INDEX(MMULT(inverseG,DG$12:DG$62),$A27+1,1),MAX(strike-$B27,0)),"")</f>
        <v/>
      </c>
      <c r="DI27" s="9" t="str">
        <f t="array" ref="DI27">IF(DI$11&gt;=0,MAX(INDEX(MMULT(inverseG,DH$12:DH$62),$A27+1,1),MAX(strike-$B27,0)),"")</f>
        <v/>
      </c>
      <c r="DJ27" s="9" t="str">
        <f t="array" ref="DJ27">IF(DJ$11&gt;=0,MAX(INDEX(MMULT(inverseG,DI$12:DI$62),$A27+1,1),MAX(strike-$B27,0)),"")</f>
        <v/>
      </c>
      <c r="DK27" s="9" t="str">
        <f t="array" ref="DK27">IF(DK$11&gt;=0,MAX(INDEX(MMULT(inverseG,DJ$12:DJ$62),$A27+1,1),MAX(strike-$B27,0)),"")</f>
        <v/>
      </c>
      <c r="DL27" s="9" t="str">
        <f t="array" ref="DL27">IF(DL$11&gt;=0,MAX(INDEX(MMULT(inverseG,DK$12:DK$62),$A27+1,1),MAX(strike-$B27,0)),"")</f>
        <v/>
      </c>
      <c r="DM27" s="9" t="str">
        <f t="array" ref="DM27">IF(DM$11&gt;=0,MAX(INDEX(MMULT(inverseG,DL$12:DL$62),$A27+1,1),MAX(strike-$B27,0)),"")</f>
        <v/>
      </c>
      <c r="DN27" s="9" t="str">
        <f t="array" ref="DN27">IF(DN$11&gt;=0,MAX(INDEX(MMULT(inverseG,DM$12:DM$62),$A27+1,1),MAX(strike-$B27,0)),"")</f>
        <v/>
      </c>
      <c r="DO27" s="9" t="str">
        <f t="array" ref="DO27">IF(DO$11&gt;=0,MAX(INDEX(MMULT(inverseG,DN$12:DN$62),$A27+1,1),MAX(strike-$B27,0)),"")</f>
        <v/>
      </c>
      <c r="DP27" s="9" t="str">
        <f t="array" ref="DP27">IF(DP$11&gt;=0,MAX(INDEX(MMULT(inverseG,DO$12:DO$62),$A27+1,1),MAX(strike-$B27,0)),"")</f>
        <v/>
      </c>
      <c r="DQ27" s="9" t="str">
        <f t="array" ref="DQ27">IF(DQ$11&gt;=0,MAX(INDEX(MMULT(inverseG,DP$12:DP$62),$A27+1,1),MAX(strike-$B27,0)),"")</f>
        <v/>
      </c>
      <c r="DR27" s="9" t="str">
        <f t="array" ref="DR27">IF(DR$11&gt;=0,MAX(INDEX(MMULT(inverseG,DQ$12:DQ$62),$A27+1,1),MAX(strike-$B27,0)),"")</f>
        <v/>
      </c>
      <c r="DS27" s="9" t="str">
        <f t="array" ref="DS27">IF(DS$11&gt;=0,MAX(INDEX(MMULT(inverseG,DR$12:DR$62),$A27+1,1),MAX(strike-$B27,0)),"")</f>
        <v/>
      </c>
      <c r="DT27" s="9" t="str">
        <f t="array" ref="DT27">IF(DT$11&gt;=0,MAX(INDEX(MMULT(inverseG,DS$12:DS$62),$A27+1,1),MAX(strike-$B27,0)),"")</f>
        <v/>
      </c>
      <c r="DU27" s="9" t="str">
        <f t="array" ref="DU27">IF(DU$11&gt;=0,MAX(INDEX(MMULT(inverseG,DT$12:DT$62),$A27+1,1),MAX(strike-$B27,0)),"")</f>
        <v/>
      </c>
      <c r="DV27" s="9" t="str">
        <f t="array" ref="DV27">IF(DV$11&gt;=0,MAX(INDEX(MMULT(inverseG,DU$12:DU$62),$A27+1,1),MAX(strike-$B27,0)),"")</f>
        <v/>
      </c>
      <c r="DW27" s="9" t="str">
        <f t="array" ref="DW27">IF(DW$11&gt;=0,MAX(INDEX(MMULT(inverseG,DV$12:DV$62),$A27+1,1),MAX(strike-$B27,0)),"")</f>
        <v/>
      </c>
      <c r="DX27" s="9" t="str">
        <f t="array" ref="DX27">IF(DX$11&gt;=0,MAX(INDEX(MMULT(inverseG,DW$12:DW$62),$A27+1,1),MAX(strike-$B27,0)),"")</f>
        <v/>
      </c>
      <c r="DY27" s="9" t="str">
        <f t="array" ref="DY27">IF(DY$11&gt;=0,MAX(INDEX(MMULT(inverseG,DX$12:DX$62),$A27+1,1),MAX(strike-$B27,0)),"")</f>
        <v/>
      </c>
      <c r="DZ27" s="9" t="str">
        <f t="array" ref="DZ27">IF(DZ$11&gt;=0,MAX(INDEX(MMULT(inverseG,DY$12:DY$62),$A27+1,1),MAX(strike-$B27,0)),"")</f>
        <v/>
      </c>
      <c r="EA27" s="9" t="str">
        <f t="array" ref="EA27">IF(EA$11&gt;=0,MAX(INDEX(MMULT(inverseG,DZ$12:DZ$62),$A27+1,1),MAX(strike-$B27,0)),"")</f>
        <v/>
      </c>
      <c r="EB27" s="9" t="str">
        <f t="array" ref="EB27">IF(EB$11&gt;=0,MAX(INDEX(MMULT(inverseG,EA$12:EA$62),$A27+1,1),MAX(strike-$B27,0)),"")</f>
        <v/>
      </c>
      <c r="EC27" s="9" t="str">
        <f t="array" ref="EC27">IF(EC$11&gt;=0,MAX(INDEX(MMULT(inverseG,EB$12:EB$62),$A27+1,1),MAX(strike-$B27,0)),"")</f>
        <v/>
      </c>
      <c r="ED27" s="9" t="str">
        <f t="array" ref="ED27">IF(ED$11&gt;=0,MAX(INDEX(MMULT(inverseG,EC$12:EC$62),$A27+1,1),MAX(strike-$B27,0)),"")</f>
        <v/>
      </c>
      <c r="EE27" s="9" t="str">
        <f t="array" ref="EE27">IF(EE$11&gt;=0,MAX(INDEX(MMULT(inverseG,ED$12:ED$62),$A27+1,1),MAX(strike-$B27,0)),"")</f>
        <v/>
      </c>
      <c r="EF27" s="9" t="str">
        <f t="array" ref="EF27">IF(EF$11&gt;=0,MAX(INDEX(MMULT(inverseG,EE$12:EE$62),$A27+1,1),MAX(strike-$B27,0)),"")</f>
        <v/>
      </c>
      <c r="EG27" s="9" t="str">
        <f t="array" ref="EG27">IF(EG$11&gt;=0,MAX(INDEX(MMULT(inverseG,EF$12:EF$62),$A27+1,1),MAX(strike-$B27,0)),"")</f>
        <v/>
      </c>
      <c r="EH27" s="9" t="str">
        <f t="array" ref="EH27">IF(EH$11&gt;=0,MAX(INDEX(MMULT(inverseG,EG$12:EG$62),$A27+1,1),MAX(strike-$B27,0)),"")</f>
        <v/>
      </c>
      <c r="EI27" s="9" t="str">
        <f t="array" ref="EI27">IF(EI$11&gt;=0,MAX(INDEX(MMULT(inverseG,EH$12:EH$62),$A27+1,1),MAX(strike-$B27,0)),"")</f>
        <v/>
      </c>
      <c r="EJ27" s="9" t="str">
        <f t="array" ref="EJ27">IF(EJ$11&gt;=0,MAX(INDEX(MMULT(inverseG,EI$12:EI$62),$A27+1,1),MAX(strike-$B27,0)),"")</f>
        <v/>
      </c>
      <c r="EK27" s="9" t="str">
        <f t="array" ref="EK27">IF(EK$11&gt;=0,MAX(INDEX(MMULT(inverseG,EJ$12:EJ$62),$A27+1,1),MAX(strike-$B27,0)),"")</f>
        <v/>
      </c>
      <c r="EL27" s="9" t="str">
        <f t="array" ref="EL27">IF(EL$11&gt;=0,MAX(INDEX(MMULT(inverseG,EK$12:EK$62),$A27+1,1),MAX(strike-$B27,0)),"")</f>
        <v/>
      </c>
      <c r="EM27" s="9" t="str">
        <f t="array" ref="EM27">IF(EM$11&gt;=0,MAX(INDEX(MMULT(inverseG,EL$12:EL$62),$A27+1,1),MAX(strike-$B27,0)),"")</f>
        <v/>
      </c>
      <c r="EN27" s="9" t="str">
        <f t="array" ref="EN27">IF(EN$11&gt;=0,MAX(INDEX(MMULT(inverseG,EM$12:EM$62),$A27+1,1),MAX(strike-$B27,0)),"")</f>
        <v/>
      </c>
      <c r="EO27" s="9" t="str">
        <f t="array" ref="EO27">IF(EO$11&gt;=0,MAX(INDEX(MMULT(inverseG,EN$12:EN$62),$A27+1,1),MAX(strike-$B27,0)),"")</f>
        <v/>
      </c>
      <c r="EP27" s="9" t="str">
        <f t="array" ref="EP27">IF(EP$11&gt;=0,MAX(INDEX(MMULT(inverseG,EO$12:EO$62),$A27+1,1),MAX(strike-$B27,0)),"")</f>
        <v/>
      </c>
      <c r="EQ27" s="9" t="str">
        <f t="array" ref="EQ27">IF(EQ$11&gt;=0,MAX(INDEX(MMULT(inverseG,EP$12:EP$62),$A27+1,1),MAX(strike-$B27,0)),"")</f>
        <v/>
      </c>
      <c r="ER27" s="9" t="str">
        <f t="array" ref="ER27">IF(ER$11&gt;=0,MAX(INDEX(MMULT(inverseG,EQ$12:EQ$62),$A27+1,1),MAX(strike-$B27,0)),"")</f>
        <v/>
      </c>
      <c r="ES27" s="9" t="str">
        <f t="array" ref="ES27">IF(ES$11&gt;=0,MAX(INDEX(MMULT(inverseG,ER$12:ER$62),$A27+1,1),MAX(strike-$B27,0)),"")</f>
        <v/>
      </c>
      <c r="ET27" s="9" t="str">
        <f t="array" ref="ET27">IF(ET$11&gt;=0,MAX(INDEX(MMULT(inverseG,ES$12:ES$62),$A27+1,1),MAX(strike-$B27,0)),"")</f>
        <v/>
      </c>
      <c r="EU27" s="9" t="str">
        <f t="array" ref="EU27">IF(EU$11&gt;=0,MAX(INDEX(MMULT(inverseG,ET$12:ET$62),$A27+1,1),MAX(strike-$B27,0)),"")</f>
        <v/>
      </c>
      <c r="EV27" s="9" t="str">
        <f t="array" ref="EV27">IF(EV$11&gt;=0,MAX(INDEX(MMULT(inverseG,EU$12:EU$62),$A27+1,1),MAX(strike-$B27,0)),"")</f>
        <v/>
      </c>
      <c r="EW27" s="9" t="str">
        <f t="array" ref="EW27">IF(EW$11&gt;=0,MAX(INDEX(MMULT(inverseG,EV$12:EV$62),$A27+1,1),MAX(strike-$B27,0)),"")</f>
        <v/>
      </c>
      <c r="EX27" s="9" t="str">
        <f t="array" ref="EX27">IF(EX$11&gt;=0,MAX(INDEX(MMULT(inverseG,EW$12:EW$62),$A27+1,1),MAX(strike-$B27,0)),"")</f>
        <v/>
      </c>
      <c r="EY27" s="9" t="str">
        <f t="array" ref="EY27">IF(EY$11&gt;=0,MAX(INDEX(MMULT(inverseG,EX$12:EX$62),$A27+1,1),MAX(strike-$B27,0)),"")</f>
        <v/>
      </c>
      <c r="EZ27" s="9" t="str">
        <f t="array" ref="EZ27">IF(EZ$11&gt;=0,MAX(INDEX(MMULT(inverseG,EY$12:EY$62),$A27+1,1),MAX(strike-$B27,0)),"")</f>
        <v/>
      </c>
      <c r="FA27" s="9" t="str">
        <f t="array" ref="FA27">IF(FA$11&gt;=0,MAX(INDEX(MMULT(inverseG,EZ$12:EZ$62),$A27+1,1),MAX(strike-$B27,0)),"")</f>
        <v/>
      </c>
      <c r="FB27" s="9" t="str">
        <f t="array" ref="FB27">IF(FB$11&gt;=0,MAX(INDEX(MMULT(inverseG,FA$12:FA$62),$A27+1,1),MAX(strike-$B27,0)),"")</f>
        <v/>
      </c>
      <c r="FC27" s="9" t="str">
        <f t="array" ref="FC27">IF(FC$11&gt;=0,MAX(INDEX(MMULT(inverseG,FB$12:FB$62),$A27+1,1),MAX(strike-$B27,0)),"")</f>
        <v/>
      </c>
      <c r="FD27" s="9" t="str">
        <f t="array" ref="FD27">IF(FD$11&gt;=0,MAX(INDEX(MMULT(inverseG,FC$12:FC$62),$A27+1,1),MAX(strike-$B27,0)),"")</f>
        <v/>
      </c>
      <c r="FE27" s="9" t="str">
        <f t="array" ref="FE27">IF(FE$11&gt;=0,MAX(INDEX(MMULT(inverseG,FD$12:FD$62),$A27+1,1),MAX(strike-$B27,0)),"")</f>
        <v/>
      </c>
      <c r="FF27" s="9" t="str">
        <f t="array" ref="FF27">IF(FF$11&gt;=0,MAX(INDEX(MMULT(inverseG,FE$12:FE$62),$A27+1,1),MAX(strike-$B27,0)),"")</f>
        <v/>
      </c>
      <c r="FG27" s="9" t="str">
        <f t="array" ref="FG27">IF(FG$11&gt;=0,MAX(INDEX(MMULT(inverseG,FF$12:FF$62),$A27+1,1),MAX(strike-$B27,0)),"")</f>
        <v/>
      </c>
      <c r="FH27" s="9" t="str">
        <f t="array" ref="FH27">IF(FH$11&gt;=0,MAX(INDEX(MMULT(inverseG,FG$12:FG$62),$A27+1,1),MAX(strike-$B27,0)),"")</f>
        <v/>
      </c>
      <c r="FI27" s="9" t="str">
        <f t="array" ref="FI27">IF(FI$11&gt;=0,MAX(INDEX(MMULT(inverseG,FH$12:FH$62),$A27+1,1),MAX(strike-$B27,0)),"")</f>
        <v/>
      </c>
      <c r="FJ27" s="9" t="str">
        <f t="array" ref="FJ27">IF(FJ$11&gt;=0,MAX(INDEX(MMULT(inverseG,FI$12:FI$62),$A27+1,1),MAX(strike-$B27,0)),"")</f>
        <v/>
      </c>
      <c r="FK27" s="9" t="str">
        <f t="array" ref="FK27">IF(FK$11&gt;=0,MAX(INDEX(MMULT(inverseG,FJ$12:FJ$62),$A27+1,1),MAX(strike-$B27,0)),"")</f>
        <v/>
      </c>
      <c r="FL27" s="9" t="str">
        <f t="array" ref="FL27">IF(FL$11&gt;=0,MAX(INDEX(MMULT(inverseG,FK$12:FK$62),$A27+1,1),MAX(strike-$B27,0)),"")</f>
        <v/>
      </c>
      <c r="FM27" s="9" t="str">
        <f t="array" ref="FM27">IF(FM$11&gt;=0,MAX(INDEX(MMULT(inverseG,FL$12:FL$62),$A27+1,1),MAX(strike-$B27,0)),"")</f>
        <v/>
      </c>
      <c r="FN27" s="9" t="str">
        <f t="array" ref="FN27">IF(FN$11&gt;=0,MAX(INDEX(MMULT(inverseG,FM$12:FM$62),$A27+1,1),MAX(strike-$B27,0)),"")</f>
        <v/>
      </c>
      <c r="FO27" s="9" t="str">
        <f t="array" ref="FO27">IF(FO$11&gt;=0,MAX(INDEX(MMULT(inverseG,FN$12:FN$62),$A27+1,1),MAX(strike-$B27,0)),"")</f>
        <v/>
      </c>
      <c r="FP27" s="9" t="str">
        <f t="array" ref="FP27">IF(FP$11&gt;=0,MAX(INDEX(MMULT(inverseG,FO$12:FO$62),$A27+1,1),MAX(strike-$B27,0)),"")</f>
        <v/>
      </c>
      <c r="FQ27" s="9" t="str">
        <f t="array" ref="FQ27">IF(FQ$11&gt;=0,MAX(INDEX(MMULT(inverseG,FP$12:FP$62),$A27+1,1),MAX(strike-$B27,0)),"")</f>
        <v/>
      </c>
      <c r="FR27" s="9" t="str">
        <f t="array" ref="FR27">IF(FR$11&gt;=0,MAX(INDEX(MMULT(inverseG,FQ$12:FQ$62),$A27+1,1),MAX(strike-$B27,0)),"")</f>
        <v/>
      </c>
      <c r="FS27" s="9" t="str">
        <f t="array" ref="FS27">IF(FS$11&gt;=0,MAX(INDEX(MMULT(inverseG,FR$12:FR$62),$A27+1,1),MAX(strike-$B27,0)),"")</f>
        <v/>
      </c>
      <c r="FT27" s="9" t="str">
        <f t="array" ref="FT27">IF(FT$11&gt;=0,MAX(INDEX(MMULT(inverseG,FS$12:FS$62),$A27+1,1),MAX(strike-$B27,0)),"")</f>
        <v/>
      </c>
      <c r="FU27" s="9" t="str">
        <f t="array" ref="FU27">IF(FU$11&gt;=0,MAX(INDEX(MMULT(inverseG,FT$12:FT$62),$A27+1,1),MAX(strike-$B27,0)),"")</f>
        <v/>
      </c>
      <c r="FV27" s="9" t="str">
        <f t="array" ref="FV27">IF(FV$11&gt;=0,MAX(INDEX(MMULT(inverseG,FU$12:FU$62),$A27+1,1),MAX(strike-$B27,0)),"")</f>
        <v/>
      </c>
      <c r="FW27" s="9" t="str">
        <f t="array" ref="FW27">IF(FW$11&gt;=0,MAX(INDEX(MMULT(inverseG,FV$12:FV$62),$A27+1,1),MAX(strike-$B27,0)),"")</f>
        <v/>
      </c>
      <c r="FX27" s="9" t="str">
        <f t="array" ref="FX27">IF(FX$11&gt;=0,MAX(INDEX(MMULT(inverseG,FW$12:FW$62),$A27+1,1),MAX(strike-$B27,0)),"")</f>
        <v/>
      </c>
      <c r="FY27" s="9" t="str">
        <f t="array" ref="FY27">IF(FY$11&gt;=0,MAX(INDEX(MMULT(inverseG,FX$12:FX$62),$A27+1,1),MAX(strike-$B27,0)),"")</f>
        <v/>
      </c>
      <c r="FZ27" s="9" t="str">
        <f t="array" ref="FZ27">IF(FZ$11&gt;=0,MAX(INDEX(MMULT(inverseG,FY$12:FY$62),$A27+1,1),MAX(strike-$B27,0)),"")</f>
        <v/>
      </c>
      <c r="GA27" s="9" t="str">
        <f t="array" ref="GA27">IF(GA$11&gt;=0,MAX(INDEX(MMULT(inverseG,FZ$12:FZ$62),$A27+1,1),MAX(strike-$B27,0)),"")</f>
        <v/>
      </c>
      <c r="GB27" s="9" t="str">
        <f t="array" ref="GB27">IF(GB$11&gt;=0,MAX(INDEX(MMULT(inverseG,GA$12:GA$62),$A27+1,1),MAX(strike-$B27,0)),"")</f>
        <v/>
      </c>
      <c r="GC27" s="9" t="str">
        <f t="array" ref="GC27">IF(GC$11&gt;=0,MAX(INDEX(MMULT(inverseG,GB$12:GB$62),$A27+1,1),MAX(strike-$B27,0)),"")</f>
        <v/>
      </c>
      <c r="GD27" s="9" t="str">
        <f t="array" ref="GD27">IF(GD$11&gt;=0,MAX(INDEX(MMULT(inverseG,GC$12:GC$62),$A27+1,1),MAX(strike-$B27,0)),"")</f>
        <v/>
      </c>
      <c r="GE27" s="9" t="str">
        <f t="array" ref="GE27">IF(GE$11&gt;=0,MAX(INDEX(MMULT(inverseG,GD$12:GD$62),$A27+1,1),MAX(strike-$B27,0)),"")</f>
        <v/>
      </c>
      <c r="GF27" s="9" t="str">
        <f t="array" ref="GF27">IF(GF$11&gt;=0,MAX(INDEX(MMULT(inverseG,GE$12:GE$62),$A27+1,1),MAX(strike-$B27,0)),"")</f>
        <v/>
      </c>
      <c r="GG27" s="9" t="str">
        <f t="array" ref="GG27">IF(GG$11&gt;=0,MAX(INDEX(MMULT(inverseG,GF$12:GF$62),$A27+1,1),MAX(strike-$B27,0)),"")</f>
        <v/>
      </c>
      <c r="GH27" s="9" t="str">
        <f t="array" ref="GH27">IF(GH$11&gt;=0,MAX(INDEX(MMULT(inverseG,GG$12:GG$62),$A27+1,1),MAX(strike-$B27,0)),"")</f>
        <v/>
      </c>
      <c r="GI27" s="9" t="str">
        <f t="array" ref="GI27">IF(GI$11&gt;=0,MAX(INDEX(MMULT(inverseG,GH$12:GH$62),$A27+1,1),MAX(strike-$B27,0)),"")</f>
        <v/>
      </c>
      <c r="GJ27" s="9" t="str">
        <f t="array" ref="GJ27">IF(GJ$11&gt;=0,MAX(INDEX(MMULT(inverseG,GI$12:GI$62),$A27+1,1),MAX(strike-$B27,0)),"")</f>
        <v/>
      </c>
      <c r="GK27" s="9" t="str">
        <f t="array" ref="GK27">IF(GK$11&gt;=0,MAX(INDEX(MMULT(inverseG,GJ$12:GJ$62),$A27+1,1),MAX(strike-$B27,0)),"")</f>
        <v/>
      </c>
      <c r="GL27" s="9" t="str">
        <f t="array" ref="GL27">IF(GL$11&gt;=0,MAX(INDEX(MMULT(inverseG,GK$12:GK$62),$A27+1,1),MAX(strike-$B27,0)),"")</f>
        <v/>
      </c>
      <c r="GM27" s="9" t="str">
        <f t="array" ref="GM27">IF(GM$11&gt;=0,MAX(INDEX(MMULT(inverseG,GL$12:GL$62),$A27+1,1),MAX(strike-$B27,0)),"")</f>
        <v/>
      </c>
      <c r="GN27" s="9" t="str">
        <f t="array" ref="GN27">IF(GN$11&gt;=0,MAX(INDEX(MMULT(inverseG,GM$12:GM$62),$A27+1,1),MAX(strike-$B27,0)),"")</f>
        <v/>
      </c>
      <c r="GO27" s="9" t="str">
        <f t="array" ref="GO27">IF(GO$11&gt;=0,MAX(INDEX(MMULT(inverseG,GN$12:GN$62),$A27+1,1),MAX(strike-$B27,0)),"")</f>
        <v/>
      </c>
      <c r="GP27" s="9" t="str">
        <f t="array" ref="GP27">IF(GP$11&gt;=0,MAX(INDEX(MMULT(inverseG,GO$12:GO$62),$A27+1,1),MAX(strike-$B27,0)),"")</f>
        <v/>
      </c>
      <c r="GQ27" s="9" t="str">
        <f t="array" ref="GQ27">IF(GQ$11&gt;=0,MAX(INDEX(MMULT(inverseG,GP$12:GP$62),$A27+1,1),MAX(strike-$B27,0)),"")</f>
        <v/>
      </c>
      <c r="GR27" s="9" t="str">
        <f t="array" ref="GR27">IF(GR$11&gt;=0,MAX(INDEX(MMULT(inverseG,GQ$12:GQ$62),$A27+1,1),MAX(strike-$B27,0)),"")</f>
        <v/>
      </c>
      <c r="GS27" s="9" t="str">
        <f t="array" ref="GS27">IF(GS$11&gt;=0,MAX(INDEX(MMULT(inverseG,GR$12:GR$62),$A27+1,1),MAX(strike-$B27,0)),"")</f>
        <v/>
      </c>
      <c r="GT27" s="9" t="str">
        <f t="array" ref="GT27">IF(GT$11&gt;=0,MAX(INDEX(MMULT(inverseG,GS$12:GS$62),$A27+1,1),MAX(strike-$B27,0)),"")</f>
        <v/>
      </c>
      <c r="GU27" s="9" t="str">
        <f t="array" ref="GU27">IF(GU$11&gt;=0,MAX(INDEX(MMULT(inverseG,GT$12:GT$62),$A27+1,1),MAX(strike-$B27,0)),"")</f>
        <v/>
      </c>
      <c r="GV27" s="9" t="str">
        <f t="array" ref="GV27">IF(GV$11&gt;=0,MAX(INDEX(MMULT(inverseG,GU$12:GU$62),$A27+1,1),MAX(strike-$B27,0)),"")</f>
        <v/>
      </c>
      <c r="GW27" s="9" t="str">
        <f t="array" ref="GW27">IF(GW$11&gt;=0,MAX(INDEX(MMULT(inverseG,GV$12:GV$62),$A27+1,1),MAX(strike-$B27,0)),"")</f>
        <v/>
      </c>
      <c r="GX27" s="9" t="str">
        <f t="array" ref="GX27">IF(GX$11&gt;=0,MAX(INDEX(MMULT(inverseG,GW$12:GW$62),$A27+1,1),MAX(strike-$B27,0)),"")</f>
        <v/>
      </c>
      <c r="GY27" s="9" t="str">
        <f t="array" ref="GY27">IF(GY$11&gt;=0,MAX(INDEX(MMULT(inverseG,GX$12:GX$62),$A27+1,1),MAX(strike-$B27,0)),"")</f>
        <v/>
      </c>
      <c r="GZ27" s="9" t="str">
        <f t="array" ref="GZ27">IF(GZ$11&gt;=0,MAX(INDEX(MMULT(inverseG,GY$12:GY$62),$A27+1,1),MAX(strike-$B27,0)),"")</f>
        <v/>
      </c>
      <c r="HA27" s="9" t="str">
        <f t="array" ref="HA27">IF(HA$11&gt;=0,MAX(INDEX(MMULT(inverseG,GZ$12:GZ$62),$A27+1,1),MAX(strike-$B27,0)),"")</f>
        <v/>
      </c>
      <c r="HB27" s="9" t="str">
        <f t="array" ref="HB27">IF(HB$11&gt;=0,MAX(INDEX(MMULT(inverseG,HA$12:HA$62),$A27+1,1),MAX(strike-$B27,0)),"")</f>
        <v/>
      </c>
      <c r="HC27" s="9" t="str">
        <f t="array" ref="HC27">IF(HC$11&gt;=0,MAX(INDEX(MMULT(inverseG,HB$12:HB$62),$A27+1,1),MAX(strike-$B27,0)),"")</f>
        <v/>
      </c>
      <c r="HD27" s="9" t="str">
        <f t="array" ref="HD27">IF(HD$11&gt;=0,MAX(INDEX(MMULT(inverseG,HC$12:HC$62),$A27+1,1),MAX(strike-$B27,0)),"")</f>
        <v/>
      </c>
      <c r="HE27" s="9" t="str">
        <f t="array" ref="HE27">IF(HE$11&gt;=0,MAX(INDEX(MMULT(inverseG,HD$12:HD$62),$A27+1,1),MAX(strike-$B27,0)),"")</f>
        <v/>
      </c>
      <c r="HF27" s="9" t="str">
        <f t="array" ref="HF27">IF(HF$11&gt;=0,MAX(INDEX(MMULT(inverseG,HE$12:HE$62),$A27+1,1),MAX(strike-$B27,0)),"")</f>
        <v/>
      </c>
      <c r="HG27" s="9" t="str">
        <f t="array" ref="HG27">IF(HG$11&gt;=0,MAX(INDEX(MMULT(inverseG,HF$12:HF$62),$A27+1,1),MAX(strike-$B27,0)),"")</f>
        <v/>
      </c>
      <c r="HH27" s="9" t="str">
        <f t="array" ref="HH27">IF(HH$11&gt;=0,MAX(INDEX(MMULT(inverseG,HG$12:HG$62),$A27+1,1),MAX(strike-$B27,0)),"")</f>
        <v/>
      </c>
      <c r="HI27" s="9" t="str">
        <f t="array" ref="HI27">IF(HI$11&gt;=0,MAX(INDEX(MMULT(inverseG,HH$12:HH$62),$A27+1,1),MAX(strike-$B27,0)),"")</f>
        <v/>
      </c>
      <c r="HJ27" s="9" t="str">
        <f t="array" ref="HJ27">IF(HJ$11&gt;=0,MAX(INDEX(MMULT(inverseG,HI$12:HI$62),$A27+1,1),MAX(strike-$B27,0)),"")</f>
        <v/>
      </c>
      <c r="HK27" s="9" t="str">
        <f t="array" ref="HK27">IF(HK$11&gt;=0,MAX(INDEX(MMULT(inverseG,HJ$12:HJ$62),$A27+1,1),MAX(strike-$B27,0)),"")</f>
        <v/>
      </c>
      <c r="HL27" s="9" t="str">
        <f t="array" ref="HL27">IF(HL$11&gt;=0,MAX(INDEX(MMULT(inverseG,HK$12:HK$62),$A27+1,1),MAX(strike-$B27,0)),"")</f>
        <v/>
      </c>
      <c r="HM27" s="9" t="str">
        <f t="array" ref="HM27">IF(HM$11&gt;=0,MAX(INDEX(MMULT(inverseG,HL$12:HL$62),$A27+1,1),MAX(strike-$B27,0)),"")</f>
        <v/>
      </c>
      <c r="HN27" s="9" t="str">
        <f t="array" ref="HN27">IF(HN$11&gt;=0,MAX(INDEX(MMULT(inverseG,HM$12:HM$62),$A27+1,1),MAX(strike-$B27,0)),"")</f>
        <v/>
      </c>
      <c r="HO27" s="9" t="str">
        <f t="array" ref="HO27">IF(HO$11&gt;=0,MAX(INDEX(MMULT(inverseG,HN$12:HN$62),$A27+1,1),MAX(strike-$B27,0)),"")</f>
        <v/>
      </c>
      <c r="HP27" s="9" t="str">
        <f t="array" ref="HP27">IF(HP$11&gt;=0,MAX(INDEX(MMULT(inverseG,HO$12:HO$62),$A27+1,1),MAX(strike-$B27,0)),"")</f>
        <v/>
      </c>
      <c r="HQ27" s="9" t="str">
        <f t="array" ref="HQ27">IF(HQ$11&gt;=0,MAX(INDEX(MMULT(inverseG,HP$12:HP$62),$A27+1,1),MAX(strike-$B27,0)),"")</f>
        <v/>
      </c>
      <c r="HR27" s="9" t="str">
        <f t="array" ref="HR27">IF(HR$11&gt;=0,MAX(INDEX(MMULT(inverseG,HQ$12:HQ$62),$A27+1,1),MAX(strike-$B27,0)),"")</f>
        <v/>
      </c>
      <c r="HS27" s="9" t="str">
        <f t="array" ref="HS27">IF(HS$11&gt;=0,MAX(INDEX(MMULT(inverseG,HR$12:HR$62),$A27+1,1),MAX(strike-$B27,0)),"")</f>
        <v/>
      </c>
      <c r="HT27" s="9" t="str">
        <f t="array" ref="HT27">IF(HT$11&gt;=0,MAX(INDEX(MMULT(inverseG,HS$12:HS$62),$A27+1,1),MAX(strike-$B27,0)),"")</f>
        <v/>
      </c>
      <c r="HU27" s="9" t="str">
        <f t="array" ref="HU27">IF(HU$11&gt;=0,MAX(INDEX(MMULT(inverseG,HT$12:HT$62),$A27+1,1),MAX(strike-$B27,0)),"")</f>
        <v/>
      </c>
      <c r="HV27" s="9" t="str">
        <f t="array" ref="HV27">IF(HV$11&gt;=0,MAX(INDEX(MMULT(inverseG,HU$12:HU$62),$A27+1,1),MAX(strike-$B27,0)),"")</f>
        <v/>
      </c>
      <c r="HW27" s="9" t="str">
        <f t="array" ref="HW27">IF(HW$11&gt;=0,MAX(INDEX(MMULT(inverseG,HV$12:HV$62),$A27+1,1),MAX(strike-$B27,0)),"")</f>
        <v/>
      </c>
      <c r="HX27" s="9" t="str">
        <f t="array" ref="HX27">IF(HX$11&gt;=0,MAX(INDEX(MMULT(inverseG,HW$12:HW$62),$A27+1,1),MAX(strike-$B27,0)),"")</f>
        <v/>
      </c>
      <c r="HY27" s="9" t="str">
        <f t="array" ref="HY27">IF(HY$11&gt;=0,MAX(INDEX(MMULT(inverseG,HX$12:HX$62),$A27+1,1),MAX(strike-$B27,0)),"")</f>
        <v/>
      </c>
      <c r="HZ27" s="9" t="str">
        <f t="array" ref="HZ27">IF(HZ$11&gt;=0,MAX(INDEX(MMULT(inverseG,HY$12:HY$62),$A27+1,1),MAX(strike-$B27,0)),"")</f>
        <v/>
      </c>
      <c r="IA27" s="9" t="str">
        <f t="array" ref="IA27">IF(IA$11&gt;=0,MAX(INDEX(MMULT(inverseG,HZ$12:HZ$62),$A27+1,1),MAX(strike-$B27,0)),"")</f>
        <v/>
      </c>
      <c r="IB27" s="9" t="str">
        <f t="array" ref="IB27">IF(IB$11&gt;=0,MAX(INDEX(MMULT(inverseG,IA$12:IA$62),$A27+1,1),MAX(strike-$B27,0)),"")</f>
        <v/>
      </c>
      <c r="IC27" s="9" t="str">
        <f t="array" ref="IC27">IF(IC$11&gt;=0,MAX(INDEX(MMULT(inverseG,IB$12:IB$62),$A27+1,1),MAX(strike-$B27,0)),"")</f>
        <v/>
      </c>
      <c r="ID27" s="9" t="str">
        <f t="array" ref="ID27">IF(ID$11&gt;=0,MAX(INDEX(MMULT(inverseG,IC$12:IC$62),$A27+1,1),MAX(strike-$B27,0)),"")</f>
        <v/>
      </c>
      <c r="IE27" s="9" t="str">
        <f t="array" ref="IE27">IF(IE$11&gt;=0,MAX(INDEX(MMULT(inverseG,ID$12:ID$62),$A27+1,1),MAX(strike-$B27,0)),"")</f>
        <v/>
      </c>
      <c r="IF27" s="9" t="str">
        <f t="array" ref="IF27">IF(IF$11&gt;=0,MAX(INDEX(MMULT(inverseG,IE$12:IE$62),$A27+1,1),MAX(strike-$B27,0)),"")</f>
        <v/>
      </c>
      <c r="IG27" s="9" t="str">
        <f t="array" ref="IG27">IF(IG$11&gt;=0,MAX(INDEX(MMULT(inverseG,IF$12:IF$62),$A27+1,1),MAX(strike-$B27,0)),"")</f>
        <v/>
      </c>
      <c r="IH27" s="9" t="str">
        <f t="array" ref="IH27">IF(IH$11&gt;=0,MAX(INDEX(MMULT(inverseG,IG$12:IG$62),$A27+1,1),MAX(strike-$B27,0)),"")</f>
        <v/>
      </c>
      <c r="II27" s="9" t="str">
        <f t="array" ref="II27">IF(II$11&gt;=0,MAX(INDEX(MMULT(inverseG,IH$12:IH$62),$A27+1,1),MAX(strike-$B27,0)),"")</f>
        <v/>
      </c>
      <c r="IJ27" s="9" t="str">
        <f t="array" ref="IJ27">IF(IJ$11&gt;=0,MAX(INDEX(MMULT(inverseG,II$12:II$62),$A27+1,1),MAX(strike-$B27,0)),"")</f>
        <v/>
      </c>
      <c r="IK27" s="9" t="str">
        <f t="array" ref="IK27">IF(IK$11&gt;=0,MAX(INDEX(MMULT(inverseG,IJ$12:IJ$62),$A27+1,1),MAX(strike-$B27,0)),"")</f>
        <v/>
      </c>
      <c r="IL27" s="9" t="str">
        <f t="array" ref="IL27">IF(IL$11&gt;=0,MAX(INDEX(MMULT(inverseG,IK$12:IK$62),$A27+1,1),MAX(strike-$B27,0)),"")</f>
        <v/>
      </c>
      <c r="IM27" s="9" t="str">
        <f t="array" ref="IM27">IF(IM$11&gt;=0,MAX(INDEX(MMULT(inverseG,IL$12:IL$62),$A27+1,1),MAX(strike-$B27,0)),"")</f>
        <v/>
      </c>
      <c r="IN27" s="9" t="str">
        <f t="array" ref="IN27">IF(IN$11&gt;=0,MAX(INDEX(MMULT(inverseG,IM$12:IM$62),$A27+1,1),MAX(strike-$B27,0)),"")</f>
        <v/>
      </c>
      <c r="IO27" s="9" t="str">
        <f t="array" ref="IO27">IF(IO$11&gt;=0,MAX(INDEX(MMULT(inverseG,IN$12:IN$62),$A27+1,1),MAX(strike-$B27,0)),"")</f>
        <v/>
      </c>
      <c r="IP27" s="9" t="str">
        <f t="array" ref="IP27">IF(IP$11&gt;=0,MAX(INDEX(MMULT(inverseG,IO$12:IO$62),$A27+1,1),MAX(strike-$B27,0)),"")</f>
        <v/>
      </c>
      <c r="IQ27" s="9" t="str">
        <f t="array" ref="IQ27">IF(IQ$11&gt;=0,MAX(INDEX(MMULT(inverseG,IP$12:IP$62),$A27+1,1),MAX(strike-$B27,0)),"")</f>
        <v/>
      </c>
      <c r="IR27" s="9" t="str">
        <f t="array" ref="IR27">IF(IR$11&gt;=0,MAX(INDEX(MMULT(inverseG,IQ$12:IQ$62),$A27+1,1),MAX(strike-$B27,0)),"")</f>
        <v/>
      </c>
      <c r="IS27" s="9" t="str">
        <f t="array" ref="IS27">IF(IS$11&gt;=0,MAX(INDEX(MMULT(inverseG,IR$12:IR$62),$A27+1,1),MAX(strike-$B27,0)),"")</f>
        <v/>
      </c>
      <c r="IT27" s="9" t="str">
        <f t="array" ref="IT27">IF(IT$11&gt;=0,MAX(INDEX(MMULT(inverseG,IS$12:IS$62),$A27+1,1),MAX(strike-$B27,0)),"")</f>
        <v/>
      </c>
      <c r="IU27" s="9" t="str">
        <f t="array" ref="IU27">IF(IU$11&gt;=0,MAX(INDEX(MMULT(inverseG,IT$12:IT$62),$A27+1,1),MAX(strike-$B27,0)),"")</f>
        <v/>
      </c>
      <c r="IV27" s="9" t="str">
        <f t="array" ref="IV27">IF(IV$11&gt;=0,MAX(INDEX(MMULT(inverseG,IU$12:IU$62),$A27+1,1),MAX(strike-$B27,0)),"")</f>
        <v/>
      </c>
    </row>
    <row r="28" spans="1:256" x14ac:dyDescent="0.2">
      <c r="A28" s="8">
        <f t="shared" si="7"/>
        <v>16</v>
      </c>
      <c r="B28" s="6">
        <f t="shared" si="4"/>
        <v>4</v>
      </c>
      <c r="C28" s="30">
        <f t="shared" ca="1" si="6"/>
        <v>1.1340270513507491</v>
      </c>
      <c r="D28" s="9">
        <f t="shared" si="5"/>
        <v>1</v>
      </c>
      <c r="E28" s="9">
        <f t="array" ref="E28">IF(E$11&gt;=0,MAX(INDEX(MMULT(inverseG,D$12:D$62),$A28+1,1),MAX(strike-$B28,0)),"")</f>
        <v>1</v>
      </c>
      <c r="F28" s="9">
        <f t="array" ref="F28">IF(F$11&gt;=0,MAX(INDEX(MMULT(inverseG,E$12:E$62),$A28+1,1),MAX(strike-$B28,0)),"")</f>
        <v>1</v>
      </c>
      <c r="G28" s="9">
        <f t="array" ref="G28">IF(G$11&gt;=0,MAX(INDEX(MMULT(inverseG,F$12:F$62),$A28+1,1),MAX(strike-$B28,0)),"")</f>
        <v>1</v>
      </c>
      <c r="H28" s="9">
        <f t="array" ref="H28">IF(H$11&gt;=0,MAX(INDEX(MMULT(inverseG,G$12:G$62),$A28+1,1),MAX(strike-$B28,0)),"")</f>
        <v>1</v>
      </c>
      <c r="I28" s="9">
        <f t="array" ref="I28">IF(I$11&gt;=0,MAX(INDEX(MMULT(inverseG,H$12:H$62),$A28+1,1),MAX(strike-$B28,0)),"")</f>
        <v>1</v>
      </c>
      <c r="J28" s="9">
        <f t="array" ref="J28">IF(J$11&gt;=0,MAX(INDEX(MMULT(inverseG,I$12:I$62),$A28+1,1),MAX(strike-$B28,0)),"")</f>
        <v>1</v>
      </c>
      <c r="K28" s="9">
        <f t="array" ref="K28">IF(K$11&gt;=0,MAX(INDEX(MMULT(inverseG,J$12:J$62),$A28+1,1),MAX(strike-$B28,0)),"")</f>
        <v>1</v>
      </c>
      <c r="L28" s="9">
        <f t="array" ref="L28">IF(L$11&gt;=0,MAX(INDEX(MMULT(inverseG,K$12:K$62),$A28+1,1),MAX(strike-$B28,0)),"")</f>
        <v>1</v>
      </c>
      <c r="M28" s="9">
        <f t="array" ref="M28">IF(M$11&gt;=0,MAX(INDEX(MMULT(inverseG,L$12:L$62),$A28+1,1),MAX(strike-$B28,0)),"")</f>
        <v>1</v>
      </c>
      <c r="N28" s="9">
        <f t="array" ref="N28">IF(N$11&gt;=0,MAX(INDEX(MMULT(inverseG,M$12:M$62),$A28+1,1),MAX(strike-$B28,0)),"")</f>
        <v>1</v>
      </c>
      <c r="O28" s="9">
        <f t="array" ref="O28">IF(O$11&gt;=0,MAX(INDEX(MMULT(inverseG,N$12:N$62),$A28+1,1),MAX(strike-$B28,0)),"")</f>
        <v>1</v>
      </c>
      <c r="P28" s="9">
        <f t="array" ref="P28">IF(P$11&gt;=0,MAX(INDEX(MMULT(inverseG,O$12:O$62),$A28+1,1),MAX(strike-$B28,0)),"")</f>
        <v>1</v>
      </c>
      <c r="Q28" s="9">
        <f t="array" ref="Q28">IF(Q$11&gt;=0,MAX(INDEX(MMULT(inverseG,P$12:P$62),$A28+1,1),MAX(strike-$B28,0)),"")</f>
        <v>1</v>
      </c>
      <c r="R28" s="9">
        <f t="array" ref="R28">IF(R$11&gt;=0,MAX(INDEX(MMULT(inverseG,Q$12:Q$62),$A28+1,1),MAX(strike-$B28,0)),"")</f>
        <v>1</v>
      </c>
      <c r="S28" s="9">
        <f t="array" ref="S28">IF(S$11&gt;=0,MAX(INDEX(MMULT(inverseG,R$12:R$62),$A28+1,1),MAX(strike-$B28,0)),"")</f>
        <v>1.0001826635278901</v>
      </c>
      <c r="T28" s="9">
        <f t="array" ref="T28">IF(T$11&gt;=0,MAX(INDEX(MMULT(inverseG,S$12:S$62),$A28+1,1),MAX(strike-$B28,0)),"")</f>
        <v>1.001335525606923</v>
      </c>
      <c r="U28" s="9">
        <f t="array" ref="U28">IF(U$11&gt;=0,MAX(INDEX(MMULT(inverseG,T$12:T$62),$A28+1,1),MAX(strike-$B28,0)),"")</f>
        <v>1.0030497330149608</v>
      </c>
      <c r="V28" s="9">
        <f t="array" ref="V28">IF(V$11&gt;=0,MAX(INDEX(MMULT(inverseG,U$12:U$62),$A28+1,1),MAX(strike-$B28,0)),"")</f>
        <v>1.0050938842128372</v>
      </c>
      <c r="W28" s="9">
        <f t="array" ref="W28">IF(W$11&gt;=0,MAX(INDEX(MMULT(inverseG,V$12:V$62),$A28+1,1),MAX(strike-$B28,0)),"")</f>
        <v>1.007330902443246</v>
      </c>
      <c r="X28" s="9">
        <f t="array" ref="X28">IF(X$11&gt;=0,MAX(INDEX(MMULT(inverseG,W$12:W$62),$A28+1,1),MAX(strike-$B28,0)),"")</f>
        <v>1.0096761411929296</v>
      </c>
      <c r="Y28" s="9">
        <f t="array" ref="Y28">IF(Y$11&gt;=0,MAX(INDEX(MMULT(inverseG,X$12:X$62),$A28+1,1),MAX(strike-$B28,0)),"")</f>
        <v>1.0120754311148394</v>
      </c>
      <c r="Z28" s="9">
        <f t="array" ref="Z28">IF(Z$11&gt;=0,MAX(INDEX(MMULT(inverseG,Y$12:Y$62),$A28+1,1),MAX(strike-$B28,0)),"")</f>
        <v>1.0144930979878846</v>
      </c>
      <c r="AA28" s="9">
        <f t="array" ref="AA28">IF(AA$11&gt;=0,MAX(INDEX(MMULT(inverseG,Z$12:Z$62),$A28+1,1),MAX(strike-$B28,0)),"")</f>
        <v>1.0169051463277248</v>
      </c>
      <c r="AB28" s="9">
        <f t="array" ref="AB28">IF(AB$11&gt;=0,MAX(INDEX(MMULT(inverseG,AA$12:AA$62),$A28+1,1),MAX(strike-$B28,0)),"")</f>
        <v>1.0192952202124801</v>
      </c>
      <c r="AC28" s="9">
        <f t="array" ref="AC28">IF(AC$11&gt;=0,MAX(INDEX(MMULT(inverseG,AB$12:AB$62),$A28+1,1),MAX(strike-$B28,0)),"")</f>
        <v>1.0216521148956175</v>
      </c>
      <c r="AD28" s="9">
        <f t="array" ref="AD28">IF(AD$11&gt;=0,MAX(INDEX(MMULT(inverseG,AC$12:AC$62),$A28+1,1),MAX(strike-$B28,0)),"")</f>
        <v>1.0239681877154414</v>
      </c>
      <c r="AE28" s="9">
        <f t="array" ref="AE28">IF(AE$11&gt;=0,MAX(INDEX(MMULT(inverseG,AD$12:AD$62),$A28+1,1),MAX(strike-$B28,0)),"")</f>
        <v>1.0262383099919512</v>
      </c>
      <c r="AF28" s="9">
        <f t="array" ref="AF28">IF(AF$11&gt;=0,MAX(INDEX(MMULT(inverseG,AE$12:AE$62),$A28+1,1),MAX(strike-$B28,0)),"")</f>
        <v>1.0284591558610194</v>
      </c>
      <c r="AG28" s="9">
        <f t="array" ref="AG28">IF(AG$11&gt;=0,MAX(INDEX(MMULT(inverseG,AF$12:AF$62),$A28+1,1),MAX(strike-$B28,0)),"")</f>
        <v>1.0306287078008334</v>
      </c>
      <c r="AH28" s="9">
        <f t="array" ref="AH28">IF(AH$11&gt;=0,MAX(INDEX(MMULT(inverseG,AG$12:AG$62),$A28+1,1),MAX(strike-$B28,0)),"")</f>
        <v>1.0327459056239359</v>
      </c>
      <c r="AI28" s="9">
        <f t="array" ref="AI28">IF(AI$11&gt;=0,MAX(INDEX(MMULT(inverseG,AH$12:AH$62),$A28+1,1),MAX(strike-$B28,0)),"")</f>
        <v>1.0348103929399846</v>
      </c>
      <c r="AJ28" s="9">
        <f t="array" ref="AJ28">IF(AJ$11&gt;=0,MAX(INDEX(MMULT(inverseG,AI$12:AI$62),$A28+1,1),MAX(strike-$B28,0)),"")</f>
        <v>1.0368223313605793</v>
      </c>
      <c r="AK28" s="9">
        <f t="array" ref="AK28">IF(AK$11&gt;=0,MAX(INDEX(MMULT(inverseG,AJ$12:AJ$62),$A28+1,1),MAX(strike-$B28,0)),"")</f>
        <v>1.0387822627239629</v>
      </c>
      <c r="AL28" s="9">
        <f t="array" ref="AL28">IF(AL$11&gt;=0,MAX(INDEX(MMULT(inverseG,AK$12:AK$62),$A28+1,1),MAX(strike-$B28,0)),"")</f>
        <v>1.0406910059455945</v>
      </c>
      <c r="AM28" s="9">
        <f t="array" ref="AM28">IF(AM$11&gt;=0,MAX(INDEX(MMULT(inverseG,AL$12:AL$62),$A28+1,1),MAX(strike-$B28,0)),"")</f>
        <v>1.0425495792064292</v>
      </c>
      <c r="AN28" s="9">
        <f t="array" ref="AN28">IF(AN$11&gt;=0,MAX(INDEX(MMULT(inverseG,AM$12:AM$62),$A28+1,1),MAX(strike-$B28,0)),"")</f>
        <v>1.0443591409177475</v>
      </c>
      <c r="AO28" s="9">
        <f t="array" ref="AO28">IF(AO$11&gt;=0,MAX(INDEX(MMULT(inverseG,AN$12:AN$62),$A28+1,1),MAX(strike-$B28,0)),"")</f>
        <v>1.0461769710189304</v>
      </c>
      <c r="AP28" s="9">
        <f t="array" ref="AP28">IF(AP$11&gt;=0,MAX(INDEX(MMULT(inverseG,AO$12:AO$62),$A28+1,1),MAX(strike-$B28,0)),"")</f>
        <v>1.0480224942506944</v>
      </c>
      <c r="AQ28" s="9">
        <f t="array" ref="AQ28">IF(AQ$11&gt;=0,MAX(INDEX(MMULT(inverseG,AP$12:AP$62),$A28+1,1),MAX(strike-$B28,0)),"")</f>
        <v>1.0498966869787181</v>
      </c>
      <c r="AR28" s="9">
        <f t="array" ref="AR28">IF(AR$11&gt;=0,MAX(INDEX(MMULT(inverseG,AQ$12:AQ$62),$A28+1,1),MAX(strike-$B28,0)),"")</f>
        <v>1.0517937381899993</v>
      </c>
      <c r="AS28" s="9">
        <f t="array" ref="AS28">IF(AS$11&gt;=0,MAX(INDEX(MMULT(inverseG,AR$12:AR$62),$A28+1,1),MAX(strike-$B28,0)),"")</f>
        <v>1.0537059975652738</v>
      </c>
      <c r="AT28" s="9">
        <f t="array" ref="AT28">IF(AT$11&gt;=0,MAX(INDEX(MMULT(inverseG,AS$12:AS$62),$A28+1,1),MAX(strike-$B28,0)),"")</f>
        <v>1.0556259715453673</v>
      </c>
      <c r="AU28" s="9">
        <f t="array" ref="AU28">IF(AU$11&gt;=0,MAX(INDEX(MMULT(inverseG,AT$12:AT$62),$A28+1,1),MAX(strike-$B28,0)),"")</f>
        <v>1.0575470350913105</v>
      </c>
      <c r="AV28" s="9">
        <f t="array" ref="AV28">IF(AV$11&gt;=0,MAX(INDEX(MMULT(inverseG,AU$12:AU$62),$A28+1,1),MAX(strike-$B28,0)),"")</f>
        <v>1.0594635998888098</v>
      </c>
      <c r="AW28" s="9">
        <f t="array" ref="AW28">IF(AW$11&gt;=0,MAX(INDEX(MMULT(inverseG,AV$12:AV$62),$A28+1,1),MAX(strike-$B28,0)),"")</f>
        <v>1.0613710665377125</v>
      </c>
      <c r="AX28" s="9">
        <f t="array" ref="AX28">IF(AX$11&gt;=0,MAX(INDEX(MMULT(inverseG,AW$12:AW$62),$A28+1,1),MAX(strike-$B28,0)),"")</f>
        <v>1.0632657033586803</v>
      </c>
      <c r="AY28" s="9">
        <f t="array" ref="AY28">IF(AY$11&gt;=0,MAX(INDEX(MMULT(inverseG,AX$12:AX$62),$A28+1,1),MAX(strike-$B28,0)),"")</f>
        <v>1.0651445117545262</v>
      </c>
      <c r="AZ28" s="9">
        <f t="array" ref="AZ28">IF(AZ$11&gt;=0,MAX(INDEX(MMULT(inverseG,AY$12:AY$62),$A28+1,1),MAX(strike-$B28,0)),"")</f>
        <v>1.0670051013758406</v>
      </c>
      <c r="BA28" s="9">
        <f t="array" ref="BA28">IF(BA$11&gt;=0,MAX(INDEX(MMULT(inverseG,AZ$12:AZ$62),$A28+1,1),MAX(strike-$B28,0)),"")</f>
        <v>1.0688455824017296</v>
      </c>
      <c r="BB28" s="9">
        <f t="array" ref="BB28">IF(BB$11&gt;=0,MAX(INDEX(MMULT(inverseG,BA$12:BA$62),$A28+1,1),MAX(strike-$B28,0)),"")</f>
        <v>1.0706644756341763</v>
      </c>
      <c r="BC28" s="9">
        <f t="array" ref="BC28">IF(BC$11&gt;=0,MAX(INDEX(MMULT(inverseG,BB$12:BB$62),$A28+1,1),MAX(strike-$B28,0)),"")</f>
        <v>1.0724606386334485</v>
      </c>
      <c r="BD28" s="9">
        <f t="array" ref="BD28">IF(BD$11&gt;=0,MAX(INDEX(MMULT(inverseG,BC$12:BC$62),$A28+1,1),MAX(strike-$B28,0)),"")</f>
        <v>1.0742332054386918</v>
      </c>
      <c r="BE28" s="9">
        <f t="array" ref="BE28">IF(BE$11&gt;=0,MAX(INDEX(MMULT(inverseG,BD$12:BD$62),$A28+1,1),MAX(strike-$B28,0)),"")</f>
        <v>1.0759815374613202</v>
      </c>
      <c r="BF28" s="9">
        <f t="array" ref="BF28">IF(BF$11&gt;=0,MAX(INDEX(MMULT(inverseG,BE$12:BE$62),$A28+1,1),MAX(strike-$B28,0)),"")</f>
        <v>1.0777051834389313</v>
      </c>
      <c r="BG28" s="9">
        <f t="array" ref="BG28">IF(BG$11&gt;=0,MAX(INDEX(MMULT(inverseG,BF$12:BF$62),$A28+1,1),MAX(strike-$B28,0)),"")</f>
        <v>1.0794038466935161</v>
      </c>
      <c r="BH28" s="9">
        <f t="array" ref="BH28">IF(BH$11&gt;=0,MAX(INDEX(MMULT(inverseG,BG$12:BG$62),$A28+1,1),MAX(strike-$B28,0)),"")</f>
        <v>1.0810773582705395</v>
      </c>
      <c r="BI28" s="9">
        <f t="array" ref="BI28">IF(BI$11&gt;=0,MAX(INDEX(MMULT(inverseG,BH$12:BH$62),$A28+1,1),MAX(strike-$B28,0)),"")</f>
        <v>1.0827256548195188</v>
      </c>
      <c r="BJ28" s="9">
        <f t="array" ref="BJ28">IF(BJ$11&gt;=0,MAX(INDEX(MMULT(inverseG,BI$12:BI$62),$A28+1,1),MAX(strike-$B28,0)),"")</f>
        <v>1.0843487603088473</v>
      </c>
      <c r="BK28" s="9">
        <f t="array" ref="BK28">IF(BK$11&gt;=0,MAX(INDEX(MMULT(inverseG,BJ$12:BJ$62),$A28+1,1),MAX(strike-$B28,0)),"")</f>
        <v>1.0859467708532029</v>
      </c>
      <c r="BL28" s="9">
        <f t="array" ref="BL28">IF(BL$11&gt;=0,MAX(INDEX(MMULT(inverseG,BK$12:BK$62),$A28+1,1),MAX(strike-$B28,0)),"")</f>
        <v>1.0875198420786492</v>
      </c>
      <c r="BM28" s="9">
        <f t="array" ref="BM28">IF(BM$11&gt;=0,MAX(INDEX(MMULT(inverseG,BL$12:BL$62),$A28+1,1),MAX(strike-$B28,0)),"")</f>
        <v>1.0890681785660767</v>
      </c>
      <c r="BN28" s="9">
        <f t="array" ref="BN28">IF(BN$11&gt;=0,MAX(INDEX(MMULT(inverseG,BM$12:BM$62),$A28+1,1),MAX(strike-$B28,0)),"")</f>
        <v>1.0905920250045005</v>
      </c>
      <c r="BO28" s="9">
        <f t="array" ref="BO28">IF(BO$11&gt;=0,MAX(INDEX(MMULT(inverseG,BN$12:BN$62),$A28+1,1),MAX(strike-$B28,0)),"")</f>
        <v>1.0920916587573095</v>
      </c>
      <c r="BP28" s="9">
        <f t="array" ref="BP28">IF(BP$11&gt;=0,MAX(INDEX(MMULT(inverseG,BO$12:BO$62),$A28+1,1),MAX(strike-$B28,0)),"")</f>
        <v>1.0935673836011204</v>
      </c>
      <c r="BQ28" s="9">
        <f t="array" ref="BQ28">IF(BQ$11&gt;=0,MAX(INDEX(MMULT(inverseG,BP$12:BP$62),$A28+1,1),MAX(strike-$B28,0)),"")</f>
        <v>1.0950195244417236</v>
      </c>
      <c r="BR28" s="9">
        <f t="array" ref="BR28">IF(BR$11&gt;=0,MAX(INDEX(MMULT(inverseG,BQ$12:BQ$62),$A28+1,1),MAX(strike-$B28,0)),"")</f>
        <v>1.0964484228473457</v>
      </c>
      <c r="BS28" s="9">
        <f t="array" ref="BS28">IF(BS$11&gt;=0,MAX(INDEX(MMULT(inverseG,BR$12:BR$62),$A28+1,1),MAX(strike-$B28,0)),"")</f>
        <v>1.0978544332680413</v>
      </c>
      <c r="BT28" s="9">
        <f t="array" ref="BT28">IF(BT$11&gt;=0,MAX(INDEX(MMULT(inverseG,BS$12:BS$62),$A28+1,1),MAX(strike-$B28,0)),"")</f>
        <v>1.0992379198330071</v>
      </c>
      <c r="BU28" s="9">
        <f t="array" ref="BU28">IF(BU$11&gt;=0,MAX(INDEX(MMULT(inverseG,BT$12:BT$62),$A28+1,1),MAX(strike-$B28,0)),"")</f>
        <v>1.1005992536361884</v>
      </c>
      <c r="BV28" s="9">
        <f t="array" ref="BV28">IF(BV$11&gt;=0,MAX(INDEX(MMULT(inverseG,BU$12:BU$62),$A28+1,1),MAX(strike-$B28,0)),"")</f>
        <v>1.1019388104356427</v>
      </c>
      <c r="BW28" s="9">
        <f t="array" ref="BW28">IF(BW$11&gt;=0,MAX(INDEX(MMULT(inverseG,BV$12:BV$62),$A28+1,1),MAX(strike-$B28,0)),"")</f>
        <v>1.1032569687044063</v>
      </c>
      <c r="BX28" s="9">
        <f t="array" ref="BX28">IF(BX$11&gt;=0,MAX(INDEX(MMULT(inverseG,BW$12:BW$62),$A28+1,1),MAX(strike-$B28,0)),"")</f>
        <v>1.1045541079806998</v>
      </c>
      <c r="BY28" s="9">
        <f t="array" ref="BY28">IF(BY$11&gt;=0,MAX(INDEX(MMULT(inverseG,BX$12:BX$62),$A28+1,1),MAX(strike-$B28,0)),"")</f>
        <v>1.1058306074735893</v>
      </c>
      <c r="BZ28" s="9">
        <f t="array" ref="BZ28">IF(BZ$11&gt;=0,MAX(INDEX(MMULT(inverseG,BY$12:BY$62),$A28+1,1),MAX(strike-$B28,0)),"")</f>
        <v>1.1070868448871023</v>
      </c>
      <c r="CA28" s="9">
        <f t="array" ref="CA28">IF(CA$11&gt;=0,MAX(INDEX(MMULT(inverseG,BZ$12:BZ$62),$A28+1,1),MAX(strike-$B28,0)),"")</f>
        <v>1.1083231954314297</v>
      </c>
      <c r="CB28" s="9">
        <f t="array" ref="CB28">IF(CB$11&gt;=0,MAX(INDEX(MMULT(inverseG,CA$12:CA$62),$A28+1,1),MAX(strike-$B28,0)),"")</f>
        <v>1.1095400309946484</v>
      </c>
      <c r="CC28" s="9">
        <f t="array" ref="CC28">IF(CC$11&gt;=0,MAX(INDEX(MMULT(inverseG,CB$12:CB$62),$A28+1,1),MAX(strike-$B28,0)),"")</f>
        <v>1.1107377194522823</v>
      </c>
      <c r="CD28" s="9">
        <f t="array" ref="CD28">IF(CD$11&gt;=0,MAX(INDEX(MMULT(inverseG,CC$12:CC$62),$A28+1,1),MAX(strike-$B28,0)),"")</f>
        <v>1.1119166240954115</v>
      </c>
      <c r="CE28" s="9">
        <f t="array" ref="CE28">IF(CE$11&gt;=0,MAX(INDEX(MMULT(inverseG,CD$12:CD$62),$A28+1,1),MAX(strike-$B28,0)),"")</f>
        <v>1.1130771031607756</v>
      </c>
      <c r="CF28" s="9">
        <f t="array" ref="CF28">IF(CF$11&gt;=0,MAX(INDEX(MMULT(inverseG,CE$12:CE$62),$A28+1,1),MAX(strike-$B28,0)),"")</f>
        <v>1.1142195094487024</v>
      </c>
      <c r="CG28" s="9">
        <f t="array" ref="CG28">IF(CG$11&gt;=0,MAX(INDEX(MMULT(inverseG,CF$12:CF$62),$A28+1,1),MAX(strike-$B28,0)),"")</f>
        <v>1.1153441900166929</v>
      </c>
      <c r="CH28" s="9">
        <f t="array" ref="CH28">IF(CH$11&gt;=0,MAX(INDEX(MMULT(inverseG,CG$12:CG$62),$A28+1,1),MAX(strike-$B28,0)),"")</f>
        <v>1.1164514859381696</v>
      </c>
      <c r="CI28" s="9">
        <f t="array" ref="CI28">IF(CI$11&gt;=0,MAX(INDEX(MMULT(inverseG,CH$12:CH$62),$A28+1,1),MAX(strike-$B28,0)),"")</f>
        <v>1.1175417321173571</v>
      </c>
      <c r="CJ28" s="9">
        <f t="array" ref="CJ28">IF(CJ$11&gt;=0,MAX(INDEX(MMULT(inverseG,CI$12:CI$62),$A28+1,1),MAX(strike-$B28,0)),"")</f>
        <v>1.1186152571524821</v>
      </c>
      <c r="CK28" s="9">
        <f t="array" ref="CK28">IF(CK$11&gt;=0,MAX(INDEX(MMULT(inverseG,CJ$12:CJ$62),$A28+1,1),MAX(strike-$B28,0)),"")</f>
        <v>1.1196723832405431</v>
      </c>
      <c r="CL28" s="9">
        <f t="array" ref="CL28">IF(CL$11&gt;=0,MAX(INDEX(MMULT(inverseG,CK$12:CK$62),$A28+1,1),MAX(strike-$B28,0)),"")</f>
        <v>1.1207134261177973</v>
      </c>
      <c r="CM28" s="9">
        <f t="array" ref="CM28">IF(CM$11&gt;=0,MAX(INDEX(MMULT(inverseG,CL$12:CL$62),$A28+1,1),MAX(strike-$B28,0)),"")</f>
        <v>1.1217386950308903</v>
      </c>
      <c r="CN28" s="9">
        <f t="array" ref="CN28">IF(CN$11&gt;=0,MAX(INDEX(MMULT(inverseG,CM$12:CM$62),$A28+1,1),MAX(strike-$B28,0)),"")</f>
        <v>1.1227484927342284</v>
      </c>
      <c r="CO28" s="9">
        <f t="array" ref="CO28">IF(CO$11&gt;=0,MAX(INDEX(MMULT(inverseG,CN$12:CN$62),$A28+1,1),MAX(strike-$B28,0)),"")</f>
        <v>1.1237431155097548</v>
      </c>
      <c r="CP28" s="9">
        <f t="array" ref="CP28">IF(CP$11&gt;=0,MAX(INDEX(MMULT(inverseG,CO$12:CO$62),$A28+1,1),MAX(strike-$B28,0)),"")</f>
        <v>1.1247228532058136</v>
      </c>
      <c r="CQ28" s="9">
        <f t="array" ref="CQ28">IF(CQ$11&gt;=0,MAX(INDEX(MMULT(inverseG,CP$12:CP$62),$A28+1,1),MAX(strike-$B28,0)),"")</f>
        <v>1.1256879892921889</v>
      </c>
      <c r="CR28" s="9">
        <f t="array" ref="CR28">IF(CR$11&gt;=0,MAX(INDEX(MMULT(inverseG,CQ$12:CQ$62),$A28+1,1),MAX(strike-$B28,0)),"")</f>
        <v>1.1266388009288144</v>
      </c>
      <c r="CS28" s="9">
        <f t="array" ref="CS28">IF(CS$11&gt;=0,MAX(INDEX(MMULT(inverseG,CR$12:CR$62),$A28+1,1),MAX(strike-$B28,0)),"")</f>
        <v>1.1275777115732644</v>
      </c>
      <c r="CT28" s="9">
        <f t="array" ref="CT28">IF(CT$11&gt;=0,MAX(INDEX(MMULT(inverseG,CS$12:CS$62),$A28+1,1),MAX(strike-$B28,0)),"")</f>
        <v>1.128508470399896</v>
      </c>
      <c r="CU28" s="9">
        <f t="array" ref="CU28">IF(CU$11&gt;=0,MAX(INDEX(MMULT(inverseG,CT$12:CT$62),$A28+1,1),MAX(strike-$B28,0)),"")</f>
        <v>1.1294341055185417</v>
      </c>
      <c r="CV28" s="9">
        <f t="array" ref="CV28">IF(CV$11&gt;=0,MAX(INDEX(MMULT(inverseG,CU$12:CU$62),$A28+1,1),MAX(strike-$B28,0)),"")</f>
        <v>1.1303565684650088</v>
      </c>
      <c r="CW28" s="9">
        <f t="array" ref="CW28">IF(CW$11&gt;=0,MAX(INDEX(MMULT(inverseG,CV$12:CV$62),$A28+1,1),MAX(strike-$B28,0)),"")</f>
        <v>1.1312768981410251</v>
      </c>
      <c r="CX28" s="9">
        <f t="array" ref="CX28">IF(CX$11&gt;=0,MAX(INDEX(MMULT(inverseG,CW$12:CW$62),$A28+1,1),MAX(strike-$B28,0)),"")</f>
        <v>1.1321954837712453</v>
      </c>
      <c r="CY28" s="9">
        <f t="array" ref="CY28">IF(CY$11&gt;=0,MAX(INDEX(MMULT(inverseG,CX$12:CX$62),$A28+1,1),MAX(strike-$B28,0)),"")</f>
        <v>1.1331122949548236</v>
      </c>
      <c r="CZ28" s="9">
        <f t="array" ref="CZ28">IF(CZ$11&gt;=0,MAX(INDEX(MMULT(inverseG,CY$12:CY$62),$A28+1,1),MAX(strike-$B28,0)),"")</f>
        <v>1.1340270513507491</v>
      </c>
      <c r="DA28" s="9" t="str">
        <f t="array" ref="DA28">IF(DA$11&gt;=0,MAX(INDEX(MMULT(inverseG,CZ$12:CZ$62),$A28+1,1),MAX(strike-$B28,0)),"")</f>
        <v/>
      </c>
      <c r="DB28" s="9" t="str">
        <f t="array" ref="DB28">IF(DB$11&gt;=0,MAX(INDEX(MMULT(inverseG,DA$12:DA$62),$A28+1,1),MAX(strike-$B28,0)),"")</f>
        <v/>
      </c>
      <c r="DC28" s="9" t="str">
        <f t="array" ref="DC28">IF(DC$11&gt;=0,MAX(INDEX(MMULT(inverseG,DB$12:DB$62),$A28+1,1),MAX(strike-$B28,0)),"")</f>
        <v/>
      </c>
      <c r="DD28" s="9" t="str">
        <f t="array" ref="DD28">IF(DD$11&gt;=0,MAX(INDEX(MMULT(inverseG,DC$12:DC$62),$A28+1,1),MAX(strike-$B28,0)),"")</f>
        <v/>
      </c>
      <c r="DE28" s="9" t="str">
        <f t="array" ref="DE28">IF(DE$11&gt;=0,MAX(INDEX(MMULT(inverseG,DD$12:DD$62),$A28+1,1),MAX(strike-$B28,0)),"")</f>
        <v/>
      </c>
      <c r="DF28" s="9" t="str">
        <f t="array" ref="DF28">IF(DF$11&gt;=0,MAX(INDEX(MMULT(inverseG,DE$12:DE$62),$A28+1,1),MAX(strike-$B28,0)),"")</f>
        <v/>
      </c>
      <c r="DG28" s="9" t="str">
        <f t="array" ref="DG28">IF(DG$11&gt;=0,MAX(INDEX(MMULT(inverseG,DF$12:DF$62),$A28+1,1),MAX(strike-$B28,0)),"")</f>
        <v/>
      </c>
      <c r="DH28" s="9" t="str">
        <f t="array" ref="DH28">IF(DH$11&gt;=0,MAX(INDEX(MMULT(inverseG,DG$12:DG$62),$A28+1,1),MAX(strike-$B28,0)),"")</f>
        <v/>
      </c>
      <c r="DI28" s="9" t="str">
        <f t="array" ref="DI28">IF(DI$11&gt;=0,MAX(INDEX(MMULT(inverseG,DH$12:DH$62),$A28+1,1),MAX(strike-$B28,0)),"")</f>
        <v/>
      </c>
      <c r="DJ28" s="9" t="str">
        <f t="array" ref="DJ28">IF(DJ$11&gt;=0,MAX(INDEX(MMULT(inverseG,DI$12:DI$62),$A28+1,1),MAX(strike-$B28,0)),"")</f>
        <v/>
      </c>
      <c r="DK28" s="9" t="str">
        <f t="array" ref="DK28">IF(DK$11&gt;=0,MAX(INDEX(MMULT(inverseG,DJ$12:DJ$62),$A28+1,1),MAX(strike-$B28,0)),"")</f>
        <v/>
      </c>
      <c r="DL28" s="9" t="str">
        <f t="array" ref="DL28">IF(DL$11&gt;=0,MAX(INDEX(MMULT(inverseG,DK$12:DK$62),$A28+1,1),MAX(strike-$B28,0)),"")</f>
        <v/>
      </c>
      <c r="DM28" s="9" t="str">
        <f t="array" ref="DM28">IF(DM$11&gt;=0,MAX(INDEX(MMULT(inverseG,DL$12:DL$62),$A28+1,1),MAX(strike-$B28,0)),"")</f>
        <v/>
      </c>
      <c r="DN28" s="9" t="str">
        <f t="array" ref="DN28">IF(DN$11&gt;=0,MAX(INDEX(MMULT(inverseG,DM$12:DM$62),$A28+1,1),MAX(strike-$B28,0)),"")</f>
        <v/>
      </c>
      <c r="DO28" s="9" t="str">
        <f t="array" ref="DO28">IF(DO$11&gt;=0,MAX(INDEX(MMULT(inverseG,DN$12:DN$62),$A28+1,1),MAX(strike-$B28,0)),"")</f>
        <v/>
      </c>
      <c r="DP28" s="9" t="str">
        <f t="array" ref="DP28">IF(DP$11&gt;=0,MAX(INDEX(MMULT(inverseG,DO$12:DO$62),$A28+1,1),MAX(strike-$B28,0)),"")</f>
        <v/>
      </c>
      <c r="DQ28" s="9" t="str">
        <f t="array" ref="DQ28">IF(DQ$11&gt;=0,MAX(INDEX(MMULT(inverseG,DP$12:DP$62),$A28+1,1),MAX(strike-$B28,0)),"")</f>
        <v/>
      </c>
      <c r="DR28" s="9" t="str">
        <f t="array" ref="DR28">IF(DR$11&gt;=0,MAX(INDEX(MMULT(inverseG,DQ$12:DQ$62),$A28+1,1),MAX(strike-$B28,0)),"")</f>
        <v/>
      </c>
      <c r="DS28" s="9" t="str">
        <f t="array" ref="DS28">IF(DS$11&gt;=0,MAX(INDEX(MMULT(inverseG,DR$12:DR$62),$A28+1,1),MAX(strike-$B28,0)),"")</f>
        <v/>
      </c>
      <c r="DT28" s="9" t="str">
        <f t="array" ref="DT28">IF(DT$11&gt;=0,MAX(INDEX(MMULT(inverseG,DS$12:DS$62),$A28+1,1),MAX(strike-$B28,0)),"")</f>
        <v/>
      </c>
      <c r="DU28" s="9" t="str">
        <f t="array" ref="DU28">IF(DU$11&gt;=0,MAX(INDEX(MMULT(inverseG,DT$12:DT$62),$A28+1,1),MAX(strike-$B28,0)),"")</f>
        <v/>
      </c>
      <c r="DV28" s="9" t="str">
        <f t="array" ref="DV28">IF(DV$11&gt;=0,MAX(INDEX(MMULT(inverseG,DU$12:DU$62),$A28+1,1),MAX(strike-$B28,0)),"")</f>
        <v/>
      </c>
      <c r="DW28" s="9" t="str">
        <f t="array" ref="DW28">IF(DW$11&gt;=0,MAX(INDEX(MMULT(inverseG,DV$12:DV$62),$A28+1,1),MAX(strike-$B28,0)),"")</f>
        <v/>
      </c>
      <c r="DX28" s="9" t="str">
        <f t="array" ref="DX28">IF(DX$11&gt;=0,MAX(INDEX(MMULT(inverseG,DW$12:DW$62),$A28+1,1),MAX(strike-$B28,0)),"")</f>
        <v/>
      </c>
      <c r="DY28" s="9" t="str">
        <f t="array" ref="DY28">IF(DY$11&gt;=0,MAX(INDEX(MMULT(inverseG,DX$12:DX$62),$A28+1,1),MAX(strike-$B28,0)),"")</f>
        <v/>
      </c>
      <c r="DZ28" s="9" t="str">
        <f t="array" ref="DZ28">IF(DZ$11&gt;=0,MAX(INDEX(MMULT(inverseG,DY$12:DY$62),$A28+1,1),MAX(strike-$B28,0)),"")</f>
        <v/>
      </c>
      <c r="EA28" s="9" t="str">
        <f t="array" ref="EA28">IF(EA$11&gt;=0,MAX(INDEX(MMULT(inverseG,DZ$12:DZ$62),$A28+1,1),MAX(strike-$B28,0)),"")</f>
        <v/>
      </c>
      <c r="EB28" s="9" t="str">
        <f t="array" ref="EB28">IF(EB$11&gt;=0,MAX(INDEX(MMULT(inverseG,EA$12:EA$62),$A28+1,1),MAX(strike-$B28,0)),"")</f>
        <v/>
      </c>
      <c r="EC28" s="9" t="str">
        <f t="array" ref="EC28">IF(EC$11&gt;=0,MAX(INDEX(MMULT(inverseG,EB$12:EB$62),$A28+1,1),MAX(strike-$B28,0)),"")</f>
        <v/>
      </c>
      <c r="ED28" s="9" t="str">
        <f t="array" ref="ED28">IF(ED$11&gt;=0,MAX(INDEX(MMULT(inverseG,EC$12:EC$62),$A28+1,1),MAX(strike-$B28,0)),"")</f>
        <v/>
      </c>
      <c r="EE28" s="9" t="str">
        <f t="array" ref="EE28">IF(EE$11&gt;=0,MAX(INDEX(MMULT(inverseG,ED$12:ED$62),$A28+1,1),MAX(strike-$B28,0)),"")</f>
        <v/>
      </c>
      <c r="EF28" s="9" t="str">
        <f t="array" ref="EF28">IF(EF$11&gt;=0,MAX(INDEX(MMULT(inverseG,EE$12:EE$62),$A28+1,1),MAX(strike-$B28,0)),"")</f>
        <v/>
      </c>
      <c r="EG28" s="9" t="str">
        <f t="array" ref="EG28">IF(EG$11&gt;=0,MAX(INDEX(MMULT(inverseG,EF$12:EF$62),$A28+1,1),MAX(strike-$B28,0)),"")</f>
        <v/>
      </c>
      <c r="EH28" s="9" t="str">
        <f t="array" ref="EH28">IF(EH$11&gt;=0,MAX(INDEX(MMULT(inverseG,EG$12:EG$62),$A28+1,1),MAX(strike-$B28,0)),"")</f>
        <v/>
      </c>
      <c r="EI28" s="9" t="str">
        <f t="array" ref="EI28">IF(EI$11&gt;=0,MAX(INDEX(MMULT(inverseG,EH$12:EH$62),$A28+1,1),MAX(strike-$B28,0)),"")</f>
        <v/>
      </c>
      <c r="EJ28" s="9" t="str">
        <f t="array" ref="EJ28">IF(EJ$11&gt;=0,MAX(INDEX(MMULT(inverseG,EI$12:EI$62),$A28+1,1),MAX(strike-$B28,0)),"")</f>
        <v/>
      </c>
      <c r="EK28" s="9" t="str">
        <f t="array" ref="EK28">IF(EK$11&gt;=0,MAX(INDEX(MMULT(inverseG,EJ$12:EJ$62),$A28+1,1),MAX(strike-$B28,0)),"")</f>
        <v/>
      </c>
      <c r="EL28" s="9" t="str">
        <f t="array" ref="EL28">IF(EL$11&gt;=0,MAX(INDEX(MMULT(inverseG,EK$12:EK$62),$A28+1,1),MAX(strike-$B28,0)),"")</f>
        <v/>
      </c>
      <c r="EM28" s="9" t="str">
        <f t="array" ref="EM28">IF(EM$11&gt;=0,MAX(INDEX(MMULT(inverseG,EL$12:EL$62),$A28+1,1),MAX(strike-$B28,0)),"")</f>
        <v/>
      </c>
      <c r="EN28" s="9" t="str">
        <f t="array" ref="EN28">IF(EN$11&gt;=0,MAX(INDEX(MMULT(inverseG,EM$12:EM$62),$A28+1,1),MAX(strike-$B28,0)),"")</f>
        <v/>
      </c>
      <c r="EO28" s="9" t="str">
        <f t="array" ref="EO28">IF(EO$11&gt;=0,MAX(INDEX(MMULT(inverseG,EN$12:EN$62),$A28+1,1),MAX(strike-$B28,0)),"")</f>
        <v/>
      </c>
      <c r="EP28" s="9" t="str">
        <f t="array" ref="EP28">IF(EP$11&gt;=0,MAX(INDEX(MMULT(inverseG,EO$12:EO$62),$A28+1,1),MAX(strike-$B28,0)),"")</f>
        <v/>
      </c>
      <c r="EQ28" s="9" t="str">
        <f t="array" ref="EQ28">IF(EQ$11&gt;=0,MAX(INDEX(MMULT(inverseG,EP$12:EP$62),$A28+1,1),MAX(strike-$B28,0)),"")</f>
        <v/>
      </c>
      <c r="ER28" s="9" t="str">
        <f t="array" ref="ER28">IF(ER$11&gt;=0,MAX(INDEX(MMULT(inverseG,EQ$12:EQ$62),$A28+1,1),MAX(strike-$B28,0)),"")</f>
        <v/>
      </c>
      <c r="ES28" s="9" t="str">
        <f t="array" ref="ES28">IF(ES$11&gt;=0,MAX(INDEX(MMULT(inverseG,ER$12:ER$62),$A28+1,1),MAX(strike-$B28,0)),"")</f>
        <v/>
      </c>
      <c r="ET28" s="9" t="str">
        <f t="array" ref="ET28">IF(ET$11&gt;=0,MAX(INDEX(MMULT(inverseG,ES$12:ES$62),$A28+1,1),MAX(strike-$B28,0)),"")</f>
        <v/>
      </c>
      <c r="EU28" s="9" t="str">
        <f t="array" ref="EU28">IF(EU$11&gt;=0,MAX(INDEX(MMULT(inverseG,ET$12:ET$62),$A28+1,1),MAX(strike-$B28,0)),"")</f>
        <v/>
      </c>
      <c r="EV28" s="9" t="str">
        <f t="array" ref="EV28">IF(EV$11&gt;=0,MAX(INDEX(MMULT(inverseG,EU$12:EU$62),$A28+1,1),MAX(strike-$B28,0)),"")</f>
        <v/>
      </c>
      <c r="EW28" s="9" t="str">
        <f t="array" ref="EW28">IF(EW$11&gt;=0,MAX(INDEX(MMULT(inverseG,EV$12:EV$62),$A28+1,1),MAX(strike-$B28,0)),"")</f>
        <v/>
      </c>
      <c r="EX28" s="9" t="str">
        <f t="array" ref="EX28">IF(EX$11&gt;=0,MAX(INDEX(MMULT(inverseG,EW$12:EW$62),$A28+1,1),MAX(strike-$B28,0)),"")</f>
        <v/>
      </c>
      <c r="EY28" s="9" t="str">
        <f t="array" ref="EY28">IF(EY$11&gt;=0,MAX(INDEX(MMULT(inverseG,EX$12:EX$62),$A28+1,1),MAX(strike-$B28,0)),"")</f>
        <v/>
      </c>
      <c r="EZ28" s="9" t="str">
        <f t="array" ref="EZ28">IF(EZ$11&gt;=0,MAX(INDEX(MMULT(inverseG,EY$12:EY$62),$A28+1,1),MAX(strike-$B28,0)),"")</f>
        <v/>
      </c>
      <c r="FA28" s="9" t="str">
        <f t="array" ref="FA28">IF(FA$11&gt;=0,MAX(INDEX(MMULT(inverseG,EZ$12:EZ$62),$A28+1,1),MAX(strike-$B28,0)),"")</f>
        <v/>
      </c>
      <c r="FB28" s="9" t="str">
        <f t="array" ref="FB28">IF(FB$11&gt;=0,MAX(INDEX(MMULT(inverseG,FA$12:FA$62),$A28+1,1),MAX(strike-$B28,0)),"")</f>
        <v/>
      </c>
      <c r="FC28" s="9" t="str">
        <f t="array" ref="FC28">IF(FC$11&gt;=0,MAX(INDEX(MMULT(inverseG,FB$12:FB$62),$A28+1,1),MAX(strike-$B28,0)),"")</f>
        <v/>
      </c>
      <c r="FD28" s="9" t="str">
        <f t="array" ref="FD28">IF(FD$11&gt;=0,MAX(INDEX(MMULT(inverseG,FC$12:FC$62),$A28+1,1),MAX(strike-$B28,0)),"")</f>
        <v/>
      </c>
      <c r="FE28" s="9" t="str">
        <f t="array" ref="FE28">IF(FE$11&gt;=0,MAX(INDEX(MMULT(inverseG,FD$12:FD$62),$A28+1,1),MAX(strike-$B28,0)),"")</f>
        <v/>
      </c>
      <c r="FF28" s="9" t="str">
        <f t="array" ref="FF28">IF(FF$11&gt;=0,MAX(INDEX(MMULT(inverseG,FE$12:FE$62),$A28+1,1),MAX(strike-$B28,0)),"")</f>
        <v/>
      </c>
      <c r="FG28" s="9" t="str">
        <f t="array" ref="FG28">IF(FG$11&gt;=0,MAX(INDEX(MMULT(inverseG,FF$12:FF$62),$A28+1,1),MAX(strike-$B28,0)),"")</f>
        <v/>
      </c>
      <c r="FH28" s="9" t="str">
        <f t="array" ref="FH28">IF(FH$11&gt;=0,MAX(INDEX(MMULT(inverseG,FG$12:FG$62),$A28+1,1),MAX(strike-$B28,0)),"")</f>
        <v/>
      </c>
      <c r="FI28" s="9" t="str">
        <f t="array" ref="FI28">IF(FI$11&gt;=0,MAX(INDEX(MMULT(inverseG,FH$12:FH$62),$A28+1,1),MAX(strike-$B28,0)),"")</f>
        <v/>
      </c>
      <c r="FJ28" s="9" t="str">
        <f t="array" ref="FJ28">IF(FJ$11&gt;=0,MAX(INDEX(MMULT(inverseG,FI$12:FI$62),$A28+1,1),MAX(strike-$B28,0)),"")</f>
        <v/>
      </c>
      <c r="FK28" s="9" t="str">
        <f t="array" ref="FK28">IF(FK$11&gt;=0,MAX(INDEX(MMULT(inverseG,FJ$12:FJ$62),$A28+1,1),MAX(strike-$B28,0)),"")</f>
        <v/>
      </c>
      <c r="FL28" s="9" t="str">
        <f t="array" ref="FL28">IF(FL$11&gt;=0,MAX(INDEX(MMULT(inverseG,FK$12:FK$62),$A28+1,1),MAX(strike-$B28,0)),"")</f>
        <v/>
      </c>
      <c r="FM28" s="9" t="str">
        <f t="array" ref="FM28">IF(FM$11&gt;=0,MAX(INDEX(MMULT(inverseG,FL$12:FL$62),$A28+1,1),MAX(strike-$B28,0)),"")</f>
        <v/>
      </c>
      <c r="FN28" s="9" t="str">
        <f t="array" ref="FN28">IF(FN$11&gt;=0,MAX(INDEX(MMULT(inverseG,FM$12:FM$62),$A28+1,1),MAX(strike-$B28,0)),"")</f>
        <v/>
      </c>
      <c r="FO28" s="9" t="str">
        <f t="array" ref="FO28">IF(FO$11&gt;=0,MAX(INDEX(MMULT(inverseG,FN$12:FN$62),$A28+1,1),MAX(strike-$B28,0)),"")</f>
        <v/>
      </c>
      <c r="FP28" s="9" t="str">
        <f t="array" ref="FP28">IF(FP$11&gt;=0,MAX(INDEX(MMULT(inverseG,FO$12:FO$62),$A28+1,1),MAX(strike-$B28,0)),"")</f>
        <v/>
      </c>
      <c r="FQ28" s="9" t="str">
        <f t="array" ref="FQ28">IF(FQ$11&gt;=0,MAX(INDEX(MMULT(inverseG,FP$12:FP$62),$A28+1,1),MAX(strike-$B28,0)),"")</f>
        <v/>
      </c>
      <c r="FR28" s="9" t="str">
        <f t="array" ref="FR28">IF(FR$11&gt;=0,MAX(INDEX(MMULT(inverseG,FQ$12:FQ$62),$A28+1,1),MAX(strike-$B28,0)),"")</f>
        <v/>
      </c>
      <c r="FS28" s="9" t="str">
        <f t="array" ref="FS28">IF(FS$11&gt;=0,MAX(INDEX(MMULT(inverseG,FR$12:FR$62),$A28+1,1),MAX(strike-$B28,0)),"")</f>
        <v/>
      </c>
      <c r="FT28" s="9" t="str">
        <f t="array" ref="FT28">IF(FT$11&gt;=0,MAX(INDEX(MMULT(inverseG,FS$12:FS$62),$A28+1,1),MAX(strike-$B28,0)),"")</f>
        <v/>
      </c>
      <c r="FU28" s="9" t="str">
        <f t="array" ref="FU28">IF(FU$11&gt;=0,MAX(INDEX(MMULT(inverseG,FT$12:FT$62),$A28+1,1),MAX(strike-$B28,0)),"")</f>
        <v/>
      </c>
      <c r="FV28" s="9" t="str">
        <f t="array" ref="FV28">IF(FV$11&gt;=0,MAX(INDEX(MMULT(inverseG,FU$12:FU$62),$A28+1,1),MAX(strike-$B28,0)),"")</f>
        <v/>
      </c>
      <c r="FW28" s="9" t="str">
        <f t="array" ref="FW28">IF(FW$11&gt;=0,MAX(INDEX(MMULT(inverseG,FV$12:FV$62),$A28+1,1),MAX(strike-$B28,0)),"")</f>
        <v/>
      </c>
      <c r="FX28" s="9" t="str">
        <f t="array" ref="FX28">IF(FX$11&gt;=0,MAX(INDEX(MMULT(inverseG,FW$12:FW$62),$A28+1,1),MAX(strike-$B28,0)),"")</f>
        <v/>
      </c>
      <c r="FY28" s="9" t="str">
        <f t="array" ref="FY28">IF(FY$11&gt;=0,MAX(INDEX(MMULT(inverseG,FX$12:FX$62),$A28+1,1),MAX(strike-$B28,0)),"")</f>
        <v/>
      </c>
      <c r="FZ28" s="9" t="str">
        <f t="array" ref="FZ28">IF(FZ$11&gt;=0,MAX(INDEX(MMULT(inverseG,FY$12:FY$62),$A28+1,1),MAX(strike-$B28,0)),"")</f>
        <v/>
      </c>
      <c r="GA28" s="9" t="str">
        <f t="array" ref="GA28">IF(GA$11&gt;=0,MAX(INDEX(MMULT(inverseG,FZ$12:FZ$62),$A28+1,1),MAX(strike-$B28,0)),"")</f>
        <v/>
      </c>
      <c r="GB28" s="9" t="str">
        <f t="array" ref="GB28">IF(GB$11&gt;=0,MAX(INDEX(MMULT(inverseG,GA$12:GA$62),$A28+1,1),MAX(strike-$B28,0)),"")</f>
        <v/>
      </c>
      <c r="GC28" s="9" t="str">
        <f t="array" ref="GC28">IF(GC$11&gt;=0,MAX(INDEX(MMULT(inverseG,GB$12:GB$62),$A28+1,1),MAX(strike-$B28,0)),"")</f>
        <v/>
      </c>
      <c r="GD28" s="9" t="str">
        <f t="array" ref="GD28">IF(GD$11&gt;=0,MAX(INDEX(MMULT(inverseG,GC$12:GC$62),$A28+1,1),MAX(strike-$B28,0)),"")</f>
        <v/>
      </c>
      <c r="GE28" s="9" t="str">
        <f t="array" ref="GE28">IF(GE$11&gt;=0,MAX(INDEX(MMULT(inverseG,GD$12:GD$62),$A28+1,1),MAX(strike-$B28,0)),"")</f>
        <v/>
      </c>
      <c r="GF28" s="9" t="str">
        <f t="array" ref="GF28">IF(GF$11&gt;=0,MAX(INDEX(MMULT(inverseG,GE$12:GE$62),$A28+1,1),MAX(strike-$B28,0)),"")</f>
        <v/>
      </c>
      <c r="GG28" s="9" t="str">
        <f t="array" ref="GG28">IF(GG$11&gt;=0,MAX(INDEX(MMULT(inverseG,GF$12:GF$62),$A28+1,1),MAX(strike-$B28,0)),"")</f>
        <v/>
      </c>
      <c r="GH28" s="9" t="str">
        <f t="array" ref="GH28">IF(GH$11&gt;=0,MAX(INDEX(MMULT(inverseG,GG$12:GG$62),$A28+1,1),MAX(strike-$B28,0)),"")</f>
        <v/>
      </c>
      <c r="GI28" s="9" t="str">
        <f t="array" ref="GI28">IF(GI$11&gt;=0,MAX(INDEX(MMULT(inverseG,GH$12:GH$62),$A28+1,1),MAX(strike-$B28,0)),"")</f>
        <v/>
      </c>
      <c r="GJ28" s="9" t="str">
        <f t="array" ref="GJ28">IF(GJ$11&gt;=0,MAX(INDEX(MMULT(inverseG,GI$12:GI$62),$A28+1,1),MAX(strike-$B28,0)),"")</f>
        <v/>
      </c>
      <c r="GK28" s="9" t="str">
        <f t="array" ref="GK28">IF(GK$11&gt;=0,MAX(INDEX(MMULT(inverseG,GJ$12:GJ$62),$A28+1,1),MAX(strike-$B28,0)),"")</f>
        <v/>
      </c>
      <c r="GL28" s="9" t="str">
        <f t="array" ref="GL28">IF(GL$11&gt;=0,MAX(INDEX(MMULT(inverseG,GK$12:GK$62),$A28+1,1),MAX(strike-$B28,0)),"")</f>
        <v/>
      </c>
      <c r="GM28" s="9" t="str">
        <f t="array" ref="GM28">IF(GM$11&gt;=0,MAX(INDEX(MMULT(inverseG,GL$12:GL$62),$A28+1,1),MAX(strike-$B28,0)),"")</f>
        <v/>
      </c>
      <c r="GN28" s="9" t="str">
        <f t="array" ref="GN28">IF(GN$11&gt;=0,MAX(INDEX(MMULT(inverseG,GM$12:GM$62),$A28+1,1),MAX(strike-$B28,0)),"")</f>
        <v/>
      </c>
      <c r="GO28" s="9" t="str">
        <f t="array" ref="GO28">IF(GO$11&gt;=0,MAX(INDEX(MMULT(inverseG,GN$12:GN$62),$A28+1,1),MAX(strike-$B28,0)),"")</f>
        <v/>
      </c>
      <c r="GP28" s="9" t="str">
        <f t="array" ref="GP28">IF(GP$11&gt;=0,MAX(INDEX(MMULT(inverseG,GO$12:GO$62),$A28+1,1),MAX(strike-$B28,0)),"")</f>
        <v/>
      </c>
      <c r="GQ28" s="9" t="str">
        <f t="array" ref="GQ28">IF(GQ$11&gt;=0,MAX(INDEX(MMULT(inverseG,GP$12:GP$62),$A28+1,1),MAX(strike-$B28,0)),"")</f>
        <v/>
      </c>
      <c r="GR28" s="9" t="str">
        <f t="array" ref="GR28">IF(GR$11&gt;=0,MAX(INDEX(MMULT(inverseG,GQ$12:GQ$62),$A28+1,1),MAX(strike-$B28,0)),"")</f>
        <v/>
      </c>
      <c r="GS28" s="9" t="str">
        <f t="array" ref="GS28">IF(GS$11&gt;=0,MAX(INDEX(MMULT(inverseG,GR$12:GR$62),$A28+1,1),MAX(strike-$B28,0)),"")</f>
        <v/>
      </c>
      <c r="GT28" s="9" t="str">
        <f t="array" ref="GT28">IF(GT$11&gt;=0,MAX(INDEX(MMULT(inverseG,GS$12:GS$62),$A28+1,1),MAX(strike-$B28,0)),"")</f>
        <v/>
      </c>
      <c r="GU28" s="9" t="str">
        <f t="array" ref="GU28">IF(GU$11&gt;=0,MAX(INDEX(MMULT(inverseG,GT$12:GT$62),$A28+1,1),MAX(strike-$B28,0)),"")</f>
        <v/>
      </c>
      <c r="GV28" s="9" t="str">
        <f t="array" ref="GV28">IF(GV$11&gt;=0,MAX(INDEX(MMULT(inverseG,GU$12:GU$62),$A28+1,1),MAX(strike-$B28,0)),"")</f>
        <v/>
      </c>
      <c r="GW28" s="9" t="str">
        <f t="array" ref="GW28">IF(GW$11&gt;=0,MAX(INDEX(MMULT(inverseG,GV$12:GV$62),$A28+1,1),MAX(strike-$B28,0)),"")</f>
        <v/>
      </c>
      <c r="GX28" s="9" t="str">
        <f t="array" ref="GX28">IF(GX$11&gt;=0,MAX(INDEX(MMULT(inverseG,GW$12:GW$62),$A28+1,1),MAX(strike-$B28,0)),"")</f>
        <v/>
      </c>
      <c r="GY28" s="9" t="str">
        <f t="array" ref="GY28">IF(GY$11&gt;=0,MAX(INDEX(MMULT(inverseG,GX$12:GX$62),$A28+1,1),MAX(strike-$B28,0)),"")</f>
        <v/>
      </c>
      <c r="GZ28" s="9" t="str">
        <f t="array" ref="GZ28">IF(GZ$11&gt;=0,MAX(INDEX(MMULT(inverseG,GY$12:GY$62),$A28+1,1),MAX(strike-$B28,0)),"")</f>
        <v/>
      </c>
      <c r="HA28" s="9" t="str">
        <f t="array" ref="HA28">IF(HA$11&gt;=0,MAX(INDEX(MMULT(inverseG,GZ$12:GZ$62),$A28+1,1),MAX(strike-$B28,0)),"")</f>
        <v/>
      </c>
      <c r="HB28" s="9" t="str">
        <f t="array" ref="HB28">IF(HB$11&gt;=0,MAX(INDEX(MMULT(inverseG,HA$12:HA$62),$A28+1,1),MAX(strike-$B28,0)),"")</f>
        <v/>
      </c>
      <c r="HC28" s="9" t="str">
        <f t="array" ref="HC28">IF(HC$11&gt;=0,MAX(INDEX(MMULT(inverseG,HB$12:HB$62),$A28+1,1),MAX(strike-$B28,0)),"")</f>
        <v/>
      </c>
      <c r="HD28" s="9" t="str">
        <f t="array" ref="HD28">IF(HD$11&gt;=0,MAX(INDEX(MMULT(inverseG,HC$12:HC$62),$A28+1,1),MAX(strike-$B28,0)),"")</f>
        <v/>
      </c>
      <c r="HE28" s="9" t="str">
        <f t="array" ref="HE28">IF(HE$11&gt;=0,MAX(INDEX(MMULT(inverseG,HD$12:HD$62),$A28+1,1),MAX(strike-$B28,0)),"")</f>
        <v/>
      </c>
      <c r="HF28" s="9" t="str">
        <f t="array" ref="HF28">IF(HF$11&gt;=0,MAX(INDEX(MMULT(inverseG,HE$12:HE$62),$A28+1,1),MAX(strike-$B28,0)),"")</f>
        <v/>
      </c>
      <c r="HG28" s="9" t="str">
        <f t="array" ref="HG28">IF(HG$11&gt;=0,MAX(INDEX(MMULT(inverseG,HF$12:HF$62),$A28+1,1),MAX(strike-$B28,0)),"")</f>
        <v/>
      </c>
      <c r="HH28" s="9" t="str">
        <f t="array" ref="HH28">IF(HH$11&gt;=0,MAX(INDEX(MMULT(inverseG,HG$12:HG$62),$A28+1,1),MAX(strike-$B28,0)),"")</f>
        <v/>
      </c>
      <c r="HI28" s="9" t="str">
        <f t="array" ref="HI28">IF(HI$11&gt;=0,MAX(INDEX(MMULT(inverseG,HH$12:HH$62),$A28+1,1),MAX(strike-$B28,0)),"")</f>
        <v/>
      </c>
      <c r="HJ28" s="9" t="str">
        <f t="array" ref="HJ28">IF(HJ$11&gt;=0,MAX(INDEX(MMULT(inverseG,HI$12:HI$62),$A28+1,1),MAX(strike-$B28,0)),"")</f>
        <v/>
      </c>
      <c r="HK28" s="9" t="str">
        <f t="array" ref="HK28">IF(HK$11&gt;=0,MAX(INDEX(MMULT(inverseG,HJ$12:HJ$62),$A28+1,1),MAX(strike-$B28,0)),"")</f>
        <v/>
      </c>
      <c r="HL28" s="9" t="str">
        <f t="array" ref="HL28">IF(HL$11&gt;=0,MAX(INDEX(MMULT(inverseG,HK$12:HK$62),$A28+1,1),MAX(strike-$B28,0)),"")</f>
        <v/>
      </c>
      <c r="HM28" s="9" t="str">
        <f t="array" ref="HM28">IF(HM$11&gt;=0,MAX(INDEX(MMULT(inverseG,HL$12:HL$62),$A28+1,1),MAX(strike-$B28,0)),"")</f>
        <v/>
      </c>
      <c r="HN28" s="9" t="str">
        <f t="array" ref="HN28">IF(HN$11&gt;=0,MAX(INDEX(MMULT(inverseG,HM$12:HM$62),$A28+1,1),MAX(strike-$B28,0)),"")</f>
        <v/>
      </c>
      <c r="HO28" s="9" t="str">
        <f t="array" ref="HO28">IF(HO$11&gt;=0,MAX(INDEX(MMULT(inverseG,HN$12:HN$62),$A28+1,1),MAX(strike-$B28,0)),"")</f>
        <v/>
      </c>
      <c r="HP28" s="9" t="str">
        <f t="array" ref="HP28">IF(HP$11&gt;=0,MAX(INDEX(MMULT(inverseG,HO$12:HO$62),$A28+1,1),MAX(strike-$B28,0)),"")</f>
        <v/>
      </c>
      <c r="HQ28" s="9" t="str">
        <f t="array" ref="HQ28">IF(HQ$11&gt;=0,MAX(INDEX(MMULT(inverseG,HP$12:HP$62),$A28+1,1),MAX(strike-$B28,0)),"")</f>
        <v/>
      </c>
      <c r="HR28" s="9" t="str">
        <f t="array" ref="HR28">IF(HR$11&gt;=0,MAX(INDEX(MMULT(inverseG,HQ$12:HQ$62),$A28+1,1),MAX(strike-$B28,0)),"")</f>
        <v/>
      </c>
      <c r="HS28" s="9" t="str">
        <f t="array" ref="HS28">IF(HS$11&gt;=0,MAX(INDEX(MMULT(inverseG,HR$12:HR$62),$A28+1,1),MAX(strike-$B28,0)),"")</f>
        <v/>
      </c>
      <c r="HT28" s="9" t="str">
        <f t="array" ref="HT28">IF(HT$11&gt;=0,MAX(INDEX(MMULT(inverseG,HS$12:HS$62),$A28+1,1),MAX(strike-$B28,0)),"")</f>
        <v/>
      </c>
      <c r="HU28" s="9" t="str">
        <f t="array" ref="HU28">IF(HU$11&gt;=0,MAX(INDEX(MMULT(inverseG,HT$12:HT$62),$A28+1,1),MAX(strike-$B28,0)),"")</f>
        <v/>
      </c>
      <c r="HV28" s="9" t="str">
        <f t="array" ref="HV28">IF(HV$11&gt;=0,MAX(INDEX(MMULT(inverseG,HU$12:HU$62),$A28+1,1),MAX(strike-$B28,0)),"")</f>
        <v/>
      </c>
      <c r="HW28" s="9" t="str">
        <f t="array" ref="HW28">IF(HW$11&gt;=0,MAX(INDEX(MMULT(inverseG,HV$12:HV$62),$A28+1,1),MAX(strike-$B28,0)),"")</f>
        <v/>
      </c>
      <c r="HX28" s="9" t="str">
        <f t="array" ref="HX28">IF(HX$11&gt;=0,MAX(INDEX(MMULT(inverseG,HW$12:HW$62),$A28+1,1),MAX(strike-$B28,0)),"")</f>
        <v/>
      </c>
      <c r="HY28" s="9" t="str">
        <f t="array" ref="HY28">IF(HY$11&gt;=0,MAX(INDEX(MMULT(inverseG,HX$12:HX$62),$A28+1,1),MAX(strike-$B28,0)),"")</f>
        <v/>
      </c>
      <c r="HZ28" s="9" t="str">
        <f t="array" ref="HZ28">IF(HZ$11&gt;=0,MAX(INDEX(MMULT(inverseG,HY$12:HY$62),$A28+1,1),MAX(strike-$B28,0)),"")</f>
        <v/>
      </c>
      <c r="IA28" s="9" t="str">
        <f t="array" ref="IA28">IF(IA$11&gt;=0,MAX(INDEX(MMULT(inverseG,HZ$12:HZ$62),$A28+1,1),MAX(strike-$B28,0)),"")</f>
        <v/>
      </c>
      <c r="IB28" s="9" t="str">
        <f t="array" ref="IB28">IF(IB$11&gt;=0,MAX(INDEX(MMULT(inverseG,IA$12:IA$62),$A28+1,1),MAX(strike-$B28,0)),"")</f>
        <v/>
      </c>
      <c r="IC28" s="9" t="str">
        <f t="array" ref="IC28">IF(IC$11&gt;=0,MAX(INDEX(MMULT(inverseG,IB$12:IB$62),$A28+1,1),MAX(strike-$B28,0)),"")</f>
        <v/>
      </c>
      <c r="ID28" s="9" t="str">
        <f t="array" ref="ID28">IF(ID$11&gt;=0,MAX(INDEX(MMULT(inverseG,IC$12:IC$62),$A28+1,1),MAX(strike-$B28,0)),"")</f>
        <v/>
      </c>
      <c r="IE28" s="9" t="str">
        <f t="array" ref="IE28">IF(IE$11&gt;=0,MAX(INDEX(MMULT(inverseG,ID$12:ID$62),$A28+1,1),MAX(strike-$B28,0)),"")</f>
        <v/>
      </c>
      <c r="IF28" s="9" t="str">
        <f t="array" ref="IF28">IF(IF$11&gt;=0,MAX(INDEX(MMULT(inverseG,IE$12:IE$62),$A28+1,1),MAX(strike-$B28,0)),"")</f>
        <v/>
      </c>
      <c r="IG28" s="9" t="str">
        <f t="array" ref="IG28">IF(IG$11&gt;=0,MAX(INDEX(MMULT(inverseG,IF$12:IF$62),$A28+1,1),MAX(strike-$B28,0)),"")</f>
        <v/>
      </c>
      <c r="IH28" s="9" t="str">
        <f t="array" ref="IH28">IF(IH$11&gt;=0,MAX(INDEX(MMULT(inverseG,IG$12:IG$62),$A28+1,1),MAX(strike-$B28,0)),"")</f>
        <v/>
      </c>
      <c r="II28" s="9" t="str">
        <f t="array" ref="II28">IF(II$11&gt;=0,MAX(INDEX(MMULT(inverseG,IH$12:IH$62),$A28+1,1),MAX(strike-$B28,0)),"")</f>
        <v/>
      </c>
      <c r="IJ28" s="9" t="str">
        <f t="array" ref="IJ28">IF(IJ$11&gt;=0,MAX(INDEX(MMULT(inverseG,II$12:II$62),$A28+1,1),MAX(strike-$B28,0)),"")</f>
        <v/>
      </c>
      <c r="IK28" s="9" t="str">
        <f t="array" ref="IK28">IF(IK$11&gt;=0,MAX(INDEX(MMULT(inverseG,IJ$12:IJ$62),$A28+1,1),MAX(strike-$B28,0)),"")</f>
        <v/>
      </c>
      <c r="IL28" s="9" t="str">
        <f t="array" ref="IL28">IF(IL$11&gt;=0,MAX(INDEX(MMULT(inverseG,IK$12:IK$62),$A28+1,1),MAX(strike-$B28,0)),"")</f>
        <v/>
      </c>
      <c r="IM28" s="9" t="str">
        <f t="array" ref="IM28">IF(IM$11&gt;=0,MAX(INDEX(MMULT(inverseG,IL$12:IL$62),$A28+1,1),MAX(strike-$B28,0)),"")</f>
        <v/>
      </c>
      <c r="IN28" s="9" t="str">
        <f t="array" ref="IN28">IF(IN$11&gt;=0,MAX(INDEX(MMULT(inverseG,IM$12:IM$62),$A28+1,1),MAX(strike-$B28,0)),"")</f>
        <v/>
      </c>
      <c r="IO28" s="9" t="str">
        <f t="array" ref="IO28">IF(IO$11&gt;=0,MAX(INDEX(MMULT(inverseG,IN$12:IN$62),$A28+1,1),MAX(strike-$B28,0)),"")</f>
        <v/>
      </c>
      <c r="IP28" s="9" t="str">
        <f t="array" ref="IP28">IF(IP$11&gt;=0,MAX(INDEX(MMULT(inverseG,IO$12:IO$62),$A28+1,1),MAX(strike-$B28,0)),"")</f>
        <v/>
      </c>
      <c r="IQ28" s="9" t="str">
        <f t="array" ref="IQ28">IF(IQ$11&gt;=0,MAX(INDEX(MMULT(inverseG,IP$12:IP$62),$A28+1,1),MAX(strike-$B28,0)),"")</f>
        <v/>
      </c>
      <c r="IR28" s="9" t="str">
        <f t="array" ref="IR28">IF(IR$11&gt;=0,MAX(INDEX(MMULT(inverseG,IQ$12:IQ$62),$A28+1,1),MAX(strike-$B28,0)),"")</f>
        <v/>
      </c>
      <c r="IS28" s="9" t="str">
        <f t="array" ref="IS28">IF(IS$11&gt;=0,MAX(INDEX(MMULT(inverseG,IR$12:IR$62),$A28+1,1),MAX(strike-$B28,0)),"")</f>
        <v/>
      </c>
      <c r="IT28" s="9" t="str">
        <f t="array" ref="IT28">IF(IT$11&gt;=0,MAX(INDEX(MMULT(inverseG,IS$12:IS$62),$A28+1,1),MAX(strike-$B28,0)),"")</f>
        <v/>
      </c>
      <c r="IU28" s="9" t="str">
        <f t="array" ref="IU28">IF(IU$11&gt;=0,MAX(INDEX(MMULT(inverseG,IT$12:IT$62),$A28+1,1),MAX(strike-$B28,0)),"")</f>
        <v/>
      </c>
      <c r="IV28" s="9" t="str">
        <f t="array" ref="IV28">IF(IV$11&gt;=0,MAX(INDEX(MMULT(inverseG,IU$12:IU$62),$A28+1,1),MAX(strike-$B28,0)),"")</f>
        <v/>
      </c>
    </row>
    <row r="29" spans="1:256" x14ac:dyDescent="0.2">
      <c r="A29" s="8">
        <f t="shared" si="7"/>
        <v>17</v>
      </c>
      <c r="B29" s="6">
        <f t="shared" si="4"/>
        <v>4.25</v>
      </c>
      <c r="C29" s="30">
        <f t="shared" ca="1" si="6"/>
        <v>0.99022395084799975</v>
      </c>
      <c r="D29" s="9">
        <f t="shared" si="5"/>
        <v>0.75</v>
      </c>
      <c r="E29" s="9">
        <f t="array" ref="E29">IF(E$11&gt;=0,MAX(INDEX(MMULT(inverseG,D$12:D$62),$A29+1,1),MAX(strike-$B29,0)),"")</f>
        <v>0.75</v>
      </c>
      <c r="F29" s="9">
        <f t="array" ref="F29">IF(F$11&gt;=0,MAX(INDEX(MMULT(inverseG,E$12:E$62),$A29+1,1),MAX(strike-$B29,0)),"")</f>
        <v>0.75</v>
      </c>
      <c r="G29" s="9">
        <f t="array" ref="G29">IF(G$11&gt;=0,MAX(INDEX(MMULT(inverseG,F$12:F$62),$A29+1,1),MAX(strike-$B29,0)),"")</f>
        <v>0.75</v>
      </c>
      <c r="H29" s="9">
        <f t="array" ref="H29">IF(H$11&gt;=0,MAX(INDEX(MMULT(inverseG,G$12:G$62),$A29+1,1),MAX(strike-$B29,0)),"")</f>
        <v>0.75</v>
      </c>
      <c r="I29" s="9">
        <f t="array" ref="I29">IF(I$11&gt;=0,MAX(INDEX(MMULT(inverseG,H$12:H$62),$A29+1,1),MAX(strike-$B29,0)),"")</f>
        <v>0.75</v>
      </c>
      <c r="J29" s="9">
        <f t="array" ref="J29">IF(J$11&gt;=0,MAX(INDEX(MMULT(inverseG,I$12:I$62),$A29+1,1),MAX(strike-$B29,0)),"")</f>
        <v>0.75018307236828596</v>
      </c>
      <c r="K29" s="9">
        <f t="array" ref="K29">IF(K$11&gt;=0,MAX(INDEX(MMULT(inverseG,J$12:J$62),$A29+1,1),MAX(strike-$B29,0)),"")</f>
        <v>0.75273569410104701</v>
      </c>
      <c r="L29" s="9">
        <f t="array" ref="L29">IF(L$11&gt;=0,MAX(INDEX(MMULT(inverseG,K$12:K$62),$A29+1,1),MAX(strike-$B29,0)),"")</f>
        <v>0.75655350611589944</v>
      </c>
      <c r="M29" s="9">
        <f t="array" ref="M29">IF(M$11&gt;=0,MAX(INDEX(MMULT(inverseG,L$12:L$62),$A29+1,1),MAX(strike-$B29,0)),"")</f>
        <v>0.76102325943225801</v>
      </c>
      <c r="N29" s="9">
        <f t="array" ref="N29">IF(N$11&gt;=0,MAX(INDEX(MMULT(inverseG,M$12:M$62),$A29+1,1),MAX(strike-$B29,0)),"")</f>
        <v>0.76579292623178064</v>
      </c>
      <c r="O29" s="9">
        <f t="array" ref="O29">IF(O$11&gt;=0,MAX(INDEX(MMULT(inverseG,N$12:N$62),$A29+1,1),MAX(strike-$B29,0)),"")</f>
        <v>0.77065590967254693</v>
      </c>
      <c r="P29" s="9">
        <f t="array" ref="P29">IF(P$11&gt;=0,MAX(INDEX(MMULT(inverseG,O$12:O$62),$A29+1,1),MAX(strike-$B29,0)),"")</f>
        <v>0.77548978252688683</v>
      </c>
      <c r="Q29" s="9">
        <f t="array" ref="Q29">IF(Q$11&gt;=0,MAX(INDEX(MMULT(inverseG,P$12:P$62),$A29+1,1),MAX(strike-$B29,0)),"")</f>
        <v>0.78022237860829646</v>
      </c>
      <c r="R29" s="9">
        <f t="array" ref="R29">IF(R$11&gt;=0,MAX(INDEX(MMULT(inverseG,Q$12:Q$62),$A29+1,1),MAX(strike-$B29,0)),"")</f>
        <v>0.78481226578701835</v>
      </c>
      <c r="S29" s="9">
        <f t="array" ref="S29">IF(S$11&gt;=0,MAX(INDEX(MMULT(inverseG,R$12:R$62),$A29+1,1),MAX(strike-$B29,0)),"")</f>
        <v>0.78923711804478203</v>
      </c>
      <c r="T29" s="9">
        <f t="array" ref="T29">IF(T$11&gt;=0,MAX(INDEX(MMULT(inverseG,S$12:S$62),$A29+1,1),MAX(strike-$B29,0)),"")</f>
        <v>0.79351388844808934</v>
      </c>
      <c r="U29" s="9">
        <f t="array" ref="U29">IF(U$11&gt;=0,MAX(INDEX(MMULT(inverseG,T$12:T$62),$A29+1,1),MAX(strike-$B29,0)),"")</f>
        <v>0.79777484961889267</v>
      </c>
      <c r="V29" s="9">
        <f t="array" ref="V29">IF(V$11&gt;=0,MAX(INDEX(MMULT(inverseG,U$12:U$62),$A29+1,1),MAX(strike-$B29,0)),"")</f>
        <v>0.80204773631559256</v>
      </c>
      <c r="W29" s="9">
        <f t="array" ref="W29">IF(W$11&gt;=0,MAX(INDEX(MMULT(inverseG,V$12:V$62),$A29+1,1),MAX(strike-$B29,0)),"")</f>
        <v>0.80632327945691262</v>
      </c>
      <c r="X29" s="9">
        <f t="array" ref="X29">IF(X$11&gt;=0,MAX(INDEX(MMULT(inverseG,W$12:W$62),$A29+1,1),MAX(strike-$B29,0)),"")</f>
        <v>0.81058190665570706</v>
      </c>
      <c r="Y29" s="9">
        <f t="array" ref="Y29">IF(Y$11&gt;=0,MAX(INDEX(MMULT(inverseG,X$12:X$62),$A29+1,1),MAX(strike-$B29,0)),"")</f>
        <v>0.81480377010338756</v>
      </c>
      <c r="Z29" s="9">
        <f t="array" ref="Z29">IF(Z$11&gt;=0,MAX(INDEX(MMULT(inverseG,Y$12:Y$62),$A29+1,1),MAX(strike-$B29,0)),"")</f>
        <v>0.81897204586692507</v>
      </c>
      <c r="AA29" s="9">
        <f t="array" ref="AA29">IF(AA$11&gt;=0,MAX(INDEX(MMULT(inverseG,Z$12:Z$62),$A29+1,1),MAX(strike-$B29,0)),"")</f>
        <v>0.82307360435039112</v>
      </c>
      <c r="AB29" s="9">
        <f t="array" ref="AB29">IF(AB$11&gt;=0,MAX(INDEX(MMULT(inverseG,AA$12:AA$62),$A29+1,1),MAX(strike-$B29,0)),"")</f>
        <v>0.82709873191110894</v>
      </c>
      <c r="AC29" s="9">
        <f t="array" ref="AC29">IF(AC$11&gt;=0,MAX(INDEX(MMULT(inverseG,AB$12:AB$62),$A29+1,1),MAX(strike-$B29,0)),"")</f>
        <v>0.83104057804073173</v>
      </c>
      <c r="AD29" s="9">
        <f t="array" ref="AD29">IF(AD$11&gt;=0,MAX(INDEX(MMULT(inverseG,AC$12:AC$62),$A29+1,1),MAX(strike-$B29,0)),"")</f>
        <v>0.83489458557149387</v>
      </c>
      <c r="AE29" s="9">
        <f t="array" ref="AE29">IF(AE$11&gt;=0,MAX(INDEX(MMULT(inverseG,AD$12:AD$62),$A29+1,1),MAX(strike-$B29,0)),"")</f>
        <v>0.8386579906854007</v>
      </c>
      <c r="AF29" s="9">
        <f t="array" ref="AF29">IF(AF$11&gt;=0,MAX(INDEX(MMULT(inverseG,AE$12:AE$62),$A29+1,1),MAX(strike-$B29,0)),"")</f>
        <v>0.84232941190253674</v>
      </c>
      <c r="AG29" s="9">
        <f t="array" ref="AG29">IF(AG$11&gt;=0,MAX(INDEX(MMULT(inverseG,AF$12:AF$62),$A29+1,1),MAX(strike-$B29,0)),"")</f>
        <v>0.84590852244693415</v>
      </c>
      <c r="AH29" s="9">
        <f t="array" ref="AH29">IF(AH$11&gt;=0,MAX(INDEX(MMULT(inverseG,AG$12:AG$62),$A29+1,1),MAX(strike-$B29,0)),"")</f>
        <v>0.84939579301444179</v>
      </c>
      <c r="AI29" s="9">
        <f t="array" ref="AI29">IF(AI$11&gt;=0,MAX(INDEX(MMULT(inverseG,AH$12:AH$62),$A29+1,1),MAX(strike-$B29,0)),"")</f>
        <v>0.85279229131329648</v>
      </c>
      <c r="AJ29" s="9">
        <f t="array" ref="AJ29">IF(AJ$11&gt;=0,MAX(INDEX(MMULT(inverseG,AI$12:AI$62),$A29+1,1),MAX(strike-$B29,0)),"")</f>
        <v>0.85609952638960307</v>
      </c>
      <c r="AK29" s="9">
        <f t="array" ref="AK29">IF(AK$11&gt;=0,MAX(INDEX(MMULT(inverseG,AJ$12:AJ$62),$A29+1,1),MAX(strike-$B29,0)),"")</f>
        <v>0.85931932791676191</v>
      </c>
      <c r="AL29" s="9">
        <f t="array" ref="AL29">IF(AL$11&gt;=0,MAX(INDEX(MMULT(inverseG,AK$12:AK$62),$A29+1,1),MAX(strike-$B29,0)),"")</f>
        <v>0.86245375266593016</v>
      </c>
      <c r="AM29" s="9">
        <f t="array" ref="AM29">IF(AM$11&gt;=0,MAX(INDEX(MMULT(inverseG,AL$12:AL$62),$A29+1,1),MAX(strike-$B29,0)),"")</f>
        <v>0.86550501208764841</v>
      </c>
      <c r="AN29" s="9">
        <f t="array" ref="AN29">IF(AN$11&gt;=0,MAX(INDEX(MMULT(inverseG,AM$12:AM$62),$A29+1,1),MAX(strike-$B29,0)),"")</f>
        <v>0.86847541630439029</v>
      </c>
      <c r="AO29" s="9">
        <f t="array" ref="AO29">IF(AO$11&gt;=0,MAX(INDEX(MMULT(inverseG,AN$12:AN$62),$A29+1,1),MAX(strike-$B29,0)),"")</f>
        <v>0.87138085041351876</v>
      </c>
      <c r="AP29" s="9">
        <f t="array" ref="AP29">IF(AP$11&gt;=0,MAX(INDEX(MMULT(inverseG,AO$12:AO$62),$A29+1,1),MAX(strike-$B29,0)),"")</f>
        <v>0.87423619034896416</v>
      </c>
      <c r="AQ29" s="9">
        <f t="array" ref="AQ29">IF(AQ$11&gt;=0,MAX(INDEX(MMULT(inverseG,AP$12:AP$62),$A29+1,1),MAX(strike-$B29,0)),"")</f>
        <v>0.87705156442950005</v>
      </c>
      <c r="AR29" s="9">
        <f t="array" ref="AR29">IF(AR$11&gt;=0,MAX(INDEX(MMULT(inverseG,AQ$12:AQ$62),$A29+1,1),MAX(strike-$B29,0)),"")</f>
        <v>0.87983278673665377</v>
      </c>
      <c r="AS29" s="9">
        <f t="array" ref="AS29">IF(AS$11&gt;=0,MAX(INDEX(MMULT(inverseG,AR$12:AR$62),$A29+1,1),MAX(strike-$B29,0)),"")</f>
        <v>0.88258263801055048</v>
      </c>
      <c r="AT29" s="9">
        <f t="array" ref="AT29">IF(AT$11&gt;=0,MAX(INDEX(MMULT(inverseG,AS$12:AS$62),$A29+1,1),MAX(strike-$B29,0)),"")</f>
        <v>0.88530201428767574</v>
      </c>
      <c r="AU29" s="9">
        <f t="array" ref="AU29">IF(AU$11&gt;=0,MAX(INDEX(MMULT(inverseG,AT$12:AT$62),$A29+1,1),MAX(strike-$B29,0)),"")</f>
        <v>0.88799074939542744</v>
      </c>
      <c r="AV29" s="9">
        <f t="array" ref="AV29">IF(AV$11&gt;=0,MAX(INDEX(MMULT(inverseG,AU$12:AU$62),$A29+1,1),MAX(strike-$B29,0)),"")</f>
        <v>0.89064814776257517</v>
      </c>
      <c r="AW29" s="9">
        <f t="array" ref="AW29">IF(AW$11&gt;=0,MAX(INDEX(MMULT(inverseG,AV$12:AV$62),$A29+1,1),MAX(strike-$B29,0)),"")</f>
        <v>0.89327330849854436</v>
      </c>
      <c r="AX29" s="9">
        <f t="array" ref="AX29">IF(AX$11&gt;=0,MAX(INDEX(MMULT(inverseG,AW$12:AW$62),$A29+1,1),MAX(strike-$B29,0)),"")</f>
        <v>0.89586531202348374</v>
      </c>
      <c r="AY29" s="9">
        <f t="array" ref="AY29">IF(AY$11&gt;=0,MAX(INDEX(MMULT(inverseG,AX$12:AX$62),$A29+1,1),MAX(strike-$B29,0)),"")</f>
        <v>0.89842332065240926</v>
      </c>
      <c r="AZ29" s="9">
        <f t="array" ref="AZ29">IF(AZ$11&gt;=0,MAX(INDEX(MMULT(inverseG,AY$12:AY$62),$A29+1,1),MAX(strike-$B29,0)),"")</f>
        <v>0.9009466271836396</v>
      </c>
      <c r="BA29" s="9">
        <f t="array" ref="BA29">IF(BA$11&gt;=0,MAX(INDEX(MMULT(inverseG,AZ$12:AZ$62),$A29+1,1),MAX(strike-$B29,0)),"")</f>
        <v>0.90343467305050207</v>
      </c>
      <c r="BB29" s="9">
        <f t="array" ref="BB29">IF(BB$11&gt;=0,MAX(INDEX(MMULT(inverseG,BA$12:BA$62),$A29+1,1),MAX(strike-$B29,0)),"")</f>
        <v>0.90588704931046071</v>
      </c>
      <c r="BC29" s="9">
        <f t="array" ref="BC29">IF(BC$11&gt;=0,MAX(INDEX(MMULT(inverseG,BB$12:BB$62),$A29+1,1),MAX(strike-$B29,0)),"")</f>
        <v>0.90830348847921905</v>
      </c>
      <c r="BD29" s="9">
        <f t="array" ref="BD29">IF(BD$11&gt;=0,MAX(INDEX(MMULT(inverseG,BC$12:BC$62),$A29+1,1),MAX(strike-$B29,0)),"")</f>
        <v>0.91068385195060741</v>
      </c>
      <c r="BE29" s="9">
        <f t="array" ref="BE29">IF(BE$11&gt;=0,MAX(INDEX(MMULT(inverseG,BD$12:BD$62),$A29+1,1),MAX(strike-$B29,0)),"")</f>
        <v>0.91302811574834775</v>
      </c>
      <c r="BF29" s="9">
        <f t="array" ref="BF29">IF(BF$11&gt;=0,MAX(INDEX(MMULT(inverseG,BE$12:BE$62),$A29+1,1),MAX(strike-$B29,0)),"")</f>
        <v>0.9153363561518556</v>
      </c>
      <c r="BG29" s="9">
        <f t="array" ref="BG29">IF(BG$11&gt;=0,MAX(INDEX(MMULT(inverseG,BF$12:BF$62),$A29+1,1),MAX(strike-$B29,0)),"")</f>
        <v>0.91760873601944537</v>
      </c>
      <c r="BH29" s="9">
        <f t="array" ref="BH29">IF(BH$11&gt;=0,MAX(INDEX(MMULT(inverseG,BG$12:BG$62),$A29+1,1),MAX(strike-$B29,0)),"")</f>
        <v>0.9198454922085767</v>
      </c>
      <c r="BI29" s="9">
        <f t="array" ref="BI29">IF(BI$11&gt;=0,MAX(INDEX(MMULT(inverseG,BH$12:BH$62),$A29+1,1),MAX(strike-$B29,0)),"")</f>
        <v>0.9220469242474556</v>
      </c>
      <c r="BJ29" s="9">
        <f t="array" ref="BJ29">IF(BJ$11&gt;=0,MAX(INDEX(MMULT(inverseG,BI$12:BI$62),$A29+1,1),MAX(strike-$B29,0)),"")</f>
        <v>0.92421338427423116</v>
      </c>
      <c r="BK29" s="9">
        <f t="array" ref="BK29">IF(BK$11&gt;=0,MAX(INDEX(MMULT(inverseG,BJ$12:BJ$62),$A29+1,1),MAX(strike-$B29,0)),"")</f>
        <v>0.9263452681859371</v>
      </c>
      <c r="BL29" s="9">
        <f t="array" ref="BL29">IF(BL$11&gt;=0,MAX(INDEX(MMULT(inverseG,BK$12:BK$62),$A29+1,1),MAX(strike-$B29,0)),"")</f>
        <v>0.92844300790307366</v>
      </c>
      <c r="BM29" s="9">
        <f t="array" ref="BM29">IF(BM$11&gt;=0,MAX(INDEX(MMULT(inverseG,BL$12:BL$62),$A29+1,1),MAX(strike-$B29,0)),"")</f>
        <v>0.93050706464141142</v>
      </c>
      <c r="BN29" s="9">
        <f t="array" ref="BN29">IF(BN$11&gt;=0,MAX(INDEX(MMULT(inverseG,BM$12:BM$62),$A29+1,1),MAX(strike-$B29,0)),"")</f>
        <v>0.93253792308071626</v>
      </c>
      <c r="BO29" s="9">
        <f t="array" ref="BO29">IF(BO$11&gt;=0,MAX(INDEX(MMULT(inverseG,BN$12:BN$62),$A29+1,1),MAX(strike-$B29,0)),"")</f>
        <v>0.93453608632491458</v>
      </c>
      <c r="BP29" s="9">
        <f t="array" ref="BP29">IF(BP$11&gt;=0,MAX(INDEX(MMULT(inverseG,BO$12:BO$62),$A29+1,1),MAX(strike-$B29,0)),"")</f>
        <v>0.93650207155635223</v>
      </c>
      <c r="BQ29" s="9">
        <f t="array" ref="BQ29">IF(BQ$11&gt;=0,MAX(INDEX(MMULT(inverseG,BP$12:BP$62),$A29+1,1),MAX(strike-$B29,0)),"")</f>
        <v>0.9384364062962528</v>
      </c>
      <c r="BR29" s="9">
        <f t="array" ref="BR29">IF(BR$11&gt;=0,MAX(INDEX(MMULT(inverseG,BQ$12:BQ$62),$A29+1,1),MAX(strike-$B29,0)),"")</f>
        <v>0.94033962519315495</v>
      </c>
      <c r="BS29" s="9">
        <f t="array" ref="BS29">IF(BS$11&gt;=0,MAX(INDEX(MMULT(inverseG,BR$12:BR$62),$A29+1,1),MAX(strike-$B29,0)),"")</f>
        <v>0.94221226727035845</v>
      </c>
      <c r="BT29" s="9">
        <f t="array" ref="BT29">IF(BT$11&gt;=0,MAX(INDEX(MMULT(inverseG,BS$12:BS$62),$A29+1,1),MAX(strike-$B29,0)),"")</f>
        <v>0.94405487357195605</v>
      </c>
      <c r="BU29" s="9">
        <f t="array" ref="BU29">IF(BU$11&gt;=0,MAX(INDEX(MMULT(inverseG,BT$12:BT$62),$A29+1,1),MAX(strike-$B29,0)),"")</f>
        <v>0.94586798515473591</v>
      </c>
      <c r="BV29" s="9">
        <f t="array" ref="BV29">IF(BV$11&gt;=0,MAX(INDEX(MMULT(inverseG,BU$12:BU$62),$A29+1,1),MAX(strike-$B29,0)),"")</f>
        <v>0.94765214138009179</v>
      </c>
      <c r="BW29" s="9">
        <f t="array" ref="BW29">IF(BW$11&gt;=0,MAX(INDEX(MMULT(inverseG,BV$12:BV$62),$A29+1,1),MAX(strike-$B29,0)),"")</f>
        <v>0.94940787846610142</v>
      </c>
      <c r="BX29" s="9">
        <f t="array" ref="BX29">IF(BX$11&gt;=0,MAX(INDEX(MMULT(inverseG,BW$12:BW$62),$A29+1,1),MAX(strike-$B29,0)),"")</f>
        <v>0.95113572826521164</v>
      </c>
      <c r="BY29" s="9">
        <f t="array" ref="BY29">IF(BY$11&gt;=0,MAX(INDEX(MMULT(inverseG,BX$12:BX$62),$A29+1,1),MAX(strike-$B29,0)),"")</f>
        <v>0.95283621723754541</v>
      </c>
      <c r="BZ29" s="9">
        <f t="array" ref="BZ29">IF(BZ$11&gt;=0,MAX(INDEX(MMULT(inverseG,BY$12:BY$62),$A29+1,1),MAX(strike-$B29,0)),"")</f>
        <v>0.95450986559382567</v>
      </c>
      <c r="CA29" s="9">
        <f t="array" ref="CA29">IF(CA$11&gt;=0,MAX(INDEX(MMULT(inverseG,BZ$12:BZ$62),$A29+1,1),MAX(strike-$B29,0)),"")</f>
        <v>0.95615718658535698</v>
      </c>
      <c r="CB29" s="9">
        <f t="array" ref="CB29">IF(CB$11&gt;=0,MAX(INDEX(MMULT(inverseG,CA$12:CA$62),$A29+1,1),MAX(strike-$B29,0)),"")</f>
        <v>0.95777868592149296</v>
      </c>
      <c r="CC29" s="9">
        <f t="array" ref="CC29">IF(CC$11&gt;=0,MAX(INDEX(MMULT(inverseG,CB$12:CB$62),$A29+1,1),MAX(strike-$B29,0)),"")</f>
        <v>0.95937486129757465</v>
      </c>
      <c r="CD29" s="9">
        <f t="array" ref="CD29">IF(CD$11&gt;=0,MAX(INDEX(MMULT(inverseG,CC$12:CC$62),$A29+1,1),MAX(strike-$B29,0)),"")</f>
        <v>0.96094620201857806</v>
      </c>
      <c r="CE29" s="9">
        <f t="array" ref="CE29">IF(CE$11&gt;=0,MAX(INDEX(MMULT(inverseG,CD$12:CD$62),$A29+1,1),MAX(strike-$B29,0)),"")</f>
        <v>0.9624931887056164</v>
      </c>
      <c r="CF29" s="9">
        <f t="array" ref="CF29">IF(CF$11&gt;=0,MAX(INDEX(MMULT(inverseG,CE$12:CE$62),$A29+1,1),MAX(strike-$B29,0)),"")</f>
        <v>0.96401629307412329</v>
      </c>
      <c r="CG29" s="9">
        <f t="array" ref="CG29">IF(CG$11&gt;=0,MAX(INDEX(MMULT(inverseG,CF$12:CF$62),$A29+1,1),MAX(strike-$B29,0)),"")</f>
        <v>0.96551597777397868</v>
      </c>
      <c r="CH29" s="9">
        <f t="array" ref="CH29">IF(CH$11&gt;=0,MAX(INDEX(MMULT(inverseG,CG$12:CG$62),$A29+1,1),MAX(strike-$B29,0)),"")</f>
        <v>0.96699269628310192</v>
      </c>
      <c r="CI29" s="9">
        <f t="array" ref="CI29">IF(CI$11&gt;=0,MAX(INDEX(MMULT(inverseG,CH$12:CH$62),$A29+1,1),MAX(strike-$B29,0)),"")</f>
        <v>0.96844689284710683</v>
      </c>
      <c r="CJ29" s="9">
        <f t="array" ref="CJ29">IF(CJ$11&gt;=0,MAX(INDEX(MMULT(inverseG,CI$12:CI$62),$A29+1,1),MAX(strike-$B29,0)),"")</f>
        <v>0.96987900245857617</v>
      </c>
      <c r="CK29" s="9">
        <f t="array" ref="CK29">IF(CK$11&gt;=0,MAX(INDEX(MMULT(inverseG,CJ$12:CJ$62),$A29+1,1),MAX(strike-$B29,0)),"")</f>
        <v>0.97128945087031893</v>
      </c>
      <c r="CL29" s="9">
        <f t="array" ref="CL29">IF(CL$11&gt;=0,MAX(INDEX(MMULT(inverseG,CK$12:CK$62),$A29+1,1),MAX(strike-$B29,0)),"")</f>
        <v>0.9726786546376911</v>
      </c>
      <c r="CM29" s="9">
        <f t="array" ref="CM29">IF(CM$11&gt;=0,MAX(INDEX(MMULT(inverseG,CL$12:CL$62),$A29+1,1),MAX(strike-$B29,0)),"")</f>
        <v>0.9740470211856842</v>
      </c>
      <c r="CN29" s="9">
        <f t="array" ref="CN29">IF(CN$11&gt;=0,MAX(INDEX(MMULT(inverseG,CM$12:CM$62),$A29+1,1),MAX(strike-$B29,0)),"")</f>
        <v>0.97539494889702905</v>
      </c>
      <c r="CO29" s="9">
        <f t="array" ref="CO29">IF(CO$11&gt;=0,MAX(INDEX(MMULT(inverseG,CN$12:CN$62),$A29+1,1),MAX(strike-$B29,0)),"")</f>
        <v>0.97672282721802794</v>
      </c>
      <c r="CP29" s="9">
        <f t="array" ref="CP29">IF(CP$11&gt;=0,MAX(INDEX(MMULT(inverseG,CO$12:CO$62),$A29+1,1),MAX(strike-$B29,0)),"")</f>
        <v>0.97803103677925196</v>
      </c>
      <c r="CQ29" s="9">
        <f t="array" ref="CQ29">IF(CQ$11&gt;=0,MAX(INDEX(MMULT(inverseG,CP$12:CP$62),$A29+1,1),MAX(strike-$B29,0)),"")</f>
        <v>0.97931994952859613</v>
      </c>
      <c r="CR29" s="9">
        <f t="array" ref="CR29">IF(CR$11&gt;=0,MAX(INDEX(MMULT(inverseG,CQ$12:CQ$62),$A29+1,1),MAX(strike-$B29,0)),"")</f>
        <v>0.98058992887449681</v>
      </c>
      <c r="CS29" s="9">
        <f t="array" ref="CS29">IF(CS$11&gt;=0,MAX(INDEX(MMULT(inverseG,CR$12:CR$62),$A29+1,1),MAX(strike-$B29,0)),"")</f>
        <v>0.98184184925733986</v>
      </c>
      <c r="CT29" s="9">
        <f t="array" ref="CT29">IF(CT$11&gt;=0,MAX(INDEX(MMULT(inverseG,CS$12:CS$62),$A29+1,1),MAX(strike-$B29,0)),"")</f>
        <v>0.98307721017010541</v>
      </c>
      <c r="CU29" s="9">
        <f t="array" ref="CU29">IF(CU$11&gt;=0,MAX(INDEX(MMULT(inverseG,CT$12:CT$62),$A29+1,1),MAX(strike-$B29,0)),"")</f>
        <v>0.98429772363877266</v>
      </c>
      <c r="CV29" s="9">
        <f t="array" ref="CV29">IF(CV$11&gt;=0,MAX(INDEX(MMULT(inverseG,CU$12:CU$62),$A29+1,1),MAX(strike-$B29,0)),"")</f>
        <v>0.98550499220761234</v>
      </c>
      <c r="CW29" s="9">
        <f t="array" ref="CW29">IF(CW$11&gt;=0,MAX(INDEX(MMULT(inverseG,CV$12:CV$62),$A29+1,1),MAX(strike-$B29,0)),"")</f>
        <v>0.98670035295912595</v>
      </c>
      <c r="CX29" s="9">
        <f t="array" ref="CX29">IF(CX$11&gt;=0,MAX(INDEX(MMULT(inverseG,CW$12:CW$62),$A29+1,1),MAX(strike-$B29,0)),"")</f>
        <v>0.9878848384263248</v>
      </c>
      <c r="CY29" s="9">
        <f t="array" ref="CY29">IF(CY$11&gt;=0,MAX(INDEX(MMULT(inverseG,CX$12:CX$62),$A29+1,1),MAX(strike-$B29,0)),"")</f>
        <v>0.98905919915001561</v>
      </c>
      <c r="CZ29" s="9">
        <f t="array" ref="CZ29">IF(CZ$11&gt;=0,MAX(INDEX(MMULT(inverseG,CY$12:CY$62),$A29+1,1),MAX(strike-$B29,0)),"")</f>
        <v>0.99022395084799975</v>
      </c>
      <c r="DA29" s="9" t="str">
        <f t="array" ref="DA29">IF(DA$11&gt;=0,MAX(INDEX(MMULT(inverseG,CZ$12:CZ$62),$A29+1,1),MAX(strike-$B29,0)),"")</f>
        <v/>
      </c>
      <c r="DB29" s="9" t="str">
        <f t="array" ref="DB29">IF(DB$11&gt;=0,MAX(INDEX(MMULT(inverseG,DA$12:DA$62),$A29+1,1),MAX(strike-$B29,0)),"")</f>
        <v/>
      </c>
      <c r="DC29" s="9" t="str">
        <f t="array" ref="DC29">IF(DC$11&gt;=0,MAX(INDEX(MMULT(inverseG,DB$12:DB$62),$A29+1,1),MAX(strike-$B29,0)),"")</f>
        <v/>
      </c>
      <c r="DD29" s="9" t="str">
        <f t="array" ref="DD29">IF(DD$11&gt;=0,MAX(INDEX(MMULT(inverseG,DC$12:DC$62),$A29+1,1),MAX(strike-$B29,0)),"")</f>
        <v/>
      </c>
      <c r="DE29" s="9" t="str">
        <f t="array" ref="DE29">IF(DE$11&gt;=0,MAX(INDEX(MMULT(inverseG,DD$12:DD$62),$A29+1,1),MAX(strike-$B29,0)),"")</f>
        <v/>
      </c>
      <c r="DF29" s="9" t="str">
        <f t="array" ref="DF29">IF(DF$11&gt;=0,MAX(INDEX(MMULT(inverseG,DE$12:DE$62),$A29+1,1),MAX(strike-$B29,0)),"")</f>
        <v/>
      </c>
      <c r="DG29" s="9" t="str">
        <f t="array" ref="DG29">IF(DG$11&gt;=0,MAX(INDEX(MMULT(inverseG,DF$12:DF$62),$A29+1,1),MAX(strike-$B29,0)),"")</f>
        <v/>
      </c>
      <c r="DH29" s="9" t="str">
        <f t="array" ref="DH29">IF(DH$11&gt;=0,MAX(INDEX(MMULT(inverseG,DG$12:DG$62),$A29+1,1),MAX(strike-$B29,0)),"")</f>
        <v/>
      </c>
      <c r="DI29" s="9" t="str">
        <f t="array" ref="DI29">IF(DI$11&gt;=0,MAX(INDEX(MMULT(inverseG,DH$12:DH$62),$A29+1,1),MAX(strike-$B29,0)),"")</f>
        <v/>
      </c>
      <c r="DJ29" s="9" t="str">
        <f t="array" ref="DJ29">IF(DJ$11&gt;=0,MAX(INDEX(MMULT(inverseG,DI$12:DI$62),$A29+1,1),MAX(strike-$B29,0)),"")</f>
        <v/>
      </c>
      <c r="DK29" s="9" t="str">
        <f t="array" ref="DK29">IF(DK$11&gt;=0,MAX(INDEX(MMULT(inverseG,DJ$12:DJ$62),$A29+1,1),MAX(strike-$B29,0)),"")</f>
        <v/>
      </c>
      <c r="DL29" s="9" t="str">
        <f t="array" ref="DL29">IF(DL$11&gt;=0,MAX(INDEX(MMULT(inverseG,DK$12:DK$62),$A29+1,1),MAX(strike-$B29,0)),"")</f>
        <v/>
      </c>
      <c r="DM29" s="9" t="str">
        <f t="array" ref="DM29">IF(DM$11&gt;=0,MAX(INDEX(MMULT(inverseG,DL$12:DL$62),$A29+1,1),MAX(strike-$B29,0)),"")</f>
        <v/>
      </c>
      <c r="DN29" s="9" t="str">
        <f t="array" ref="DN29">IF(DN$11&gt;=0,MAX(INDEX(MMULT(inverseG,DM$12:DM$62),$A29+1,1),MAX(strike-$B29,0)),"")</f>
        <v/>
      </c>
      <c r="DO29" s="9" t="str">
        <f t="array" ref="DO29">IF(DO$11&gt;=0,MAX(INDEX(MMULT(inverseG,DN$12:DN$62),$A29+1,1),MAX(strike-$B29,0)),"")</f>
        <v/>
      </c>
      <c r="DP29" s="9" t="str">
        <f t="array" ref="DP29">IF(DP$11&gt;=0,MAX(INDEX(MMULT(inverseG,DO$12:DO$62),$A29+1,1),MAX(strike-$B29,0)),"")</f>
        <v/>
      </c>
      <c r="DQ29" s="9" t="str">
        <f t="array" ref="DQ29">IF(DQ$11&gt;=0,MAX(INDEX(MMULT(inverseG,DP$12:DP$62),$A29+1,1),MAX(strike-$B29,0)),"")</f>
        <v/>
      </c>
      <c r="DR29" s="9" t="str">
        <f t="array" ref="DR29">IF(DR$11&gt;=0,MAX(INDEX(MMULT(inverseG,DQ$12:DQ$62),$A29+1,1),MAX(strike-$B29,0)),"")</f>
        <v/>
      </c>
      <c r="DS29" s="9" t="str">
        <f t="array" ref="DS29">IF(DS$11&gt;=0,MAX(INDEX(MMULT(inverseG,DR$12:DR$62),$A29+1,1),MAX(strike-$B29,0)),"")</f>
        <v/>
      </c>
      <c r="DT29" s="9" t="str">
        <f t="array" ref="DT29">IF(DT$11&gt;=0,MAX(INDEX(MMULT(inverseG,DS$12:DS$62),$A29+1,1),MAX(strike-$B29,0)),"")</f>
        <v/>
      </c>
      <c r="DU29" s="9" t="str">
        <f t="array" ref="DU29">IF(DU$11&gt;=0,MAX(INDEX(MMULT(inverseG,DT$12:DT$62),$A29+1,1),MAX(strike-$B29,0)),"")</f>
        <v/>
      </c>
      <c r="DV29" s="9" t="str">
        <f t="array" ref="DV29">IF(DV$11&gt;=0,MAX(INDEX(MMULT(inverseG,DU$12:DU$62),$A29+1,1),MAX(strike-$B29,0)),"")</f>
        <v/>
      </c>
      <c r="DW29" s="9" t="str">
        <f t="array" ref="DW29">IF(DW$11&gt;=0,MAX(INDEX(MMULT(inverseG,DV$12:DV$62),$A29+1,1),MAX(strike-$B29,0)),"")</f>
        <v/>
      </c>
      <c r="DX29" s="9" t="str">
        <f t="array" ref="DX29">IF(DX$11&gt;=0,MAX(INDEX(MMULT(inverseG,DW$12:DW$62),$A29+1,1),MAX(strike-$B29,0)),"")</f>
        <v/>
      </c>
      <c r="DY29" s="9" t="str">
        <f t="array" ref="DY29">IF(DY$11&gt;=0,MAX(INDEX(MMULT(inverseG,DX$12:DX$62),$A29+1,1),MAX(strike-$B29,0)),"")</f>
        <v/>
      </c>
      <c r="DZ29" s="9" t="str">
        <f t="array" ref="DZ29">IF(DZ$11&gt;=0,MAX(INDEX(MMULT(inverseG,DY$12:DY$62),$A29+1,1),MAX(strike-$B29,0)),"")</f>
        <v/>
      </c>
      <c r="EA29" s="9" t="str">
        <f t="array" ref="EA29">IF(EA$11&gt;=0,MAX(INDEX(MMULT(inverseG,DZ$12:DZ$62),$A29+1,1),MAX(strike-$B29,0)),"")</f>
        <v/>
      </c>
      <c r="EB29" s="9" t="str">
        <f t="array" ref="EB29">IF(EB$11&gt;=0,MAX(INDEX(MMULT(inverseG,EA$12:EA$62),$A29+1,1),MAX(strike-$B29,0)),"")</f>
        <v/>
      </c>
      <c r="EC29" s="9" t="str">
        <f t="array" ref="EC29">IF(EC$11&gt;=0,MAX(INDEX(MMULT(inverseG,EB$12:EB$62),$A29+1,1),MAX(strike-$B29,0)),"")</f>
        <v/>
      </c>
      <c r="ED29" s="9" t="str">
        <f t="array" ref="ED29">IF(ED$11&gt;=0,MAX(INDEX(MMULT(inverseG,EC$12:EC$62),$A29+1,1),MAX(strike-$B29,0)),"")</f>
        <v/>
      </c>
      <c r="EE29" s="9" t="str">
        <f t="array" ref="EE29">IF(EE$11&gt;=0,MAX(INDEX(MMULT(inverseG,ED$12:ED$62),$A29+1,1),MAX(strike-$B29,0)),"")</f>
        <v/>
      </c>
      <c r="EF29" s="9" t="str">
        <f t="array" ref="EF29">IF(EF$11&gt;=0,MAX(INDEX(MMULT(inverseG,EE$12:EE$62),$A29+1,1),MAX(strike-$B29,0)),"")</f>
        <v/>
      </c>
      <c r="EG29" s="9" t="str">
        <f t="array" ref="EG29">IF(EG$11&gt;=0,MAX(INDEX(MMULT(inverseG,EF$12:EF$62),$A29+1,1),MAX(strike-$B29,0)),"")</f>
        <v/>
      </c>
      <c r="EH29" s="9" t="str">
        <f t="array" ref="EH29">IF(EH$11&gt;=0,MAX(INDEX(MMULT(inverseG,EG$12:EG$62),$A29+1,1),MAX(strike-$B29,0)),"")</f>
        <v/>
      </c>
      <c r="EI29" s="9" t="str">
        <f t="array" ref="EI29">IF(EI$11&gt;=0,MAX(INDEX(MMULT(inverseG,EH$12:EH$62),$A29+1,1),MAX(strike-$B29,0)),"")</f>
        <v/>
      </c>
      <c r="EJ29" s="9" t="str">
        <f t="array" ref="EJ29">IF(EJ$11&gt;=0,MAX(INDEX(MMULT(inverseG,EI$12:EI$62),$A29+1,1),MAX(strike-$B29,0)),"")</f>
        <v/>
      </c>
      <c r="EK29" s="9" t="str">
        <f t="array" ref="EK29">IF(EK$11&gt;=0,MAX(INDEX(MMULT(inverseG,EJ$12:EJ$62),$A29+1,1),MAX(strike-$B29,0)),"")</f>
        <v/>
      </c>
      <c r="EL29" s="9" t="str">
        <f t="array" ref="EL29">IF(EL$11&gt;=0,MAX(INDEX(MMULT(inverseG,EK$12:EK$62),$A29+1,1),MAX(strike-$B29,0)),"")</f>
        <v/>
      </c>
      <c r="EM29" s="9" t="str">
        <f t="array" ref="EM29">IF(EM$11&gt;=0,MAX(INDEX(MMULT(inverseG,EL$12:EL$62),$A29+1,1),MAX(strike-$B29,0)),"")</f>
        <v/>
      </c>
      <c r="EN29" s="9" t="str">
        <f t="array" ref="EN29">IF(EN$11&gt;=0,MAX(INDEX(MMULT(inverseG,EM$12:EM$62),$A29+1,1),MAX(strike-$B29,0)),"")</f>
        <v/>
      </c>
      <c r="EO29" s="9" t="str">
        <f t="array" ref="EO29">IF(EO$11&gt;=0,MAX(INDEX(MMULT(inverseG,EN$12:EN$62),$A29+1,1),MAX(strike-$B29,0)),"")</f>
        <v/>
      </c>
      <c r="EP29" s="9" t="str">
        <f t="array" ref="EP29">IF(EP$11&gt;=0,MAX(INDEX(MMULT(inverseG,EO$12:EO$62),$A29+1,1),MAX(strike-$B29,0)),"")</f>
        <v/>
      </c>
      <c r="EQ29" s="9" t="str">
        <f t="array" ref="EQ29">IF(EQ$11&gt;=0,MAX(INDEX(MMULT(inverseG,EP$12:EP$62),$A29+1,1),MAX(strike-$B29,0)),"")</f>
        <v/>
      </c>
      <c r="ER29" s="9" t="str">
        <f t="array" ref="ER29">IF(ER$11&gt;=0,MAX(INDEX(MMULT(inverseG,EQ$12:EQ$62),$A29+1,1),MAX(strike-$B29,0)),"")</f>
        <v/>
      </c>
      <c r="ES29" s="9" t="str">
        <f t="array" ref="ES29">IF(ES$11&gt;=0,MAX(INDEX(MMULT(inverseG,ER$12:ER$62),$A29+1,1),MAX(strike-$B29,0)),"")</f>
        <v/>
      </c>
      <c r="ET29" s="9" t="str">
        <f t="array" ref="ET29">IF(ET$11&gt;=0,MAX(INDEX(MMULT(inverseG,ES$12:ES$62),$A29+1,1),MAX(strike-$B29,0)),"")</f>
        <v/>
      </c>
      <c r="EU29" s="9" t="str">
        <f t="array" ref="EU29">IF(EU$11&gt;=0,MAX(INDEX(MMULT(inverseG,ET$12:ET$62),$A29+1,1),MAX(strike-$B29,0)),"")</f>
        <v/>
      </c>
      <c r="EV29" s="9" t="str">
        <f t="array" ref="EV29">IF(EV$11&gt;=0,MAX(INDEX(MMULT(inverseG,EU$12:EU$62),$A29+1,1),MAX(strike-$B29,0)),"")</f>
        <v/>
      </c>
      <c r="EW29" s="9" t="str">
        <f t="array" ref="EW29">IF(EW$11&gt;=0,MAX(INDEX(MMULT(inverseG,EV$12:EV$62),$A29+1,1),MAX(strike-$B29,0)),"")</f>
        <v/>
      </c>
      <c r="EX29" s="9" t="str">
        <f t="array" ref="EX29">IF(EX$11&gt;=0,MAX(INDEX(MMULT(inverseG,EW$12:EW$62),$A29+1,1),MAX(strike-$B29,0)),"")</f>
        <v/>
      </c>
      <c r="EY29" s="9" t="str">
        <f t="array" ref="EY29">IF(EY$11&gt;=0,MAX(INDEX(MMULT(inverseG,EX$12:EX$62),$A29+1,1),MAX(strike-$B29,0)),"")</f>
        <v/>
      </c>
      <c r="EZ29" s="9" t="str">
        <f t="array" ref="EZ29">IF(EZ$11&gt;=0,MAX(INDEX(MMULT(inverseG,EY$12:EY$62),$A29+1,1),MAX(strike-$B29,0)),"")</f>
        <v/>
      </c>
      <c r="FA29" s="9" t="str">
        <f t="array" ref="FA29">IF(FA$11&gt;=0,MAX(INDEX(MMULT(inverseG,EZ$12:EZ$62),$A29+1,1),MAX(strike-$B29,0)),"")</f>
        <v/>
      </c>
      <c r="FB29" s="9" t="str">
        <f t="array" ref="FB29">IF(FB$11&gt;=0,MAX(INDEX(MMULT(inverseG,FA$12:FA$62),$A29+1,1),MAX(strike-$B29,0)),"")</f>
        <v/>
      </c>
      <c r="FC29" s="9" t="str">
        <f t="array" ref="FC29">IF(FC$11&gt;=0,MAX(INDEX(MMULT(inverseG,FB$12:FB$62),$A29+1,1),MAX(strike-$B29,0)),"")</f>
        <v/>
      </c>
      <c r="FD29" s="9" t="str">
        <f t="array" ref="FD29">IF(FD$11&gt;=0,MAX(INDEX(MMULT(inverseG,FC$12:FC$62),$A29+1,1),MAX(strike-$B29,0)),"")</f>
        <v/>
      </c>
      <c r="FE29" s="9" t="str">
        <f t="array" ref="FE29">IF(FE$11&gt;=0,MAX(INDEX(MMULT(inverseG,FD$12:FD$62),$A29+1,1),MAX(strike-$B29,0)),"")</f>
        <v/>
      </c>
      <c r="FF29" s="9" t="str">
        <f t="array" ref="FF29">IF(FF$11&gt;=0,MAX(INDEX(MMULT(inverseG,FE$12:FE$62),$A29+1,1),MAX(strike-$B29,0)),"")</f>
        <v/>
      </c>
      <c r="FG29" s="9" t="str">
        <f t="array" ref="FG29">IF(FG$11&gt;=0,MAX(INDEX(MMULT(inverseG,FF$12:FF$62),$A29+1,1),MAX(strike-$B29,0)),"")</f>
        <v/>
      </c>
      <c r="FH29" s="9" t="str">
        <f t="array" ref="FH29">IF(FH$11&gt;=0,MAX(INDEX(MMULT(inverseG,FG$12:FG$62),$A29+1,1),MAX(strike-$B29,0)),"")</f>
        <v/>
      </c>
      <c r="FI29" s="9" t="str">
        <f t="array" ref="FI29">IF(FI$11&gt;=0,MAX(INDEX(MMULT(inverseG,FH$12:FH$62),$A29+1,1),MAX(strike-$B29,0)),"")</f>
        <v/>
      </c>
      <c r="FJ29" s="9" t="str">
        <f t="array" ref="FJ29">IF(FJ$11&gt;=0,MAX(INDEX(MMULT(inverseG,FI$12:FI$62),$A29+1,1),MAX(strike-$B29,0)),"")</f>
        <v/>
      </c>
      <c r="FK29" s="9" t="str">
        <f t="array" ref="FK29">IF(FK$11&gt;=0,MAX(INDEX(MMULT(inverseG,FJ$12:FJ$62),$A29+1,1),MAX(strike-$B29,0)),"")</f>
        <v/>
      </c>
      <c r="FL29" s="9" t="str">
        <f t="array" ref="FL29">IF(FL$11&gt;=0,MAX(INDEX(MMULT(inverseG,FK$12:FK$62),$A29+1,1),MAX(strike-$B29,0)),"")</f>
        <v/>
      </c>
      <c r="FM29" s="9" t="str">
        <f t="array" ref="FM29">IF(FM$11&gt;=0,MAX(INDEX(MMULT(inverseG,FL$12:FL$62),$A29+1,1),MAX(strike-$B29,0)),"")</f>
        <v/>
      </c>
      <c r="FN29" s="9" t="str">
        <f t="array" ref="FN29">IF(FN$11&gt;=0,MAX(INDEX(MMULT(inverseG,FM$12:FM$62),$A29+1,1),MAX(strike-$B29,0)),"")</f>
        <v/>
      </c>
      <c r="FO29" s="9" t="str">
        <f t="array" ref="FO29">IF(FO$11&gt;=0,MAX(INDEX(MMULT(inverseG,FN$12:FN$62),$A29+1,1),MAX(strike-$B29,0)),"")</f>
        <v/>
      </c>
      <c r="FP29" s="9" t="str">
        <f t="array" ref="FP29">IF(FP$11&gt;=0,MAX(INDEX(MMULT(inverseG,FO$12:FO$62),$A29+1,1),MAX(strike-$B29,0)),"")</f>
        <v/>
      </c>
      <c r="FQ29" s="9" t="str">
        <f t="array" ref="FQ29">IF(FQ$11&gt;=0,MAX(INDEX(MMULT(inverseG,FP$12:FP$62),$A29+1,1),MAX(strike-$B29,0)),"")</f>
        <v/>
      </c>
      <c r="FR29" s="9" t="str">
        <f t="array" ref="FR29">IF(FR$11&gt;=0,MAX(INDEX(MMULT(inverseG,FQ$12:FQ$62),$A29+1,1),MAX(strike-$B29,0)),"")</f>
        <v/>
      </c>
      <c r="FS29" s="9" t="str">
        <f t="array" ref="FS29">IF(FS$11&gt;=0,MAX(INDEX(MMULT(inverseG,FR$12:FR$62),$A29+1,1),MAX(strike-$B29,0)),"")</f>
        <v/>
      </c>
      <c r="FT29" s="9" t="str">
        <f t="array" ref="FT29">IF(FT$11&gt;=0,MAX(INDEX(MMULT(inverseG,FS$12:FS$62),$A29+1,1),MAX(strike-$B29,0)),"")</f>
        <v/>
      </c>
      <c r="FU29" s="9" t="str">
        <f t="array" ref="FU29">IF(FU$11&gt;=0,MAX(INDEX(MMULT(inverseG,FT$12:FT$62),$A29+1,1),MAX(strike-$B29,0)),"")</f>
        <v/>
      </c>
      <c r="FV29" s="9" t="str">
        <f t="array" ref="FV29">IF(FV$11&gt;=0,MAX(INDEX(MMULT(inverseG,FU$12:FU$62),$A29+1,1),MAX(strike-$B29,0)),"")</f>
        <v/>
      </c>
      <c r="FW29" s="9" t="str">
        <f t="array" ref="FW29">IF(FW$11&gt;=0,MAX(INDEX(MMULT(inverseG,FV$12:FV$62),$A29+1,1),MAX(strike-$B29,0)),"")</f>
        <v/>
      </c>
      <c r="FX29" s="9" t="str">
        <f t="array" ref="FX29">IF(FX$11&gt;=0,MAX(INDEX(MMULT(inverseG,FW$12:FW$62),$A29+1,1),MAX(strike-$B29,0)),"")</f>
        <v/>
      </c>
      <c r="FY29" s="9" t="str">
        <f t="array" ref="FY29">IF(FY$11&gt;=0,MAX(INDEX(MMULT(inverseG,FX$12:FX$62),$A29+1,1),MAX(strike-$B29,0)),"")</f>
        <v/>
      </c>
      <c r="FZ29" s="9" t="str">
        <f t="array" ref="FZ29">IF(FZ$11&gt;=0,MAX(INDEX(MMULT(inverseG,FY$12:FY$62),$A29+1,1),MAX(strike-$B29,0)),"")</f>
        <v/>
      </c>
      <c r="GA29" s="9" t="str">
        <f t="array" ref="GA29">IF(GA$11&gt;=0,MAX(INDEX(MMULT(inverseG,FZ$12:FZ$62),$A29+1,1),MAX(strike-$B29,0)),"")</f>
        <v/>
      </c>
      <c r="GB29" s="9" t="str">
        <f t="array" ref="GB29">IF(GB$11&gt;=0,MAX(INDEX(MMULT(inverseG,GA$12:GA$62),$A29+1,1),MAX(strike-$B29,0)),"")</f>
        <v/>
      </c>
      <c r="GC29" s="9" t="str">
        <f t="array" ref="GC29">IF(GC$11&gt;=0,MAX(INDEX(MMULT(inverseG,GB$12:GB$62),$A29+1,1),MAX(strike-$B29,0)),"")</f>
        <v/>
      </c>
      <c r="GD29" s="9" t="str">
        <f t="array" ref="GD29">IF(GD$11&gt;=0,MAX(INDEX(MMULT(inverseG,GC$12:GC$62),$A29+1,1),MAX(strike-$B29,0)),"")</f>
        <v/>
      </c>
      <c r="GE29" s="9" t="str">
        <f t="array" ref="GE29">IF(GE$11&gt;=0,MAX(INDEX(MMULT(inverseG,GD$12:GD$62),$A29+1,1),MAX(strike-$B29,0)),"")</f>
        <v/>
      </c>
      <c r="GF29" s="9" t="str">
        <f t="array" ref="GF29">IF(GF$11&gt;=0,MAX(INDEX(MMULT(inverseG,GE$12:GE$62),$A29+1,1),MAX(strike-$B29,0)),"")</f>
        <v/>
      </c>
      <c r="GG29" s="9" t="str">
        <f t="array" ref="GG29">IF(GG$11&gt;=0,MAX(INDEX(MMULT(inverseG,GF$12:GF$62),$A29+1,1),MAX(strike-$B29,0)),"")</f>
        <v/>
      </c>
      <c r="GH29" s="9" t="str">
        <f t="array" ref="GH29">IF(GH$11&gt;=0,MAX(INDEX(MMULT(inverseG,GG$12:GG$62),$A29+1,1),MAX(strike-$B29,0)),"")</f>
        <v/>
      </c>
      <c r="GI29" s="9" t="str">
        <f t="array" ref="GI29">IF(GI$11&gt;=0,MAX(INDEX(MMULT(inverseG,GH$12:GH$62),$A29+1,1),MAX(strike-$B29,0)),"")</f>
        <v/>
      </c>
      <c r="GJ29" s="9" t="str">
        <f t="array" ref="GJ29">IF(GJ$11&gt;=0,MAX(INDEX(MMULT(inverseG,GI$12:GI$62),$A29+1,1),MAX(strike-$B29,0)),"")</f>
        <v/>
      </c>
      <c r="GK29" s="9" t="str">
        <f t="array" ref="GK29">IF(GK$11&gt;=0,MAX(INDEX(MMULT(inverseG,GJ$12:GJ$62),$A29+1,1),MAX(strike-$B29,0)),"")</f>
        <v/>
      </c>
      <c r="GL29" s="9" t="str">
        <f t="array" ref="GL29">IF(GL$11&gt;=0,MAX(INDEX(MMULT(inverseG,GK$12:GK$62),$A29+1,1),MAX(strike-$B29,0)),"")</f>
        <v/>
      </c>
      <c r="GM29" s="9" t="str">
        <f t="array" ref="GM29">IF(GM$11&gt;=0,MAX(INDEX(MMULT(inverseG,GL$12:GL$62),$A29+1,1),MAX(strike-$B29,0)),"")</f>
        <v/>
      </c>
      <c r="GN29" s="9" t="str">
        <f t="array" ref="GN29">IF(GN$11&gt;=0,MAX(INDEX(MMULT(inverseG,GM$12:GM$62),$A29+1,1),MAX(strike-$B29,0)),"")</f>
        <v/>
      </c>
      <c r="GO29" s="9" t="str">
        <f t="array" ref="GO29">IF(GO$11&gt;=0,MAX(INDEX(MMULT(inverseG,GN$12:GN$62),$A29+1,1),MAX(strike-$B29,0)),"")</f>
        <v/>
      </c>
      <c r="GP29" s="9" t="str">
        <f t="array" ref="GP29">IF(GP$11&gt;=0,MAX(INDEX(MMULT(inverseG,GO$12:GO$62),$A29+1,1),MAX(strike-$B29,0)),"")</f>
        <v/>
      </c>
      <c r="GQ29" s="9" t="str">
        <f t="array" ref="GQ29">IF(GQ$11&gt;=0,MAX(INDEX(MMULT(inverseG,GP$12:GP$62),$A29+1,1),MAX(strike-$B29,0)),"")</f>
        <v/>
      </c>
      <c r="GR29" s="9" t="str">
        <f t="array" ref="GR29">IF(GR$11&gt;=0,MAX(INDEX(MMULT(inverseG,GQ$12:GQ$62),$A29+1,1),MAX(strike-$B29,0)),"")</f>
        <v/>
      </c>
      <c r="GS29" s="9" t="str">
        <f t="array" ref="GS29">IF(GS$11&gt;=0,MAX(INDEX(MMULT(inverseG,GR$12:GR$62),$A29+1,1),MAX(strike-$B29,0)),"")</f>
        <v/>
      </c>
      <c r="GT29" s="9" t="str">
        <f t="array" ref="GT29">IF(GT$11&gt;=0,MAX(INDEX(MMULT(inverseG,GS$12:GS$62),$A29+1,1),MAX(strike-$B29,0)),"")</f>
        <v/>
      </c>
      <c r="GU29" s="9" t="str">
        <f t="array" ref="GU29">IF(GU$11&gt;=0,MAX(INDEX(MMULT(inverseG,GT$12:GT$62),$A29+1,1),MAX(strike-$B29,0)),"")</f>
        <v/>
      </c>
      <c r="GV29" s="9" t="str">
        <f t="array" ref="GV29">IF(GV$11&gt;=0,MAX(INDEX(MMULT(inverseG,GU$12:GU$62),$A29+1,1),MAX(strike-$B29,0)),"")</f>
        <v/>
      </c>
      <c r="GW29" s="9" t="str">
        <f t="array" ref="GW29">IF(GW$11&gt;=0,MAX(INDEX(MMULT(inverseG,GV$12:GV$62),$A29+1,1),MAX(strike-$B29,0)),"")</f>
        <v/>
      </c>
      <c r="GX29" s="9" t="str">
        <f t="array" ref="GX29">IF(GX$11&gt;=0,MAX(INDEX(MMULT(inverseG,GW$12:GW$62),$A29+1,1),MAX(strike-$B29,0)),"")</f>
        <v/>
      </c>
      <c r="GY29" s="9" t="str">
        <f t="array" ref="GY29">IF(GY$11&gt;=0,MAX(INDEX(MMULT(inverseG,GX$12:GX$62),$A29+1,1),MAX(strike-$B29,0)),"")</f>
        <v/>
      </c>
      <c r="GZ29" s="9" t="str">
        <f t="array" ref="GZ29">IF(GZ$11&gt;=0,MAX(INDEX(MMULT(inverseG,GY$12:GY$62),$A29+1,1),MAX(strike-$B29,0)),"")</f>
        <v/>
      </c>
      <c r="HA29" s="9" t="str">
        <f t="array" ref="HA29">IF(HA$11&gt;=0,MAX(INDEX(MMULT(inverseG,GZ$12:GZ$62),$A29+1,1),MAX(strike-$B29,0)),"")</f>
        <v/>
      </c>
      <c r="HB29" s="9" t="str">
        <f t="array" ref="HB29">IF(HB$11&gt;=0,MAX(INDEX(MMULT(inverseG,HA$12:HA$62),$A29+1,1),MAX(strike-$B29,0)),"")</f>
        <v/>
      </c>
      <c r="HC29" s="9" t="str">
        <f t="array" ref="HC29">IF(HC$11&gt;=0,MAX(INDEX(MMULT(inverseG,HB$12:HB$62),$A29+1,1),MAX(strike-$B29,0)),"")</f>
        <v/>
      </c>
      <c r="HD29" s="9" t="str">
        <f t="array" ref="HD29">IF(HD$11&gt;=0,MAX(INDEX(MMULT(inverseG,HC$12:HC$62),$A29+1,1),MAX(strike-$B29,0)),"")</f>
        <v/>
      </c>
      <c r="HE29" s="9" t="str">
        <f t="array" ref="HE29">IF(HE$11&gt;=0,MAX(INDEX(MMULT(inverseG,HD$12:HD$62),$A29+1,1),MAX(strike-$B29,0)),"")</f>
        <v/>
      </c>
      <c r="HF29" s="9" t="str">
        <f t="array" ref="HF29">IF(HF$11&gt;=0,MAX(INDEX(MMULT(inverseG,HE$12:HE$62),$A29+1,1),MAX(strike-$B29,0)),"")</f>
        <v/>
      </c>
      <c r="HG29" s="9" t="str">
        <f t="array" ref="HG29">IF(HG$11&gt;=0,MAX(INDEX(MMULT(inverseG,HF$12:HF$62),$A29+1,1),MAX(strike-$B29,0)),"")</f>
        <v/>
      </c>
      <c r="HH29" s="9" t="str">
        <f t="array" ref="HH29">IF(HH$11&gt;=0,MAX(INDEX(MMULT(inverseG,HG$12:HG$62),$A29+1,1),MAX(strike-$B29,0)),"")</f>
        <v/>
      </c>
      <c r="HI29" s="9" t="str">
        <f t="array" ref="HI29">IF(HI$11&gt;=0,MAX(INDEX(MMULT(inverseG,HH$12:HH$62),$A29+1,1),MAX(strike-$B29,0)),"")</f>
        <v/>
      </c>
      <c r="HJ29" s="9" t="str">
        <f t="array" ref="HJ29">IF(HJ$11&gt;=0,MAX(INDEX(MMULT(inverseG,HI$12:HI$62),$A29+1,1),MAX(strike-$B29,0)),"")</f>
        <v/>
      </c>
      <c r="HK29" s="9" t="str">
        <f t="array" ref="HK29">IF(HK$11&gt;=0,MAX(INDEX(MMULT(inverseG,HJ$12:HJ$62),$A29+1,1),MAX(strike-$B29,0)),"")</f>
        <v/>
      </c>
      <c r="HL29" s="9" t="str">
        <f t="array" ref="HL29">IF(HL$11&gt;=0,MAX(INDEX(MMULT(inverseG,HK$12:HK$62),$A29+1,1),MAX(strike-$B29,0)),"")</f>
        <v/>
      </c>
      <c r="HM29" s="9" t="str">
        <f t="array" ref="HM29">IF(HM$11&gt;=0,MAX(INDEX(MMULT(inverseG,HL$12:HL$62),$A29+1,1),MAX(strike-$B29,0)),"")</f>
        <v/>
      </c>
      <c r="HN29" s="9" t="str">
        <f t="array" ref="HN29">IF(HN$11&gt;=0,MAX(INDEX(MMULT(inverseG,HM$12:HM$62),$A29+1,1),MAX(strike-$B29,0)),"")</f>
        <v/>
      </c>
      <c r="HO29" s="9" t="str">
        <f t="array" ref="HO29">IF(HO$11&gt;=0,MAX(INDEX(MMULT(inverseG,HN$12:HN$62),$A29+1,1),MAX(strike-$B29,0)),"")</f>
        <v/>
      </c>
      <c r="HP29" s="9" t="str">
        <f t="array" ref="HP29">IF(HP$11&gt;=0,MAX(INDEX(MMULT(inverseG,HO$12:HO$62),$A29+1,1),MAX(strike-$B29,0)),"")</f>
        <v/>
      </c>
      <c r="HQ29" s="9" t="str">
        <f t="array" ref="HQ29">IF(HQ$11&gt;=0,MAX(INDEX(MMULT(inverseG,HP$12:HP$62),$A29+1,1),MAX(strike-$B29,0)),"")</f>
        <v/>
      </c>
      <c r="HR29" s="9" t="str">
        <f t="array" ref="HR29">IF(HR$11&gt;=0,MAX(INDEX(MMULT(inverseG,HQ$12:HQ$62),$A29+1,1),MAX(strike-$B29,0)),"")</f>
        <v/>
      </c>
      <c r="HS29" s="9" t="str">
        <f t="array" ref="HS29">IF(HS$11&gt;=0,MAX(INDEX(MMULT(inverseG,HR$12:HR$62),$A29+1,1),MAX(strike-$B29,0)),"")</f>
        <v/>
      </c>
      <c r="HT29" s="9" t="str">
        <f t="array" ref="HT29">IF(HT$11&gt;=0,MAX(INDEX(MMULT(inverseG,HS$12:HS$62),$A29+1,1),MAX(strike-$B29,0)),"")</f>
        <v/>
      </c>
      <c r="HU29" s="9" t="str">
        <f t="array" ref="HU29">IF(HU$11&gt;=0,MAX(INDEX(MMULT(inverseG,HT$12:HT$62),$A29+1,1),MAX(strike-$B29,0)),"")</f>
        <v/>
      </c>
      <c r="HV29" s="9" t="str">
        <f t="array" ref="HV29">IF(HV$11&gt;=0,MAX(INDEX(MMULT(inverseG,HU$12:HU$62),$A29+1,1),MAX(strike-$B29,0)),"")</f>
        <v/>
      </c>
      <c r="HW29" s="9" t="str">
        <f t="array" ref="HW29">IF(HW$11&gt;=0,MAX(INDEX(MMULT(inverseG,HV$12:HV$62),$A29+1,1),MAX(strike-$B29,0)),"")</f>
        <v/>
      </c>
      <c r="HX29" s="9" t="str">
        <f t="array" ref="HX29">IF(HX$11&gt;=0,MAX(INDEX(MMULT(inverseG,HW$12:HW$62),$A29+1,1),MAX(strike-$B29,0)),"")</f>
        <v/>
      </c>
      <c r="HY29" s="9" t="str">
        <f t="array" ref="HY29">IF(HY$11&gt;=0,MAX(INDEX(MMULT(inverseG,HX$12:HX$62),$A29+1,1),MAX(strike-$B29,0)),"")</f>
        <v/>
      </c>
      <c r="HZ29" s="9" t="str">
        <f t="array" ref="HZ29">IF(HZ$11&gt;=0,MAX(INDEX(MMULT(inverseG,HY$12:HY$62),$A29+1,1),MAX(strike-$B29,0)),"")</f>
        <v/>
      </c>
      <c r="IA29" s="9" t="str">
        <f t="array" ref="IA29">IF(IA$11&gt;=0,MAX(INDEX(MMULT(inverseG,HZ$12:HZ$62),$A29+1,1),MAX(strike-$B29,0)),"")</f>
        <v/>
      </c>
      <c r="IB29" s="9" t="str">
        <f t="array" ref="IB29">IF(IB$11&gt;=0,MAX(INDEX(MMULT(inverseG,IA$12:IA$62),$A29+1,1),MAX(strike-$B29,0)),"")</f>
        <v/>
      </c>
      <c r="IC29" s="9" t="str">
        <f t="array" ref="IC29">IF(IC$11&gt;=0,MAX(INDEX(MMULT(inverseG,IB$12:IB$62),$A29+1,1),MAX(strike-$B29,0)),"")</f>
        <v/>
      </c>
      <c r="ID29" s="9" t="str">
        <f t="array" ref="ID29">IF(ID$11&gt;=0,MAX(INDEX(MMULT(inverseG,IC$12:IC$62),$A29+1,1),MAX(strike-$B29,0)),"")</f>
        <v/>
      </c>
      <c r="IE29" s="9" t="str">
        <f t="array" ref="IE29">IF(IE$11&gt;=0,MAX(INDEX(MMULT(inverseG,ID$12:ID$62),$A29+1,1),MAX(strike-$B29,0)),"")</f>
        <v/>
      </c>
      <c r="IF29" s="9" t="str">
        <f t="array" ref="IF29">IF(IF$11&gt;=0,MAX(INDEX(MMULT(inverseG,IE$12:IE$62),$A29+1,1),MAX(strike-$B29,0)),"")</f>
        <v/>
      </c>
      <c r="IG29" s="9" t="str">
        <f t="array" ref="IG29">IF(IG$11&gt;=0,MAX(INDEX(MMULT(inverseG,IF$12:IF$62),$A29+1,1),MAX(strike-$B29,0)),"")</f>
        <v/>
      </c>
      <c r="IH29" s="9" t="str">
        <f t="array" ref="IH29">IF(IH$11&gt;=0,MAX(INDEX(MMULT(inverseG,IG$12:IG$62),$A29+1,1),MAX(strike-$B29,0)),"")</f>
        <v/>
      </c>
      <c r="II29" s="9" t="str">
        <f t="array" ref="II29">IF(II$11&gt;=0,MAX(INDEX(MMULT(inverseG,IH$12:IH$62),$A29+1,1),MAX(strike-$B29,0)),"")</f>
        <v/>
      </c>
      <c r="IJ29" s="9" t="str">
        <f t="array" ref="IJ29">IF(IJ$11&gt;=0,MAX(INDEX(MMULT(inverseG,II$12:II$62),$A29+1,1),MAX(strike-$B29,0)),"")</f>
        <v/>
      </c>
      <c r="IK29" s="9" t="str">
        <f t="array" ref="IK29">IF(IK$11&gt;=0,MAX(INDEX(MMULT(inverseG,IJ$12:IJ$62),$A29+1,1),MAX(strike-$B29,0)),"")</f>
        <v/>
      </c>
      <c r="IL29" s="9" t="str">
        <f t="array" ref="IL29">IF(IL$11&gt;=0,MAX(INDEX(MMULT(inverseG,IK$12:IK$62),$A29+1,1),MAX(strike-$B29,0)),"")</f>
        <v/>
      </c>
      <c r="IM29" s="9" t="str">
        <f t="array" ref="IM29">IF(IM$11&gt;=0,MAX(INDEX(MMULT(inverseG,IL$12:IL$62),$A29+1,1),MAX(strike-$B29,0)),"")</f>
        <v/>
      </c>
      <c r="IN29" s="9" t="str">
        <f t="array" ref="IN29">IF(IN$11&gt;=0,MAX(INDEX(MMULT(inverseG,IM$12:IM$62),$A29+1,1),MAX(strike-$B29,0)),"")</f>
        <v/>
      </c>
      <c r="IO29" s="9" t="str">
        <f t="array" ref="IO29">IF(IO$11&gt;=0,MAX(INDEX(MMULT(inverseG,IN$12:IN$62),$A29+1,1),MAX(strike-$B29,0)),"")</f>
        <v/>
      </c>
      <c r="IP29" s="9" t="str">
        <f t="array" ref="IP29">IF(IP$11&gt;=0,MAX(INDEX(MMULT(inverseG,IO$12:IO$62),$A29+1,1),MAX(strike-$B29,0)),"")</f>
        <v/>
      </c>
      <c r="IQ29" s="9" t="str">
        <f t="array" ref="IQ29">IF(IQ$11&gt;=0,MAX(INDEX(MMULT(inverseG,IP$12:IP$62),$A29+1,1),MAX(strike-$B29,0)),"")</f>
        <v/>
      </c>
      <c r="IR29" s="9" t="str">
        <f t="array" ref="IR29">IF(IR$11&gt;=0,MAX(INDEX(MMULT(inverseG,IQ$12:IQ$62),$A29+1,1),MAX(strike-$B29,0)),"")</f>
        <v/>
      </c>
      <c r="IS29" s="9" t="str">
        <f t="array" ref="IS29">IF(IS$11&gt;=0,MAX(INDEX(MMULT(inverseG,IR$12:IR$62),$A29+1,1),MAX(strike-$B29,0)),"")</f>
        <v/>
      </c>
      <c r="IT29" s="9" t="str">
        <f t="array" ref="IT29">IF(IT$11&gt;=0,MAX(INDEX(MMULT(inverseG,IS$12:IS$62),$A29+1,1),MAX(strike-$B29,0)),"")</f>
        <v/>
      </c>
      <c r="IU29" s="9" t="str">
        <f t="array" ref="IU29">IF(IU$11&gt;=0,MAX(INDEX(MMULT(inverseG,IT$12:IT$62),$A29+1,1),MAX(strike-$B29,0)),"")</f>
        <v/>
      </c>
      <c r="IV29" s="9" t="str">
        <f t="array" ref="IV29">IF(IV$11&gt;=0,MAX(INDEX(MMULT(inverseG,IU$12:IU$62),$A29+1,1),MAX(strike-$B29,0)),"")</f>
        <v/>
      </c>
    </row>
    <row r="30" spans="1:256" x14ac:dyDescent="0.2">
      <c r="A30" s="8">
        <f t="shared" si="7"/>
        <v>18</v>
      </c>
      <c r="B30" s="6">
        <f t="shared" si="4"/>
        <v>4.5</v>
      </c>
      <c r="C30" s="30">
        <f t="shared" ca="1" si="6"/>
        <v>0.86704624275021269</v>
      </c>
      <c r="D30" s="9">
        <f t="shared" si="5"/>
        <v>0.5</v>
      </c>
      <c r="E30" s="9">
        <f t="array" ref="E30">IF(E$11&gt;=0,MAX(INDEX(MMULT(inverseG,D$12:D$62),$A30+1,1),MAX(strike-$B30,0)),"")</f>
        <v>0.5</v>
      </c>
      <c r="F30" s="9">
        <f t="array" ref="F30">IF(F$11&gt;=0,MAX(INDEX(MMULT(inverseG,E$12:E$62),$A30+1,1),MAX(strike-$B30,0)),"")</f>
        <v>0.50097485871165925</v>
      </c>
      <c r="G30" s="9">
        <f t="array" ref="G30">IF(G$11&gt;=0,MAX(INDEX(MMULT(inverseG,F$12:F$62),$A30+1,1),MAX(strike-$B30,0)),"")</f>
        <v>0.50739377684272691</v>
      </c>
      <c r="H30" s="9">
        <f t="array" ref="H30">IF(H$11&gt;=0,MAX(INDEX(MMULT(inverseG,G$12:G$62),$A30+1,1),MAX(strike-$B30,0)),"")</f>
        <v>0.51627727089871722</v>
      </c>
      <c r="I30" s="9">
        <f t="array" ref="I30">IF(I$11&gt;=0,MAX(INDEX(MMULT(inverseG,H$12:H$62),$A30+1,1),MAX(strike-$B30,0)),"")</f>
        <v>0.52599435205652179</v>
      </c>
      <c r="J30" s="9">
        <f t="array" ref="J30">IF(J$11&gt;=0,MAX(INDEX(MMULT(inverseG,I$12:I$62),$A30+1,1),MAX(strike-$B30,0)),"")</f>
        <v>0.53570600845651239</v>
      </c>
      <c r="K30" s="9">
        <f t="array" ref="K30">IF(K$11&gt;=0,MAX(INDEX(MMULT(inverseG,J$12:J$62),$A30+1,1),MAX(strike-$B30,0)),"")</f>
        <v>0.5450384670323658</v>
      </c>
      <c r="L30" s="9">
        <f t="array" ref="L30">IF(L$11&gt;=0,MAX(INDEX(MMULT(inverseG,K$12:K$62),$A30+1,1),MAX(strike-$B30,0)),"")</f>
        <v>0.554176805470869</v>
      </c>
      <c r="M30" s="9">
        <f t="array" ref="M30">IF(M$11&gt;=0,MAX(INDEX(MMULT(inverseG,L$12:L$62),$A30+1,1),MAX(strike-$B30,0)),"")</f>
        <v>0.56312166925556806</v>
      </c>
      <c r="N30" s="9">
        <f t="array" ref="N30">IF(N$11&gt;=0,MAX(INDEX(MMULT(inverseG,M$12:M$62),$A30+1,1),MAX(strike-$B30,0)),"")</f>
        <v>0.57182966024014081</v>
      </c>
      <c r="O30" s="9">
        <f t="array" ref="O30">IF(O$11&gt;=0,MAX(INDEX(MMULT(inverseG,N$12:N$62),$A30+1,1),MAX(strike-$B30,0)),"")</f>
        <v>0.58025865643439856</v>
      </c>
      <c r="P30" s="9">
        <f t="array" ref="P30">IF(P$11&gt;=0,MAX(INDEX(MMULT(inverseG,O$12:O$62),$A30+1,1),MAX(strike-$B30,0)),"")</f>
        <v>0.58837944279400822</v>
      </c>
      <c r="Q30" s="9">
        <f t="array" ref="Q30">IF(Q$11&gt;=0,MAX(INDEX(MMULT(inverseG,P$12:P$62),$A30+1,1),MAX(strike-$B30,0)),"")</f>
        <v>0.5961761650059122</v>
      </c>
      <c r="R30" s="9">
        <f t="array" ref="R30">IF(R$11&gt;=0,MAX(INDEX(MMULT(inverseG,Q$12:Q$62),$A30+1,1),MAX(strike-$B30,0)),"")</f>
        <v>0.60364369303196053</v>
      </c>
      <c r="S30" s="9">
        <f t="array" ref="S30">IF(S$11&gt;=0,MAX(INDEX(MMULT(inverseG,R$12:R$62),$A30+1,1),MAX(strike-$B30,0)),"")</f>
        <v>0.61078464483854455</v>
      </c>
      <c r="T30" s="9">
        <f t="array" ref="T30">IF(T$11&gt;=0,MAX(INDEX(MMULT(inverseG,S$12:S$62),$A30+1,1),MAX(strike-$B30,0)),"")</f>
        <v>0.61761394266517766</v>
      </c>
      <c r="U30" s="9">
        <f t="array" ref="U30">IF(U$11&gt;=0,MAX(INDEX(MMULT(inverseG,T$12:T$62),$A30+1,1),MAX(strike-$B30,0)),"")</f>
        <v>0.62418182920060838</v>
      </c>
      <c r="V30" s="9">
        <f t="array" ref="V30">IF(V$11&gt;=0,MAX(INDEX(MMULT(inverseG,U$12:U$62),$A30+1,1),MAX(strike-$B30,0)),"")</f>
        <v>0.63053093107134672</v>
      </c>
      <c r="W30" s="9">
        <f t="array" ref="W30">IF(W$11&gt;=0,MAX(INDEX(MMULT(inverseG,V$12:V$62),$A30+1,1),MAX(strike-$B30,0)),"")</f>
        <v>0.63668998628817242</v>
      </c>
      <c r="X30" s="9">
        <f t="array" ref="X30">IF(X$11&gt;=0,MAX(INDEX(MMULT(inverseG,W$12:W$62),$A30+1,1),MAX(strike-$B30,0)),"")</f>
        <v>0.64267675221528098</v>
      </c>
      <c r="Y30" s="9">
        <f t="array" ref="Y30">IF(Y$11&gt;=0,MAX(INDEX(MMULT(inverseG,X$12:X$62),$A30+1,1),MAX(strike-$B30,0)),"")</f>
        <v>0.64850193003771306</v>
      </c>
      <c r="Z30" s="9">
        <f t="array" ref="Z30">IF(Z$11&gt;=0,MAX(INDEX(MMULT(inverseG,Y$12:Y$62),$A30+1,1),MAX(strike-$B30,0)),"")</f>
        <v>0.65417215825271025</v>
      </c>
      <c r="AA30" s="9">
        <f t="array" ref="AA30">IF(AA$11&gt;=0,MAX(INDEX(MMULT(inverseG,Z$12:Z$62),$A30+1,1),MAX(strike-$B30,0)),"")</f>
        <v>0.65969194055601221</v>
      </c>
      <c r="AB30" s="9">
        <f t="array" ref="AB30">IF(AB$11&gt;=0,MAX(INDEX(MMULT(inverseG,AA$12:AA$62),$A30+1,1),MAX(strike-$B30,0)),"")</f>
        <v>0.66506478191678953</v>
      </c>
      <c r="AC30" s="9">
        <f t="array" ref="AC30">IF(AC$11&gt;=0,MAX(INDEX(MMULT(inverseG,AB$12:AB$62),$A30+1,1),MAX(strike-$B30,0)),"")</f>
        <v>0.67029381398913968</v>
      </c>
      <c r="AD30" s="9">
        <f t="array" ref="AD30">IF(AD$11&gt;=0,MAX(INDEX(MMULT(inverseG,AC$12:AC$62),$A30+1,1),MAX(strike-$B30,0)),"")</f>
        <v>0.6753821140782984</v>
      </c>
      <c r="AE30" s="9">
        <f t="array" ref="AE30">IF(AE$11&gt;=0,MAX(INDEX(MMULT(inverseG,AD$12:AD$62),$A30+1,1),MAX(strike-$B30,0)),"")</f>
        <v>0.68033284898339508</v>
      </c>
      <c r="AF30" s="9">
        <f t="array" ref="AF30">IF(AF$11&gt;=0,MAX(INDEX(MMULT(inverseG,AE$12:AE$62),$A30+1,1),MAX(strike-$B30,0)),"")</f>
        <v>0.68514932317763488</v>
      </c>
      <c r="AG30" s="9">
        <f t="array" ref="AG30">IF(AG$11&gt;=0,MAX(INDEX(MMULT(inverseG,AF$12:AF$62),$A30+1,1),MAX(strike-$B30,0)),"")</f>
        <v>0.68983497762824642</v>
      </c>
      <c r="AH30" s="9">
        <f t="array" ref="AH30">IF(AH$11&gt;=0,MAX(INDEX(MMULT(inverseG,AG$12:AG$62),$A30+1,1),MAX(strike-$B30,0)),"")</f>
        <v>0.69439336545123431</v>
      </c>
      <c r="AI30" s="9">
        <f t="array" ref="AI30">IF(AI$11&gt;=0,MAX(INDEX(MMULT(inverseG,AH$12:AH$62),$A30+1,1),MAX(strike-$B30,0)),"")</f>
        <v>0.69882811877323736</v>
      </c>
      <c r="AJ30" s="9">
        <f t="array" ref="AJ30">IF(AJ$11&gt;=0,MAX(INDEX(MMULT(inverseG,AI$12:AI$62),$A30+1,1),MAX(strike-$B30,0)),"")</f>
        <v>0.70314291436730447</v>
      </c>
      <c r="AK30" s="9">
        <f t="array" ref="AK30">IF(AK$11&gt;=0,MAX(INDEX(MMULT(inverseG,AJ$12:AJ$62),$A30+1,1),MAX(strike-$B30,0)),"")</f>
        <v>0.70734144178373282</v>
      </c>
      <c r="AL30" s="9">
        <f t="array" ref="AL30">IF(AL$11&gt;=0,MAX(INDEX(MMULT(inverseG,AK$12:AK$62),$A30+1,1),MAX(strike-$B30,0)),"")</f>
        <v>0.7114273755691487</v>
      </c>
      <c r="AM30" s="9">
        <f t="array" ref="AM30">IF(AM$11&gt;=0,MAX(INDEX(MMULT(inverseG,AL$12:AL$62),$A30+1,1),MAX(strike-$B30,0)),"")</f>
        <v>0.71540435202395947</v>
      </c>
      <c r="AN30" s="9">
        <f t="array" ref="AN30">IF(AN$11&gt;=0,MAX(INDEX(MMULT(inverseG,AM$12:AM$62),$A30+1,1),MAX(strike-$B30,0)),"")</f>
        <v>0.71927595036349035</v>
      </c>
      <c r="AO30" s="9">
        <f t="array" ref="AO30">IF(AO$11&gt;=0,MAX(INDEX(MMULT(inverseG,AN$12:AN$62),$A30+1,1),MAX(strike-$B30,0)),"")</f>
        <v>0.72304917683709191</v>
      </c>
      <c r="AP30" s="9">
        <f t="array" ref="AP30">IF(AP$11&gt;=0,MAX(INDEX(MMULT(inverseG,AO$12:AO$62),$A30+1,1),MAX(strike-$B30,0)),"")</f>
        <v>0.7267327117260528</v>
      </c>
      <c r="AQ30" s="9">
        <f t="array" ref="AQ30">IF(AQ$11&gt;=0,MAX(INDEX(MMULT(inverseG,AP$12:AP$62),$A30+1,1),MAX(strike-$B30,0)),"")</f>
        <v>0.73033502498659042</v>
      </c>
      <c r="AR30" s="9">
        <f t="array" ref="AR30">IF(AR$11&gt;=0,MAX(INDEX(MMULT(inverseG,AQ$12:AQ$62),$A30+1,1),MAX(strike-$B30,0)),"")</f>
        <v>0.7338634169584165</v>
      </c>
      <c r="AS30" s="9">
        <f t="array" ref="AS30">IF(AS$11&gt;=0,MAX(INDEX(MMULT(inverseG,AR$12:AR$62),$A30+1,1),MAX(strike-$B30,0)),"")</f>
        <v>0.7373237609938299</v>
      </c>
      <c r="AT30" s="9">
        <f t="array" ref="AT30">IF(AT$11&gt;=0,MAX(INDEX(MMULT(inverseG,AS$12:AS$62),$A30+1,1),MAX(strike-$B30,0)),"")</f>
        <v>0.74072060718738686</v>
      </c>
      <c r="AU30" s="9">
        <f t="array" ref="AU30">IF(AU$11&gt;=0,MAX(INDEX(MMULT(inverseG,AT$12:AT$62),$A30+1,1),MAX(strike-$B30,0)),"")</f>
        <v>0.74405742020622556</v>
      </c>
      <c r="AV30" s="9">
        <f t="array" ref="AV30">IF(AV$11&gt;=0,MAX(INDEX(MMULT(inverseG,AU$12:AU$62),$A30+1,1),MAX(strike-$B30,0)),"")</f>
        <v>0.74733683406736706</v>
      </c>
      <c r="AW30" s="9">
        <f t="array" ref="AW30">IF(AW$11&gt;=0,MAX(INDEX(MMULT(inverseG,AV$12:AV$62),$A30+1,1),MAX(strike-$B30,0)),"")</f>
        <v>0.75056087492495305</v>
      </c>
      <c r="AX30" s="9">
        <f t="array" ref="AX30">IF(AX$11&gt;=0,MAX(INDEX(MMULT(inverseG,AW$12:AW$62),$A30+1,1),MAX(strike-$B30,0)),"")</f>
        <v>0.75373113813546377</v>
      </c>
      <c r="AY30" s="9">
        <f t="array" ref="AY30">IF(AY$11&gt;=0,MAX(INDEX(MMULT(inverseG,AX$12:AX$62),$A30+1,1),MAX(strike-$B30,0)),"")</f>
        <v>0.75684892146547267</v>
      </c>
      <c r="AZ30" s="9">
        <f t="array" ref="AZ30">IF(AZ$11&gt;=0,MAX(INDEX(MMULT(inverseG,AY$12:AY$62),$A30+1,1),MAX(strike-$B30,0)),"")</f>
        <v>0.759915321800125</v>
      </c>
      <c r="BA30" s="9">
        <f t="array" ref="BA30">IF(BA$11&gt;=0,MAX(INDEX(MMULT(inverseG,AZ$12:AZ$62),$A30+1,1),MAX(strike-$B30,0)),"")</f>
        <v>0.76293130357378047</v>
      </c>
      <c r="BB30" s="9">
        <f t="array" ref="BB30">IF(BB$11&gt;=0,MAX(INDEX(MMULT(inverseG,BA$12:BA$62),$A30+1,1),MAX(strike-$B30,0)),"")</f>
        <v>0.76589774618990214</v>
      </c>
      <c r="BC30" s="9">
        <f t="array" ref="BC30">IF(BC$11&gt;=0,MAX(INDEX(MMULT(inverseG,BB$12:BB$62),$A30+1,1),MAX(strike-$B30,0)),"")</f>
        <v>0.76881547624226254</v>
      </c>
      <c r="BD30" s="9">
        <f t="array" ref="BD30">IF(BD$11&gt;=0,MAX(INDEX(MMULT(inverseG,BC$12:BC$62),$A30+1,1),MAX(strike-$B30,0)),"")</f>
        <v>0.77168528894396793</v>
      </c>
      <c r="BE30" s="9">
        <f t="array" ref="BE30">IF(BE$11&gt;=0,MAX(INDEX(MMULT(inverseG,BD$12:BD$62),$A30+1,1),MAX(strike-$B30,0)),"")</f>
        <v>0.77450796200082106</v>
      </c>
      <c r="BF30" s="9">
        <f t="array" ref="BF30">IF(BF$11&gt;=0,MAX(INDEX(MMULT(inverseG,BE$12:BE$62),$A30+1,1),MAX(strike-$B30,0)),"")</f>
        <v>0.77728426425901709</v>
      </c>
      <c r="BG30" s="9">
        <f t="array" ref="BG30">IF(BG$11&gt;=0,MAX(INDEX(MMULT(inverseG,BF$12:BF$62),$A30+1,1),MAX(strike-$B30,0)),"")</f>
        <v>0.78001496078233146</v>
      </c>
      <c r="BH30" s="9">
        <f t="array" ref="BH30">IF(BH$11&gt;=0,MAX(INDEX(MMULT(inverseG,BG$12:BG$62),$A30+1,1),MAX(strike-$B30,0)),"")</f>
        <v>0.78270081552355586</v>
      </c>
      <c r="BI30" s="9">
        <f t="array" ref="BI30">IF(BI$11&gt;=0,MAX(INDEX(MMULT(inverseG,BH$12:BH$62),$A30+1,1),MAX(strike-$B30,0)),"")</f>
        <v>0.78534259240387427</v>
      </c>
      <c r="BJ30" s="9">
        <f t="array" ref="BJ30">IF(BJ$11&gt;=0,MAX(INDEX(MMULT(inverseG,BI$12:BI$62),$A30+1,1),MAX(strike-$B30,0)),"")</f>
        <v>0.78794105536491821</v>
      </c>
      <c r="BK30" s="9">
        <f t="array" ref="BK30">IF(BK$11&gt;=0,MAX(INDEX(MMULT(inverseG,BJ$12:BJ$62),$A30+1,1),MAX(strike-$B30,0)),"")</f>
        <v>0.79049696778284484</v>
      </c>
      <c r="BL30" s="9">
        <f t="array" ref="BL30">IF(BL$11&gt;=0,MAX(INDEX(MMULT(inverseG,BK$12:BK$62),$A30+1,1),MAX(strike-$B30,0)),"")</f>
        <v>0.79301109151067117</v>
      </c>
      <c r="BM30" s="9">
        <f t="array" ref="BM30">IF(BM$11&gt;=0,MAX(INDEX(MMULT(inverseG,BL$12:BL$62),$A30+1,1),MAX(strike-$B30,0)),"")</f>
        <v>0.7954841857290188</v>
      </c>
      <c r="BN30" s="9">
        <f t="array" ref="BN30">IF(BN$11&gt;=0,MAX(INDEX(MMULT(inverseG,BM$12:BM$62),$A30+1,1),MAX(strike-$B30,0)),"")</f>
        <v>0.79791700572537716</v>
      </c>
      <c r="BO30" s="9">
        <f t="array" ref="BO30">IF(BO$11&gt;=0,MAX(INDEX(MMULT(inverseG,BN$12:BN$62),$A30+1,1),MAX(strike-$B30,0)),"")</f>
        <v>0.80031030168025374</v>
      </c>
      <c r="BP30" s="9">
        <f t="array" ref="BP30">IF(BP$11&gt;=0,MAX(INDEX(MMULT(inverseG,BO$12:BO$62),$A30+1,1),MAX(strike-$B30,0)),"")</f>
        <v>0.80266481750969421</v>
      </c>
      <c r="BQ30" s="9">
        <f t="array" ref="BQ30">IF(BQ$11&gt;=0,MAX(INDEX(MMULT(inverseG,BP$12:BP$62),$A30+1,1),MAX(strike-$B30,0)),"")</f>
        <v>0.80498128979376726</v>
      </c>
      <c r="BR30" s="9">
        <f t="array" ref="BR30">IF(BR$11&gt;=0,MAX(INDEX(MMULT(inverseG,BQ$12:BQ$62),$A30+1,1),MAX(strike-$B30,0)),"")</f>
        <v>0.80726044680704256</v>
      </c>
      <c r="BS30" s="9">
        <f t="array" ref="BS30">IF(BS$11&gt;=0,MAX(INDEX(MMULT(inverseG,BR$12:BR$62),$A30+1,1),MAX(strike-$B30,0)),"")</f>
        <v>0.80950300765793604</v>
      </c>
      <c r="BT30" s="9">
        <f t="array" ref="BT30">IF(BT$11&gt;=0,MAX(INDEX(MMULT(inverseG,BS$12:BS$62),$A30+1,1),MAX(strike-$B30,0)),"")</f>
        <v>0.81170968153773304</v>
      </c>
      <c r="BU30" s="9">
        <f t="array" ref="BU30">IF(BU$11&gt;=0,MAX(INDEX(MMULT(inverseG,BT$12:BT$62),$A30+1,1),MAX(strike-$B30,0)),"")</f>
        <v>0.81388116707619929</v>
      </c>
      <c r="BV30" s="9">
        <f t="array" ref="BV30">IF(BV$11&gt;=0,MAX(INDEX(MMULT(inverseG,BU$12:BU$62),$A30+1,1),MAX(strike-$B30,0)),"")</f>
        <v>0.81601815179825721</v>
      </c>
      <c r="BW30" s="9">
        <f t="array" ref="BW30">IF(BW$11&gt;=0,MAX(INDEX(MMULT(inverseG,BV$12:BV$62),$A30+1,1),MAX(strike-$B30,0)),"")</f>
        <v>0.81812131167483304</v>
      </c>
      <c r="BX30" s="9">
        <f t="array" ref="BX30">IF(BX$11&gt;=0,MAX(INDEX(MMULT(inverseG,BW$12:BW$62),$A30+1,1),MAX(strike-$B30,0)),"")</f>
        <v>0.82019131076028606</v>
      </c>
      <c r="BY30" s="9">
        <f t="array" ref="BY30">IF(BY$11&gt;=0,MAX(INDEX(MMULT(inverseG,BX$12:BX$62),$A30+1,1),MAX(strike-$B30,0)),"")</f>
        <v>0.82222880090862094</v>
      </c>
      <c r="BZ30" s="9">
        <f t="array" ref="BZ30">IF(BZ$11&gt;=0,MAX(INDEX(MMULT(inverseG,BY$12:BY$62),$A30+1,1),MAX(strike-$B30,0)),"")</f>
        <v>0.82423442156078219</v>
      </c>
      <c r="CA30" s="9">
        <f t="array" ref="CA30">IF(CA$11&gt;=0,MAX(INDEX(MMULT(inverseG,BZ$12:BZ$62),$A30+1,1),MAX(strike-$B30,0)),"")</f>
        <v>0.82620879959562921</v>
      </c>
      <c r="CB30" s="9">
        <f t="array" ref="CB30">IF(CB$11&gt;=0,MAX(INDEX(MMULT(inverseG,CA$12:CA$62),$A30+1,1),MAX(strike-$B30,0)),"")</f>
        <v>0.82815254923760184</v>
      </c>
      <c r="CC30" s="9">
        <f t="array" ref="CC30">IF(CC$11&gt;=0,MAX(INDEX(MMULT(inverseG,CB$12:CB$62),$A30+1,1),MAX(strike-$B30,0)),"")</f>
        <v>0.83006627201456762</v>
      </c>
      <c r="CD30" s="9">
        <f t="array" ref="CD30">IF(CD$11&gt;=0,MAX(INDEX(MMULT(inverseG,CC$12:CC$62),$A30+1,1),MAX(strike-$B30,0)),"")</f>
        <v>0.83195055675985952</v>
      </c>
      <c r="CE30" s="9">
        <f t="array" ref="CE30">IF(CE$11&gt;=0,MAX(INDEX(MMULT(inverseG,CD$12:CD$62),$A30+1,1),MAX(strike-$B30,0)),"")</f>
        <v>0.83380597965301428</v>
      </c>
      <c r="CF30" s="9">
        <f t="array" ref="CF30">IF(CF$11&gt;=0,MAX(INDEX(MMULT(inverseG,CE$12:CE$62),$A30+1,1),MAX(strike-$B30,0)),"")</f>
        <v>0.83563310429422821</v>
      </c>
      <c r="CG30" s="9">
        <f t="array" ref="CG30">IF(CG$11&gt;=0,MAX(INDEX(MMULT(inverseG,CF$12:CF$62),$A30+1,1),MAX(strike-$B30,0)),"")</f>
        <v>0.83743248180802632</v>
      </c>
      <c r="CH30" s="9">
        <f t="array" ref="CH30">IF(CH$11&gt;=0,MAX(INDEX(MMULT(inverseG,CG$12:CG$62),$A30+1,1),MAX(strike-$B30,0)),"")</f>
        <v>0.83920465097208496</v>
      </c>
      <c r="CI30" s="9">
        <f t="array" ref="CI30">IF(CI$11&gt;=0,MAX(INDEX(MMULT(inverseG,CH$12:CH$62),$A30+1,1),MAX(strike-$B30,0)),"")</f>
        <v>0.84095013836756771</v>
      </c>
      <c r="CJ30" s="9">
        <f t="array" ref="CJ30">IF(CJ$11&gt;=0,MAX(INDEX(MMULT(inverseG,CI$12:CI$62),$A30+1,1),MAX(strike-$B30,0)),"")</f>
        <v>0.84266945854771158</v>
      </c>
      <c r="CK30" s="9">
        <f t="array" ref="CK30">IF(CK$11&gt;=0,MAX(INDEX(MMULT(inverseG,CJ$12:CJ$62),$A30+1,1),MAX(strike-$B30,0)),"")</f>
        <v>0.8443631142217668</v>
      </c>
      <c r="CL30" s="9">
        <f t="array" ref="CL30">IF(CL$11&gt;=0,MAX(INDEX(MMULT(inverseG,CK$12:CK$62),$A30+1,1),MAX(strike-$B30,0)),"")</f>
        <v>0.84603159645169335</v>
      </c>
      <c r="CM30" s="9">
        <f t="array" ref="CM30">IF(CM$11&gt;=0,MAX(INDEX(MMULT(inverseG,CL$12:CL$62),$A30+1,1),MAX(strike-$B30,0)),"")</f>
        <v>0.84767538485932226</v>
      </c>
      <c r="CN30" s="9">
        <f t="array" ref="CN30">IF(CN$11&gt;=0,MAX(INDEX(MMULT(inverseG,CM$12:CM$62),$A30+1,1),MAX(strike-$B30,0)),"")</f>
        <v>0.84929494784194326</v>
      </c>
      <c r="CO30" s="9">
        <f t="array" ref="CO30">IF(CO$11&gt;=0,MAX(INDEX(MMULT(inverseG,CN$12:CN$62),$A30+1,1),MAX(strike-$B30,0)),"")</f>
        <v>0.85089074279451893</v>
      </c>
      <c r="CP30" s="9">
        <f t="array" ref="CP30">IF(CP$11&gt;=0,MAX(INDEX(MMULT(inverseG,CO$12:CO$62),$A30+1,1),MAX(strike-$B30,0)),"")</f>
        <v>0.85246321633693578</v>
      </c>
      <c r="CQ30" s="9">
        <f t="array" ref="CQ30">IF(CQ$11&gt;=0,MAX(INDEX(MMULT(inverseG,CP$12:CP$62),$A30+1,1),MAX(strike-$B30,0)),"")</f>
        <v>0.85401280454489492</v>
      </c>
      <c r="CR30" s="9">
        <f t="array" ref="CR30">IF(CR$11&gt;=0,MAX(INDEX(MMULT(inverseG,CQ$12:CQ$62),$A30+1,1),MAX(strike-$B30,0)),"")</f>
        <v>0.8555399331832112</v>
      </c>
      <c r="CS30" s="9">
        <f t="array" ref="CS30">IF(CS$11&gt;=0,MAX(INDEX(MMULT(inverseG,CR$12:CR$62),$A30+1,1),MAX(strike-$B30,0)),"")</f>
        <v>0.85704515237044454</v>
      </c>
      <c r="CT30" s="9">
        <f t="array" ref="CT30">IF(CT$11&gt;=0,MAX(INDEX(MMULT(inverseG,CS$12:CS$62),$A30+1,1),MAX(strike-$B30,0)),"")</f>
        <v>0.85852924405363984</v>
      </c>
      <c r="CU30" s="9">
        <f t="array" ref="CU30">IF(CU$11&gt;=0,MAX(INDEX(MMULT(inverseG,CT$12:CT$62),$A30+1,1),MAX(strike-$B30,0)),"")</f>
        <v>0.85999318103493938</v>
      </c>
      <c r="CV30" s="9">
        <f t="array" ref="CV30">IF(CV$11&gt;=0,MAX(INDEX(MMULT(inverseG,CU$12:CU$62),$A30+1,1),MAX(strike-$B30,0)),"")</f>
        <v>0.86143802515639678</v>
      </c>
      <c r="CW30" s="9">
        <f t="array" ref="CW30">IF(CW$11&gt;=0,MAX(INDEX(MMULT(inverseG,CV$12:CV$62),$A30+1,1),MAX(strike-$B30,0)),"")</f>
        <v>0.86286483049583529</v>
      </c>
      <c r="CX30" s="9">
        <f t="array" ref="CX30">IF(CX$11&gt;=0,MAX(INDEX(MMULT(inverseG,CW$12:CW$62),$A30+1,1),MAX(strike-$B30,0)),"")</f>
        <v>0.86427457640550009</v>
      </c>
      <c r="CY30" s="9">
        <f t="array" ref="CY30">IF(CY$11&gt;=0,MAX(INDEX(MMULT(inverseG,CX$12:CX$62),$A30+1,1),MAX(strike-$B30,0)),"")</f>
        <v>0.8656681317248931</v>
      </c>
      <c r="CZ30" s="9">
        <f t="array" ref="CZ30">IF(CZ$11&gt;=0,MAX(INDEX(MMULT(inverseG,CY$12:CY$62),$A30+1,1),MAX(strike-$B30,0)),"")</f>
        <v>0.86704624275021269</v>
      </c>
      <c r="DA30" s="9" t="str">
        <f t="array" ref="DA30">IF(DA$11&gt;=0,MAX(INDEX(MMULT(inverseG,CZ$12:CZ$62),$A30+1,1),MAX(strike-$B30,0)),"")</f>
        <v/>
      </c>
      <c r="DB30" s="9" t="str">
        <f t="array" ref="DB30">IF(DB$11&gt;=0,MAX(INDEX(MMULT(inverseG,DA$12:DA$62),$A30+1,1),MAX(strike-$B30,0)),"")</f>
        <v/>
      </c>
      <c r="DC30" s="9" t="str">
        <f t="array" ref="DC30">IF(DC$11&gt;=0,MAX(INDEX(MMULT(inverseG,DB$12:DB$62),$A30+1,1),MAX(strike-$B30,0)),"")</f>
        <v/>
      </c>
      <c r="DD30" s="9" t="str">
        <f t="array" ref="DD30">IF(DD$11&gt;=0,MAX(INDEX(MMULT(inverseG,DC$12:DC$62),$A30+1,1),MAX(strike-$B30,0)),"")</f>
        <v/>
      </c>
      <c r="DE30" s="9" t="str">
        <f t="array" ref="DE30">IF(DE$11&gt;=0,MAX(INDEX(MMULT(inverseG,DD$12:DD$62),$A30+1,1),MAX(strike-$B30,0)),"")</f>
        <v/>
      </c>
      <c r="DF30" s="9" t="str">
        <f t="array" ref="DF30">IF(DF$11&gt;=0,MAX(INDEX(MMULT(inverseG,DE$12:DE$62),$A30+1,1),MAX(strike-$B30,0)),"")</f>
        <v/>
      </c>
      <c r="DG30" s="9" t="str">
        <f t="array" ref="DG30">IF(DG$11&gt;=0,MAX(INDEX(MMULT(inverseG,DF$12:DF$62),$A30+1,1),MAX(strike-$B30,0)),"")</f>
        <v/>
      </c>
      <c r="DH30" s="9" t="str">
        <f t="array" ref="DH30">IF(DH$11&gt;=0,MAX(INDEX(MMULT(inverseG,DG$12:DG$62),$A30+1,1),MAX(strike-$B30,0)),"")</f>
        <v/>
      </c>
      <c r="DI30" s="9" t="str">
        <f t="array" ref="DI30">IF(DI$11&gt;=0,MAX(INDEX(MMULT(inverseG,DH$12:DH$62),$A30+1,1),MAX(strike-$B30,0)),"")</f>
        <v/>
      </c>
      <c r="DJ30" s="9" t="str">
        <f t="array" ref="DJ30">IF(DJ$11&gt;=0,MAX(INDEX(MMULT(inverseG,DI$12:DI$62),$A30+1,1),MAX(strike-$B30,0)),"")</f>
        <v/>
      </c>
      <c r="DK30" s="9" t="str">
        <f t="array" ref="DK30">IF(DK$11&gt;=0,MAX(INDEX(MMULT(inverseG,DJ$12:DJ$62),$A30+1,1),MAX(strike-$B30,0)),"")</f>
        <v/>
      </c>
      <c r="DL30" s="9" t="str">
        <f t="array" ref="DL30">IF(DL$11&gt;=0,MAX(INDEX(MMULT(inverseG,DK$12:DK$62),$A30+1,1),MAX(strike-$B30,0)),"")</f>
        <v/>
      </c>
      <c r="DM30" s="9" t="str">
        <f t="array" ref="DM30">IF(DM$11&gt;=0,MAX(INDEX(MMULT(inverseG,DL$12:DL$62),$A30+1,1),MAX(strike-$B30,0)),"")</f>
        <v/>
      </c>
      <c r="DN30" s="9" t="str">
        <f t="array" ref="DN30">IF(DN$11&gt;=0,MAX(INDEX(MMULT(inverseG,DM$12:DM$62),$A30+1,1),MAX(strike-$B30,0)),"")</f>
        <v/>
      </c>
      <c r="DO30" s="9" t="str">
        <f t="array" ref="DO30">IF(DO$11&gt;=0,MAX(INDEX(MMULT(inverseG,DN$12:DN$62),$A30+1,1),MAX(strike-$B30,0)),"")</f>
        <v/>
      </c>
      <c r="DP30" s="9" t="str">
        <f t="array" ref="DP30">IF(DP$11&gt;=0,MAX(INDEX(MMULT(inverseG,DO$12:DO$62),$A30+1,1),MAX(strike-$B30,0)),"")</f>
        <v/>
      </c>
      <c r="DQ30" s="9" t="str">
        <f t="array" ref="DQ30">IF(DQ$11&gt;=0,MAX(INDEX(MMULT(inverseG,DP$12:DP$62),$A30+1,1),MAX(strike-$B30,0)),"")</f>
        <v/>
      </c>
      <c r="DR30" s="9" t="str">
        <f t="array" ref="DR30">IF(DR$11&gt;=0,MAX(INDEX(MMULT(inverseG,DQ$12:DQ$62),$A30+1,1),MAX(strike-$B30,0)),"")</f>
        <v/>
      </c>
      <c r="DS30" s="9" t="str">
        <f t="array" ref="DS30">IF(DS$11&gt;=0,MAX(INDEX(MMULT(inverseG,DR$12:DR$62),$A30+1,1),MAX(strike-$B30,0)),"")</f>
        <v/>
      </c>
      <c r="DT30" s="9" t="str">
        <f t="array" ref="DT30">IF(DT$11&gt;=0,MAX(INDEX(MMULT(inverseG,DS$12:DS$62),$A30+1,1),MAX(strike-$B30,0)),"")</f>
        <v/>
      </c>
      <c r="DU30" s="9" t="str">
        <f t="array" ref="DU30">IF(DU$11&gt;=0,MAX(INDEX(MMULT(inverseG,DT$12:DT$62),$A30+1,1),MAX(strike-$B30,0)),"")</f>
        <v/>
      </c>
      <c r="DV30" s="9" t="str">
        <f t="array" ref="DV30">IF(DV$11&gt;=0,MAX(INDEX(MMULT(inverseG,DU$12:DU$62),$A30+1,1),MAX(strike-$B30,0)),"")</f>
        <v/>
      </c>
      <c r="DW30" s="9" t="str">
        <f t="array" ref="DW30">IF(DW$11&gt;=0,MAX(INDEX(MMULT(inverseG,DV$12:DV$62),$A30+1,1),MAX(strike-$B30,0)),"")</f>
        <v/>
      </c>
      <c r="DX30" s="9" t="str">
        <f t="array" ref="DX30">IF(DX$11&gt;=0,MAX(INDEX(MMULT(inverseG,DW$12:DW$62),$A30+1,1),MAX(strike-$B30,0)),"")</f>
        <v/>
      </c>
      <c r="DY30" s="9" t="str">
        <f t="array" ref="DY30">IF(DY$11&gt;=0,MAX(INDEX(MMULT(inverseG,DX$12:DX$62),$A30+1,1),MAX(strike-$B30,0)),"")</f>
        <v/>
      </c>
      <c r="DZ30" s="9" t="str">
        <f t="array" ref="DZ30">IF(DZ$11&gt;=0,MAX(INDEX(MMULT(inverseG,DY$12:DY$62),$A30+1,1),MAX(strike-$B30,0)),"")</f>
        <v/>
      </c>
      <c r="EA30" s="9" t="str">
        <f t="array" ref="EA30">IF(EA$11&gt;=0,MAX(INDEX(MMULT(inverseG,DZ$12:DZ$62),$A30+1,1),MAX(strike-$B30,0)),"")</f>
        <v/>
      </c>
      <c r="EB30" s="9" t="str">
        <f t="array" ref="EB30">IF(EB$11&gt;=0,MAX(INDEX(MMULT(inverseG,EA$12:EA$62),$A30+1,1),MAX(strike-$B30,0)),"")</f>
        <v/>
      </c>
      <c r="EC30" s="9" t="str">
        <f t="array" ref="EC30">IF(EC$11&gt;=0,MAX(INDEX(MMULT(inverseG,EB$12:EB$62),$A30+1,1),MAX(strike-$B30,0)),"")</f>
        <v/>
      </c>
      <c r="ED30" s="9" t="str">
        <f t="array" ref="ED30">IF(ED$11&gt;=0,MAX(INDEX(MMULT(inverseG,EC$12:EC$62),$A30+1,1),MAX(strike-$B30,0)),"")</f>
        <v/>
      </c>
      <c r="EE30" s="9" t="str">
        <f t="array" ref="EE30">IF(EE$11&gt;=0,MAX(INDEX(MMULT(inverseG,ED$12:ED$62),$A30+1,1),MAX(strike-$B30,0)),"")</f>
        <v/>
      </c>
      <c r="EF30" s="9" t="str">
        <f t="array" ref="EF30">IF(EF$11&gt;=0,MAX(INDEX(MMULT(inverseG,EE$12:EE$62),$A30+1,1),MAX(strike-$B30,0)),"")</f>
        <v/>
      </c>
      <c r="EG30" s="9" t="str">
        <f t="array" ref="EG30">IF(EG$11&gt;=0,MAX(INDEX(MMULT(inverseG,EF$12:EF$62),$A30+1,1),MAX(strike-$B30,0)),"")</f>
        <v/>
      </c>
      <c r="EH30" s="9" t="str">
        <f t="array" ref="EH30">IF(EH$11&gt;=0,MAX(INDEX(MMULT(inverseG,EG$12:EG$62),$A30+1,1),MAX(strike-$B30,0)),"")</f>
        <v/>
      </c>
      <c r="EI30" s="9" t="str">
        <f t="array" ref="EI30">IF(EI$11&gt;=0,MAX(INDEX(MMULT(inverseG,EH$12:EH$62),$A30+1,1),MAX(strike-$B30,0)),"")</f>
        <v/>
      </c>
      <c r="EJ30" s="9" t="str">
        <f t="array" ref="EJ30">IF(EJ$11&gt;=0,MAX(INDEX(MMULT(inverseG,EI$12:EI$62),$A30+1,1),MAX(strike-$B30,0)),"")</f>
        <v/>
      </c>
      <c r="EK30" s="9" t="str">
        <f t="array" ref="EK30">IF(EK$11&gt;=0,MAX(INDEX(MMULT(inverseG,EJ$12:EJ$62),$A30+1,1),MAX(strike-$B30,0)),"")</f>
        <v/>
      </c>
      <c r="EL30" s="9" t="str">
        <f t="array" ref="EL30">IF(EL$11&gt;=0,MAX(INDEX(MMULT(inverseG,EK$12:EK$62),$A30+1,1),MAX(strike-$B30,0)),"")</f>
        <v/>
      </c>
      <c r="EM30" s="9" t="str">
        <f t="array" ref="EM30">IF(EM$11&gt;=0,MAX(INDEX(MMULT(inverseG,EL$12:EL$62),$A30+1,1),MAX(strike-$B30,0)),"")</f>
        <v/>
      </c>
      <c r="EN30" s="9" t="str">
        <f t="array" ref="EN30">IF(EN$11&gt;=0,MAX(INDEX(MMULT(inverseG,EM$12:EM$62),$A30+1,1),MAX(strike-$B30,0)),"")</f>
        <v/>
      </c>
      <c r="EO30" s="9" t="str">
        <f t="array" ref="EO30">IF(EO$11&gt;=0,MAX(INDEX(MMULT(inverseG,EN$12:EN$62),$A30+1,1),MAX(strike-$B30,0)),"")</f>
        <v/>
      </c>
      <c r="EP30" s="9" t="str">
        <f t="array" ref="EP30">IF(EP$11&gt;=0,MAX(INDEX(MMULT(inverseG,EO$12:EO$62),$A30+1,1),MAX(strike-$B30,0)),"")</f>
        <v/>
      </c>
      <c r="EQ30" s="9" t="str">
        <f t="array" ref="EQ30">IF(EQ$11&gt;=0,MAX(INDEX(MMULT(inverseG,EP$12:EP$62),$A30+1,1),MAX(strike-$B30,0)),"")</f>
        <v/>
      </c>
      <c r="ER30" s="9" t="str">
        <f t="array" ref="ER30">IF(ER$11&gt;=0,MAX(INDEX(MMULT(inverseG,EQ$12:EQ$62),$A30+1,1),MAX(strike-$B30,0)),"")</f>
        <v/>
      </c>
      <c r="ES30" s="9" t="str">
        <f t="array" ref="ES30">IF(ES$11&gt;=0,MAX(INDEX(MMULT(inverseG,ER$12:ER$62),$A30+1,1),MAX(strike-$B30,0)),"")</f>
        <v/>
      </c>
      <c r="ET30" s="9" t="str">
        <f t="array" ref="ET30">IF(ET$11&gt;=0,MAX(INDEX(MMULT(inverseG,ES$12:ES$62),$A30+1,1),MAX(strike-$B30,0)),"")</f>
        <v/>
      </c>
      <c r="EU30" s="9" t="str">
        <f t="array" ref="EU30">IF(EU$11&gt;=0,MAX(INDEX(MMULT(inverseG,ET$12:ET$62),$A30+1,1),MAX(strike-$B30,0)),"")</f>
        <v/>
      </c>
      <c r="EV30" s="9" t="str">
        <f t="array" ref="EV30">IF(EV$11&gt;=0,MAX(INDEX(MMULT(inverseG,EU$12:EU$62),$A30+1,1),MAX(strike-$B30,0)),"")</f>
        <v/>
      </c>
      <c r="EW30" s="9" t="str">
        <f t="array" ref="EW30">IF(EW$11&gt;=0,MAX(INDEX(MMULT(inverseG,EV$12:EV$62),$A30+1,1),MAX(strike-$B30,0)),"")</f>
        <v/>
      </c>
      <c r="EX30" s="9" t="str">
        <f t="array" ref="EX30">IF(EX$11&gt;=0,MAX(INDEX(MMULT(inverseG,EW$12:EW$62),$A30+1,1),MAX(strike-$B30,0)),"")</f>
        <v/>
      </c>
      <c r="EY30" s="9" t="str">
        <f t="array" ref="EY30">IF(EY$11&gt;=0,MAX(INDEX(MMULT(inverseG,EX$12:EX$62),$A30+1,1),MAX(strike-$B30,0)),"")</f>
        <v/>
      </c>
      <c r="EZ30" s="9" t="str">
        <f t="array" ref="EZ30">IF(EZ$11&gt;=0,MAX(INDEX(MMULT(inverseG,EY$12:EY$62),$A30+1,1),MAX(strike-$B30,0)),"")</f>
        <v/>
      </c>
      <c r="FA30" s="9" t="str">
        <f t="array" ref="FA30">IF(FA$11&gt;=0,MAX(INDEX(MMULT(inverseG,EZ$12:EZ$62),$A30+1,1),MAX(strike-$B30,0)),"")</f>
        <v/>
      </c>
      <c r="FB30" s="9" t="str">
        <f t="array" ref="FB30">IF(FB$11&gt;=0,MAX(INDEX(MMULT(inverseG,FA$12:FA$62),$A30+1,1),MAX(strike-$B30,0)),"")</f>
        <v/>
      </c>
      <c r="FC30" s="9" t="str">
        <f t="array" ref="FC30">IF(FC$11&gt;=0,MAX(INDEX(MMULT(inverseG,FB$12:FB$62),$A30+1,1),MAX(strike-$B30,0)),"")</f>
        <v/>
      </c>
      <c r="FD30" s="9" t="str">
        <f t="array" ref="FD30">IF(FD$11&gt;=0,MAX(INDEX(MMULT(inverseG,FC$12:FC$62),$A30+1,1),MAX(strike-$B30,0)),"")</f>
        <v/>
      </c>
      <c r="FE30" s="9" t="str">
        <f t="array" ref="FE30">IF(FE$11&gt;=0,MAX(INDEX(MMULT(inverseG,FD$12:FD$62),$A30+1,1),MAX(strike-$B30,0)),"")</f>
        <v/>
      </c>
      <c r="FF30" s="9" t="str">
        <f t="array" ref="FF30">IF(FF$11&gt;=0,MAX(INDEX(MMULT(inverseG,FE$12:FE$62),$A30+1,1),MAX(strike-$B30,0)),"")</f>
        <v/>
      </c>
      <c r="FG30" s="9" t="str">
        <f t="array" ref="FG30">IF(FG$11&gt;=0,MAX(INDEX(MMULT(inverseG,FF$12:FF$62),$A30+1,1),MAX(strike-$B30,0)),"")</f>
        <v/>
      </c>
      <c r="FH30" s="9" t="str">
        <f t="array" ref="FH30">IF(FH$11&gt;=0,MAX(INDEX(MMULT(inverseG,FG$12:FG$62),$A30+1,1),MAX(strike-$B30,0)),"")</f>
        <v/>
      </c>
      <c r="FI30" s="9" t="str">
        <f t="array" ref="FI30">IF(FI$11&gt;=0,MAX(INDEX(MMULT(inverseG,FH$12:FH$62),$A30+1,1),MAX(strike-$B30,0)),"")</f>
        <v/>
      </c>
      <c r="FJ30" s="9" t="str">
        <f t="array" ref="FJ30">IF(FJ$11&gt;=0,MAX(INDEX(MMULT(inverseG,FI$12:FI$62),$A30+1,1),MAX(strike-$B30,0)),"")</f>
        <v/>
      </c>
      <c r="FK30" s="9" t="str">
        <f t="array" ref="FK30">IF(FK$11&gt;=0,MAX(INDEX(MMULT(inverseG,FJ$12:FJ$62),$A30+1,1),MAX(strike-$B30,0)),"")</f>
        <v/>
      </c>
      <c r="FL30" s="9" t="str">
        <f t="array" ref="FL30">IF(FL$11&gt;=0,MAX(INDEX(MMULT(inverseG,FK$12:FK$62),$A30+1,1),MAX(strike-$B30,0)),"")</f>
        <v/>
      </c>
      <c r="FM30" s="9" t="str">
        <f t="array" ref="FM30">IF(FM$11&gt;=0,MAX(INDEX(MMULT(inverseG,FL$12:FL$62),$A30+1,1),MAX(strike-$B30,0)),"")</f>
        <v/>
      </c>
      <c r="FN30" s="9" t="str">
        <f t="array" ref="FN30">IF(FN$11&gt;=0,MAX(INDEX(MMULT(inverseG,FM$12:FM$62),$A30+1,1),MAX(strike-$B30,0)),"")</f>
        <v/>
      </c>
      <c r="FO30" s="9" t="str">
        <f t="array" ref="FO30">IF(FO$11&gt;=0,MAX(INDEX(MMULT(inverseG,FN$12:FN$62),$A30+1,1),MAX(strike-$B30,0)),"")</f>
        <v/>
      </c>
      <c r="FP30" s="9" t="str">
        <f t="array" ref="FP30">IF(FP$11&gt;=0,MAX(INDEX(MMULT(inverseG,FO$12:FO$62),$A30+1,1),MAX(strike-$B30,0)),"")</f>
        <v/>
      </c>
      <c r="FQ30" s="9" t="str">
        <f t="array" ref="FQ30">IF(FQ$11&gt;=0,MAX(INDEX(MMULT(inverseG,FP$12:FP$62),$A30+1,1),MAX(strike-$B30,0)),"")</f>
        <v/>
      </c>
      <c r="FR30" s="9" t="str">
        <f t="array" ref="FR30">IF(FR$11&gt;=0,MAX(INDEX(MMULT(inverseG,FQ$12:FQ$62),$A30+1,1),MAX(strike-$B30,0)),"")</f>
        <v/>
      </c>
      <c r="FS30" s="9" t="str">
        <f t="array" ref="FS30">IF(FS$11&gt;=0,MAX(INDEX(MMULT(inverseG,FR$12:FR$62),$A30+1,1),MAX(strike-$B30,0)),"")</f>
        <v/>
      </c>
      <c r="FT30" s="9" t="str">
        <f t="array" ref="FT30">IF(FT$11&gt;=0,MAX(INDEX(MMULT(inverseG,FS$12:FS$62),$A30+1,1),MAX(strike-$B30,0)),"")</f>
        <v/>
      </c>
      <c r="FU30" s="9" t="str">
        <f t="array" ref="FU30">IF(FU$11&gt;=0,MAX(INDEX(MMULT(inverseG,FT$12:FT$62),$A30+1,1),MAX(strike-$B30,0)),"")</f>
        <v/>
      </c>
      <c r="FV30" s="9" t="str">
        <f t="array" ref="FV30">IF(FV$11&gt;=0,MAX(INDEX(MMULT(inverseG,FU$12:FU$62),$A30+1,1),MAX(strike-$B30,0)),"")</f>
        <v/>
      </c>
      <c r="FW30" s="9" t="str">
        <f t="array" ref="FW30">IF(FW$11&gt;=0,MAX(INDEX(MMULT(inverseG,FV$12:FV$62),$A30+1,1),MAX(strike-$B30,0)),"")</f>
        <v/>
      </c>
      <c r="FX30" s="9" t="str">
        <f t="array" ref="FX30">IF(FX$11&gt;=0,MAX(INDEX(MMULT(inverseG,FW$12:FW$62),$A30+1,1),MAX(strike-$B30,0)),"")</f>
        <v/>
      </c>
      <c r="FY30" s="9" t="str">
        <f t="array" ref="FY30">IF(FY$11&gt;=0,MAX(INDEX(MMULT(inverseG,FX$12:FX$62),$A30+1,1),MAX(strike-$B30,0)),"")</f>
        <v/>
      </c>
      <c r="FZ30" s="9" t="str">
        <f t="array" ref="FZ30">IF(FZ$11&gt;=0,MAX(INDEX(MMULT(inverseG,FY$12:FY$62),$A30+1,1),MAX(strike-$B30,0)),"")</f>
        <v/>
      </c>
      <c r="GA30" s="9" t="str">
        <f t="array" ref="GA30">IF(GA$11&gt;=0,MAX(INDEX(MMULT(inverseG,FZ$12:FZ$62),$A30+1,1),MAX(strike-$B30,0)),"")</f>
        <v/>
      </c>
      <c r="GB30" s="9" t="str">
        <f t="array" ref="GB30">IF(GB$11&gt;=0,MAX(INDEX(MMULT(inverseG,GA$12:GA$62),$A30+1,1),MAX(strike-$B30,0)),"")</f>
        <v/>
      </c>
      <c r="GC30" s="9" t="str">
        <f t="array" ref="GC30">IF(GC$11&gt;=0,MAX(INDEX(MMULT(inverseG,GB$12:GB$62),$A30+1,1),MAX(strike-$B30,0)),"")</f>
        <v/>
      </c>
      <c r="GD30" s="9" t="str">
        <f t="array" ref="GD30">IF(GD$11&gt;=0,MAX(INDEX(MMULT(inverseG,GC$12:GC$62),$A30+1,1),MAX(strike-$B30,0)),"")</f>
        <v/>
      </c>
      <c r="GE30" s="9" t="str">
        <f t="array" ref="GE30">IF(GE$11&gt;=0,MAX(INDEX(MMULT(inverseG,GD$12:GD$62),$A30+1,1),MAX(strike-$B30,0)),"")</f>
        <v/>
      </c>
      <c r="GF30" s="9" t="str">
        <f t="array" ref="GF30">IF(GF$11&gt;=0,MAX(INDEX(MMULT(inverseG,GE$12:GE$62),$A30+1,1),MAX(strike-$B30,0)),"")</f>
        <v/>
      </c>
      <c r="GG30" s="9" t="str">
        <f t="array" ref="GG30">IF(GG$11&gt;=0,MAX(INDEX(MMULT(inverseG,GF$12:GF$62),$A30+1,1),MAX(strike-$B30,0)),"")</f>
        <v/>
      </c>
      <c r="GH30" s="9" t="str">
        <f t="array" ref="GH30">IF(GH$11&gt;=0,MAX(INDEX(MMULT(inverseG,GG$12:GG$62),$A30+1,1),MAX(strike-$B30,0)),"")</f>
        <v/>
      </c>
      <c r="GI30" s="9" t="str">
        <f t="array" ref="GI30">IF(GI$11&gt;=0,MAX(INDEX(MMULT(inverseG,GH$12:GH$62),$A30+1,1),MAX(strike-$B30,0)),"")</f>
        <v/>
      </c>
      <c r="GJ30" s="9" t="str">
        <f t="array" ref="GJ30">IF(GJ$11&gt;=0,MAX(INDEX(MMULT(inverseG,GI$12:GI$62),$A30+1,1),MAX(strike-$B30,0)),"")</f>
        <v/>
      </c>
      <c r="GK30" s="9" t="str">
        <f t="array" ref="GK30">IF(GK$11&gt;=0,MAX(INDEX(MMULT(inverseG,GJ$12:GJ$62),$A30+1,1),MAX(strike-$B30,0)),"")</f>
        <v/>
      </c>
      <c r="GL30" s="9" t="str">
        <f t="array" ref="GL30">IF(GL$11&gt;=0,MAX(INDEX(MMULT(inverseG,GK$12:GK$62),$A30+1,1),MAX(strike-$B30,0)),"")</f>
        <v/>
      </c>
      <c r="GM30" s="9" t="str">
        <f t="array" ref="GM30">IF(GM$11&gt;=0,MAX(INDEX(MMULT(inverseG,GL$12:GL$62),$A30+1,1),MAX(strike-$B30,0)),"")</f>
        <v/>
      </c>
      <c r="GN30" s="9" t="str">
        <f t="array" ref="GN30">IF(GN$11&gt;=0,MAX(INDEX(MMULT(inverseG,GM$12:GM$62),$A30+1,1),MAX(strike-$B30,0)),"")</f>
        <v/>
      </c>
      <c r="GO30" s="9" t="str">
        <f t="array" ref="GO30">IF(GO$11&gt;=0,MAX(INDEX(MMULT(inverseG,GN$12:GN$62),$A30+1,1),MAX(strike-$B30,0)),"")</f>
        <v/>
      </c>
      <c r="GP30" s="9" t="str">
        <f t="array" ref="GP30">IF(GP$11&gt;=0,MAX(INDEX(MMULT(inverseG,GO$12:GO$62),$A30+1,1),MAX(strike-$B30,0)),"")</f>
        <v/>
      </c>
      <c r="GQ30" s="9" t="str">
        <f t="array" ref="GQ30">IF(GQ$11&gt;=0,MAX(INDEX(MMULT(inverseG,GP$12:GP$62),$A30+1,1),MAX(strike-$B30,0)),"")</f>
        <v/>
      </c>
      <c r="GR30" s="9" t="str">
        <f t="array" ref="GR30">IF(GR$11&gt;=0,MAX(INDEX(MMULT(inverseG,GQ$12:GQ$62),$A30+1,1),MAX(strike-$B30,0)),"")</f>
        <v/>
      </c>
      <c r="GS30" s="9" t="str">
        <f t="array" ref="GS30">IF(GS$11&gt;=0,MAX(INDEX(MMULT(inverseG,GR$12:GR$62),$A30+1,1),MAX(strike-$B30,0)),"")</f>
        <v/>
      </c>
      <c r="GT30" s="9" t="str">
        <f t="array" ref="GT30">IF(GT$11&gt;=0,MAX(INDEX(MMULT(inverseG,GS$12:GS$62),$A30+1,1),MAX(strike-$B30,0)),"")</f>
        <v/>
      </c>
      <c r="GU30" s="9" t="str">
        <f t="array" ref="GU30">IF(GU$11&gt;=0,MAX(INDEX(MMULT(inverseG,GT$12:GT$62),$A30+1,1),MAX(strike-$B30,0)),"")</f>
        <v/>
      </c>
      <c r="GV30" s="9" t="str">
        <f t="array" ref="GV30">IF(GV$11&gt;=0,MAX(INDEX(MMULT(inverseG,GU$12:GU$62),$A30+1,1),MAX(strike-$B30,0)),"")</f>
        <v/>
      </c>
      <c r="GW30" s="9" t="str">
        <f t="array" ref="GW30">IF(GW$11&gt;=0,MAX(INDEX(MMULT(inverseG,GV$12:GV$62),$A30+1,1),MAX(strike-$B30,0)),"")</f>
        <v/>
      </c>
      <c r="GX30" s="9" t="str">
        <f t="array" ref="GX30">IF(GX$11&gt;=0,MAX(INDEX(MMULT(inverseG,GW$12:GW$62),$A30+1,1),MAX(strike-$B30,0)),"")</f>
        <v/>
      </c>
      <c r="GY30" s="9" t="str">
        <f t="array" ref="GY30">IF(GY$11&gt;=0,MAX(INDEX(MMULT(inverseG,GX$12:GX$62),$A30+1,1),MAX(strike-$B30,0)),"")</f>
        <v/>
      </c>
      <c r="GZ30" s="9" t="str">
        <f t="array" ref="GZ30">IF(GZ$11&gt;=0,MAX(INDEX(MMULT(inverseG,GY$12:GY$62),$A30+1,1),MAX(strike-$B30,0)),"")</f>
        <v/>
      </c>
      <c r="HA30" s="9" t="str">
        <f t="array" ref="HA30">IF(HA$11&gt;=0,MAX(INDEX(MMULT(inverseG,GZ$12:GZ$62),$A30+1,1),MAX(strike-$B30,0)),"")</f>
        <v/>
      </c>
      <c r="HB30" s="9" t="str">
        <f t="array" ref="HB30">IF(HB$11&gt;=0,MAX(INDEX(MMULT(inverseG,HA$12:HA$62),$A30+1,1),MAX(strike-$B30,0)),"")</f>
        <v/>
      </c>
      <c r="HC30" s="9" t="str">
        <f t="array" ref="HC30">IF(HC$11&gt;=0,MAX(INDEX(MMULT(inverseG,HB$12:HB$62),$A30+1,1),MAX(strike-$B30,0)),"")</f>
        <v/>
      </c>
      <c r="HD30" s="9" t="str">
        <f t="array" ref="HD30">IF(HD$11&gt;=0,MAX(INDEX(MMULT(inverseG,HC$12:HC$62),$A30+1,1),MAX(strike-$B30,0)),"")</f>
        <v/>
      </c>
      <c r="HE30" s="9" t="str">
        <f t="array" ref="HE30">IF(HE$11&gt;=0,MAX(INDEX(MMULT(inverseG,HD$12:HD$62),$A30+1,1),MAX(strike-$B30,0)),"")</f>
        <v/>
      </c>
      <c r="HF30" s="9" t="str">
        <f t="array" ref="HF30">IF(HF$11&gt;=0,MAX(INDEX(MMULT(inverseG,HE$12:HE$62),$A30+1,1),MAX(strike-$B30,0)),"")</f>
        <v/>
      </c>
      <c r="HG30" s="9" t="str">
        <f t="array" ref="HG30">IF(HG$11&gt;=0,MAX(INDEX(MMULT(inverseG,HF$12:HF$62),$A30+1,1),MAX(strike-$B30,0)),"")</f>
        <v/>
      </c>
      <c r="HH30" s="9" t="str">
        <f t="array" ref="HH30">IF(HH$11&gt;=0,MAX(INDEX(MMULT(inverseG,HG$12:HG$62),$A30+1,1),MAX(strike-$B30,0)),"")</f>
        <v/>
      </c>
      <c r="HI30" s="9" t="str">
        <f t="array" ref="HI30">IF(HI$11&gt;=0,MAX(INDEX(MMULT(inverseG,HH$12:HH$62),$A30+1,1),MAX(strike-$B30,0)),"")</f>
        <v/>
      </c>
      <c r="HJ30" s="9" t="str">
        <f t="array" ref="HJ30">IF(HJ$11&gt;=0,MAX(INDEX(MMULT(inverseG,HI$12:HI$62),$A30+1,1),MAX(strike-$B30,0)),"")</f>
        <v/>
      </c>
      <c r="HK30" s="9" t="str">
        <f t="array" ref="HK30">IF(HK$11&gt;=0,MAX(INDEX(MMULT(inverseG,HJ$12:HJ$62),$A30+1,1),MAX(strike-$B30,0)),"")</f>
        <v/>
      </c>
      <c r="HL30" s="9" t="str">
        <f t="array" ref="HL30">IF(HL$11&gt;=0,MAX(INDEX(MMULT(inverseG,HK$12:HK$62),$A30+1,1),MAX(strike-$B30,0)),"")</f>
        <v/>
      </c>
      <c r="HM30" s="9" t="str">
        <f t="array" ref="HM30">IF(HM$11&gt;=0,MAX(INDEX(MMULT(inverseG,HL$12:HL$62),$A30+1,1),MAX(strike-$B30,0)),"")</f>
        <v/>
      </c>
      <c r="HN30" s="9" t="str">
        <f t="array" ref="HN30">IF(HN$11&gt;=0,MAX(INDEX(MMULT(inverseG,HM$12:HM$62),$A30+1,1),MAX(strike-$B30,0)),"")</f>
        <v/>
      </c>
      <c r="HO30" s="9" t="str">
        <f t="array" ref="HO30">IF(HO$11&gt;=0,MAX(INDEX(MMULT(inverseG,HN$12:HN$62),$A30+1,1),MAX(strike-$B30,0)),"")</f>
        <v/>
      </c>
      <c r="HP30" s="9" t="str">
        <f t="array" ref="HP30">IF(HP$11&gt;=0,MAX(INDEX(MMULT(inverseG,HO$12:HO$62),$A30+1,1),MAX(strike-$B30,0)),"")</f>
        <v/>
      </c>
      <c r="HQ30" s="9" t="str">
        <f t="array" ref="HQ30">IF(HQ$11&gt;=0,MAX(INDEX(MMULT(inverseG,HP$12:HP$62),$A30+1,1),MAX(strike-$B30,0)),"")</f>
        <v/>
      </c>
      <c r="HR30" s="9" t="str">
        <f t="array" ref="HR30">IF(HR$11&gt;=0,MAX(INDEX(MMULT(inverseG,HQ$12:HQ$62),$A30+1,1),MAX(strike-$B30,0)),"")</f>
        <v/>
      </c>
      <c r="HS30" s="9" t="str">
        <f t="array" ref="HS30">IF(HS$11&gt;=0,MAX(INDEX(MMULT(inverseG,HR$12:HR$62),$A30+1,1),MAX(strike-$B30,0)),"")</f>
        <v/>
      </c>
      <c r="HT30" s="9" t="str">
        <f t="array" ref="HT30">IF(HT$11&gt;=0,MAX(INDEX(MMULT(inverseG,HS$12:HS$62),$A30+1,1),MAX(strike-$B30,0)),"")</f>
        <v/>
      </c>
      <c r="HU30" s="9" t="str">
        <f t="array" ref="HU30">IF(HU$11&gt;=0,MAX(INDEX(MMULT(inverseG,HT$12:HT$62),$A30+1,1),MAX(strike-$B30,0)),"")</f>
        <v/>
      </c>
      <c r="HV30" s="9" t="str">
        <f t="array" ref="HV30">IF(HV$11&gt;=0,MAX(INDEX(MMULT(inverseG,HU$12:HU$62),$A30+1,1),MAX(strike-$B30,0)),"")</f>
        <v/>
      </c>
      <c r="HW30" s="9" t="str">
        <f t="array" ref="HW30">IF(HW$11&gt;=0,MAX(INDEX(MMULT(inverseG,HV$12:HV$62),$A30+1,1),MAX(strike-$B30,0)),"")</f>
        <v/>
      </c>
      <c r="HX30" s="9" t="str">
        <f t="array" ref="HX30">IF(HX$11&gt;=0,MAX(INDEX(MMULT(inverseG,HW$12:HW$62),$A30+1,1),MAX(strike-$B30,0)),"")</f>
        <v/>
      </c>
      <c r="HY30" s="9" t="str">
        <f t="array" ref="HY30">IF(HY$11&gt;=0,MAX(INDEX(MMULT(inverseG,HX$12:HX$62),$A30+1,1),MAX(strike-$B30,0)),"")</f>
        <v/>
      </c>
      <c r="HZ30" s="9" t="str">
        <f t="array" ref="HZ30">IF(HZ$11&gt;=0,MAX(INDEX(MMULT(inverseG,HY$12:HY$62),$A30+1,1),MAX(strike-$B30,0)),"")</f>
        <v/>
      </c>
      <c r="IA30" s="9" t="str">
        <f t="array" ref="IA30">IF(IA$11&gt;=0,MAX(INDEX(MMULT(inverseG,HZ$12:HZ$62),$A30+1,1),MAX(strike-$B30,0)),"")</f>
        <v/>
      </c>
      <c r="IB30" s="9" t="str">
        <f t="array" ref="IB30">IF(IB$11&gt;=0,MAX(INDEX(MMULT(inverseG,IA$12:IA$62),$A30+1,1),MAX(strike-$B30,0)),"")</f>
        <v/>
      </c>
      <c r="IC30" s="9" t="str">
        <f t="array" ref="IC30">IF(IC$11&gt;=0,MAX(INDEX(MMULT(inverseG,IB$12:IB$62),$A30+1,1),MAX(strike-$B30,0)),"")</f>
        <v/>
      </c>
      <c r="ID30" s="9" t="str">
        <f t="array" ref="ID30">IF(ID$11&gt;=0,MAX(INDEX(MMULT(inverseG,IC$12:IC$62),$A30+1,1),MAX(strike-$B30,0)),"")</f>
        <v/>
      </c>
      <c r="IE30" s="9" t="str">
        <f t="array" ref="IE30">IF(IE$11&gt;=0,MAX(INDEX(MMULT(inverseG,ID$12:ID$62),$A30+1,1),MAX(strike-$B30,0)),"")</f>
        <v/>
      </c>
      <c r="IF30" s="9" t="str">
        <f t="array" ref="IF30">IF(IF$11&gt;=0,MAX(INDEX(MMULT(inverseG,IE$12:IE$62),$A30+1,1),MAX(strike-$B30,0)),"")</f>
        <v/>
      </c>
      <c r="IG30" s="9" t="str">
        <f t="array" ref="IG30">IF(IG$11&gt;=0,MAX(INDEX(MMULT(inverseG,IF$12:IF$62),$A30+1,1),MAX(strike-$B30,0)),"")</f>
        <v/>
      </c>
      <c r="IH30" s="9" t="str">
        <f t="array" ref="IH30">IF(IH$11&gt;=0,MAX(INDEX(MMULT(inverseG,IG$12:IG$62),$A30+1,1),MAX(strike-$B30,0)),"")</f>
        <v/>
      </c>
      <c r="II30" s="9" t="str">
        <f t="array" ref="II30">IF(II$11&gt;=0,MAX(INDEX(MMULT(inverseG,IH$12:IH$62),$A30+1,1),MAX(strike-$B30,0)),"")</f>
        <v/>
      </c>
      <c r="IJ30" s="9" t="str">
        <f t="array" ref="IJ30">IF(IJ$11&gt;=0,MAX(INDEX(MMULT(inverseG,II$12:II$62),$A30+1,1),MAX(strike-$B30,0)),"")</f>
        <v/>
      </c>
      <c r="IK30" s="9" t="str">
        <f t="array" ref="IK30">IF(IK$11&gt;=0,MAX(INDEX(MMULT(inverseG,IJ$12:IJ$62),$A30+1,1),MAX(strike-$B30,0)),"")</f>
        <v/>
      </c>
      <c r="IL30" s="9" t="str">
        <f t="array" ref="IL30">IF(IL$11&gt;=0,MAX(INDEX(MMULT(inverseG,IK$12:IK$62),$A30+1,1),MAX(strike-$B30,0)),"")</f>
        <v/>
      </c>
      <c r="IM30" s="9" t="str">
        <f t="array" ref="IM30">IF(IM$11&gt;=0,MAX(INDEX(MMULT(inverseG,IL$12:IL$62),$A30+1,1),MAX(strike-$B30,0)),"")</f>
        <v/>
      </c>
      <c r="IN30" s="9" t="str">
        <f t="array" ref="IN30">IF(IN$11&gt;=0,MAX(INDEX(MMULT(inverseG,IM$12:IM$62),$A30+1,1),MAX(strike-$B30,0)),"")</f>
        <v/>
      </c>
      <c r="IO30" s="9" t="str">
        <f t="array" ref="IO30">IF(IO$11&gt;=0,MAX(INDEX(MMULT(inverseG,IN$12:IN$62),$A30+1,1),MAX(strike-$B30,0)),"")</f>
        <v/>
      </c>
      <c r="IP30" s="9" t="str">
        <f t="array" ref="IP30">IF(IP$11&gt;=0,MAX(INDEX(MMULT(inverseG,IO$12:IO$62),$A30+1,1),MAX(strike-$B30,0)),"")</f>
        <v/>
      </c>
      <c r="IQ30" s="9" t="str">
        <f t="array" ref="IQ30">IF(IQ$11&gt;=0,MAX(INDEX(MMULT(inverseG,IP$12:IP$62),$A30+1,1),MAX(strike-$B30,0)),"")</f>
        <v/>
      </c>
      <c r="IR30" s="9" t="str">
        <f t="array" ref="IR30">IF(IR$11&gt;=0,MAX(INDEX(MMULT(inverseG,IQ$12:IQ$62),$A30+1,1),MAX(strike-$B30,0)),"")</f>
        <v/>
      </c>
      <c r="IS30" s="9" t="str">
        <f t="array" ref="IS30">IF(IS$11&gt;=0,MAX(INDEX(MMULT(inverseG,IR$12:IR$62),$A30+1,1),MAX(strike-$B30,0)),"")</f>
        <v/>
      </c>
      <c r="IT30" s="9" t="str">
        <f t="array" ref="IT30">IF(IT$11&gt;=0,MAX(INDEX(MMULT(inverseG,IS$12:IS$62),$A30+1,1),MAX(strike-$B30,0)),"")</f>
        <v/>
      </c>
      <c r="IU30" s="9" t="str">
        <f t="array" ref="IU30">IF(IU$11&gt;=0,MAX(INDEX(MMULT(inverseG,IT$12:IT$62),$A30+1,1),MAX(strike-$B30,0)),"")</f>
        <v/>
      </c>
      <c r="IV30" s="9" t="str">
        <f t="array" ref="IV30">IF(IV$11&gt;=0,MAX(INDEX(MMULT(inverseG,IU$12:IU$62),$A30+1,1),MAX(strike-$B30,0)),"")</f>
        <v/>
      </c>
    </row>
    <row r="31" spans="1:256" x14ac:dyDescent="0.2">
      <c r="A31" s="8">
        <f t="shared" si="7"/>
        <v>19</v>
      </c>
      <c r="B31" s="6">
        <f t="shared" si="4"/>
        <v>4.75</v>
      </c>
      <c r="C31" s="30">
        <f t="shared" ca="1" si="6"/>
        <v>0.76105760982329118</v>
      </c>
      <c r="D31" s="9">
        <f t="shared" si="5"/>
        <v>0.25</v>
      </c>
      <c r="E31" s="9">
        <f t="array" ref="E31">IF(E$11&gt;=0,MAX(INDEX(MMULT(inverseG,D$12:D$62),$A31+1,1),MAX(strike-$B31,0)),"")</f>
        <v>0.26417389861776208</v>
      </c>
      <c r="F31" s="9">
        <f t="array" ref="F31">IF(F$11&gt;=0,MAX(INDEX(MMULT(inverseG,E$12:E$62),$A31+1,1),MAX(strike-$B31,0)),"")</f>
        <v>0.2855332140346683</v>
      </c>
      <c r="G31" s="9">
        <f t="array" ref="G31">IF(G$11&gt;=0,MAX(INDEX(MMULT(inverseG,F$12:F$62),$A31+1,1),MAX(strike-$B31,0)),"")</f>
        <v>0.30660890558959242</v>
      </c>
      <c r="H31" s="9">
        <f t="array" ref="H31">IF(H$11&gt;=0,MAX(INDEX(MMULT(inverseG,G$12:G$62),$A31+1,1),MAX(strike-$B31,0)),"")</f>
        <v>0.32618852112494451</v>
      </c>
      <c r="I31" s="9">
        <f t="array" ref="I31">IF(I$11&gt;=0,MAX(INDEX(MMULT(inverseG,H$12:H$62),$A31+1,1),MAX(strike-$B31,0)),"")</f>
        <v>0.34408340716045815</v>
      </c>
      <c r="J31" s="9">
        <f t="array" ref="J31">IF(J$11&gt;=0,MAX(INDEX(MMULT(inverseG,I$12:I$62),$A31+1,1),MAX(strike-$B31,0)),"")</f>
        <v>0.36038239948026946</v>
      </c>
      <c r="K31" s="9">
        <f t="array" ref="K31">IF(K$11&gt;=0,MAX(INDEX(MMULT(inverseG,J$12:J$62),$A31+1,1),MAX(strike-$B31,0)),"")</f>
        <v>0.3752446536025022</v>
      </c>
      <c r="L31" s="9">
        <f t="array" ref="L31">IF(L$11&gt;=0,MAX(INDEX(MMULT(inverseG,K$12:K$62),$A31+1,1),MAX(strike-$B31,0)),"")</f>
        <v>0.38892678469573339</v>
      </c>
      <c r="M31" s="9">
        <f t="array" ref="M31">IF(M$11&gt;=0,MAX(INDEX(MMULT(inverseG,L$12:L$62),$A31+1,1),MAX(strike-$B31,0)),"")</f>
        <v>0.40164228147280506</v>
      </c>
      <c r="N31" s="9">
        <f t="array" ref="N31">IF(N$11&gt;=0,MAX(INDEX(MMULT(inverseG,M$12:M$62),$A31+1,1),MAX(strike-$B31,0)),"")</f>
        <v>0.41354660626702811</v>
      </c>
      <c r="O31" s="9">
        <f t="array" ref="O31">IF(O$11&gt;=0,MAX(INDEX(MMULT(inverseG,N$12:N$62),$A31+1,1),MAX(strike-$B31,0)),"")</f>
        <v>0.42475032845593891</v>
      </c>
      <c r="P31" s="9">
        <f t="array" ref="P31">IF(P$11&gt;=0,MAX(INDEX(MMULT(inverseG,O$12:O$62),$A31+1,1),MAX(strike-$B31,0)),"")</f>
        <v>0.43533378439365727</v>
      </c>
      <c r="Q31" s="9">
        <f t="array" ref="Q31">IF(Q$11&gt;=0,MAX(INDEX(MMULT(inverseG,P$12:P$62),$A31+1,1),MAX(strike-$B31,0)),"")</f>
        <v>0.44535783270192159</v>
      </c>
      <c r="R31" s="9">
        <f t="array" ref="R31">IF(R$11&gt;=0,MAX(INDEX(MMULT(inverseG,Q$12:Q$62),$A31+1,1),MAX(strike-$B31,0)),"")</f>
        <v>0.45487081395558909</v>
      </c>
      <c r="S31" s="9">
        <f t="array" ref="S31">IF(S$11&gt;=0,MAX(INDEX(MMULT(inverseG,R$12:R$62),$A31+1,1),MAX(strike-$B31,0)),"")</f>
        <v>0.46391283302797792</v>
      </c>
      <c r="T31" s="9">
        <f t="array" ref="T31">IF(T$11&gt;=0,MAX(INDEX(MMULT(inverseG,S$12:S$62),$A31+1,1),MAX(strike-$B31,0)),"")</f>
        <v>0.4725202952151768</v>
      </c>
      <c r="U31" s="9">
        <f t="array" ref="U31">IF(U$11&gt;=0,MAX(INDEX(MMULT(inverseG,T$12:T$62),$A31+1,1),MAX(strike-$B31,0)),"")</f>
        <v>0.48073543200171859</v>
      </c>
      <c r="V31" s="9">
        <f t="array" ref="V31">IF(V$11&gt;=0,MAX(INDEX(MMULT(inverseG,U$12:U$62),$A31+1,1),MAX(strike-$B31,0)),"")</f>
        <v>0.48860029213330958</v>
      </c>
      <c r="W31" s="9">
        <f t="array" ref="W31">IF(W$11&gt;=0,MAX(INDEX(MMULT(inverseG,V$12:V$62),$A31+1,1),MAX(strike-$B31,0)),"")</f>
        <v>0.49615225505822985</v>
      </c>
      <c r="X31" s="9">
        <f t="array" ref="X31">IF(X$11&gt;=0,MAX(INDEX(MMULT(inverseG,W$12:W$62),$A31+1,1),MAX(strike-$B31,0)),"")</f>
        <v>0.50342254767076955</v>
      </c>
      <c r="Y31" s="9">
        <f t="array" ref="Y31">IF(Y$11&gt;=0,MAX(INDEX(MMULT(inverseG,X$12:X$62),$A31+1,1),MAX(strike-$B31,0)),"")</f>
        <v>0.51043652581219268</v>
      </c>
      <c r="Z31" s="9">
        <f t="array" ref="Z31">IF(Z$11&gt;=0,MAX(INDEX(MMULT(inverseG,Y$12:Y$62),$A31+1,1),MAX(strike-$B31,0)),"")</f>
        <v>0.51721464142481888</v>
      </c>
      <c r="AA31" s="9">
        <f t="array" ref="AA31">IF(AA$11&gt;=0,MAX(INDEX(MMULT(inverseG,Z$12:Z$62),$A31+1,1),MAX(strike-$B31,0)),"")</f>
        <v>0.52377351463480404</v>
      </c>
      <c r="AB31" s="9">
        <f t="array" ref="AB31">IF(AB$11&gt;=0,MAX(INDEX(MMULT(inverseG,AA$12:AA$62),$A31+1,1),MAX(strike-$B31,0)),"")</f>
        <v>0.53012687176230699</v>
      </c>
      <c r="AC31" s="9">
        <f t="array" ref="AC31">IF(AC$11&gt;=0,MAX(INDEX(MMULT(inverseG,AB$12:AB$62),$A31+1,1),MAX(strike-$B31,0)),"")</f>
        <v>0.5362862858517683</v>
      </c>
      <c r="AD31" s="9">
        <f t="array" ref="AD31">IF(AD$11&gt;=0,MAX(INDEX(MMULT(inverseG,AC$12:AC$62),$A31+1,1),MAX(strike-$B31,0)),"")</f>
        <v>0.54226173070150607</v>
      </c>
      <c r="AE31" s="9">
        <f t="array" ref="AE31">IF(AE$11&gt;=0,MAX(INDEX(MMULT(inverseG,AD$12:AD$62),$A31+1,1),MAX(strike-$B31,0)),"")</f>
        <v>0.5480619832230339</v>
      </c>
      <c r="AF31" s="9">
        <f t="array" ref="AF31">IF(AF$11&gt;=0,MAX(INDEX(MMULT(inverseG,AE$12:AE$62),$A31+1,1),MAX(strike-$B31,0)),"")</f>
        <v>0.55369491103865143</v>
      </c>
      <c r="AG31" s="9">
        <f t="array" ref="AG31">IF(AG$11&gt;=0,MAX(INDEX(MMULT(inverseG,AF$12:AF$62),$A31+1,1),MAX(strike-$B31,0)),"")</f>
        <v>0.55916767661385747</v>
      </c>
      <c r="AH31" s="9">
        <f t="array" ref="AH31">IF(AH$11&gt;=0,MAX(INDEX(MMULT(inverseG,AG$12:AG$62),$A31+1,1),MAX(strike-$B31,0)),"")</f>
        <v>0.56448688205249009</v>
      </c>
      <c r="AI31" s="9">
        <f t="array" ref="AI31">IF(AI$11&gt;=0,MAX(INDEX(MMULT(inverseG,AH$12:AH$62),$A31+1,1),MAX(strike-$B31,0)),"")</f>
        <v>0.56965867225348787</v>
      </c>
      <c r="AJ31" s="9">
        <f t="array" ref="AJ31">IF(AJ$11&gt;=0,MAX(INDEX(MMULT(inverseG,AI$12:AI$62),$A31+1,1),MAX(strike-$B31,0)),"")</f>
        <v>0.57468880905136788</v>
      </c>
      <c r="AK31" s="9">
        <f t="array" ref="AK31">IF(AK$11&gt;=0,MAX(INDEX(MMULT(inverseG,AJ$12:AJ$62),$A31+1,1),MAX(strike-$B31,0)),"")</f>
        <v>0.57958272519561849</v>
      </c>
      <c r="AL31" s="9">
        <f t="array" ref="AL31">IF(AL$11&gt;=0,MAX(INDEX(MMULT(inverseG,AK$12:AK$62),$A31+1,1),MAX(strike-$B31,0)),"")</f>
        <v>0.58434556432332463</v>
      </c>
      <c r="AM31" s="9">
        <f t="array" ref="AM31">IF(AM$11&gt;=0,MAX(INDEX(MMULT(inverseG,AL$12:AL$62),$A31+1,1),MAX(strike-$B31,0)),"")</f>
        <v>0.58898221118057592</v>
      </c>
      <c r="AN31" s="9">
        <f t="array" ref="AN31">IF(AN$11&gt;=0,MAX(INDEX(MMULT(inverseG,AM$12:AM$62),$A31+1,1),MAX(strike-$B31,0)),"")</f>
        <v>0.59349731502831971</v>
      </c>
      <c r="AO31" s="9">
        <f t="array" ref="AO31">IF(AO$11&gt;=0,MAX(INDEX(MMULT(inverseG,AN$12:AN$62),$A31+1,1),MAX(strike-$B31,0)),"")</f>
        <v>0.59789627342923768</v>
      </c>
      <c r="AP31" s="9">
        <f t="array" ref="AP31">IF(AP$11&gt;=0,MAX(INDEX(MMULT(inverseG,AO$12:AO$62),$A31+1,1),MAX(strike-$B31,0)),"")</f>
        <v>0.60218530536093262</v>
      </c>
      <c r="AQ31" s="9">
        <f t="array" ref="AQ31">IF(AQ$11&gt;=0,MAX(INDEX(MMULT(inverseG,AP$12:AP$62),$A31+1,1),MAX(strike-$B31,0)),"")</f>
        <v>0.60637100582346204</v>
      </c>
      <c r="AR31" s="9">
        <f t="array" ref="AR31">IF(AR$11&gt;=0,MAX(INDEX(MMULT(inverseG,AQ$12:AQ$62),$A31+1,1),MAX(strike-$B31,0)),"")</f>
        <v>0.61045985740096831</v>
      </c>
      <c r="AS31" s="9">
        <f t="array" ref="AS31">IF(AS$11&gt;=0,MAX(INDEX(MMULT(inverseG,AR$12:AR$62),$A31+1,1),MAX(strike-$B31,0)),"")</f>
        <v>0.61445789183271216</v>
      </c>
      <c r="AT31" s="9">
        <f t="array" ref="AT31">IF(AT$11&gt;=0,MAX(INDEX(MMULT(inverseG,AS$12:AS$62),$A31+1,1),MAX(strike-$B31,0)),"")</f>
        <v>0.61837052118598634</v>
      </c>
      <c r="AU31" s="9">
        <f t="array" ref="AU31">IF(AU$11&gt;=0,MAX(INDEX(MMULT(inverseG,AT$12:AT$62),$A31+1,1),MAX(strike-$B31,0)),"")</f>
        <v>0.62220249552362938</v>
      </c>
      <c r="AV31" s="9">
        <f t="array" ref="AV31">IF(AV$11&gt;=0,MAX(INDEX(MMULT(inverseG,AU$12:AU$62),$A31+1,1),MAX(strike-$B31,0)),"")</f>
        <v>0.62595793656618792</v>
      </c>
      <c r="AW31" s="9">
        <f t="array" ref="AW31">IF(AW$11&gt;=0,MAX(INDEX(MMULT(inverseG,AV$12:AV$62),$A31+1,1),MAX(strike-$B31,0)),"")</f>
        <v>0.62964040835979596</v>
      </c>
      <c r="AX31" s="9">
        <f t="array" ref="AX31">IF(AX$11&gt;=0,MAX(INDEX(MMULT(inverseG,AW$12:AW$62),$A31+1,1),MAX(strike-$B31,0)),"")</f>
        <v>0.63325299995583317</v>
      </c>
      <c r="AY31" s="9">
        <f t="array" ref="AY31">IF(AY$11&gt;=0,MAX(INDEX(MMULT(inverseG,AX$12:AX$62),$A31+1,1),MAX(strike-$B31,0)),"")</f>
        <v>0.63679840615009009</v>
      </c>
      <c r="AZ31" s="9">
        <f t="array" ref="AZ31">IF(AZ$11&gt;=0,MAX(INDEX(MMULT(inverseG,AY$12:AY$62),$A31+1,1),MAX(strike-$B31,0)),"")</f>
        <v>0.64027899964386525</v>
      </c>
      <c r="BA31" s="9">
        <f t="array" ref="BA31">IF(BA$11&gt;=0,MAX(INDEX(MMULT(inverseG,AZ$12:AZ$62),$A31+1,1),MAX(strike-$B31,0)),"")</f>
        <v>0.64369689231747096</v>
      </c>
      <c r="BB31" s="9">
        <f t="array" ref="BB31">IF(BB$11&gt;=0,MAX(INDEX(MMULT(inverseG,BA$12:BA$62),$A31+1,1),MAX(strike-$B31,0)),"")</f>
        <v>0.64705398561690164</v>
      </c>
      <c r="BC31" s="9">
        <f t="array" ref="BC31">IF(BC$11&gt;=0,MAX(INDEX(MMULT(inverseG,BB$12:BB$62),$A31+1,1),MAX(strike-$B31,0)),"")</f>
        <v>0.65035201113273622</v>
      </c>
      <c r="BD31" s="9">
        <f t="array" ref="BD31">IF(BD$11&gt;=0,MAX(INDEX(MMULT(inverseG,BC$12:BC$62),$A31+1,1),MAX(strike-$B31,0)),"")</f>
        <v>0.65359256283446976</v>
      </c>
      <c r="BE31" s="9">
        <f t="array" ref="BE31">IF(BE$11&gt;=0,MAX(INDEX(MMULT(inverseG,BD$12:BD$62),$A31+1,1),MAX(strike-$B31,0)),"")</f>
        <v>0.6567771224480814</v>
      </c>
      <c r="BF31" s="9">
        <f t="array" ref="BF31">IF(BF$11&gt;=0,MAX(INDEX(MMULT(inverseG,BE$12:BE$62),$A31+1,1),MAX(strike-$B31,0)),"")</f>
        <v>0.6599070793241385</v>
      </c>
      <c r="BG31" s="9">
        <f t="array" ref="BG31">IF(BG$11&gt;=0,MAX(INDEX(MMULT(inverseG,BF$12:BF$62),$A31+1,1),MAX(strike-$B31,0)),"")</f>
        <v>0.6629837459441581</v>
      </c>
      <c r="BH31" s="9">
        <f t="array" ref="BH31">IF(BH$11&gt;=0,MAX(INDEX(MMULT(inverseG,BG$12:BG$62),$A31+1,1),MAX(strike-$B31,0)),"")</f>
        <v>0.66600837000800939</v>
      </c>
      <c r="BI31" s="9">
        <f t="array" ref="BI31">IF(BI$11&gt;=0,MAX(INDEX(MMULT(inverseG,BH$12:BH$62),$A31+1,1),MAX(strike-$B31,0)),"")</f>
        <v>0.66898214385918464</v>
      </c>
      <c r="BJ31" s="9">
        <f t="array" ref="BJ31">IF(BJ$11&gt;=0,MAX(INDEX(MMULT(inverseG,BI$12:BI$62),$A31+1,1),MAX(strike-$B31,0)),"")</f>
        <v>0.67190621184638633</v>
      </c>
      <c r="BK31" s="9">
        <f t="array" ref="BK31">IF(BK$11&gt;=0,MAX(INDEX(MMULT(inverseG,BJ$12:BJ$62),$A31+1,1),MAX(strike-$B31,0)),"")</f>
        <v>0.67478167608996154</v>
      </c>
      <c r="BL31" s="9">
        <f t="array" ref="BL31">IF(BL$11&gt;=0,MAX(INDEX(MMULT(inverseG,BK$12:BK$62),$A31+1,1),MAX(strike-$B31,0)),"")</f>
        <v>0.67760960101757972</v>
      </c>
      <c r="BM31" s="9">
        <f t="array" ref="BM31">IF(BM$11&gt;=0,MAX(INDEX(MMULT(inverseG,BL$12:BL$62),$A31+1,1),MAX(strike-$B31,0)),"")</f>
        <v>0.68039101695133541</v>
      </c>
      <c r="BN31" s="9">
        <f t="array" ref="BN31">IF(BN$11&gt;=0,MAX(INDEX(MMULT(inverseG,BM$12:BM$62),$A31+1,1),MAX(strike-$B31,0)),"")</f>
        <v>0.6831269229641973</v>
      </c>
      <c r="BO31" s="9">
        <f t="array" ref="BO31">IF(BO$11&gt;=0,MAX(INDEX(MMULT(inverseG,BN$12:BN$62),$A31+1,1),MAX(strike-$B31,0)),"")</f>
        <v>0.68581828917381793</v>
      </c>
      <c r="BP31" s="9">
        <f t="array" ref="BP31">IF(BP$11&gt;=0,MAX(INDEX(MMULT(inverseG,BO$12:BO$62),$A31+1,1),MAX(strike-$B31,0)),"")</f>
        <v>0.68846605860310894</v>
      </c>
      <c r="BQ31" s="9">
        <f t="array" ref="BQ31">IF(BQ$11&gt;=0,MAX(INDEX(MMULT(inverseG,BP$12:BP$62),$A31+1,1),MAX(strike-$B31,0)),"")</f>
        <v>0.69107114870720388</v>
      </c>
      <c r="BR31" s="9">
        <f t="array" ref="BR31">IF(BR$11&gt;=0,MAX(INDEX(MMULT(inverseG,BQ$12:BQ$62),$A31+1,1),MAX(strike-$B31,0)),"")</f>
        <v>0.69363445264347035</v>
      </c>
      <c r="BS31" s="9">
        <f t="array" ref="BS31">IF(BS$11&gt;=0,MAX(INDEX(MMULT(inverseG,BR$12:BR$62),$A31+1,1),MAX(strike-$B31,0)),"")</f>
        <v>0.69615684034356951</v>
      </c>
      <c r="BT31" s="9">
        <f t="array" ref="BT31">IF(BT$11&gt;=0,MAX(INDEX(MMULT(inverseG,BS$12:BS$62),$A31+1,1),MAX(strike-$B31,0)),"")</f>
        <v>0.69863915943293131</v>
      </c>
      <c r="BU31" s="9">
        <f t="array" ref="BU31">IF(BU$11&gt;=0,MAX(INDEX(MMULT(inverseG,BT$12:BT$62),$A31+1,1),MAX(strike-$B31,0)),"")</f>
        <v>0.7010822360325385</v>
      </c>
      <c r="BV31" s="9">
        <f t="array" ref="BV31">IF(BV$11&gt;=0,MAX(INDEX(MMULT(inverseG,BU$12:BU$62),$A31+1,1),MAX(strike-$B31,0)),"")</f>
        <v>0.70348687546982314</v>
      </c>
      <c r="BW31" s="9">
        <f t="array" ref="BW31">IF(BW$11&gt;=0,MAX(INDEX(MMULT(inverseG,BV$12:BV$62),$A31+1,1),MAX(strike-$B31,0)),"")</f>
        <v>0.70585386291925167</v>
      </c>
      <c r="BX31" s="9">
        <f t="array" ref="BX31">IF(BX$11&gt;=0,MAX(INDEX(MMULT(inverseG,BW$12:BW$62),$A31+1,1),MAX(strike-$B31,0)),"")</f>
        <v>0.70818396398836247</v>
      </c>
      <c r="BY31" s="9">
        <f t="array" ref="BY31">IF(BY$11&gt;=0,MAX(INDEX(MMULT(inverseG,BX$12:BX$62),$A31+1,1),MAX(strike-$B31,0)),"")</f>
        <v>0.71047792526131726</v>
      </c>
      <c r="BZ31" s="9">
        <f t="array" ref="BZ31">IF(BZ$11&gt;=0,MAX(INDEX(MMULT(inverseG,BY$12:BY$62),$A31+1,1),MAX(strike-$B31,0)),"")</f>
        <v>0.71273647480915647</v>
      </c>
      <c r="CA31" s="9">
        <f t="array" ref="CA31">IF(CA$11&gt;=0,MAX(INDEX(MMULT(inverseG,BZ$12:BZ$62),$A31+1,1),MAX(strike-$B31,0)),"")</f>
        <v>0.71496032267374787</v>
      </c>
      <c r="CB31" s="9">
        <f t="array" ref="CB31">IF(CB$11&gt;=0,MAX(INDEX(MMULT(inverseG,CA$12:CA$62),$A31+1,1),MAX(strike-$B31,0)),"")</f>
        <v>0.71715016133071563</v>
      </c>
      <c r="CC31" s="9">
        <f t="array" ref="CC31">IF(CC$11&gt;=0,MAX(INDEX(MMULT(inverseG,CB$12:CB$62),$A31+1,1),MAX(strike-$B31,0)),"")</f>
        <v>0.71930666613531902</v>
      </c>
      <c r="CD31" s="9">
        <f t="array" ref="CD31">IF(CD$11&gt;=0,MAX(INDEX(MMULT(inverseG,CC$12:CC$62),$A31+1,1),MAX(strike-$B31,0)),"")</f>
        <v>0.72143049575425511</v>
      </c>
      <c r="CE31" s="9">
        <f t="array" ref="CE31">IF(CE$11&gt;=0,MAX(INDEX(MMULT(inverseG,CD$12:CD$62),$A31+1,1),MAX(strike-$B31,0)),"")</f>
        <v>0.72352229258557399</v>
      </c>
      <c r="CF31" s="9">
        <f t="array" ref="CF31">IF(CF$11&gt;=0,MAX(INDEX(MMULT(inverseG,CE$12:CE$62),$A31+1,1),MAX(strike-$B31,0)),"")</f>
        <v>0.72558268316831742</v>
      </c>
      <c r="CG31" s="9">
        <f t="array" ref="CG31">IF(CG$11&gt;=0,MAX(INDEX(MMULT(inverseG,CF$12:CF$62),$A31+1,1),MAX(strike-$B31,0)),"")</f>
        <v>0.72761227858303901</v>
      </c>
      <c r="CH31" s="9">
        <f t="array" ref="CH31">IF(CH$11&gt;=0,MAX(INDEX(MMULT(inverseG,CG$12:CG$62),$A31+1,1),MAX(strike-$B31,0)),"")</f>
        <v>0.72961167484401779</v>
      </c>
      <c r="CI31" s="9">
        <f t="array" ref="CI31">IF(CI$11&gt;=0,MAX(INDEX(MMULT(inverseG,CH$12:CH$62),$A31+1,1),MAX(strike-$B31,0)),"")</f>
        <v>0.73158145328373592</v>
      </c>
      <c r="CJ31" s="9">
        <f t="array" ref="CJ31">IF(CJ$11&gt;=0,MAX(INDEX(MMULT(inverseG,CI$12:CI$62),$A31+1,1),MAX(strike-$B31,0)),"")</f>
        <v>0.73352218092999433</v>
      </c>
      <c r="CK31" s="9">
        <f t="array" ref="CK31">IF(CK$11&gt;=0,MAX(INDEX(MMULT(inverseG,CJ$12:CJ$62),$A31+1,1),MAX(strike-$B31,0)),"")</f>
        <v>0.73543441087589867</v>
      </c>
      <c r="CL31" s="9">
        <f t="array" ref="CL31">IF(CL$11&gt;=0,MAX(INDEX(MMULT(inverseG,CK$12:CK$62),$A31+1,1),MAX(strike-$B31,0)),"")</f>
        <v>0.73731868264285938</v>
      </c>
      <c r="CM31" s="9">
        <f t="array" ref="CM31">IF(CM$11&gt;=0,MAX(INDEX(MMULT(inverseG,CL$12:CL$62),$A31+1,1),MAX(strike-$B31,0)),"")</f>
        <v>0.73917552253667351</v>
      </c>
      <c r="CN31" s="9">
        <f t="array" ref="CN31">IF(CN$11&gt;=0,MAX(INDEX(MMULT(inverseG,CM$12:CM$62),$A31+1,1),MAX(strike-$B31,0)),"")</f>
        <v>0.74100544399670087</v>
      </c>
      <c r="CO31" s="9">
        <f t="array" ref="CO31">IF(CO$11&gt;=0,MAX(INDEX(MMULT(inverseG,CN$12:CN$62),$A31+1,1),MAX(strike-$B31,0)),"")</f>
        <v>0.74280894793813923</v>
      </c>
      <c r="CP31" s="9">
        <f t="array" ref="CP31">IF(CP$11&gt;=0,MAX(INDEX(MMULT(inverseG,CO$12:CO$62),$A31+1,1),MAX(strike-$B31,0)),"")</f>
        <v>0.74458652308736317</v>
      </c>
      <c r="CQ31" s="9">
        <f t="array" ref="CQ31">IF(CQ$11&gt;=0,MAX(INDEX(MMULT(inverseG,CP$12:CP$62),$A31+1,1),MAX(strike-$B31,0)),"")</f>
        <v>0.74633864631029578</v>
      </c>
      <c r="CR31" s="9">
        <f t="array" ref="CR31">IF(CR$11&gt;=0,MAX(INDEX(MMULT(inverseG,CQ$12:CQ$62),$A31+1,1),MAX(strike-$B31,0)),"")</f>
        <v>0.74806578293378212</v>
      </c>
      <c r="CS31" s="9">
        <f t="array" ref="CS31">IF(CS$11&gt;=0,MAX(INDEX(MMULT(inverseG,CR$12:CR$62),$A31+1,1),MAX(strike-$B31,0)),"")</f>
        <v>0.7497684241418372</v>
      </c>
      <c r="CT31" s="9">
        <f t="array" ref="CT31">IF(CT$11&gt;=0,MAX(INDEX(MMULT(inverseG,CS$12:CS$62),$A31+1,1),MAX(strike-$B31,0)),"")</f>
        <v>0.75144713754676307</v>
      </c>
      <c r="CU31" s="9">
        <f t="array" ref="CU31">IF(CU$11&gt;=0,MAX(INDEX(MMULT(inverseG,CT$12:CT$62),$A31+1,1),MAX(strike-$B31,0)),"")</f>
        <v>0.75310258519433804</v>
      </c>
      <c r="CV31" s="9">
        <f t="array" ref="CV31">IF(CV$11&gt;=0,MAX(INDEX(MMULT(inverseG,CU$12:CU$62),$A31+1,1),MAX(strike-$B31,0)),"")</f>
        <v>0.75473550765913444</v>
      </c>
      <c r="CW31" s="9">
        <f t="array" ref="CW31">IF(CW$11&gt;=0,MAX(INDEX(MMULT(inverseG,CV$12:CV$62),$A31+1,1),MAX(strike-$B31,0)),"")</f>
        <v>0.7563466903994952</v>
      </c>
      <c r="CX31" s="9">
        <f t="array" ref="CX31">IF(CX$11&gt;=0,MAX(INDEX(MMULT(inverseG,CW$12:CW$62),$A31+1,1),MAX(strike-$B31,0)),"")</f>
        <v>0.75793692741846252</v>
      </c>
      <c r="CY31" s="9">
        <f t="array" ref="CY31">IF(CY$11&gt;=0,MAX(INDEX(MMULT(inverseG,CX$12:CX$62),$A31+1,1),MAX(strike-$B31,0)),"")</f>
        <v>0.75950699088669238</v>
      </c>
      <c r="CZ31" s="9">
        <f t="array" ref="CZ31">IF(CZ$11&gt;=0,MAX(INDEX(MMULT(inverseG,CY$12:CY$62),$A31+1,1),MAX(strike-$B31,0)),"")</f>
        <v>0.76105760982329118</v>
      </c>
      <c r="DA31" s="9" t="str">
        <f t="array" ref="DA31">IF(DA$11&gt;=0,MAX(INDEX(MMULT(inverseG,CZ$12:CZ$62),$A31+1,1),MAX(strike-$B31,0)),"")</f>
        <v/>
      </c>
      <c r="DB31" s="9" t="str">
        <f t="array" ref="DB31">IF(DB$11&gt;=0,MAX(INDEX(MMULT(inverseG,DA$12:DA$62),$A31+1,1),MAX(strike-$B31,0)),"")</f>
        <v/>
      </c>
      <c r="DC31" s="9" t="str">
        <f t="array" ref="DC31">IF(DC$11&gt;=0,MAX(INDEX(MMULT(inverseG,DB$12:DB$62),$A31+1,1),MAX(strike-$B31,0)),"")</f>
        <v/>
      </c>
      <c r="DD31" s="9" t="str">
        <f t="array" ref="DD31">IF(DD$11&gt;=0,MAX(INDEX(MMULT(inverseG,DC$12:DC$62),$A31+1,1),MAX(strike-$B31,0)),"")</f>
        <v/>
      </c>
      <c r="DE31" s="9" t="str">
        <f t="array" ref="DE31">IF(DE$11&gt;=0,MAX(INDEX(MMULT(inverseG,DD$12:DD$62),$A31+1,1),MAX(strike-$B31,0)),"")</f>
        <v/>
      </c>
      <c r="DF31" s="9" t="str">
        <f t="array" ref="DF31">IF(DF$11&gt;=0,MAX(INDEX(MMULT(inverseG,DE$12:DE$62),$A31+1,1),MAX(strike-$B31,0)),"")</f>
        <v/>
      </c>
      <c r="DG31" s="9" t="str">
        <f t="array" ref="DG31">IF(DG$11&gt;=0,MAX(INDEX(MMULT(inverseG,DF$12:DF$62),$A31+1,1),MAX(strike-$B31,0)),"")</f>
        <v/>
      </c>
      <c r="DH31" s="9" t="str">
        <f t="array" ref="DH31">IF(DH$11&gt;=0,MAX(INDEX(MMULT(inverseG,DG$12:DG$62),$A31+1,1),MAX(strike-$B31,0)),"")</f>
        <v/>
      </c>
      <c r="DI31" s="9" t="str">
        <f t="array" ref="DI31">IF(DI$11&gt;=0,MAX(INDEX(MMULT(inverseG,DH$12:DH$62),$A31+1,1),MAX(strike-$B31,0)),"")</f>
        <v/>
      </c>
      <c r="DJ31" s="9" t="str">
        <f t="array" ref="DJ31">IF(DJ$11&gt;=0,MAX(INDEX(MMULT(inverseG,DI$12:DI$62),$A31+1,1),MAX(strike-$B31,0)),"")</f>
        <v/>
      </c>
      <c r="DK31" s="9" t="str">
        <f t="array" ref="DK31">IF(DK$11&gt;=0,MAX(INDEX(MMULT(inverseG,DJ$12:DJ$62),$A31+1,1),MAX(strike-$B31,0)),"")</f>
        <v/>
      </c>
      <c r="DL31" s="9" t="str">
        <f t="array" ref="DL31">IF(DL$11&gt;=0,MAX(INDEX(MMULT(inverseG,DK$12:DK$62),$A31+1,1),MAX(strike-$B31,0)),"")</f>
        <v/>
      </c>
      <c r="DM31" s="9" t="str">
        <f t="array" ref="DM31">IF(DM$11&gt;=0,MAX(INDEX(MMULT(inverseG,DL$12:DL$62),$A31+1,1),MAX(strike-$B31,0)),"")</f>
        <v/>
      </c>
      <c r="DN31" s="9" t="str">
        <f t="array" ref="DN31">IF(DN$11&gt;=0,MAX(INDEX(MMULT(inverseG,DM$12:DM$62),$A31+1,1),MAX(strike-$B31,0)),"")</f>
        <v/>
      </c>
      <c r="DO31" s="9" t="str">
        <f t="array" ref="DO31">IF(DO$11&gt;=0,MAX(INDEX(MMULT(inverseG,DN$12:DN$62),$A31+1,1),MAX(strike-$B31,0)),"")</f>
        <v/>
      </c>
      <c r="DP31" s="9" t="str">
        <f t="array" ref="DP31">IF(DP$11&gt;=0,MAX(INDEX(MMULT(inverseG,DO$12:DO$62),$A31+1,1),MAX(strike-$B31,0)),"")</f>
        <v/>
      </c>
      <c r="DQ31" s="9" t="str">
        <f t="array" ref="DQ31">IF(DQ$11&gt;=0,MAX(INDEX(MMULT(inverseG,DP$12:DP$62),$A31+1,1),MAX(strike-$B31,0)),"")</f>
        <v/>
      </c>
      <c r="DR31" s="9" t="str">
        <f t="array" ref="DR31">IF(DR$11&gt;=0,MAX(INDEX(MMULT(inverseG,DQ$12:DQ$62),$A31+1,1),MAX(strike-$B31,0)),"")</f>
        <v/>
      </c>
      <c r="DS31" s="9" t="str">
        <f t="array" ref="DS31">IF(DS$11&gt;=0,MAX(INDEX(MMULT(inverseG,DR$12:DR$62),$A31+1,1),MAX(strike-$B31,0)),"")</f>
        <v/>
      </c>
      <c r="DT31" s="9" t="str">
        <f t="array" ref="DT31">IF(DT$11&gt;=0,MAX(INDEX(MMULT(inverseG,DS$12:DS$62),$A31+1,1),MAX(strike-$B31,0)),"")</f>
        <v/>
      </c>
      <c r="DU31" s="9" t="str">
        <f t="array" ref="DU31">IF(DU$11&gt;=0,MAX(INDEX(MMULT(inverseG,DT$12:DT$62),$A31+1,1),MAX(strike-$B31,0)),"")</f>
        <v/>
      </c>
      <c r="DV31" s="9" t="str">
        <f t="array" ref="DV31">IF(DV$11&gt;=0,MAX(INDEX(MMULT(inverseG,DU$12:DU$62),$A31+1,1),MAX(strike-$B31,0)),"")</f>
        <v/>
      </c>
      <c r="DW31" s="9" t="str">
        <f t="array" ref="DW31">IF(DW$11&gt;=0,MAX(INDEX(MMULT(inverseG,DV$12:DV$62),$A31+1,1),MAX(strike-$B31,0)),"")</f>
        <v/>
      </c>
      <c r="DX31" s="9" t="str">
        <f t="array" ref="DX31">IF(DX$11&gt;=0,MAX(INDEX(MMULT(inverseG,DW$12:DW$62),$A31+1,1),MAX(strike-$B31,0)),"")</f>
        <v/>
      </c>
      <c r="DY31" s="9" t="str">
        <f t="array" ref="DY31">IF(DY$11&gt;=0,MAX(INDEX(MMULT(inverseG,DX$12:DX$62),$A31+1,1),MAX(strike-$B31,0)),"")</f>
        <v/>
      </c>
      <c r="DZ31" s="9" t="str">
        <f t="array" ref="DZ31">IF(DZ$11&gt;=0,MAX(INDEX(MMULT(inverseG,DY$12:DY$62),$A31+1,1),MAX(strike-$B31,0)),"")</f>
        <v/>
      </c>
      <c r="EA31" s="9" t="str">
        <f t="array" ref="EA31">IF(EA$11&gt;=0,MAX(INDEX(MMULT(inverseG,DZ$12:DZ$62),$A31+1,1),MAX(strike-$B31,0)),"")</f>
        <v/>
      </c>
      <c r="EB31" s="9" t="str">
        <f t="array" ref="EB31">IF(EB$11&gt;=0,MAX(INDEX(MMULT(inverseG,EA$12:EA$62),$A31+1,1),MAX(strike-$B31,0)),"")</f>
        <v/>
      </c>
      <c r="EC31" s="9" t="str">
        <f t="array" ref="EC31">IF(EC$11&gt;=0,MAX(INDEX(MMULT(inverseG,EB$12:EB$62),$A31+1,1),MAX(strike-$B31,0)),"")</f>
        <v/>
      </c>
      <c r="ED31" s="9" t="str">
        <f t="array" ref="ED31">IF(ED$11&gt;=0,MAX(INDEX(MMULT(inverseG,EC$12:EC$62),$A31+1,1),MAX(strike-$B31,0)),"")</f>
        <v/>
      </c>
      <c r="EE31" s="9" t="str">
        <f t="array" ref="EE31">IF(EE$11&gt;=0,MAX(INDEX(MMULT(inverseG,ED$12:ED$62),$A31+1,1),MAX(strike-$B31,0)),"")</f>
        <v/>
      </c>
      <c r="EF31" s="9" t="str">
        <f t="array" ref="EF31">IF(EF$11&gt;=0,MAX(INDEX(MMULT(inverseG,EE$12:EE$62),$A31+1,1),MAX(strike-$B31,0)),"")</f>
        <v/>
      </c>
      <c r="EG31" s="9" t="str">
        <f t="array" ref="EG31">IF(EG$11&gt;=0,MAX(INDEX(MMULT(inverseG,EF$12:EF$62),$A31+1,1),MAX(strike-$B31,0)),"")</f>
        <v/>
      </c>
      <c r="EH31" s="9" t="str">
        <f t="array" ref="EH31">IF(EH$11&gt;=0,MAX(INDEX(MMULT(inverseG,EG$12:EG$62),$A31+1,1),MAX(strike-$B31,0)),"")</f>
        <v/>
      </c>
      <c r="EI31" s="9" t="str">
        <f t="array" ref="EI31">IF(EI$11&gt;=0,MAX(INDEX(MMULT(inverseG,EH$12:EH$62),$A31+1,1),MAX(strike-$B31,0)),"")</f>
        <v/>
      </c>
      <c r="EJ31" s="9" t="str">
        <f t="array" ref="EJ31">IF(EJ$11&gt;=0,MAX(INDEX(MMULT(inverseG,EI$12:EI$62),$A31+1,1),MAX(strike-$B31,0)),"")</f>
        <v/>
      </c>
      <c r="EK31" s="9" t="str">
        <f t="array" ref="EK31">IF(EK$11&gt;=0,MAX(INDEX(MMULT(inverseG,EJ$12:EJ$62),$A31+1,1),MAX(strike-$B31,0)),"")</f>
        <v/>
      </c>
      <c r="EL31" s="9" t="str">
        <f t="array" ref="EL31">IF(EL$11&gt;=0,MAX(INDEX(MMULT(inverseG,EK$12:EK$62),$A31+1,1),MAX(strike-$B31,0)),"")</f>
        <v/>
      </c>
      <c r="EM31" s="9" t="str">
        <f t="array" ref="EM31">IF(EM$11&gt;=0,MAX(INDEX(MMULT(inverseG,EL$12:EL$62),$A31+1,1),MAX(strike-$B31,0)),"")</f>
        <v/>
      </c>
      <c r="EN31" s="9" t="str">
        <f t="array" ref="EN31">IF(EN$11&gt;=0,MAX(INDEX(MMULT(inverseG,EM$12:EM$62),$A31+1,1),MAX(strike-$B31,0)),"")</f>
        <v/>
      </c>
      <c r="EO31" s="9" t="str">
        <f t="array" ref="EO31">IF(EO$11&gt;=0,MAX(INDEX(MMULT(inverseG,EN$12:EN$62),$A31+1,1),MAX(strike-$B31,0)),"")</f>
        <v/>
      </c>
      <c r="EP31" s="9" t="str">
        <f t="array" ref="EP31">IF(EP$11&gt;=0,MAX(INDEX(MMULT(inverseG,EO$12:EO$62),$A31+1,1),MAX(strike-$B31,0)),"")</f>
        <v/>
      </c>
      <c r="EQ31" s="9" t="str">
        <f t="array" ref="EQ31">IF(EQ$11&gt;=0,MAX(INDEX(MMULT(inverseG,EP$12:EP$62),$A31+1,1),MAX(strike-$B31,0)),"")</f>
        <v/>
      </c>
      <c r="ER31" s="9" t="str">
        <f t="array" ref="ER31">IF(ER$11&gt;=0,MAX(INDEX(MMULT(inverseG,EQ$12:EQ$62),$A31+1,1),MAX(strike-$B31,0)),"")</f>
        <v/>
      </c>
      <c r="ES31" s="9" t="str">
        <f t="array" ref="ES31">IF(ES$11&gt;=0,MAX(INDEX(MMULT(inverseG,ER$12:ER$62),$A31+1,1),MAX(strike-$B31,0)),"")</f>
        <v/>
      </c>
      <c r="ET31" s="9" t="str">
        <f t="array" ref="ET31">IF(ET$11&gt;=0,MAX(INDEX(MMULT(inverseG,ES$12:ES$62),$A31+1,1),MAX(strike-$B31,0)),"")</f>
        <v/>
      </c>
      <c r="EU31" s="9" t="str">
        <f t="array" ref="EU31">IF(EU$11&gt;=0,MAX(INDEX(MMULT(inverseG,ET$12:ET$62),$A31+1,1),MAX(strike-$B31,0)),"")</f>
        <v/>
      </c>
      <c r="EV31" s="9" t="str">
        <f t="array" ref="EV31">IF(EV$11&gt;=0,MAX(INDEX(MMULT(inverseG,EU$12:EU$62),$A31+1,1),MAX(strike-$B31,0)),"")</f>
        <v/>
      </c>
      <c r="EW31" s="9" t="str">
        <f t="array" ref="EW31">IF(EW$11&gt;=0,MAX(INDEX(MMULT(inverseG,EV$12:EV$62),$A31+1,1),MAX(strike-$B31,0)),"")</f>
        <v/>
      </c>
      <c r="EX31" s="9" t="str">
        <f t="array" ref="EX31">IF(EX$11&gt;=0,MAX(INDEX(MMULT(inverseG,EW$12:EW$62),$A31+1,1),MAX(strike-$B31,0)),"")</f>
        <v/>
      </c>
      <c r="EY31" s="9" t="str">
        <f t="array" ref="EY31">IF(EY$11&gt;=0,MAX(INDEX(MMULT(inverseG,EX$12:EX$62),$A31+1,1),MAX(strike-$B31,0)),"")</f>
        <v/>
      </c>
      <c r="EZ31" s="9" t="str">
        <f t="array" ref="EZ31">IF(EZ$11&gt;=0,MAX(INDEX(MMULT(inverseG,EY$12:EY$62),$A31+1,1),MAX(strike-$B31,0)),"")</f>
        <v/>
      </c>
      <c r="FA31" s="9" t="str">
        <f t="array" ref="FA31">IF(FA$11&gt;=0,MAX(INDEX(MMULT(inverseG,EZ$12:EZ$62),$A31+1,1),MAX(strike-$B31,0)),"")</f>
        <v/>
      </c>
      <c r="FB31" s="9" t="str">
        <f t="array" ref="FB31">IF(FB$11&gt;=0,MAX(INDEX(MMULT(inverseG,FA$12:FA$62),$A31+1,1),MAX(strike-$B31,0)),"")</f>
        <v/>
      </c>
      <c r="FC31" s="9" t="str">
        <f t="array" ref="FC31">IF(FC$11&gt;=0,MAX(INDEX(MMULT(inverseG,FB$12:FB$62),$A31+1,1),MAX(strike-$B31,0)),"")</f>
        <v/>
      </c>
      <c r="FD31" s="9" t="str">
        <f t="array" ref="FD31">IF(FD$11&gt;=0,MAX(INDEX(MMULT(inverseG,FC$12:FC$62),$A31+1,1),MAX(strike-$B31,0)),"")</f>
        <v/>
      </c>
      <c r="FE31" s="9" t="str">
        <f t="array" ref="FE31">IF(FE$11&gt;=0,MAX(INDEX(MMULT(inverseG,FD$12:FD$62),$A31+1,1),MAX(strike-$B31,0)),"")</f>
        <v/>
      </c>
      <c r="FF31" s="9" t="str">
        <f t="array" ref="FF31">IF(FF$11&gt;=0,MAX(INDEX(MMULT(inverseG,FE$12:FE$62),$A31+1,1),MAX(strike-$B31,0)),"")</f>
        <v/>
      </c>
      <c r="FG31" s="9" t="str">
        <f t="array" ref="FG31">IF(FG$11&gt;=0,MAX(INDEX(MMULT(inverseG,FF$12:FF$62),$A31+1,1),MAX(strike-$B31,0)),"")</f>
        <v/>
      </c>
      <c r="FH31" s="9" t="str">
        <f t="array" ref="FH31">IF(FH$11&gt;=0,MAX(INDEX(MMULT(inverseG,FG$12:FG$62),$A31+1,1),MAX(strike-$B31,0)),"")</f>
        <v/>
      </c>
      <c r="FI31" s="9" t="str">
        <f t="array" ref="FI31">IF(FI$11&gt;=0,MAX(INDEX(MMULT(inverseG,FH$12:FH$62),$A31+1,1),MAX(strike-$B31,0)),"")</f>
        <v/>
      </c>
      <c r="FJ31" s="9" t="str">
        <f t="array" ref="FJ31">IF(FJ$11&gt;=0,MAX(INDEX(MMULT(inverseG,FI$12:FI$62),$A31+1,1),MAX(strike-$B31,0)),"")</f>
        <v/>
      </c>
      <c r="FK31" s="9" t="str">
        <f t="array" ref="FK31">IF(FK$11&gt;=0,MAX(INDEX(MMULT(inverseG,FJ$12:FJ$62),$A31+1,1),MAX(strike-$B31,0)),"")</f>
        <v/>
      </c>
      <c r="FL31" s="9" t="str">
        <f t="array" ref="FL31">IF(FL$11&gt;=0,MAX(INDEX(MMULT(inverseG,FK$12:FK$62),$A31+1,1),MAX(strike-$B31,0)),"")</f>
        <v/>
      </c>
      <c r="FM31" s="9" t="str">
        <f t="array" ref="FM31">IF(FM$11&gt;=0,MAX(INDEX(MMULT(inverseG,FL$12:FL$62),$A31+1,1),MAX(strike-$B31,0)),"")</f>
        <v/>
      </c>
      <c r="FN31" s="9" t="str">
        <f t="array" ref="FN31">IF(FN$11&gt;=0,MAX(INDEX(MMULT(inverseG,FM$12:FM$62),$A31+1,1),MAX(strike-$B31,0)),"")</f>
        <v/>
      </c>
      <c r="FO31" s="9" t="str">
        <f t="array" ref="FO31">IF(FO$11&gt;=0,MAX(INDEX(MMULT(inverseG,FN$12:FN$62),$A31+1,1),MAX(strike-$B31,0)),"")</f>
        <v/>
      </c>
      <c r="FP31" s="9" t="str">
        <f t="array" ref="FP31">IF(FP$11&gt;=0,MAX(INDEX(MMULT(inverseG,FO$12:FO$62),$A31+1,1),MAX(strike-$B31,0)),"")</f>
        <v/>
      </c>
      <c r="FQ31" s="9" t="str">
        <f t="array" ref="FQ31">IF(FQ$11&gt;=0,MAX(INDEX(MMULT(inverseG,FP$12:FP$62),$A31+1,1),MAX(strike-$B31,0)),"")</f>
        <v/>
      </c>
      <c r="FR31" s="9" t="str">
        <f t="array" ref="FR31">IF(FR$11&gt;=0,MAX(INDEX(MMULT(inverseG,FQ$12:FQ$62),$A31+1,1),MAX(strike-$B31,0)),"")</f>
        <v/>
      </c>
      <c r="FS31" s="9" t="str">
        <f t="array" ref="FS31">IF(FS$11&gt;=0,MAX(INDEX(MMULT(inverseG,FR$12:FR$62),$A31+1,1),MAX(strike-$B31,0)),"")</f>
        <v/>
      </c>
      <c r="FT31" s="9" t="str">
        <f t="array" ref="FT31">IF(FT$11&gt;=0,MAX(INDEX(MMULT(inverseG,FS$12:FS$62),$A31+1,1),MAX(strike-$B31,0)),"")</f>
        <v/>
      </c>
      <c r="FU31" s="9" t="str">
        <f t="array" ref="FU31">IF(FU$11&gt;=0,MAX(INDEX(MMULT(inverseG,FT$12:FT$62),$A31+1,1),MAX(strike-$B31,0)),"")</f>
        <v/>
      </c>
      <c r="FV31" s="9" t="str">
        <f t="array" ref="FV31">IF(FV$11&gt;=0,MAX(INDEX(MMULT(inverseG,FU$12:FU$62),$A31+1,1),MAX(strike-$B31,0)),"")</f>
        <v/>
      </c>
      <c r="FW31" s="9" t="str">
        <f t="array" ref="FW31">IF(FW$11&gt;=0,MAX(INDEX(MMULT(inverseG,FV$12:FV$62),$A31+1,1),MAX(strike-$B31,0)),"")</f>
        <v/>
      </c>
      <c r="FX31" s="9" t="str">
        <f t="array" ref="FX31">IF(FX$11&gt;=0,MAX(INDEX(MMULT(inverseG,FW$12:FW$62),$A31+1,1),MAX(strike-$B31,0)),"")</f>
        <v/>
      </c>
      <c r="FY31" s="9" t="str">
        <f t="array" ref="FY31">IF(FY$11&gt;=0,MAX(INDEX(MMULT(inverseG,FX$12:FX$62),$A31+1,1),MAX(strike-$B31,0)),"")</f>
        <v/>
      </c>
      <c r="FZ31" s="9" t="str">
        <f t="array" ref="FZ31">IF(FZ$11&gt;=0,MAX(INDEX(MMULT(inverseG,FY$12:FY$62),$A31+1,1),MAX(strike-$B31,0)),"")</f>
        <v/>
      </c>
      <c r="GA31" s="9" t="str">
        <f t="array" ref="GA31">IF(GA$11&gt;=0,MAX(INDEX(MMULT(inverseG,FZ$12:FZ$62),$A31+1,1),MAX(strike-$B31,0)),"")</f>
        <v/>
      </c>
      <c r="GB31" s="9" t="str">
        <f t="array" ref="GB31">IF(GB$11&gt;=0,MAX(INDEX(MMULT(inverseG,GA$12:GA$62),$A31+1,1),MAX(strike-$B31,0)),"")</f>
        <v/>
      </c>
      <c r="GC31" s="9" t="str">
        <f t="array" ref="GC31">IF(GC$11&gt;=0,MAX(INDEX(MMULT(inverseG,GB$12:GB$62),$A31+1,1),MAX(strike-$B31,0)),"")</f>
        <v/>
      </c>
      <c r="GD31" s="9" t="str">
        <f t="array" ref="GD31">IF(GD$11&gt;=0,MAX(INDEX(MMULT(inverseG,GC$12:GC$62),$A31+1,1),MAX(strike-$B31,0)),"")</f>
        <v/>
      </c>
      <c r="GE31" s="9" t="str">
        <f t="array" ref="GE31">IF(GE$11&gt;=0,MAX(INDEX(MMULT(inverseG,GD$12:GD$62),$A31+1,1),MAX(strike-$B31,0)),"")</f>
        <v/>
      </c>
      <c r="GF31" s="9" t="str">
        <f t="array" ref="GF31">IF(GF$11&gt;=0,MAX(INDEX(MMULT(inverseG,GE$12:GE$62),$A31+1,1),MAX(strike-$B31,0)),"")</f>
        <v/>
      </c>
      <c r="GG31" s="9" t="str">
        <f t="array" ref="GG31">IF(GG$11&gt;=0,MAX(INDEX(MMULT(inverseG,GF$12:GF$62),$A31+1,1),MAX(strike-$B31,0)),"")</f>
        <v/>
      </c>
      <c r="GH31" s="9" t="str">
        <f t="array" ref="GH31">IF(GH$11&gt;=0,MAX(INDEX(MMULT(inverseG,GG$12:GG$62),$A31+1,1),MAX(strike-$B31,0)),"")</f>
        <v/>
      </c>
      <c r="GI31" s="9" t="str">
        <f t="array" ref="GI31">IF(GI$11&gt;=0,MAX(INDEX(MMULT(inverseG,GH$12:GH$62),$A31+1,1),MAX(strike-$B31,0)),"")</f>
        <v/>
      </c>
      <c r="GJ31" s="9" t="str">
        <f t="array" ref="GJ31">IF(GJ$11&gt;=0,MAX(INDEX(MMULT(inverseG,GI$12:GI$62),$A31+1,1),MAX(strike-$B31,0)),"")</f>
        <v/>
      </c>
      <c r="GK31" s="9" t="str">
        <f t="array" ref="GK31">IF(GK$11&gt;=0,MAX(INDEX(MMULT(inverseG,GJ$12:GJ$62),$A31+1,1),MAX(strike-$B31,0)),"")</f>
        <v/>
      </c>
      <c r="GL31" s="9" t="str">
        <f t="array" ref="GL31">IF(GL$11&gt;=0,MAX(INDEX(MMULT(inverseG,GK$12:GK$62),$A31+1,1),MAX(strike-$B31,0)),"")</f>
        <v/>
      </c>
      <c r="GM31" s="9" t="str">
        <f t="array" ref="GM31">IF(GM$11&gt;=0,MAX(INDEX(MMULT(inverseG,GL$12:GL$62),$A31+1,1),MAX(strike-$B31,0)),"")</f>
        <v/>
      </c>
      <c r="GN31" s="9" t="str">
        <f t="array" ref="GN31">IF(GN$11&gt;=0,MAX(INDEX(MMULT(inverseG,GM$12:GM$62),$A31+1,1),MAX(strike-$B31,0)),"")</f>
        <v/>
      </c>
      <c r="GO31" s="9" t="str">
        <f t="array" ref="GO31">IF(GO$11&gt;=0,MAX(INDEX(MMULT(inverseG,GN$12:GN$62),$A31+1,1),MAX(strike-$B31,0)),"")</f>
        <v/>
      </c>
      <c r="GP31" s="9" t="str">
        <f t="array" ref="GP31">IF(GP$11&gt;=0,MAX(INDEX(MMULT(inverseG,GO$12:GO$62),$A31+1,1),MAX(strike-$B31,0)),"")</f>
        <v/>
      </c>
      <c r="GQ31" s="9" t="str">
        <f t="array" ref="GQ31">IF(GQ$11&gt;=0,MAX(INDEX(MMULT(inverseG,GP$12:GP$62),$A31+1,1),MAX(strike-$B31,0)),"")</f>
        <v/>
      </c>
      <c r="GR31" s="9" t="str">
        <f t="array" ref="GR31">IF(GR$11&gt;=0,MAX(INDEX(MMULT(inverseG,GQ$12:GQ$62),$A31+1,1),MAX(strike-$B31,0)),"")</f>
        <v/>
      </c>
      <c r="GS31" s="9" t="str">
        <f t="array" ref="GS31">IF(GS$11&gt;=0,MAX(INDEX(MMULT(inverseG,GR$12:GR$62),$A31+1,1),MAX(strike-$B31,0)),"")</f>
        <v/>
      </c>
      <c r="GT31" s="9" t="str">
        <f t="array" ref="GT31">IF(GT$11&gt;=0,MAX(INDEX(MMULT(inverseG,GS$12:GS$62),$A31+1,1),MAX(strike-$B31,0)),"")</f>
        <v/>
      </c>
      <c r="GU31" s="9" t="str">
        <f t="array" ref="GU31">IF(GU$11&gt;=0,MAX(INDEX(MMULT(inverseG,GT$12:GT$62),$A31+1,1),MAX(strike-$B31,0)),"")</f>
        <v/>
      </c>
      <c r="GV31" s="9" t="str">
        <f t="array" ref="GV31">IF(GV$11&gt;=0,MAX(INDEX(MMULT(inverseG,GU$12:GU$62),$A31+1,1),MAX(strike-$B31,0)),"")</f>
        <v/>
      </c>
      <c r="GW31" s="9" t="str">
        <f t="array" ref="GW31">IF(GW$11&gt;=0,MAX(INDEX(MMULT(inverseG,GV$12:GV$62),$A31+1,1),MAX(strike-$B31,0)),"")</f>
        <v/>
      </c>
      <c r="GX31" s="9" t="str">
        <f t="array" ref="GX31">IF(GX$11&gt;=0,MAX(INDEX(MMULT(inverseG,GW$12:GW$62),$A31+1,1),MAX(strike-$B31,0)),"")</f>
        <v/>
      </c>
      <c r="GY31" s="9" t="str">
        <f t="array" ref="GY31">IF(GY$11&gt;=0,MAX(INDEX(MMULT(inverseG,GX$12:GX$62),$A31+1,1),MAX(strike-$B31,0)),"")</f>
        <v/>
      </c>
      <c r="GZ31" s="9" t="str">
        <f t="array" ref="GZ31">IF(GZ$11&gt;=0,MAX(INDEX(MMULT(inverseG,GY$12:GY$62),$A31+1,1),MAX(strike-$B31,0)),"")</f>
        <v/>
      </c>
      <c r="HA31" s="9" t="str">
        <f t="array" ref="HA31">IF(HA$11&gt;=0,MAX(INDEX(MMULT(inverseG,GZ$12:GZ$62),$A31+1,1),MAX(strike-$B31,0)),"")</f>
        <v/>
      </c>
      <c r="HB31" s="9" t="str">
        <f t="array" ref="HB31">IF(HB$11&gt;=0,MAX(INDEX(MMULT(inverseG,HA$12:HA$62),$A31+1,1),MAX(strike-$B31,0)),"")</f>
        <v/>
      </c>
      <c r="HC31" s="9" t="str">
        <f t="array" ref="HC31">IF(HC$11&gt;=0,MAX(INDEX(MMULT(inverseG,HB$12:HB$62),$A31+1,1),MAX(strike-$B31,0)),"")</f>
        <v/>
      </c>
      <c r="HD31" s="9" t="str">
        <f t="array" ref="HD31">IF(HD$11&gt;=0,MAX(INDEX(MMULT(inverseG,HC$12:HC$62),$A31+1,1),MAX(strike-$B31,0)),"")</f>
        <v/>
      </c>
      <c r="HE31" s="9" t="str">
        <f t="array" ref="HE31">IF(HE$11&gt;=0,MAX(INDEX(MMULT(inverseG,HD$12:HD$62),$A31+1,1),MAX(strike-$B31,0)),"")</f>
        <v/>
      </c>
      <c r="HF31" s="9" t="str">
        <f t="array" ref="HF31">IF(HF$11&gt;=0,MAX(INDEX(MMULT(inverseG,HE$12:HE$62),$A31+1,1),MAX(strike-$B31,0)),"")</f>
        <v/>
      </c>
      <c r="HG31" s="9" t="str">
        <f t="array" ref="HG31">IF(HG$11&gt;=0,MAX(INDEX(MMULT(inverseG,HF$12:HF$62),$A31+1,1),MAX(strike-$B31,0)),"")</f>
        <v/>
      </c>
      <c r="HH31" s="9" t="str">
        <f t="array" ref="HH31">IF(HH$11&gt;=0,MAX(INDEX(MMULT(inverseG,HG$12:HG$62),$A31+1,1),MAX(strike-$B31,0)),"")</f>
        <v/>
      </c>
      <c r="HI31" s="9" t="str">
        <f t="array" ref="HI31">IF(HI$11&gt;=0,MAX(INDEX(MMULT(inverseG,HH$12:HH$62),$A31+1,1),MAX(strike-$B31,0)),"")</f>
        <v/>
      </c>
      <c r="HJ31" s="9" t="str">
        <f t="array" ref="HJ31">IF(HJ$11&gt;=0,MAX(INDEX(MMULT(inverseG,HI$12:HI$62),$A31+1,1),MAX(strike-$B31,0)),"")</f>
        <v/>
      </c>
      <c r="HK31" s="9" t="str">
        <f t="array" ref="HK31">IF(HK$11&gt;=0,MAX(INDEX(MMULT(inverseG,HJ$12:HJ$62),$A31+1,1),MAX(strike-$B31,0)),"")</f>
        <v/>
      </c>
      <c r="HL31" s="9" t="str">
        <f t="array" ref="HL31">IF(HL$11&gt;=0,MAX(INDEX(MMULT(inverseG,HK$12:HK$62),$A31+1,1),MAX(strike-$B31,0)),"")</f>
        <v/>
      </c>
      <c r="HM31" s="9" t="str">
        <f t="array" ref="HM31">IF(HM$11&gt;=0,MAX(INDEX(MMULT(inverseG,HL$12:HL$62),$A31+1,1),MAX(strike-$B31,0)),"")</f>
        <v/>
      </c>
      <c r="HN31" s="9" t="str">
        <f t="array" ref="HN31">IF(HN$11&gt;=0,MAX(INDEX(MMULT(inverseG,HM$12:HM$62),$A31+1,1),MAX(strike-$B31,0)),"")</f>
        <v/>
      </c>
      <c r="HO31" s="9" t="str">
        <f t="array" ref="HO31">IF(HO$11&gt;=0,MAX(INDEX(MMULT(inverseG,HN$12:HN$62),$A31+1,1),MAX(strike-$B31,0)),"")</f>
        <v/>
      </c>
      <c r="HP31" s="9" t="str">
        <f t="array" ref="HP31">IF(HP$11&gt;=0,MAX(INDEX(MMULT(inverseG,HO$12:HO$62),$A31+1,1),MAX(strike-$B31,0)),"")</f>
        <v/>
      </c>
      <c r="HQ31" s="9" t="str">
        <f t="array" ref="HQ31">IF(HQ$11&gt;=0,MAX(INDEX(MMULT(inverseG,HP$12:HP$62),$A31+1,1),MAX(strike-$B31,0)),"")</f>
        <v/>
      </c>
      <c r="HR31" s="9" t="str">
        <f t="array" ref="HR31">IF(HR$11&gt;=0,MAX(INDEX(MMULT(inverseG,HQ$12:HQ$62),$A31+1,1),MAX(strike-$B31,0)),"")</f>
        <v/>
      </c>
      <c r="HS31" s="9" t="str">
        <f t="array" ref="HS31">IF(HS$11&gt;=0,MAX(INDEX(MMULT(inverseG,HR$12:HR$62),$A31+1,1),MAX(strike-$B31,0)),"")</f>
        <v/>
      </c>
      <c r="HT31" s="9" t="str">
        <f t="array" ref="HT31">IF(HT$11&gt;=0,MAX(INDEX(MMULT(inverseG,HS$12:HS$62),$A31+1,1),MAX(strike-$B31,0)),"")</f>
        <v/>
      </c>
      <c r="HU31" s="9" t="str">
        <f t="array" ref="HU31">IF(HU$11&gt;=0,MAX(INDEX(MMULT(inverseG,HT$12:HT$62),$A31+1,1),MAX(strike-$B31,0)),"")</f>
        <v/>
      </c>
      <c r="HV31" s="9" t="str">
        <f t="array" ref="HV31">IF(HV$11&gt;=0,MAX(INDEX(MMULT(inverseG,HU$12:HU$62),$A31+1,1),MAX(strike-$B31,0)),"")</f>
        <v/>
      </c>
      <c r="HW31" s="9" t="str">
        <f t="array" ref="HW31">IF(HW$11&gt;=0,MAX(INDEX(MMULT(inverseG,HV$12:HV$62),$A31+1,1),MAX(strike-$B31,0)),"")</f>
        <v/>
      </c>
      <c r="HX31" s="9" t="str">
        <f t="array" ref="HX31">IF(HX$11&gt;=0,MAX(INDEX(MMULT(inverseG,HW$12:HW$62),$A31+1,1),MAX(strike-$B31,0)),"")</f>
        <v/>
      </c>
      <c r="HY31" s="9" t="str">
        <f t="array" ref="HY31">IF(HY$11&gt;=0,MAX(INDEX(MMULT(inverseG,HX$12:HX$62),$A31+1,1),MAX(strike-$B31,0)),"")</f>
        <v/>
      </c>
      <c r="HZ31" s="9" t="str">
        <f t="array" ref="HZ31">IF(HZ$11&gt;=0,MAX(INDEX(MMULT(inverseG,HY$12:HY$62),$A31+1,1),MAX(strike-$B31,0)),"")</f>
        <v/>
      </c>
      <c r="IA31" s="9" t="str">
        <f t="array" ref="IA31">IF(IA$11&gt;=0,MAX(INDEX(MMULT(inverseG,HZ$12:HZ$62),$A31+1,1),MAX(strike-$B31,0)),"")</f>
        <v/>
      </c>
      <c r="IB31" s="9" t="str">
        <f t="array" ref="IB31">IF(IB$11&gt;=0,MAX(INDEX(MMULT(inverseG,IA$12:IA$62),$A31+1,1),MAX(strike-$B31,0)),"")</f>
        <v/>
      </c>
      <c r="IC31" s="9" t="str">
        <f t="array" ref="IC31">IF(IC$11&gt;=0,MAX(INDEX(MMULT(inverseG,IB$12:IB$62),$A31+1,1),MAX(strike-$B31,0)),"")</f>
        <v/>
      </c>
      <c r="ID31" s="9" t="str">
        <f t="array" ref="ID31">IF(ID$11&gt;=0,MAX(INDEX(MMULT(inverseG,IC$12:IC$62),$A31+1,1),MAX(strike-$B31,0)),"")</f>
        <v/>
      </c>
      <c r="IE31" s="9" t="str">
        <f t="array" ref="IE31">IF(IE$11&gt;=0,MAX(INDEX(MMULT(inverseG,ID$12:ID$62),$A31+1,1),MAX(strike-$B31,0)),"")</f>
        <v/>
      </c>
      <c r="IF31" s="9" t="str">
        <f t="array" ref="IF31">IF(IF$11&gt;=0,MAX(INDEX(MMULT(inverseG,IE$12:IE$62),$A31+1,1),MAX(strike-$B31,0)),"")</f>
        <v/>
      </c>
      <c r="IG31" s="9" t="str">
        <f t="array" ref="IG31">IF(IG$11&gt;=0,MAX(INDEX(MMULT(inverseG,IF$12:IF$62),$A31+1,1),MAX(strike-$B31,0)),"")</f>
        <v/>
      </c>
      <c r="IH31" s="9" t="str">
        <f t="array" ref="IH31">IF(IH$11&gt;=0,MAX(INDEX(MMULT(inverseG,IG$12:IG$62),$A31+1,1),MAX(strike-$B31,0)),"")</f>
        <v/>
      </c>
      <c r="II31" s="9" t="str">
        <f t="array" ref="II31">IF(II$11&gt;=0,MAX(INDEX(MMULT(inverseG,IH$12:IH$62),$A31+1,1),MAX(strike-$B31,0)),"")</f>
        <v/>
      </c>
      <c r="IJ31" s="9" t="str">
        <f t="array" ref="IJ31">IF(IJ$11&gt;=0,MAX(INDEX(MMULT(inverseG,II$12:II$62),$A31+1,1),MAX(strike-$B31,0)),"")</f>
        <v/>
      </c>
      <c r="IK31" s="9" t="str">
        <f t="array" ref="IK31">IF(IK$11&gt;=0,MAX(INDEX(MMULT(inverseG,IJ$12:IJ$62),$A31+1,1),MAX(strike-$B31,0)),"")</f>
        <v/>
      </c>
      <c r="IL31" s="9" t="str">
        <f t="array" ref="IL31">IF(IL$11&gt;=0,MAX(INDEX(MMULT(inverseG,IK$12:IK$62),$A31+1,1),MAX(strike-$B31,0)),"")</f>
        <v/>
      </c>
      <c r="IM31" s="9" t="str">
        <f t="array" ref="IM31">IF(IM$11&gt;=0,MAX(INDEX(MMULT(inverseG,IL$12:IL$62),$A31+1,1),MAX(strike-$B31,0)),"")</f>
        <v/>
      </c>
      <c r="IN31" s="9" t="str">
        <f t="array" ref="IN31">IF(IN$11&gt;=0,MAX(INDEX(MMULT(inverseG,IM$12:IM$62),$A31+1,1),MAX(strike-$B31,0)),"")</f>
        <v/>
      </c>
      <c r="IO31" s="9" t="str">
        <f t="array" ref="IO31">IF(IO$11&gt;=0,MAX(INDEX(MMULT(inverseG,IN$12:IN$62),$A31+1,1),MAX(strike-$B31,0)),"")</f>
        <v/>
      </c>
      <c r="IP31" s="9" t="str">
        <f t="array" ref="IP31">IF(IP$11&gt;=0,MAX(INDEX(MMULT(inverseG,IO$12:IO$62),$A31+1,1),MAX(strike-$B31,0)),"")</f>
        <v/>
      </c>
      <c r="IQ31" s="9" t="str">
        <f t="array" ref="IQ31">IF(IQ$11&gt;=0,MAX(INDEX(MMULT(inverseG,IP$12:IP$62),$A31+1,1),MAX(strike-$B31,0)),"")</f>
        <v/>
      </c>
      <c r="IR31" s="9" t="str">
        <f t="array" ref="IR31">IF(IR$11&gt;=0,MAX(INDEX(MMULT(inverseG,IQ$12:IQ$62),$A31+1,1),MAX(strike-$B31,0)),"")</f>
        <v/>
      </c>
      <c r="IS31" s="9" t="str">
        <f t="array" ref="IS31">IF(IS$11&gt;=0,MAX(INDEX(MMULT(inverseG,IR$12:IR$62),$A31+1,1),MAX(strike-$B31,0)),"")</f>
        <v/>
      </c>
      <c r="IT31" s="9" t="str">
        <f t="array" ref="IT31">IF(IT$11&gt;=0,MAX(INDEX(MMULT(inverseG,IS$12:IS$62),$A31+1,1),MAX(strike-$B31,0)),"")</f>
        <v/>
      </c>
      <c r="IU31" s="9" t="str">
        <f t="array" ref="IU31">IF(IU$11&gt;=0,MAX(INDEX(MMULT(inverseG,IT$12:IT$62),$A31+1,1),MAX(strike-$B31,0)),"")</f>
        <v/>
      </c>
      <c r="IV31" s="9" t="str">
        <f t="array" ref="IV31">IF(IV$11&gt;=0,MAX(INDEX(MMULT(inverseG,IU$12:IU$62),$A31+1,1),MAX(strike-$B31,0)),"")</f>
        <v/>
      </c>
    </row>
    <row r="32" spans="1:256" x14ac:dyDescent="0.2">
      <c r="A32" s="8">
        <f t="shared" si="7"/>
        <v>20</v>
      </c>
      <c r="B32" s="6">
        <f t="shared" si="4"/>
        <v>5</v>
      </c>
      <c r="C32" s="30">
        <f t="shared" ca="1" si="6"/>
        <v>0.66950848443522948</v>
      </c>
      <c r="D32" s="9">
        <f t="shared" si="5"/>
        <v>0</v>
      </c>
      <c r="E32" s="9">
        <f t="array" ref="E32">IF(E$11&gt;=0,MAX(INDEX(MMULT(inverseG,D$12:D$62),$A32+1,1),MAX(strike-$B32,0)),"")</f>
        <v>7.7243475958293298E-2</v>
      </c>
      <c r="F32" s="9">
        <f t="array" ref="F32">IF(F$11&gt;=0,MAX(INDEX(MMULT(inverseG,E$12:E$62),$A32+1,1),MAX(strike-$B32,0)),"")</f>
        <v>0.12505233758589659</v>
      </c>
      <c r="G32" s="9">
        <f t="array" ref="G32">IF(G$11&gt;=0,MAX(INDEX(MMULT(inverseG,F$12:F$62),$A32+1,1),MAX(strike-$B32,0)),"")</f>
        <v>0.15920754558098238</v>
      </c>
      <c r="H32" s="9">
        <f t="array" ref="H32">IF(H$11&gt;=0,MAX(INDEX(MMULT(inverseG,G$12:G$62),$A32+1,1),MAX(strike-$B32,0)),"")</f>
        <v>0.1861570641995188</v>
      </c>
      <c r="I32" s="9">
        <f t="array" ref="I32">IF(I$11&gt;=0,MAX(INDEX(MMULT(inverseG,H$12:H$62),$A32+1,1),MAX(strike-$B32,0)),"")</f>
        <v>0.20877893020438901</v>
      </c>
      <c r="J32" s="9">
        <f t="array" ref="J32">IF(J$11&gt;=0,MAX(INDEX(MMULT(inverseG,I$12:I$62),$A32+1,1),MAX(strike-$B32,0)),"")</f>
        <v>0.22848729831031458</v>
      </c>
      <c r="K32" s="9">
        <f t="array" ref="K32">IF(K$11&gt;=0,MAX(INDEX(MMULT(inverseG,J$12:J$62),$A32+1,1),MAX(strike-$B32,0)),"")</f>
        <v>0.24605149411272617</v>
      </c>
      <c r="L32" s="9">
        <f t="array" ref="L32">IF(L$11&gt;=0,MAX(INDEX(MMULT(inverseG,K$12:K$62),$A32+1,1),MAX(strike-$B32,0)),"")</f>
        <v>0.26196078142922458</v>
      </c>
      <c r="M32" s="9">
        <f t="array" ref="M32">IF(M$11&gt;=0,MAX(INDEX(MMULT(inverseG,L$12:L$62),$A32+1,1),MAX(strike-$B32,0)),"")</f>
        <v>0.27655183302092629</v>
      </c>
      <c r="N32" s="9">
        <f t="array" ref="N32">IF(N$11&gt;=0,MAX(INDEX(MMULT(inverseG,M$12:M$62),$A32+1,1),MAX(strike-$B32,0)),"")</f>
        <v>0.29006484756003142</v>
      </c>
      <c r="O32" s="9">
        <f t="array" ref="O32">IF(O$11&gt;=0,MAX(INDEX(MMULT(inverseG,N$12:N$62),$A32+1,1),MAX(strike-$B32,0)),"")</f>
        <v>0.30267484443542092</v>
      </c>
      <c r="P32" s="9">
        <f t="array" ref="P32">IF(P$11&gt;=0,MAX(INDEX(MMULT(inverseG,O$12:O$62),$A32+1,1),MAX(strike-$B32,0)),"")</f>
        <v>0.31451176732913927</v>
      </c>
      <c r="Q32" s="9">
        <f t="array" ref="Q32">IF(Q$11&gt;=0,MAX(INDEX(MMULT(inverseG,P$12:P$62),$A32+1,1),MAX(strike-$B32,0)),"")</f>
        <v>0.32567411164634597</v>
      </c>
      <c r="R32" s="9">
        <f t="array" ref="R32">IF(R$11&gt;=0,MAX(INDEX(MMULT(inverseG,Q$12:Q$62),$A32+1,1),MAX(strike-$B32,0)),"")</f>
        <v>0.33623827732631534</v>
      </c>
      <c r="S32" s="9">
        <f t="array" ref="S32">IF(S$11&gt;=0,MAX(INDEX(MMULT(inverseG,R$12:R$62),$A32+1,1),MAX(strike-$B32,0)),"")</f>
        <v>0.34626498670974232</v>
      </c>
      <c r="T32" s="9">
        <f t="array" ref="T32">IF(T$11&gt;=0,MAX(INDEX(MMULT(inverseG,S$12:S$62),$A32+1,1),MAX(strike-$B32,0)),"")</f>
        <v>0.35580425317355424</v>
      </c>
      <c r="U32" s="9">
        <f t="array" ref="U32">IF(U$11&gt;=0,MAX(INDEX(MMULT(inverseG,T$12:T$62),$A32+1,1),MAX(strike-$B32,0)),"")</f>
        <v>0.36490103562535858</v>
      </c>
      <c r="V32" s="9">
        <f t="array" ref="V32">IF(V$11&gt;=0,MAX(INDEX(MMULT(inverseG,U$12:U$62),$A32+1,1),MAX(strike-$B32,0)),"")</f>
        <v>0.37359671958375684</v>
      </c>
      <c r="W32" s="9">
        <f t="array" ref="W32">IF(W$11&gt;=0,MAX(INDEX(MMULT(inverseG,V$12:V$62),$A32+1,1),MAX(strike-$B32,0)),"")</f>
        <v>0.38192884309844294</v>
      </c>
      <c r="X32" s="9">
        <f t="array" ref="X32">IF(X$11&gt;=0,MAX(INDEX(MMULT(inverseG,W$12:W$62),$A32+1,1),MAX(strike-$B32,0)),"")</f>
        <v>0.38993068009184023</v>
      </c>
      <c r="Y32" s="9">
        <f t="array" ref="Y32">IF(Y$11&gt;=0,MAX(INDEX(MMULT(inverseG,X$12:X$62),$A32+1,1),MAX(strike-$B32,0)),"")</f>
        <v>0.39763117671763026</v>
      </c>
      <c r="Z32" s="9">
        <f t="array" ref="Z32">IF(Z$11&gt;=0,MAX(INDEX(MMULT(inverseG,Y$12:Y$62),$A32+1,1),MAX(strike-$B32,0)),"")</f>
        <v>0.40505522648403081</v>
      </c>
      <c r="AA32" s="9">
        <f t="array" ref="AA32">IF(AA$11&gt;=0,MAX(INDEX(MMULT(inverseG,Z$12:Z$62),$A32+1,1),MAX(strike-$B32,0)),"")</f>
        <v>0.41222413875562486</v>
      </c>
      <c r="AB32" s="9">
        <f t="array" ref="AB32">IF(AB$11&gt;=0,MAX(INDEX(MMULT(inverseG,AA$12:AA$62),$A32+1,1),MAX(strike-$B32,0)),"")</f>
        <v>0.41915617060601074</v>
      </c>
      <c r="AC32" s="9">
        <f t="array" ref="AC32">IF(AC$11&gt;=0,MAX(INDEX(MMULT(inverseG,AB$12:AB$62),$A32+1,1),MAX(strike-$B32,0)),"")</f>
        <v>0.42586704035659362</v>
      </c>
      <c r="AD32" s="9">
        <f t="array" ref="AD32">IF(AD$11&gt;=0,MAX(INDEX(MMULT(inverseG,AC$12:AC$62),$A32+1,1),MAX(strike-$B32,0)),"")</f>
        <v>0.43237038275163958</v>
      </c>
      <c r="AE32" s="9">
        <f t="array" ref="AE32">IF(AE$11&gt;=0,MAX(INDEX(MMULT(inverseG,AD$12:AD$62),$A32+1,1),MAX(strike-$B32,0)),"")</f>
        <v>0.43867813263026834</v>
      </c>
      <c r="AF32" s="9">
        <f t="array" ref="AF32">IF(AF$11&gt;=0,MAX(INDEX(MMULT(inverseG,AE$12:AE$62),$A32+1,1),MAX(strike-$B32,0)),"")</f>
        <v>0.44480083858250252</v>
      </c>
      <c r="AG32" s="9">
        <f t="array" ref="AG32">IF(AG$11&gt;=0,MAX(INDEX(MMULT(inverseG,AF$12:AF$62),$A32+1,1),MAX(strike-$B32,0)),"")</f>
        <v>0.45074791467855257</v>
      </c>
      <c r="AH32" s="9">
        <f t="array" ref="AH32">IF(AH$11&gt;=0,MAX(INDEX(MMULT(inverseG,AG$12:AG$62),$A32+1,1),MAX(strike-$B32,0)),"")</f>
        <v>0.45652784040635269</v>
      </c>
      <c r="AI32" s="9">
        <f t="array" ref="AI32">IF(AI$11&gt;=0,MAX(INDEX(MMULT(inverseG,AH$12:AH$62),$A32+1,1),MAX(strike-$B32,0)),"")</f>
        <v>0.46214831871205964</v>
      </c>
      <c r="AJ32" s="9">
        <f t="array" ref="AJ32">IF(AJ$11&gt;=0,MAX(INDEX(MMULT(inverseG,AI$12:AI$62),$A32+1,1),MAX(strike-$B32,0)),"")</f>
        <v>0.46761640082934353</v>
      </c>
      <c r="AK32" s="9">
        <f t="array" ref="AK32">IF(AK$11&gt;=0,MAX(INDEX(MMULT(inverseG,AJ$12:AJ$62),$A32+1,1),MAX(strike-$B32,0)),"")</f>
        <v>0.47293858510115661</v>
      </c>
      <c r="AL32" s="9">
        <f t="array" ref="AL32">IF(AL$11&gt;=0,MAX(INDEX(MMULT(inverseG,AK$12:AK$62),$A32+1,1),MAX(strike-$B32,0)),"")</f>
        <v>0.47812089557224435</v>
      </c>
      <c r="AM32" s="9">
        <f t="array" ref="AM32">IF(AM$11&gt;=0,MAX(INDEX(MMULT(inverseG,AL$12:AL$62),$A32+1,1),MAX(strike-$B32,0)),"")</f>
        <v>0.48316894489372803</v>
      </c>
      <c r="AN32" s="9">
        <f t="array" ref="AN32">IF(AN$11&gt;=0,MAX(INDEX(MMULT(inverseG,AM$12:AM$62),$A32+1,1),MAX(strike-$B32,0)),"")</f>
        <v>0.48808798506473611</v>
      </c>
      <c r="AO32" s="9">
        <f t="array" ref="AO32">IF(AO$11&gt;=0,MAX(INDEX(MMULT(inverseG,AN$12:AN$62),$A32+1,1),MAX(strike-$B32,0)),"")</f>
        <v>0.49288323094023817</v>
      </c>
      <c r="AP32" s="9">
        <f t="array" ref="AP32">IF(AP$11&gt;=0,MAX(INDEX(MMULT(inverseG,AO$12:AO$62),$A32+1,1),MAX(strike-$B32,0)),"")</f>
        <v>0.49756006294680177</v>
      </c>
      <c r="AQ32" s="9">
        <f t="array" ref="AQ32">IF(AQ$11&gt;=0,MAX(INDEX(MMULT(inverseG,AP$12:AP$62),$A32+1,1),MAX(strike-$B32,0)),"")</f>
        <v>0.50212402038679727</v>
      </c>
      <c r="AR32" s="9">
        <f t="array" ref="AR32">IF(AR$11&gt;=0,MAX(INDEX(MMULT(inverseG,AQ$12:AQ$62),$A32+1,1),MAX(strike-$B32,0)),"")</f>
        <v>0.50658067049634337</v>
      </c>
      <c r="AS32" s="9">
        <f t="array" ref="AS32">IF(AS$11&gt;=0,MAX(INDEX(MMULT(inverseG,AR$12:AR$62),$A32+1,1),MAX(strike-$B32,0)),"")</f>
        <v>0.51093544926847456</v>
      </c>
      <c r="AT32" s="9">
        <f t="array" ref="AT32">IF(AT$11&gt;=0,MAX(INDEX(MMULT(inverseG,AS$12:AS$62),$A32+1,1),MAX(strike-$B32,0)),"")</f>
        <v>0.51519352990663803</v>
      </c>
      <c r="AU32" s="9">
        <f t="array" ref="AU32">IF(AU$11&gt;=0,MAX(INDEX(MMULT(inverseG,AT$12:AT$62),$A32+1,1),MAX(strike-$B32,0)),"")</f>
        <v>0.5193597379842565</v>
      </c>
      <c r="AV32" s="9">
        <f t="array" ref="AV32">IF(AV$11&gt;=0,MAX(INDEX(MMULT(inverseG,AU$12:AU$62),$A32+1,1),MAX(strike-$B32,0)),"")</f>
        <v>0.52343851128664554</v>
      </c>
      <c r="AW32" s="9">
        <f t="array" ref="AW32">IF(AW$11&gt;=0,MAX(INDEX(MMULT(inverseG,AV$12:AV$62),$A32+1,1),MAX(strike-$B32,0)),"")</f>
        <v>0.52743389390752027</v>
      </c>
      <c r="AX32" s="9">
        <f t="array" ref="AX32">IF(AX$11&gt;=0,MAX(INDEX(MMULT(inverseG,AW$12:AW$62),$A32+1,1),MAX(strike-$B32,0)),"")</f>
        <v>0.5313495529565696</v>
      </c>
      <c r="AY32" s="9">
        <f t="array" ref="AY32">IF(AY$11&gt;=0,MAX(INDEX(MMULT(inverseG,AX$12:AX$62),$A32+1,1),MAX(strike-$B32,0)),"")</f>
        <v>0.53518880811209346</v>
      </c>
      <c r="AZ32" s="9">
        <f t="array" ref="AZ32">IF(AZ$11&gt;=0,MAX(INDEX(MMULT(inverseG,AY$12:AY$62),$A32+1,1),MAX(strike-$B32,0)),"")</f>
        <v>0.53895466693204197</v>
      </c>
      <c r="BA32" s="9">
        <f t="array" ref="BA32">IF(BA$11&gt;=0,MAX(INDEX(MMULT(inverseG,AZ$12:AZ$62),$A32+1,1),MAX(strike-$B32,0)),"")</f>
        <v>0.54264986128712489</v>
      </c>
      <c r="BB32" s="9">
        <f t="array" ref="BB32">IF(BB$11&gt;=0,MAX(INDEX(MMULT(inverseG,BA$12:BA$62),$A32+1,1),MAX(strike-$B32,0)),"")</f>
        <v>0.54627688216788273</v>
      </c>
      <c r="BC32" s="9">
        <f t="array" ref="BC32">IF(BC$11&gt;=0,MAX(INDEX(MMULT(inverseG,BB$12:BB$62),$A32+1,1),MAX(strike-$B32,0)),"")</f>
        <v>0.54983801143330091</v>
      </c>
      <c r="BD32" s="9">
        <f t="array" ref="BD32">IF(BD$11&gt;=0,MAX(INDEX(MMULT(inverseG,BC$12:BC$62),$A32+1,1),MAX(strike-$B32,0)),"")</f>
        <v>0.55333534991841515</v>
      </c>
      <c r="BE32" s="9">
        <f t="array" ref="BE32">IF(BE$11&gt;=0,MAX(INDEX(MMULT(inverseG,BD$12:BD$62),$A32+1,1),MAX(strike-$B32,0)),"")</f>
        <v>0.55677084182950387</v>
      </c>
      <c r="BF32" s="9">
        <f t="array" ref="BF32">IF(BF$11&gt;=0,MAX(INDEX(MMULT(inverseG,BE$12:BE$62),$A32+1,1),MAX(strike-$B32,0)),"")</f>
        <v>0.56014629563757445</v>
      </c>
      <c r="BG32" s="9">
        <f t="array" ref="BG32">IF(BG$11&gt;=0,MAX(INDEX(MMULT(inverseG,BF$12:BF$62),$A32+1,1),MAX(strike-$B32,0)),"")</f>
        <v>0.56346340181678689</v>
      </c>
      <c r="BH32" s="9">
        <f t="array" ref="BH32">IF(BH$11&gt;=0,MAX(INDEX(MMULT(inverseG,BG$12:BG$62),$A32+1,1),MAX(strike-$B32,0)),"")</f>
        <v>0.56672374782194268</v>
      </c>
      <c r="BI32" s="9">
        <f t="array" ref="BI32">IF(BI$11&gt;=0,MAX(INDEX(MMULT(inverseG,BH$12:BH$62),$A32+1,1),MAX(strike-$B32,0)),"")</f>
        <v>0.56992883069643385</v>
      </c>
      <c r="BJ32" s="9">
        <f t="array" ref="BJ32">IF(BJ$11&gt;=0,MAX(INDEX(MMULT(inverseG,BI$12:BI$62),$A32+1,1),MAX(strike-$B32,0)),"")</f>
        <v>0.57308006767321906</v>
      </c>
      <c r="BK32" s="9">
        <f t="array" ref="BK32">IF(BK$11&gt;=0,MAX(INDEX(MMULT(inverseG,BJ$12:BJ$62),$A32+1,1),MAX(strike-$B32,0)),"")</f>
        <v>0.57617880509111163</v>
      </c>
      <c r="BL32" s="9">
        <f t="array" ref="BL32">IF(BL$11&gt;=0,MAX(INDEX(MMULT(inverseG,BK$12:BK$62),$A32+1,1),MAX(strike-$B32,0)),"")</f>
        <v>0.57922632590538647</v>
      </c>
      <c r="BM32" s="9">
        <f t="array" ref="BM32">IF(BM$11&gt;=0,MAX(INDEX(MMULT(inverseG,BL$12:BL$62),$A32+1,1),MAX(strike-$B32,0)),"")</f>
        <v>0.58222385603002502</v>
      </c>
      <c r="BN32" s="9">
        <f t="array" ref="BN32">IF(BN$11&gt;=0,MAX(INDEX(MMULT(inverseG,BM$12:BM$62),$A32+1,1),MAX(strike-$B32,0)),"")</f>
        <v>0.58517256971103015</v>
      </c>
      <c r="BO32" s="9">
        <f t="array" ref="BO32">IF(BO$11&gt;=0,MAX(INDEX(MMULT(inverseG,BN$12:BN$62),$A32+1,1),MAX(strike-$B32,0)),"")</f>
        <v>0.58807359409702364</v>
      </c>
      <c r="BP32" s="9">
        <f t="array" ref="BP32">IF(BP$11&gt;=0,MAX(INDEX(MMULT(inverseG,BO$12:BO$62),$A32+1,1),MAX(strike-$B32,0)),"")</f>
        <v>0.59092801314488119</v>
      </c>
      <c r="BQ32" s="9">
        <f t="array" ref="BQ32">IF(BQ$11&gt;=0,MAX(INDEX(MMULT(inverseG,BP$12:BP$62),$A32+1,1),MAX(strike-$B32,0)),"")</f>
        <v>0.59373687097413308</v>
      </c>
      <c r="BR32" s="9">
        <f t="array" ref="BR32">IF(BR$11&gt;=0,MAX(INDEX(MMULT(inverseG,BQ$12:BQ$62),$A32+1,1),MAX(strike-$B32,0)),"")</f>
        <v>0.59650117476382347</v>
      </c>
      <c r="BS32" s="9">
        <f t="array" ref="BS32">IF(BS$11&gt;=0,MAX(INDEX(MMULT(inverseG,BR$12:BR$62),$A32+1,1),MAX(strike-$B32,0)),"")</f>
        <v>0.59922189726888953</v>
      </c>
      <c r="BT32" s="9">
        <f t="array" ref="BT32">IF(BT$11&gt;=0,MAX(INDEX(MMULT(inverseG,BS$12:BS$62),$A32+1,1),MAX(strike-$B32,0)),"")</f>
        <v>0.60189997901943859</v>
      </c>
      <c r="BU32" s="9">
        <f t="array" ref="BU32">IF(BU$11&gt;=0,MAX(INDEX(MMULT(inverseG,BT$12:BT$62),$A32+1,1),MAX(strike-$B32,0)),"")</f>
        <v>0.60453633025503439</v>
      </c>
      <c r="BV32" s="9">
        <f t="array" ref="BV32">IF(BV$11&gt;=0,MAX(INDEX(MMULT(inverseG,BU$12:BU$62),$A32+1,1),MAX(strike-$B32,0)),"")</f>
        <v>0.60713183263686643</v>
      </c>
      <c r="BW32" s="9">
        <f t="array" ref="BW32">IF(BW$11&gt;=0,MAX(INDEX(MMULT(inverseG,BV$12:BV$62),$A32+1,1),MAX(strike-$B32,0)),"")</f>
        <v>0.60968734077311937</v>
      </c>
      <c r="BX32" s="9">
        <f t="array" ref="BX32">IF(BX$11&gt;=0,MAX(INDEX(MMULT(inverseG,BW$12:BW$62),$A32+1,1),MAX(strike-$B32,0)),"")</f>
        <v>0.61220368358666444</v>
      </c>
      <c r="BY32" s="9">
        <f t="array" ref="BY32">IF(BY$11&gt;=0,MAX(INDEX(MMULT(inverseG,BX$12:BX$62),$A32+1,1),MAX(strike-$B32,0)),"")</f>
        <v>0.61468166554912074</v>
      </c>
      <c r="BZ32" s="9">
        <f t="array" ref="BZ32">IF(BZ$11&gt;=0,MAX(INDEX(MMULT(inverseG,BY$12:BY$62),$A32+1,1),MAX(strike-$B32,0)),"")</f>
        <v>0.61712206780118051</v>
      </c>
      <c r="CA32" s="9">
        <f t="array" ref="CA32">IF(CA$11&gt;=0,MAX(INDEX(MMULT(inverseG,BZ$12:BZ$62),$A32+1,1),MAX(strike-$B32,0)),"")</f>
        <v>0.61952564917568809</v>
      </c>
      <c r="CB32" s="9">
        <f t="array" ref="CB32">IF(CB$11&gt;=0,MAX(INDEX(MMULT(inverseG,CA$12:CA$62),$A32+1,1),MAX(strike-$B32,0)),"")</f>
        <v>0.62189314713716792</v>
      </c>
      <c r="CC32" s="9">
        <f t="array" ref="CC32">IF(CC$11&gt;=0,MAX(INDEX(MMULT(inverseG,CB$12:CB$62),$A32+1,1),MAX(strike-$B32,0)),"")</f>
        <v>0.62422527864919186</v>
      </c>
      <c r="CD32" s="9">
        <f t="array" ref="CD32">IF(CD$11&gt;=0,MAX(INDEX(MMULT(inverseG,CC$12:CC$62),$A32+1,1),MAX(strike-$B32,0)),"")</f>
        <v>0.6265227409791041</v>
      </c>
      <c r="CE32" s="9">
        <f t="array" ref="CE32">IF(CE$11&gt;=0,MAX(INDEX(MMULT(inverseG,CD$12:CD$62),$A32+1,1),MAX(strike-$B32,0)),"")</f>
        <v>0.62878621244804089</v>
      </c>
      <c r="CF32" s="9">
        <f t="array" ref="CF32">IF(CF$11&gt;=0,MAX(INDEX(MMULT(inverseG,CE$12:CE$62),$A32+1,1),MAX(strike-$B32,0)),"")</f>
        <v>0.63101635313292503</v>
      </c>
      <c r="CG32" s="9">
        <f t="array" ref="CG32">IF(CG$11&gt;=0,MAX(INDEX(MMULT(inverseG,CF$12:CF$62),$A32+1,1),MAX(strike-$B32,0)),"")</f>
        <v>0.63321380552603246</v>
      </c>
      <c r="CH32" s="9">
        <f t="array" ref="CH32">IF(CH$11&gt;=0,MAX(INDEX(MMULT(inverseG,CG$12:CG$62),$A32+1,1),MAX(strike-$B32,0)),"")</f>
        <v>0.63537919515685959</v>
      </c>
      <c r="CI32" s="9">
        <f t="array" ref="CI32">IF(CI$11&gt;=0,MAX(INDEX(MMULT(inverseG,CH$12:CH$62),$A32+1,1),MAX(strike-$B32,0)),"")</f>
        <v>0.63751313118029351</v>
      </c>
      <c r="CJ32" s="9">
        <f t="array" ref="CJ32">IF(CJ$11&gt;=0,MAX(INDEX(MMULT(inverseG,CI$12:CI$62),$A32+1,1),MAX(strike-$B32,0)),"")</f>
        <v>0.63961620693447852</v>
      </c>
      <c r="CK32" s="9">
        <f t="array" ref="CK32">IF(CK$11&gt;=0,MAX(INDEX(MMULT(inverseG,CJ$12:CJ$62),$A32+1,1),MAX(strike-$B32,0)),"")</f>
        <v>0.64168900047127098</v>
      </c>
      <c r="CL32" s="9">
        <f t="array" ref="CL32">IF(CL$11&gt;=0,MAX(INDEX(MMULT(inverseG,CK$12:CK$62),$A32+1,1),MAX(strike-$B32,0)),"")</f>
        <v>0.643732075061757</v>
      </c>
      <c r="CM32" s="9">
        <f t="array" ref="CM32">IF(CM$11&gt;=0,MAX(INDEX(MMULT(inverseG,CL$12:CL$62),$A32+1,1),MAX(strike-$B32,0)),"")</f>
        <v>0.64574597967895886</v>
      </c>
      <c r="CN32" s="9">
        <f t="array" ref="CN32">IF(CN$11&gt;=0,MAX(INDEX(MMULT(inverseG,CM$12:CM$62),$A32+1,1),MAX(strike-$B32,0)),"")</f>
        <v>0.6477312494595594</v>
      </c>
      <c r="CO32" s="9">
        <f t="array" ref="CO32">IF(CO$11&gt;=0,MAX(INDEX(MMULT(inverseG,CN$12:CN$62),$A32+1,1),MAX(strike-$B32,0)),"")</f>
        <v>0.64968840614623569</v>
      </c>
      <c r="CP32" s="9">
        <f t="array" ref="CP32">IF(CP$11&gt;=0,MAX(INDEX(MMULT(inverseG,CO$12:CO$62),$A32+1,1),MAX(strike-$B32,0)),"")</f>
        <v>0.6516179585119809</v>
      </c>
      <c r="CQ32" s="9">
        <f t="array" ref="CQ32">IF(CQ$11&gt;=0,MAX(INDEX(MMULT(inverseG,CP$12:CP$62),$A32+1,1),MAX(strike-$B32,0)),"")</f>
        <v>0.65352040276763013</v>
      </c>
      <c r="CR32" s="9">
        <f t="array" ref="CR32">IF(CR$11&gt;=0,MAX(INDEX(MMULT(inverseG,CQ$12:CQ$62),$A32+1,1),MAX(strike-$B32,0)),"")</f>
        <v>0.6553962229536453</v>
      </c>
      <c r="CS32" s="9">
        <f t="array" ref="CS32">IF(CS$11&gt;=0,MAX(INDEX(MMULT(inverseG,CR$12:CR$62),$A32+1,1),MAX(strike-$B32,0)),"")</f>
        <v>0.65724590215972578</v>
      </c>
      <c r="CT32" s="9">
        <f t="array" ref="CT32">IF(CT$11&gt;=0,MAX(INDEX(MMULT(inverseG,CS$12:CS$62),$A32+1,1),MAX(strike-$B32,0)),"")</f>
        <v>0.65906994341903813</v>
      </c>
      <c r="CU32" s="9">
        <f t="array" ref="CU32">IF(CU$11&gt;=0,MAX(INDEX(MMULT(inverseG,CT$12:CT$62),$A32+1,1),MAX(strike-$B32,0)),"")</f>
        <v>0.66086888660071663</v>
      </c>
      <c r="CV32" s="9">
        <f t="array" ref="CV32">IF(CV$11&gt;=0,MAX(INDEX(MMULT(inverseG,CU$12:CU$62),$A32+1,1),MAX(strike-$B32,0)),"")</f>
        <v>0.66264331371753837</v>
      </c>
      <c r="CW32" s="9">
        <f t="array" ref="CW32">IF(CW$11&gt;=0,MAX(INDEX(MMULT(inverseG,CV$12:CV$62),$A32+1,1),MAX(strike-$B32,0)),"")</f>
        <v>0.66439384301288218</v>
      </c>
      <c r="CX32" s="9">
        <f t="array" ref="CX32">IF(CX$11&gt;=0,MAX(INDEX(MMULT(inverseG,CW$12:CW$62),$A32+1,1),MAX(strike-$B32,0)),"")</f>
        <v>0.66612111603167756</v>
      </c>
      <c r="CY32" s="9">
        <f t="array" ref="CY32">IF(CY$11&gt;=0,MAX(INDEX(MMULT(inverseG,CX$12:CX$62),$A32+1,1),MAX(strike-$B32,0)),"")</f>
        <v>0.6678257822296918</v>
      </c>
      <c r="CZ32" s="9">
        <f t="array" ref="CZ32">IF(CZ$11&gt;=0,MAX(INDEX(MMULT(inverseG,CY$12:CY$62),$A32+1,1),MAX(strike-$B32,0)),"")</f>
        <v>0.66950848443522948</v>
      </c>
      <c r="DA32" s="9" t="str">
        <f t="array" ref="DA32">IF(DA$11&gt;=0,MAX(INDEX(MMULT(inverseG,CZ$12:CZ$62),$A32+1,1),MAX(strike-$B32,0)),"")</f>
        <v/>
      </c>
      <c r="DB32" s="9" t="str">
        <f t="array" ref="DB32">IF(DB$11&gt;=0,MAX(INDEX(MMULT(inverseG,DA$12:DA$62),$A32+1,1),MAX(strike-$B32,0)),"")</f>
        <v/>
      </c>
      <c r="DC32" s="9" t="str">
        <f t="array" ref="DC32">IF(DC$11&gt;=0,MAX(INDEX(MMULT(inverseG,DB$12:DB$62),$A32+1,1),MAX(strike-$B32,0)),"")</f>
        <v/>
      </c>
      <c r="DD32" s="9" t="str">
        <f t="array" ref="DD32">IF(DD$11&gt;=0,MAX(INDEX(MMULT(inverseG,DC$12:DC$62),$A32+1,1),MAX(strike-$B32,0)),"")</f>
        <v/>
      </c>
      <c r="DE32" s="9" t="str">
        <f t="array" ref="DE32">IF(DE$11&gt;=0,MAX(INDEX(MMULT(inverseG,DD$12:DD$62),$A32+1,1),MAX(strike-$B32,0)),"")</f>
        <v/>
      </c>
      <c r="DF32" s="9" t="str">
        <f t="array" ref="DF32">IF(DF$11&gt;=0,MAX(INDEX(MMULT(inverseG,DE$12:DE$62),$A32+1,1),MAX(strike-$B32,0)),"")</f>
        <v/>
      </c>
      <c r="DG32" s="9" t="str">
        <f t="array" ref="DG32">IF(DG$11&gt;=0,MAX(INDEX(MMULT(inverseG,DF$12:DF$62),$A32+1,1),MAX(strike-$B32,0)),"")</f>
        <v/>
      </c>
      <c r="DH32" s="9" t="str">
        <f t="array" ref="DH32">IF(DH$11&gt;=0,MAX(INDEX(MMULT(inverseG,DG$12:DG$62),$A32+1,1),MAX(strike-$B32,0)),"")</f>
        <v/>
      </c>
      <c r="DI32" s="9" t="str">
        <f t="array" ref="DI32">IF(DI$11&gt;=0,MAX(INDEX(MMULT(inverseG,DH$12:DH$62),$A32+1,1),MAX(strike-$B32,0)),"")</f>
        <v/>
      </c>
      <c r="DJ32" s="9" t="str">
        <f t="array" ref="DJ32">IF(DJ$11&gt;=0,MAX(INDEX(MMULT(inverseG,DI$12:DI$62),$A32+1,1),MAX(strike-$B32,0)),"")</f>
        <v/>
      </c>
      <c r="DK32" s="9" t="str">
        <f t="array" ref="DK32">IF(DK$11&gt;=0,MAX(INDEX(MMULT(inverseG,DJ$12:DJ$62),$A32+1,1),MAX(strike-$B32,0)),"")</f>
        <v/>
      </c>
      <c r="DL32" s="9" t="str">
        <f t="array" ref="DL32">IF(DL$11&gt;=0,MAX(INDEX(MMULT(inverseG,DK$12:DK$62),$A32+1,1),MAX(strike-$B32,0)),"")</f>
        <v/>
      </c>
      <c r="DM32" s="9" t="str">
        <f t="array" ref="DM32">IF(DM$11&gt;=0,MAX(INDEX(MMULT(inverseG,DL$12:DL$62),$A32+1,1),MAX(strike-$B32,0)),"")</f>
        <v/>
      </c>
      <c r="DN32" s="9" t="str">
        <f t="array" ref="DN32">IF(DN$11&gt;=0,MAX(INDEX(MMULT(inverseG,DM$12:DM$62),$A32+1,1),MAX(strike-$B32,0)),"")</f>
        <v/>
      </c>
      <c r="DO32" s="9" t="str">
        <f t="array" ref="DO32">IF(DO$11&gt;=0,MAX(INDEX(MMULT(inverseG,DN$12:DN$62),$A32+1,1),MAX(strike-$B32,0)),"")</f>
        <v/>
      </c>
      <c r="DP32" s="9" t="str">
        <f t="array" ref="DP32">IF(DP$11&gt;=0,MAX(INDEX(MMULT(inverseG,DO$12:DO$62),$A32+1,1),MAX(strike-$B32,0)),"")</f>
        <v/>
      </c>
      <c r="DQ32" s="9" t="str">
        <f t="array" ref="DQ32">IF(DQ$11&gt;=0,MAX(INDEX(MMULT(inverseG,DP$12:DP$62),$A32+1,1),MAX(strike-$B32,0)),"")</f>
        <v/>
      </c>
      <c r="DR32" s="9" t="str">
        <f t="array" ref="DR32">IF(DR$11&gt;=0,MAX(INDEX(MMULT(inverseG,DQ$12:DQ$62),$A32+1,1),MAX(strike-$B32,0)),"")</f>
        <v/>
      </c>
      <c r="DS32" s="9" t="str">
        <f t="array" ref="DS32">IF(DS$11&gt;=0,MAX(INDEX(MMULT(inverseG,DR$12:DR$62),$A32+1,1),MAX(strike-$B32,0)),"")</f>
        <v/>
      </c>
      <c r="DT32" s="9" t="str">
        <f t="array" ref="DT32">IF(DT$11&gt;=0,MAX(INDEX(MMULT(inverseG,DS$12:DS$62),$A32+1,1),MAX(strike-$B32,0)),"")</f>
        <v/>
      </c>
      <c r="DU32" s="9" t="str">
        <f t="array" ref="DU32">IF(DU$11&gt;=0,MAX(INDEX(MMULT(inverseG,DT$12:DT$62),$A32+1,1),MAX(strike-$B32,0)),"")</f>
        <v/>
      </c>
      <c r="DV32" s="9" t="str">
        <f t="array" ref="DV32">IF(DV$11&gt;=0,MAX(INDEX(MMULT(inverseG,DU$12:DU$62),$A32+1,1),MAX(strike-$B32,0)),"")</f>
        <v/>
      </c>
      <c r="DW32" s="9" t="str">
        <f t="array" ref="DW32">IF(DW$11&gt;=0,MAX(INDEX(MMULT(inverseG,DV$12:DV$62),$A32+1,1),MAX(strike-$B32,0)),"")</f>
        <v/>
      </c>
      <c r="DX32" s="9" t="str">
        <f t="array" ref="DX32">IF(DX$11&gt;=0,MAX(INDEX(MMULT(inverseG,DW$12:DW$62),$A32+1,1),MAX(strike-$B32,0)),"")</f>
        <v/>
      </c>
      <c r="DY32" s="9" t="str">
        <f t="array" ref="DY32">IF(DY$11&gt;=0,MAX(INDEX(MMULT(inverseG,DX$12:DX$62),$A32+1,1),MAX(strike-$B32,0)),"")</f>
        <v/>
      </c>
      <c r="DZ32" s="9" t="str">
        <f t="array" ref="DZ32">IF(DZ$11&gt;=0,MAX(INDEX(MMULT(inverseG,DY$12:DY$62),$A32+1,1),MAX(strike-$B32,0)),"")</f>
        <v/>
      </c>
      <c r="EA32" s="9" t="str">
        <f t="array" ref="EA32">IF(EA$11&gt;=0,MAX(INDEX(MMULT(inverseG,DZ$12:DZ$62),$A32+1,1),MAX(strike-$B32,0)),"")</f>
        <v/>
      </c>
      <c r="EB32" s="9" t="str">
        <f t="array" ref="EB32">IF(EB$11&gt;=0,MAX(INDEX(MMULT(inverseG,EA$12:EA$62),$A32+1,1),MAX(strike-$B32,0)),"")</f>
        <v/>
      </c>
      <c r="EC32" s="9" t="str">
        <f t="array" ref="EC32">IF(EC$11&gt;=0,MAX(INDEX(MMULT(inverseG,EB$12:EB$62),$A32+1,1),MAX(strike-$B32,0)),"")</f>
        <v/>
      </c>
      <c r="ED32" s="9" t="str">
        <f t="array" ref="ED32">IF(ED$11&gt;=0,MAX(INDEX(MMULT(inverseG,EC$12:EC$62),$A32+1,1),MAX(strike-$B32,0)),"")</f>
        <v/>
      </c>
      <c r="EE32" s="9" t="str">
        <f t="array" ref="EE32">IF(EE$11&gt;=0,MAX(INDEX(MMULT(inverseG,ED$12:ED$62),$A32+1,1),MAX(strike-$B32,0)),"")</f>
        <v/>
      </c>
      <c r="EF32" s="9" t="str">
        <f t="array" ref="EF32">IF(EF$11&gt;=0,MAX(INDEX(MMULT(inverseG,EE$12:EE$62),$A32+1,1),MAX(strike-$B32,0)),"")</f>
        <v/>
      </c>
      <c r="EG32" s="9" t="str">
        <f t="array" ref="EG32">IF(EG$11&gt;=0,MAX(INDEX(MMULT(inverseG,EF$12:EF$62),$A32+1,1),MAX(strike-$B32,0)),"")</f>
        <v/>
      </c>
      <c r="EH32" s="9" t="str">
        <f t="array" ref="EH32">IF(EH$11&gt;=0,MAX(INDEX(MMULT(inverseG,EG$12:EG$62),$A32+1,1),MAX(strike-$B32,0)),"")</f>
        <v/>
      </c>
      <c r="EI32" s="9" t="str">
        <f t="array" ref="EI32">IF(EI$11&gt;=0,MAX(INDEX(MMULT(inverseG,EH$12:EH$62),$A32+1,1),MAX(strike-$B32,0)),"")</f>
        <v/>
      </c>
      <c r="EJ32" s="9" t="str">
        <f t="array" ref="EJ32">IF(EJ$11&gt;=0,MAX(INDEX(MMULT(inverseG,EI$12:EI$62),$A32+1,1),MAX(strike-$B32,0)),"")</f>
        <v/>
      </c>
      <c r="EK32" s="9" t="str">
        <f t="array" ref="EK32">IF(EK$11&gt;=0,MAX(INDEX(MMULT(inverseG,EJ$12:EJ$62),$A32+1,1),MAX(strike-$B32,0)),"")</f>
        <v/>
      </c>
      <c r="EL32" s="9" t="str">
        <f t="array" ref="EL32">IF(EL$11&gt;=0,MAX(INDEX(MMULT(inverseG,EK$12:EK$62),$A32+1,1),MAX(strike-$B32,0)),"")</f>
        <v/>
      </c>
      <c r="EM32" s="9" t="str">
        <f t="array" ref="EM32">IF(EM$11&gt;=0,MAX(INDEX(MMULT(inverseG,EL$12:EL$62),$A32+1,1),MAX(strike-$B32,0)),"")</f>
        <v/>
      </c>
      <c r="EN32" s="9" t="str">
        <f t="array" ref="EN32">IF(EN$11&gt;=0,MAX(INDEX(MMULT(inverseG,EM$12:EM$62),$A32+1,1),MAX(strike-$B32,0)),"")</f>
        <v/>
      </c>
      <c r="EO32" s="9" t="str">
        <f t="array" ref="EO32">IF(EO$11&gt;=0,MAX(INDEX(MMULT(inverseG,EN$12:EN$62),$A32+1,1),MAX(strike-$B32,0)),"")</f>
        <v/>
      </c>
      <c r="EP32" s="9" t="str">
        <f t="array" ref="EP32">IF(EP$11&gt;=0,MAX(INDEX(MMULT(inverseG,EO$12:EO$62),$A32+1,1),MAX(strike-$B32,0)),"")</f>
        <v/>
      </c>
      <c r="EQ32" s="9" t="str">
        <f t="array" ref="EQ32">IF(EQ$11&gt;=0,MAX(INDEX(MMULT(inverseG,EP$12:EP$62),$A32+1,1),MAX(strike-$B32,0)),"")</f>
        <v/>
      </c>
      <c r="ER32" s="9" t="str">
        <f t="array" ref="ER32">IF(ER$11&gt;=0,MAX(INDEX(MMULT(inverseG,EQ$12:EQ$62),$A32+1,1),MAX(strike-$B32,0)),"")</f>
        <v/>
      </c>
      <c r="ES32" s="9" t="str">
        <f t="array" ref="ES32">IF(ES$11&gt;=0,MAX(INDEX(MMULT(inverseG,ER$12:ER$62),$A32+1,1),MAX(strike-$B32,0)),"")</f>
        <v/>
      </c>
      <c r="ET32" s="9" t="str">
        <f t="array" ref="ET32">IF(ET$11&gt;=0,MAX(INDEX(MMULT(inverseG,ES$12:ES$62),$A32+1,1),MAX(strike-$B32,0)),"")</f>
        <v/>
      </c>
      <c r="EU32" s="9" t="str">
        <f t="array" ref="EU32">IF(EU$11&gt;=0,MAX(INDEX(MMULT(inverseG,ET$12:ET$62),$A32+1,1),MAX(strike-$B32,0)),"")</f>
        <v/>
      </c>
      <c r="EV32" s="9" t="str">
        <f t="array" ref="EV32">IF(EV$11&gt;=0,MAX(INDEX(MMULT(inverseG,EU$12:EU$62),$A32+1,1),MAX(strike-$B32,0)),"")</f>
        <v/>
      </c>
      <c r="EW32" s="9" t="str">
        <f t="array" ref="EW32">IF(EW$11&gt;=0,MAX(INDEX(MMULT(inverseG,EV$12:EV$62),$A32+1,1),MAX(strike-$B32,0)),"")</f>
        <v/>
      </c>
      <c r="EX32" s="9" t="str">
        <f t="array" ref="EX32">IF(EX$11&gt;=0,MAX(INDEX(MMULT(inverseG,EW$12:EW$62),$A32+1,1),MAX(strike-$B32,0)),"")</f>
        <v/>
      </c>
      <c r="EY32" s="9" t="str">
        <f t="array" ref="EY32">IF(EY$11&gt;=0,MAX(INDEX(MMULT(inverseG,EX$12:EX$62),$A32+1,1),MAX(strike-$B32,0)),"")</f>
        <v/>
      </c>
      <c r="EZ32" s="9" t="str">
        <f t="array" ref="EZ32">IF(EZ$11&gt;=0,MAX(INDEX(MMULT(inverseG,EY$12:EY$62),$A32+1,1),MAX(strike-$B32,0)),"")</f>
        <v/>
      </c>
      <c r="FA32" s="9" t="str">
        <f t="array" ref="FA32">IF(FA$11&gt;=0,MAX(INDEX(MMULT(inverseG,EZ$12:EZ$62),$A32+1,1),MAX(strike-$B32,0)),"")</f>
        <v/>
      </c>
      <c r="FB32" s="9" t="str">
        <f t="array" ref="FB32">IF(FB$11&gt;=0,MAX(INDEX(MMULT(inverseG,FA$12:FA$62),$A32+1,1),MAX(strike-$B32,0)),"")</f>
        <v/>
      </c>
      <c r="FC32" s="9" t="str">
        <f t="array" ref="FC32">IF(FC$11&gt;=0,MAX(INDEX(MMULT(inverseG,FB$12:FB$62),$A32+1,1),MAX(strike-$B32,0)),"")</f>
        <v/>
      </c>
      <c r="FD32" s="9" t="str">
        <f t="array" ref="FD32">IF(FD$11&gt;=0,MAX(INDEX(MMULT(inverseG,FC$12:FC$62),$A32+1,1),MAX(strike-$B32,0)),"")</f>
        <v/>
      </c>
      <c r="FE32" s="9" t="str">
        <f t="array" ref="FE32">IF(FE$11&gt;=0,MAX(INDEX(MMULT(inverseG,FD$12:FD$62),$A32+1,1),MAX(strike-$B32,0)),"")</f>
        <v/>
      </c>
      <c r="FF32" s="9" t="str">
        <f t="array" ref="FF32">IF(FF$11&gt;=0,MAX(INDEX(MMULT(inverseG,FE$12:FE$62),$A32+1,1),MAX(strike-$B32,0)),"")</f>
        <v/>
      </c>
      <c r="FG32" s="9" t="str">
        <f t="array" ref="FG32">IF(FG$11&gt;=0,MAX(INDEX(MMULT(inverseG,FF$12:FF$62),$A32+1,1),MAX(strike-$B32,0)),"")</f>
        <v/>
      </c>
      <c r="FH32" s="9" t="str">
        <f t="array" ref="FH32">IF(FH$11&gt;=0,MAX(INDEX(MMULT(inverseG,FG$12:FG$62),$A32+1,1),MAX(strike-$B32,0)),"")</f>
        <v/>
      </c>
      <c r="FI32" s="9" t="str">
        <f t="array" ref="FI32">IF(FI$11&gt;=0,MAX(INDEX(MMULT(inverseG,FH$12:FH$62),$A32+1,1),MAX(strike-$B32,0)),"")</f>
        <v/>
      </c>
      <c r="FJ32" s="9" t="str">
        <f t="array" ref="FJ32">IF(FJ$11&gt;=0,MAX(INDEX(MMULT(inverseG,FI$12:FI$62),$A32+1,1),MAX(strike-$B32,0)),"")</f>
        <v/>
      </c>
      <c r="FK32" s="9" t="str">
        <f t="array" ref="FK32">IF(FK$11&gt;=0,MAX(INDEX(MMULT(inverseG,FJ$12:FJ$62),$A32+1,1),MAX(strike-$B32,0)),"")</f>
        <v/>
      </c>
      <c r="FL32" s="9" t="str">
        <f t="array" ref="FL32">IF(FL$11&gt;=0,MAX(INDEX(MMULT(inverseG,FK$12:FK$62),$A32+1,1),MAX(strike-$B32,0)),"")</f>
        <v/>
      </c>
      <c r="FM32" s="9" t="str">
        <f t="array" ref="FM32">IF(FM$11&gt;=0,MAX(INDEX(MMULT(inverseG,FL$12:FL$62),$A32+1,1),MAX(strike-$B32,0)),"")</f>
        <v/>
      </c>
      <c r="FN32" s="9" t="str">
        <f t="array" ref="FN32">IF(FN$11&gt;=0,MAX(INDEX(MMULT(inverseG,FM$12:FM$62),$A32+1,1),MAX(strike-$B32,0)),"")</f>
        <v/>
      </c>
      <c r="FO32" s="9" t="str">
        <f t="array" ref="FO32">IF(FO$11&gt;=0,MAX(INDEX(MMULT(inverseG,FN$12:FN$62),$A32+1,1),MAX(strike-$B32,0)),"")</f>
        <v/>
      </c>
      <c r="FP32" s="9" t="str">
        <f t="array" ref="FP32">IF(FP$11&gt;=0,MAX(INDEX(MMULT(inverseG,FO$12:FO$62),$A32+1,1),MAX(strike-$B32,0)),"")</f>
        <v/>
      </c>
      <c r="FQ32" s="9" t="str">
        <f t="array" ref="FQ32">IF(FQ$11&gt;=0,MAX(INDEX(MMULT(inverseG,FP$12:FP$62),$A32+1,1),MAX(strike-$B32,0)),"")</f>
        <v/>
      </c>
      <c r="FR32" s="9" t="str">
        <f t="array" ref="FR32">IF(FR$11&gt;=0,MAX(INDEX(MMULT(inverseG,FQ$12:FQ$62),$A32+1,1),MAX(strike-$B32,0)),"")</f>
        <v/>
      </c>
      <c r="FS32" s="9" t="str">
        <f t="array" ref="FS32">IF(FS$11&gt;=0,MAX(INDEX(MMULT(inverseG,FR$12:FR$62),$A32+1,1),MAX(strike-$B32,0)),"")</f>
        <v/>
      </c>
      <c r="FT32" s="9" t="str">
        <f t="array" ref="FT32">IF(FT$11&gt;=0,MAX(INDEX(MMULT(inverseG,FS$12:FS$62),$A32+1,1),MAX(strike-$B32,0)),"")</f>
        <v/>
      </c>
      <c r="FU32" s="9" t="str">
        <f t="array" ref="FU32">IF(FU$11&gt;=0,MAX(INDEX(MMULT(inverseG,FT$12:FT$62),$A32+1,1),MAX(strike-$B32,0)),"")</f>
        <v/>
      </c>
      <c r="FV32" s="9" t="str">
        <f t="array" ref="FV32">IF(FV$11&gt;=0,MAX(INDEX(MMULT(inverseG,FU$12:FU$62),$A32+1,1),MAX(strike-$B32,0)),"")</f>
        <v/>
      </c>
      <c r="FW32" s="9" t="str">
        <f t="array" ref="FW32">IF(FW$11&gt;=0,MAX(INDEX(MMULT(inverseG,FV$12:FV$62),$A32+1,1),MAX(strike-$B32,0)),"")</f>
        <v/>
      </c>
      <c r="FX32" s="9" t="str">
        <f t="array" ref="FX32">IF(FX$11&gt;=0,MAX(INDEX(MMULT(inverseG,FW$12:FW$62),$A32+1,1),MAX(strike-$B32,0)),"")</f>
        <v/>
      </c>
      <c r="FY32" s="9" t="str">
        <f t="array" ref="FY32">IF(FY$11&gt;=0,MAX(INDEX(MMULT(inverseG,FX$12:FX$62),$A32+1,1),MAX(strike-$B32,0)),"")</f>
        <v/>
      </c>
      <c r="FZ32" s="9" t="str">
        <f t="array" ref="FZ32">IF(FZ$11&gt;=0,MAX(INDEX(MMULT(inverseG,FY$12:FY$62),$A32+1,1),MAX(strike-$B32,0)),"")</f>
        <v/>
      </c>
      <c r="GA32" s="9" t="str">
        <f t="array" ref="GA32">IF(GA$11&gt;=0,MAX(INDEX(MMULT(inverseG,FZ$12:FZ$62),$A32+1,1),MAX(strike-$B32,0)),"")</f>
        <v/>
      </c>
      <c r="GB32" s="9" t="str">
        <f t="array" ref="GB32">IF(GB$11&gt;=0,MAX(INDEX(MMULT(inverseG,GA$12:GA$62),$A32+1,1),MAX(strike-$B32,0)),"")</f>
        <v/>
      </c>
      <c r="GC32" s="9" t="str">
        <f t="array" ref="GC32">IF(GC$11&gt;=0,MAX(INDEX(MMULT(inverseG,GB$12:GB$62),$A32+1,1),MAX(strike-$B32,0)),"")</f>
        <v/>
      </c>
      <c r="GD32" s="9" t="str">
        <f t="array" ref="GD32">IF(GD$11&gt;=0,MAX(INDEX(MMULT(inverseG,GC$12:GC$62),$A32+1,1),MAX(strike-$B32,0)),"")</f>
        <v/>
      </c>
      <c r="GE32" s="9" t="str">
        <f t="array" ref="GE32">IF(GE$11&gt;=0,MAX(INDEX(MMULT(inverseG,GD$12:GD$62),$A32+1,1),MAX(strike-$B32,0)),"")</f>
        <v/>
      </c>
      <c r="GF32" s="9" t="str">
        <f t="array" ref="GF32">IF(GF$11&gt;=0,MAX(INDEX(MMULT(inverseG,GE$12:GE$62),$A32+1,1),MAX(strike-$B32,0)),"")</f>
        <v/>
      </c>
      <c r="GG32" s="9" t="str">
        <f t="array" ref="GG32">IF(GG$11&gt;=0,MAX(INDEX(MMULT(inverseG,GF$12:GF$62),$A32+1,1),MAX(strike-$B32,0)),"")</f>
        <v/>
      </c>
      <c r="GH32" s="9" t="str">
        <f t="array" ref="GH32">IF(GH$11&gt;=0,MAX(INDEX(MMULT(inverseG,GG$12:GG$62),$A32+1,1),MAX(strike-$B32,0)),"")</f>
        <v/>
      </c>
      <c r="GI32" s="9" t="str">
        <f t="array" ref="GI32">IF(GI$11&gt;=0,MAX(INDEX(MMULT(inverseG,GH$12:GH$62),$A32+1,1),MAX(strike-$B32,0)),"")</f>
        <v/>
      </c>
      <c r="GJ32" s="9" t="str">
        <f t="array" ref="GJ32">IF(GJ$11&gt;=0,MAX(INDEX(MMULT(inverseG,GI$12:GI$62),$A32+1,1),MAX(strike-$B32,0)),"")</f>
        <v/>
      </c>
      <c r="GK32" s="9" t="str">
        <f t="array" ref="GK32">IF(GK$11&gt;=0,MAX(INDEX(MMULT(inverseG,GJ$12:GJ$62),$A32+1,1),MAX(strike-$B32,0)),"")</f>
        <v/>
      </c>
      <c r="GL32" s="9" t="str">
        <f t="array" ref="GL32">IF(GL$11&gt;=0,MAX(INDEX(MMULT(inverseG,GK$12:GK$62),$A32+1,1),MAX(strike-$B32,0)),"")</f>
        <v/>
      </c>
      <c r="GM32" s="9" t="str">
        <f t="array" ref="GM32">IF(GM$11&gt;=0,MAX(INDEX(MMULT(inverseG,GL$12:GL$62),$A32+1,1),MAX(strike-$B32,0)),"")</f>
        <v/>
      </c>
      <c r="GN32" s="9" t="str">
        <f t="array" ref="GN32">IF(GN$11&gt;=0,MAX(INDEX(MMULT(inverseG,GM$12:GM$62),$A32+1,1),MAX(strike-$B32,0)),"")</f>
        <v/>
      </c>
      <c r="GO32" s="9" t="str">
        <f t="array" ref="GO32">IF(GO$11&gt;=0,MAX(INDEX(MMULT(inverseG,GN$12:GN$62),$A32+1,1),MAX(strike-$B32,0)),"")</f>
        <v/>
      </c>
      <c r="GP32" s="9" t="str">
        <f t="array" ref="GP32">IF(GP$11&gt;=0,MAX(INDEX(MMULT(inverseG,GO$12:GO$62),$A32+1,1),MAX(strike-$B32,0)),"")</f>
        <v/>
      </c>
      <c r="GQ32" s="9" t="str">
        <f t="array" ref="GQ32">IF(GQ$11&gt;=0,MAX(INDEX(MMULT(inverseG,GP$12:GP$62),$A32+1,1),MAX(strike-$B32,0)),"")</f>
        <v/>
      </c>
      <c r="GR32" s="9" t="str">
        <f t="array" ref="GR32">IF(GR$11&gt;=0,MAX(INDEX(MMULT(inverseG,GQ$12:GQ$62),$A32+1,1),MAX(strike-$B32,0)),"")</f>
        <v/>
      </c>
      <c r="GS32" s="9" t="str">
        <f t="array" ref="GS32">IF(GS$11&gt;=0,MAX(INDEX(MMULT(inverseG,GR$12:GR$62),$A32+1,1),MAX(strike-$B32,0)),"")</f>
        <v/>
      </c>
      <c r="GT32" s="9" t="str">
        <f t="array" ref="GT32">IF(GT$11&gt;=0,MAX(INDEX(MMULT(inverseG,GS$12:GS$62),$A32+1,1),MAX(strike-$B32,0)),"")</f>
        <v/>
      </c>
      <c r="GU32" s="9" t="str">
        <f t="array" ref="GU32">IF(GU$11&gt;=0,MAX(INDEX(MMULT(inverseG,GT$12:GT$62),$A32+1,1),MAX(strike-$B32,0)),"")</f>
        <v/>
      </c>
      <c r="GV32" s="9" t="str">
        <f t="array" ref="GV32">IF(GV$11&gt;=0,MAX(INDEX(MMULT(inverseG,GU$12:GU$62),$A32+1,1),MAX(strike-$B32,0)),"")</f>
        <v/>
      </c>
      <c r="GW32" s="9" t="str">
        <f t="array" ref="GW32">IF(GW$11&gt;=0,MAX(INDEX(MMULT(inverseG,GV$12:GV$62),$A32+1,1),MAX(strike-$B32,0)),"")</f>
        <v/>
      </c>
      <c r="GX32" s="9" t="str">
        <f t="array" ref="GX32">IF(GX$11&gt;=0,MAX(INDEX(MMULT(inverseG,GW$12:GW$62),$A32+1,1),MAX(strike-$B32,0)),"")</f>
        <v/>
      </c>
      <c r="GY32" s="9" t="str">
        <f t="array" ref="GY32">IF(GY$11&gt;=0,MAX(INDEX(MMULT(inverseG,GX$12:GX$62),$A32+1,1),MAX(strike-$B32,0)),"")</f>
        <v/>
      </c>
      <c r="GZ32" s="9" t="str">
        <f t="array" ref="GZ32">IF(GZ$11&gt;=0,MAX(INDEX(MMULT(inverseG,GY$12:GY$62),$A32+1,1),MAX(strike-$B32,0)),"")</f>
        <v/>
      </c>
      <c r="HA32" s="9" t="str">
        <f t="array" ref="HA32">IF(HA$11&gt;=0,MAX(INDEX(MMULT(inverseG,GZ$12:GZ$62),$A32+1,1),MAX(strike-$B32,0)),"")</f>
        <v/>
      </c>
      <c r="HB32" s="9" t="str">
        <f t="array" ref="HB32">IF(HB$11&gt;=0,MAX(INDEX(MMULT(inverseG,HA$12:HA$62),$A32+1,1),MAX(strike-$B32,0)),"")</f>
        <v/>
      </c>
      <c r="HC32" s="9" t="str">
        <f t="array" ref="HC32">IF(HC$11&gt;=0,MAX(INDEX(MMULT(inverseG,HB$12:HB$62),$A32+1,1),MAX(strike-$B32,0)),"")</f>
        <v/>
      </c>
      <c r="HD32" s="9" t="str">
        <f t="array" ref="HD32">IF(HD$11&gt;=0,MAX(INDEX(MMULT(inverseG,HC$12:HC$62),$A32+1,1),MAX(strike-$B32,0)),"")</f>
        <v/>
      </c>
      <c r="HE32" s="9" t="str">
        <f t="array" ref="HE32">IF(HE$11&gt;=0,MAX(INDEX(MMULT(inverseG,HD$12:HD$62),$A32+1,1),MAX(strike-$B32,0)),"")</f>
        <v/>
      </c>
      <c r="HF32" s="9" t="str">
        <f t="array" ref="HF32">IF(HF$11&gt;=0,MAX(INDEX(MMULT(inverseG,HE$12:HE$62),$A32+1,1),MAX(strike-$B32,0)),"")</f>
        <v/>
      </c>
      <c r="HG32" s="9" t="str">
        <f t="array" ref="HG32">IF(HG$11&gt;=0,MAX(INDEX(MMULT(inverseG,HF$12:HF$62),$A32+1,1),MAX(strike-$B32,0)),"")</f>
        <v/>
      </c>
      <c r="HH32" s="9" t="str">
        <f t="array" ref="HH32">IF(HH$11&gt;=0,MAX(INDEX(MMULT(inverseG,HG$12:HG$62),$A32+1,1),MAX(strike-$B32,0)),"")</f>
        <v/>
      </c>
      <c r="HI32" s="9" t="str">
        <f t="array" ref="HI32">IF(HI$11&gt;=0,MAX(INDEX(MMULT(inverseG,HH$12:HH$62),$A32+1,1),MAX(strike-$B32,0)),"")</f>
        <v/>
      </c>
      <c r="HJ32" s="9" t="str">
        <f t="array" ref="HJ32">IF(HJ$11&gt;=0,MAX(INDEX(MMULT(inverseG,HI$12:HI$62),$A32+1,1),MAX(strike-$B32,0)),"")</f>
        <v/>
      </c>
      <c r="HK32" s="9" t="str">
        <f t="array" ref="HK32">IF(HK$11&gt;=0,MAX(INDEX(MMULT(inverseG,HJ$12:HJ$62),$A32+1,1),MAX(strike-$B32,0)),"")</f>
        <v/>
      </c>
      <c r="HL32" s="9" t="str">
        <f t="array" ref="HL32">IF(HL$11&gt;=0,MAX(INDEX(MMULT(inverseG,HK$12:HK$62),$A32+1,1),MAX(strike-$B32,0)),"")</f>
        <v/>
      </c>
      <c r="HM32" s="9" t="str">
        <f t="array" ref="HM32">IF(HM$11&gt;=0,MAX(INDEX(MMULT(inverseG,HL$12:HL$62),$A32+1,1),MAX(strike-$B32,0)),"")</f>
        <v/>
      </c>
      <c r="HN32" s="9" t="str">
        <f t="array" ref="HN32">IF(HN$11&gt;=0,MAX(INDEX(MMULT(inverseG,HM$12:HM$62),$A32+1,1),MAX(strike-$B32,0)),"")</f>
        <v/>
      </c>
      <c r="HO32" s="9" t="str">
        <f t="array" ref="HO32">IF(HO$11&gt;=0,MAX(INDEX(MMULT(inverseG,HN$12:HN$62),$A32+1,1),MAX(strike-$B32,0)),"")</f>
        <v/>
      </c>
      <c r="HP32" s="9" t="str">
        <f t="array" ref="HP32">IF(HP$11&gt;=0,MAX(INDEX(MMULT(inverseG,HO$12:HO$62),$A32+1,1),MAX(strike-$B32,0)),"")</f>
        <v/>
      </c>
      <c r="HQ32" s="9" t="str">
        <f t="array" ref="HQ32">IF(HQ$11&gt;=0,MAX(INDEX(MMULT(inverseG,HP$12:HP$62),$A32+1,1),MAX(strike-$B32,0)),"")</f>
        <v/>
      </c>
      <c r="HR32" s="9" t="str">
        <f t="array" ref="HR32">IF(HR$11&gt;=0,MAX(INDEX(MMULT(inverseG,HQ$12:HQ$62),$A32+1,1),MAX(strike-$B32,0)),"")</f>
        <v/>
      </c>
      <c r="HS32" s="9" t="str">
        <f t="array" ref="HS32">IF(HS$11&gt;=0,MAX(INDEX(MMULT(inverseG,HR$12:HR$62),$A32+1,1),MAX(strike-$B32,0)),"")</f>
        <v/>
      </c>
      <c r="HT32" s="9" t="str">
        <f t="array" ref="HT32">IF(HT$11&gt;=0,MAX(INDEX(MMULT(inverseG,HS$12:HS$62),$A32+1,1),MAX(strike-$B32,0)),"")</f>
        <v/>
      </c>
      <c r="HU32" s="9" t="str">
        <f t="array" ref="HU32">IF(HU$11&gt;=0,MAX(INDEX(MMULT(inverseG,HT$12:HT$62),$A32+1,1),MAX(strike-$B32,0)),"")</f>
        <v/>
      </c>
      <c r="HV32" s="9" t="str">
        <f t="array" ref="HV32">IF(HV$11&gt;=0,MAX(INDEX(MMULT(inverseG,HU$12:HU$62),$A32+1,1),MAX(strike-$B32,0)),"")</f>
        <v/>
      </c>
      <c r="HW32" s="9" t="str">
        <f t="array" ref="HW32">IF(HW$11&gt;=0,MAX(INDEX(MMULT(inverseG,HV$12:HV$62),$A32+1,1),MAX(strike-$B32,0)),"")</f>
        <v/>
      </c>
      <c r="HX32" s="9" t="str">
        <f t="array" ref="HX32">IF(HX$11&gt;=0,MAX(INDEX(MMULT(inverseG,HW$12:HW$62),$A32+1,1),MAX(strike-$B32,0)),"")</f>
        <v/>
      </c>
      <c r="HY32" s="9" t="str">
        <f t="array" ref="HY32">IF(HY$11&gt;=0,MAX(INDEX(MMULT(inverseG,HX$12:HX$62),$A32+1,1),MAX(strike-$B32,0)),"")</f>
        <v/>
      </c>
      <c r="HZ32" s="9" t="str">
        <f t="array" ref="HZ32">IF(HZ$11&gt;=0,MAX(INDEX(MMULT(inverseG,HY$12:HY$62),$A32+1,1),MAX(strike-$B32,0)),"")</f>
        <v/>
      </c>
      <c r="IA32" s="9" t="str">
        <f t="array" ref="IA32">IF(IA$11&gt;=0,MAX(INDEX(MMULT(inverseG,HZ$12:HZ$62),$A32+1,1),MAX(strike-$B32,0)),"")</f>
        <v/>
      </c>
      <c r="IB32" s="9" t="str">
        <f t="array" ref="IB32">IF(IB$11&gt;=0,MAX(INDEX(MMULT(inverseG,IA$12:IA$62),$A32+1,1),MAX(strike-$B32,0)),"")</f>
        <v/>
      </c>
      <c r="IC32" s="9" t="str">
        <f t="array" ref="IC32">IF(IC$11&gt;=0,MAX(INDEX(MMULT(inverseG,IB$12:IB$62),$A32+1,1),MAX(strike-$B32,0)),"")</f>
        <v/>
      </c>
      <c r="ID32" s="9" t="str">
        <f t="array" ref="ID32">IF(ID$11&gt;=0,MAX(INDEX(MMULT(inverseG,IC$12:IC$62),$A32+1,1),MAX(strike-$B32,0)),"")</f>
        <v/>
      </c>
      <c r="IE32" s="9" t="str">
        <f t="array" ref="IE32">IF(IE$11&gt;=0,MAX(INDEX(MMULT(inverseG,ID$12:ID$62),$A32+1,1),MAX(strike-$B32,0)),"")</f>
        <v/>
      </c>
      <c r="IF32" s="9" t="str">
        <f t="array" ref="IF32">IF(IF$11&gt;=0,MAX(INDEX(MMULT(inverseG,IE$12:IE$62),$A32+1,1),MAX(strike-$B32,0)),"")</f>
        <v/>
      </c>
      <c r="IG32" s="9" t="str">
        <f t="array" ref="IG32">IF(IG$11&gt;=0,MAX(INDEX(MMULT(inverseG,IF$12:IF$62),$A32+1,1),MAX(strike-$B32,0)),"")</f>
        <v/>
      </c>
      <c r="IH32" s="9" t="str">
        <f t="array" ref="IH32">IF(IH$11&gt;=0,MAX(INDEX(MMULT(inverseG,IG$12:IG$62),$A32+1,1),MAX(strike-$B32,0)),"")</f>
        <v/>
      </c>
      <c r="II32" s="9" t="str">
        <f t="array" ref="II32">IF(II$11&gt;=0,MAX(INDEX(MMULT(inverseG,IH$12:IH$62),$A32+1,1),MAX(strike-$B32,0)),"")</f>
        <v/>
      </c>
      <c r="IJ32" s="9" t="str">
        <f t="array" ref="IJ32">IF(IJ$11&gt;=0,MAX(INDEX(MMULT(inverseG,II$12:II$62),$A32+1,1),MAX(strike-$B32,0)),"")</f>
        <v/>
      </c>
      <c r="IK32" s="9" t="str">
        <f t="array" ref="IK32">IF(IK$11&gt;=0,MAX(INDEX(MMULT(inverseG,IJ$12:IJ$62),$A32+1,1),MAX(strike-$B32,0)),"")</f>
        <v/>
      </c>
      <c r="IL32" s="9" t="str">
        <f t="array" ref="IL32">IF(IL$11&gt;=0,MAX(INDEX(MMULT(inverseG,IK$12:IK$62),$A32+1,1),MAX(strike-$B32,0)),"")</f>
        <v/>
      </c>
      <c r="IM32" s="9" t="str">
        <f t="array" ref="IM32">IF(IM$11&gt;=0,MAX(INDEX(MMULT(inverseG,IL$12:IL$62),$A32+1,1),MAX(strike-$B32,0)),"")</f>
        <v/>
      </c>
      <c r="IN32" s="9" t="str">
        <f t="array" ref="IN32">IF(IN$11&gt;=0,MAX(INDEX(MMULT(inverseG,IM$12:IM$62),$A32+1,1),MAX(strike-$B32,0)),"")</f>
        <v/>
      </c>
      <c r="IO32" s="9" t="str">
        <f t="array" ref="IO32">IF(IO$11&gt;=0,MAX(INDEX(MMULT(inverseG,IN$12:IN$62),$A32+1,1),MAX(strike-$B32,0)),"")</f>
        <v/>
      </c>
      <c r="IP32" s="9" t="str">
        <f t="array" ref="IP32">IF(IP$11&gt;=0,MAX(INDEX(MMULT(inverseG,IO$12:IO$62),$A32+1,1),MAX(strike-$B32,0)),"")</f>
        <v/>
      </c>
      <c r="IQ32" s="9" t="str">
        <f t="array" ref="IQ32">IF(IQ$11&gt;=0,MAX(INDEX(MMULT(inverseG,IP$12:IP$62),$A32+1,1),MAX(strike-$B32,0)),"")</f>
        <v/>
      </c>
      <c r="IR32" s="9" t="str">
        <f t="array" ref="IR32">IF(IR$11&gt;=0,MAX(INDEX(MMULT(inverseG,IQ$12:IQ$62),$A32+1,1),MAX(strike-$B32,0)),"")</f>
        <v/>
      </c>
      <c r="IS32" s="9" t="str">
        <f t="array" ref="IS32">IF(IS$11&gt;=0,MAX(INDEX(MMULT(inverseG,IR$12:IR$62),$A32+1,1),MAX(strike-$B32,0)),"")</f>
        <v/>
      </c>
      <c r="IT32" s="9" t="str">
        <f t="array" ref="IT32">IF(IT$11&gt;=0,MAX(INDEX(MMULT(inverseG,IS$12:IS$62),$A32+1,1),MAX(strike-$B32,0)),"")</f>
        <v/>
      </c>
      <c r="IU32" s="9" t="str">
        <f t="array" ref="IU32">IF(IU$11&gt;=0,MAX(INDEX(MMULT(inverseG,IT$12:IT$62),$A32+1,1),MAX(strike-$B32,0)),"")</f>
        <v/>
      </c>
      <c r="IV32" s="9" t="str">
        <f t="array" ref="IV32">IF(IV$11&gt;=0,MAX(INDEX(MMULT(inverseG,IU$12:IU$62),$A32+1,1),MAX(strike-$B32,0)),"")</f>
        <v/>
      </c>
    </row>
    <row r="33" spans="1:256" x14ac:dyDescent="0.2">
      <c r="A33" s="8">
        <f t="shared" si="7"/>
        <v>21</v>
      </c>
      <c r="B33" s="6">
        <f t="shared" si="4"/>
        <v>5.25</v>
      </c>
      <c r="C33" s="30">
        <f t="shared" ca="1" si="6"/>
        <v>0.59016540471798085</v>
      </c>
      <c r="D33" s="9">
        <f t="shared" si="5"/>
        <v>0</v>
      </c>
      <c r="E33" s="9">
        <f t="array" ref="E33">IF(E$11&gt;=0,MAX(INDEX(MMULT(inverseG,D$12:D$62),$A33+1,1),MAX(strike-$B33,0)),"")</f>
        <v>2.3825523731382171E-2</v>
      </c>
      <c r="F33" s="9">
        <f t="array" ref="F33">IF(F$11&gt;=0,MAX(INDEX(MMULT(inverseG,E$12:E$62),$A33+1,1),MAX(strike-$B33,0)),"")</f>
        <v>5.0949209281750507E-2</v>
      </c>
      <c r="G33" s="9">
        <f t="array" ref="G33">IF(G$11&gt;=0,MAX(INDEX(MMULT(inverseG,F$12:F$62),$A33+1,1),MAX(strike-$B33,0)),"")</f>
        <v>7.63035622792472E-2</v>
      </c>
      <c r="H33" s="9">
        <f t="array" ref="H33">IF(H$11&gt;=0,MAX(INDEX(MMULT(inverseG,G$12:G$62),$A33+1,1),MAX(strike-$B33,0)),"")</f>
        <v>9.9074044389949073E-2</v>
      </c>
      <c r="I33" s="9">
        <f t="array" ref="I33">IF(I$11&gt;=0,MAX(INDEX(MMULT(inverseG,H$12:H$62),$A33+1,1),MAX(strike-$B33,0)),"")</f>
        <v>0.11948835659937322</v>
      </c>
      <c r="J33" s="9">
        <f t="array" ref="J33">IF(J$11&gt;=0,MAX(INDEX(MMULT(inverseG,I$12:I$62),$A33+1,1),MAX(strike-$B33,0)),"")</f>
        <v>0.13793733777143469</v>
      </c>
      <c r="K33" s="9">
        <f t="array" ref="K33">IF(K$11&gt;=0,MAX(INDEX(MMULT(inverseG,J$12:J$62),$A33+1,1),MAX(strike-$B33,0)),"")</f>
        <v>0.1547644615647692</v>
      </c>
      <c r="L33" s="9">
        <f t="array" ref="L33">IF(L$11&gt;=0,MAX(INDEX(MMULT(inverseG,K$12:K$62),$A33+1,1),MAX(strike-$B33,0)),"")</f>
        <v>0.17024476190640325</v>
      </c>
      <c r="M33" s="9">
        <f t="array" ref="M33">IF(M$11&gt;=0,MAX(INDEX(MMULT(inverseG,L$12:L$62),$A33+1,1),MAX(strike-$B33,0)),"")</f>
        <v>0.18459515933342838</v>
      </c>
      <c r="N33" s="9">
        <f t="array" ref="N33">IF(N$11&gt;=0,MAX(INDEX(MMULT(inverseG,M$12:M$62),$A33+1,1),MAX(strike-$B33,0)),"")</f>
        <v>0.19798657284281149</v>
      </c>
      <c r="O33" s="9">
        <f t="array" ref="O33">IF(O$11&gt;=0,MAX(INDEX(MMULT(inverseG,N$12:N$62),$A33+1,1),MAX(strike-$B33,0)),"")</f>
        <v>0.21055391147260089</v>
      </c>
      <c r="P33" s="9">
        <f t="array" ref="P33">IF(P$11&gt;=0,MAX(INDEX(MMULT(inverseG,O$12:O$62),$A33+1,1),MAX(strike-$B33,0)),"")</f>
        <v>0.22240406282657052</v>
      </c>
      <c r="Q33" s="9">
        <f t="array" ref="Q33">IF(Q$11&gt;=0,MAX(INDEX(MMULT(inverseG,P$12:P$62),$A33+1,1),MAX(strike-$B33,0)),"")</f>
        <v>0.23362226082015686</v>
      </c>
      <c r="R33" s="9">
        <f t="array" ref="R33">IF(R$11&gt;=0,MAX(INDEX(MMULT(inverseG,Q$12:Q$62),$A33+1,1),MAX(strike-$B33,0)),"")</f>
        <v>0.24427710716588533</v>
      </c>
      <c r="S33" s="9">
        <f t="array" ref="S33">IF(S$11&gt;=0,MAX(INDEX(MMULT(inverseG,R$12:R$62),$A33+1,1),MAX(strike-$B33,0)),"")</f>
        <v>0.25442446987783451</v>
      </c>
      <c r="T33" s="9">
        <f t="array" ref="T33">IF(T$11&gt;=0,MAX(INDEX(MMULT(inverseG,S$12:S$62),$A33+1,1),MAX(strike-$B33,0)),"")</f>
        <v>0.26411064066858719</v>
      </c>
      <c r="U33" s="9">
        <f t="array" ref="U33">IF(U$11&gt;=0,MAX(INDEX(MMULT(inverseG,T$12:T$62),$A33+1,1),MAX(strike-$B33,0)),"")</f>
        <v>0.2733754928792842</v>
      </c>
      <c r="V33" s="9">
        <f t="array" ref="V33">IF(V$11&gt;=0,MAX(INDEX(MMULT(inverseG,U$12:U$62),$A33+1,1),MAX(strike-$B33,0)),"")</f>
        <v>0.28225446147241212</v>
      </c>
      <c r="W33" s="9">
        <f t="array" ref="W33">IF(W$11&gt;=0,MAX(INDEX(MMULT(inverseG,V$12:V$62),$A33+1,1),MAX(strike-$B33,0)),"")</f>
        <v>0.29077945609315087</v>
      </c>
      <c r="X33" s="9">
        <f t="array" ref="X33">IF(X$11&gt;=0,MAX(INDEX(MMULT(inverseG,W$12:W$62),$A33+1,1),MAX(strike-$B33,0)),"")</f>
        <v>0.29897920800917738</v>
      </c>
      <c r="Y33" s="9">
        <f t="array" ref="Y33">IF(Y$11&gt;=0,MAX(INDEX(MMULT(inverseG,X$12:X$62),$A33+1,1),MAX(strike-$B33,0)),"")</f>
        <v>0.30687943073431678</v>
      </c>
      <c r="Z33" s="9">
        <f t="array" ref="Z33">IF(Z$11&gt;=0,MAX(INDEX(MMULT(inverseG,Y$12:Y$62),$A33+1,1),MAX(strike-$B33,0)),"")</f>
        <v>0.31450297858885862</v>
      </c>
      <c r="AA33" s="9">
        <f t="array" ref="AA33">IF(AA$11&gt;=0,MAX(INDEX(MMULT(inverseG,Z$12:Z$62),$A33+1,1),MAX(strike-$B33,0)),"")</f>
        <v>0.32187005735712521</v>
      </c>
      <c r="AB33" s="9">
        <f t="array" ref="AB33">IF(AB$11&gt;=0,MAX(INDEX(MMULT(inverseG,AA$12:AA$62),$A33+1,1),MAX(strike-$B33,0)),"")</f>
        <v>0.32899848073389248</v>
      </c>
      <c r="AC33" s="9">
        <f t="array" ref="AC33">IF(AC$11&gt;=0,MAX(INDEX(MMULT(inverseG,AB$12:AB$62),$A33+1,1),MAX(strike-$B33,0)),"")</f>
        <v>0.33590394813254648</v>
      </c>
      <c r="AD33" s="9">
        <f t="array" ref="AD33">IF(AD$11&gt;=0,MAX(INDEX(MMULT(inverseG,AC$12:AC$62),$A33+1,1),MAX(strike-$B33,0)),"")</f>
        <v>0.34260032057010831</v>
      </c>
      <c r="AE33" s="9">
        <f t="array" ref="AE33">IF(AE$11&gt;=0,MAX(INDEX(MMULT(inverseG,AD$12:AD$62),$A33+1,1),MAX(strike-$B33,0)),"")</f>
        <v>0.34909987856033781</v>
      </c>
      <c r="AF33" s="9">
        <f t="array" ref="AF33">IF(AF$11&gt;=0,MAX(INDEX(MMULT(inverseG,AE$12:AE$62),$A33+1,1),MAX(strike-$B33,0)),"")</f>
        <v>0.35541355331327257</v>
      </c>
      <c r="AG33" s="9">
        <f t="array" ref="AG33">IF(AG$11&gt;=0,MAX(INDEX(MMULT(inverseG,AF$12:AF$62),$A33+1,1),MAX(strike-$B33,0)),"")</f>
        <v>0.36155112809634193</v>
      </c>
      <c r="AH33" s="9">
        <f t="array" ref="AH33">IF(AH$11&gt;=0,MAX(INDEX(MMULT(inverseG,AG$12:AG$62),$A33+1,1),MAX(strike-$B33,0)),"")</f>
        <v>0.36752141016194301</v>
      </c>
      <c r="AI33" s="9">
        <f t="array" ref="AI33">IF(AI$11&gt;=0,MAX(INDEX(MMULT(inverseG,AH$12:AH$62),$A33+1,1),MAX(strike-$B33,0)),"")</f>
        <v>0.37333237560072141</v>
      </c>
      <c r="AJ33" s="9">
        <f t="array" ref="AJ33">IF(AJ$11&gt;=0,MAX(INDEX(MMULT(inverseG,AI$12:AI$62),$A33+1,1),MAX(strike-$B33,0)),"")</f>
        <v>0.37899129034648621</v>
      </c>
      <c r="AK33" s="9">
        <f t="array" ref="AK33">IF(AK$11&gt;=0,MAX(INDEX(MMULT(inverseG,AJ$12:AJ$62),$A33+1,1),MAX(strike-$B33,0)),"")</f>
        <v>0.38450481075944692</v>
      </c>
      <c r="AL33" s="9">
        <f t="array" ref="AL33">IF(AL$11&gt;=0,MAX(INDEX(MMULT(inverseG,AK$12:AK$62),$A33+1,1),MAX(strike-$B33,0)),"")</f>
        <v>0.38987906704819802</v>
      </c>
      <c r="AM33" s="9">
        <f t="array" ref="AM33">IF(AM$11&gt;=0,MAX(INDEX(MMULT(inverseG,AL$12:AL$62),$A33+1,1),MAX(strike-$B33,0)),"")</f>
        <v>0.39511973245005044</v>
      </c>
      <c r="AN33" s="9">
        <f t="array" ref="AN33">IF(AN$11&gt;=0,MAX(INDEX(MMULT(inverseG,AM$12:AM$62),$A33+1,1),MAX(strike-$B33,0)),"")</f>
        <v>0.40023208068861171</v>
      </c>
      <c r="AO33" s="9">
        <f t="array" ref="AO33">IF(AO$11&gt;=0,MAX(INDEX(MMULT(inverseG,AN$12:AN$62),$A33+1,1),MAX(strike-$B33,0)),"")</f>
        <v>0.40522112087785794</v>
      </c>
      <c r="AP33" s="9">
        <f t="array" ref="AP33">IF(AP$11&gt;=0,MAX(INDEX(MMULT(inverseG,AO$12:AO$62),$A33+1,1),MAX(strike-$B33,0)),"")</f>
        <v>0.41009173481672795</v>
      </c>
      <c r="AQ33" s="9">
        <f t="array" ref="AQ33">IF(AQ$11&gt;=0,MAX(INDEX(MMULT(inverseG,AP$12:AP$62),$A33+1,1),MAX(strike-$B33,0)),"")</f>
        <v>0.41484875304674157</v>
      </c>
      <c r="AR33" s="9">
        <f t="array" ref="AR33">IF(AR$11&gt;=0,MAX(INDEX(MMULT(inverseG,AQ$12:AQ$62),$A33+1,1),MAX(strike-$B33,0)),"")</f>
        <v>0.41949696225482275</v>
      </c>
      <c r="AS33" s="9">
        <f t="array" ref="AS33">IF(AS$11&gt;=0,MAX(INDEX(MMULT(inverseG,AR$12:AR$62),$A33+1,1),MAX(strike-$B33,0)),"")</f>
        <v>0.4240410675096436</v>
      </c>
      <c r="AT33" s="9">
        <f t="array" ref="AT33">IF(AT$11&gt;=0,MAX(INDEX(MMULT(inverseG,AS$12:AS$62),$A33+1,1),MAX(strike-$B33,0)),"")</f>
        <v>0.42848563713020876</v>
      </c>
      <c r="AU33" s="9">
        <f t="array" ref="AU33">IF(AU$11&gt;=0,MAX(INDEX(MMULT(inverseG,AT$12:AT$62),$A33+1,1),MAX(strike-$B33,0)),"")</f>
        <v>0.43283505013649526</v>
      </c>
      <c r="AV33" s="9">
        <f t="array" ref="AV33">IF(AV$11&gt;=0,MAX(INDEX(MMULT(inverseG,AU$12:AU$62),$A33+1,1),MAX(strike-$B33,0)),"")</f>
        <v>0.43709345653722992</v>
      </c>
      <c r="AW33" s="9">
        <f t="array" ref="AW33">IF(AW$11&gt;=0,MAX(INDEX(MMULT(inverseG,AV$12:AV$62),$A33+1,1),MAX(strike-$B33,0)),"")</f>
        <v>0.44126475342179383</v>
      </c>
      <c r="AX33" s="9">
        <f t="array" ref="AX33">IF(AX$11&gt;=0,MAX(INDEX(MMULT(inverseG,AW$12:AW$62),$A33+1,1),MAX(strike-$B33,0)),"")</f>
        <v>0.44535257562100433</v>
      </c>
      <c r="AY33" s="9">
        <f t="array" ref="AY33">IF(AY$11&gt;=0,MAX(INDEX(MMULT(inverseG,AX$12:AX$62),$A33+1,1),MAX(strike-$B33,0)),"")</f>
        <v>0.44936029788594872</v>
      </c>
      <c r="AZ33" s="9">
        <f t="array" ref="AZ33">IF(AZ$11&gt;=0,MAX(INDEX(MMULT(inverseG,AY$12:AY$62),$A33+1,1),MAX(strike-$B33,0)),"")</f>
        <v>0.45329104517847851</v>
      </c>
      <c r="BA33" s="9">
        <f t="array" ref="BA33">IF(BA$11&gt;=0,MAX(INDEX(MMULT(inverseG,AZ$12:AZ$62),$A33+1,1),MAX(strike-$B33,0)),"")</f>
        <v>0.45714770804111293</v>
      </c>
      <c r="BB33" s="9">
        <f t="array" ref="BB33">IF(BB$11&gt;=0,MAX(INDEX(MMULT(inverseG,BA$12:BA$62),$A33+1,1),MAX(strike-$B33,0)),"")</f>
        <v>0.460932960655216</v>
      </c>
      <c r="BC33" s="9">
        <f t="array" ref="BC33">IF(BC$11&gt;=0,MAX(INDEX(MMULT(inverseG,BB$12:BB$62),$A33+1,1),MAX(strike-$B33,0)),"")</f>
        <v>0.46464927985536331</v>
      </c>
      <c r="BD33" s="9">
        <f t="array" ref="BD33">IF(BD$11&gt;=0,MAX(INDEX(MMULT(inverseG,BC$12:BC$62),$A33+1,1),MAX(strike-$B33,0)),"")</f>
        <v>0.46829896393422782</v>
      </c>
      <c r="BE33" s="9">
        <f t="array" ref="BE33">IF(BE$11&gt;=0,MAX(INDEX(MMULT(inverseG,BD$12:BD$62),$A33+1,1),MAX(strike-$B33,0)),"")</f>
        <v>0.47188415051337462</v>
      </c>
      <c r="BF33" s="9">
        <f t="array" ref="BF33">IF(BF$11&gt;=0,MAX(INDEX(MMULT(inverseG,BE$12:BE$62),$A33+1,1),MAX(strike-$B33,0)),"")</f>
        <v>0.47540683307638315</v>
      </c>
      <c r="BG33" s="9">
        <f t="array" ref="BG33">IF(BG$11&gt;=0,MAX(INDEX(MMULT(inverseG,BF$12:BF$62),$A33+1,1),MAX(strike-$B33,0)),"")</f>
        <v>0.47886887598191191</v>
      </c>
      <c r="BH33" s="9">
        <f t="array" ref="BH33">IF(BH$11&gt;=0,MAX(INDEX(MMULT(inverseG,BG$12:BG$62),$A33+1,1),MAX(strike-$B33,0)),"")</f>
        <v>0.48227202791897372</v>
      </c>
      <c r="BI33" s="9">
        <f t="array" ref="BI33">IF(BI$11&gt;=0,MAX(INDEX(MMULT(inverseG,BH$12:BH$62),$A33+1,1),MAX(strike-$B33,0)),"")</f>
        <v>0.48561793385579038</v>
      </c>
      <c r="BJ33" s="9">
        <f t="array" ref="BJ33">IF(BJ$11&gt;=0,MAX(INDEX(MMULT(inverseG,BI$12:BI$62),$A33+1,1),MAX(strike-$B33,0)),"")</f>
        <v>0.48890814558409379</v>
      </c>
      <c r="BK33" s="9">
        <f t="array" ref="BK33">IF(BK$11&gt;=0,MAX(INDEX(MMULT(inverseG,BJ$12:BJ$62),$A33+1,1),MAX(strike-$B33,0)),"")</f>
        <v>0.49214413098543569</v>
      </c>
      <c r="BL33" s="9">
        <f t="array" ref="BL33">IF(BL$11&gt;=0,MAX(INDEX(MMULT(inverseG,BK$12:BK$62),$A33+1,1),MAX(strike-$B33,0)),"")</f>
        <v>0.49532728215418953</v>
      </c>
      <c r="BM33" s="9">
        <f t="array" ref="BM33">IF(BM$11&gt;=0,MAX(INDEX(MMULT(inverseG,BL$12:BL$62),$A33+1,1),MAX(strike-$B33,0)),"")</f>
        <v>0.49845892250991275</v>
      </c>
      <c r="BN33" s="9">
        <f t="array" ref="BN33">IF(BN$11&gt;=0,MAX(INDEX(MMULT(inverseG,BM$12:BM$62),$A33+1,1),MAX(strike-$B33,0)),"")</f>
        <v>0.50154031302392521</v>
      </c>
      <c r="BO33" s="9">
        <f t="array" ref="BO33">IF(BO$11&gt;=0,MAX(INDEX(MMULT(inverseG,BN$12:BN$62),$A33+1,1),MAX(strike-$B33,0)),"")</f>
        <v>0.50457265767419179</v>
      </c>
      <c r="BP33" s="9">
        <f t="array" ref="BP33">IF(BP$11&gt;=0,MAX(INDEX(MMULT(inverseG,BO$12:BO$62),$A33+1,1),MAX(strike-$B33,0)),"")</f>
        <v>0.50755710823070022</v>
      </c>
      <c r="BQ33" s="9">
        <f t="array" ref="BQ33">IF(BQ$11&gt;=0,MAX(INDEX(MMULT(inverseG,BP$12:BP$62),$A33+1,1),MAX(strike-$B33,0)),"")</f>
        <v>0.5104947684615867</v>
      </c>
      <c r="BR33" s="9">
        <f t="array" ref="BR33">IF(BR$11&gt;=0,MAX(INDEX(MMULT(inverseG,BQ$12:BQ$62),$A33+1,1),MAX(strike-$B33,0)),"")</f>
        <v>0.51338669783891799</v>
      </c>
      <c r="BS33" s="9">
        <f t="array" ref="BS33">IF(BS$11&gt;=0,MAX(INDEX(MMULT(inverseG,BR$12:BR$62),$A33+1,1),MAX(strike-$B33,0)),"")</f>
        <v>0.5162339148126267</v>
      </c>
      <c r="BT33" s="9">
        <f t="array" ref="BT33">IF(BT$11&gt;=0,MAX(INDEX(MMULT(inverseG,BS$12:BS$62),$A33+1,1),MAX(strike-$B33,0)),"")</f>
        <v>0.519037399711749</v>
      </c>
      <c r="BU33" s="9">
        <f t="array" ref="BU33">IF(BU$11&gt;=0,MAX(INDEX(MMULT(inverseG,BT$12:BT$62),$A33+1,1),MAX(strike-$B33,0)),"")</f>
        <v>0.52179809732385163</v>
      </c>
      <c r="BV33" s="9">
        <f t="array" ref="BV33">IF(BV$11&gt;=0,MAX(INDEX(MMULT(inverseG,BU$12:BU$62),$A33+1,1),MAX(strike-$B33,0)),"")</f>
        <v>0.52451691919632837</v>
      </c>
      <c r="BW33" s="9">
        <f t="array" ref="BW33">IF(BW$11&gt;=0,MAX(INDEX(MMULT(inverseG,BV$12:BV$62),$A33+1,1),MAX(strike-$B33,0)),"")</f>
        <v>0.52719474569697544</v>
      </c>
      <c r="BX33" s="9">
        <f t="array" ref="BX33">IF(BX$11&gt;=0,MAX(INDEX(MMULT(inverseG,BW$12:BW$62),$A33+1,1),MAX(strike-$B33,0)),"")</f>
        <v>0.52983242786588503</v>
      </c>
      <c r="BY33" s="9">
        <f t="array" ref="BY33">IF(BY$11&gt;=0,MAX(INDEX(MMULT(inverseG,BX$12:BX$62),$A33+1,1),MAX(strike-$B33,0)),"")</f>
        <v>0.53243078908606134</v>
      </c>
      <c r="BZ33" s="9">
        <f t="array" ref="BZ33">IF(BZ$11&gt;=0,MAX(INDEX(MMULT(inverseG,BY$12:BY$62),$A33+1,1),MAX(strike-$B33,0)),"")</f>
        <v>0.5349906265962221</v>
      </c>
      <c r="CA33" s="9">
        <f t="array" ref="CA33">IF(CA$11&gt;=0,MAX(INDEX(MMULT(inverseG,BZ$12:BZ$62),$A33+1,1),MAX(strike-$B33,0)),"")</f>
        <v>0.53751271286585922</v>
      </c>
      <c r="CB33" s="9">
        <f t="array" ref="CB33">IF(CB$11&gt;=0,MAX(INDEX(MMULT(inverseG,CA$12:CA$62),$A33+1,1),MAX(strike-$B33,0)),"")</f>
        <v>0.53999779684977345</v>
      </c>
      <c r="CC33" s="9">
        <f t="array" ref="CC33">IF(CC$11&gt;=0,MAX(INDEX(MMULT(inverseG,CB$12:CB$62),$A33+1,1),MAX(strike-$B33,0)),"")</f>
        <v>0.54244660513683907</v>
      </c>
      <c r="CD33" s="9">
        <f t="array" ref="CD33">IF(CD$11&gt;=0,MAX(INDEX(MMULT(inverseG,CC$12:CC$62),$A33+1,1),MAX(strike-$B33,0)),"")</f>
        <v>0.54485984300567125</v>
      </c>
      <c r="CE33" s="9">
        <f t="array" ref="CE33">IF(CE$11&gt;=0,MAX(INDEX(MMULT(inverseG,CD$12:CD$62),$A33+1,1),MAX(strike-$B33,0)),"")</f>
        <v>0.54723819539809671</v>
      </c>
      <c r="CF33" s="9">
        <f t="array" ref="CF33">IF(CF$11&gt;=0,MAX(INDEX(MMULT(inverseG,CE$12:CE$62),$A33+1,1),MAX(strike-$B33,0)),"")</f>
        <v>0.54958232781981842</v>
      </c>
      <c r="CG33" s="9">
        <f t="array" ref="CG33">IF(CG$11&gt;=0,MAX(INDEX(MMULT(inverseG,CF$12:CF$62),$A33+1,1),MAX(strike-$B33,0)),"")</f>
        <v>0.55189288717636831</v>
      </c>
      <c r="CH33" s="9">
        <f t="array" ref="CH33">IF(CH$11&gt;=0,MAX(INDEX(MMULT(inverseG,CG$12:CG$62),$A33+1,1),MAX(strike-$B33,0)),"")</f>
        <v>0.55417050255135814</v>
      </c>
      <c r="CI33" s="9">
        <f t="array" ref="CI33">IF(CI$11&gt;=0,MAX(INDEX(MMULT(inverseG,CH$12:CH$62),$A33+1,1),MAX(strike-$B33,0)),"")</f>
        <v>0.55641578593309204</v>
      </c>
      <c r="CJ33" s="9">
        <f t="array" ref="CJ33">IF(CJ$11&gt;=0,MAX(INDEX(MMULT(inverseG,CI$12:CI$62),$A33+1,1),MAX(strike-$B33,0)),"")</f>
        <v>0.55862933289480399</v>
      </c>
      <c r="CK33" s="9">
        <f t="array" ref="CK33">IF(CK$11&gt;=0,MAX(INDEX(MMULT(inverseG,CJ$12:CJ$62),$A33+1,1),MAX(strike-$B33,0)),"")</f>
        <v>0.56081172323310735</v>
      </c>
      <c r="CL33" s="9">
        <f t="array" ref="CL33">IF(CL$11&gt;=0,MAX(INDEX(MMULT(inverseG,CK$12:CK$62),$A33+1,1),MAX(strike-$B33,0)),"")</f>
        <v>0.56296352156864693</v>
      </c>
      <c r="CM33" s="9">
        <f t="array" ref="CM33">IF(CM$11&gt;=0,MAX(INDEX(MMULT(inverseG,CL$12:CL$62),$A33+1,1),MAX(strike-$B33,0)),"")</f>
        <v>0.56508527791245133</v>
      </c>
      <c r="CN33" s="9">
        <f t="array" ref="CN33">IF(CN$11&gt;=0,MAX(INDEX(MMULT(inverseG,CM$12:CM$62),$A33+1,1),MAX(strike-$B33,0)),"")</f>
        <v>0.56717752820104306</v>
      </c>
      <c r="CO33" s="9">
        <f t="array" ref="CO33">IF(CO$11&gt;=0,MAX(INDEX(MMULT(inverseG,CN$12:CN$62),$A33+1,1),MAX(strike-$B33,0)),"")</f>
        <v>0.56924079480300349</v>
      </c>
      <c r="CP33" s="9">
        <f t="array" ref="CP33">IF(CP$11&gt;=0,MAX(INDEX(MMULT(inverseG,CO$12:CO$62),$A33+1,1),MAX(strike-$B33,0)),"")</f>
        <v>0.57127558699935932</v>
      </c>
      <c r="CQ33" s="9">
        <f t="array" ref="CQ33">IF(CQ$11&gt;=0,MAX(INDEX(MMULT(inverseG,CP$12:CP$62),$A33+1,1),MAX(strike-$B33,0)),"")</f>
        <v>0.57328240143988918</v>
      </c>
      <c r="CR33" s="9">
        <f t="array" ref="CR33">IF(CR$11&gt;=0,MAX(INDEX(MMULT(inverseG,CQ$12:CQ$62),$A33+1,1),MAX(strike-$B33,0)),"")</f>
        <v>0.57526172257721075</v>
      </c>
      <c r="CS33" s="9">
        <f t="array" ref="CS33">IF(CS$11&gt;=0,MAX(INDEX(MMULT(inverseG,CR$12:CR$62),$A33+1,1),MAX(strike-$B33,0)),"")</f>
        <v>0.5772140264246689</v>
      </c>
      <c r="CT33" s="9">
        <f t="array" ref="CT33">IF(CT$11&gt;=0,MAX(INDEX(MMULT(inverseG,CS$12:CS$62),$A33+1,1),MAX(strike-$B33,0)),"")</f>
        <v>0.57913978902092156</v>
      </c>
      <c r="CU33" s="9">
        <f t="array" ref="CU33">IF(CU$11&gt;=0,MAX(INDEX(MMULT(inverseG,CT$12:CT$62),$A33+1,1),MAX(strike-$B33,0)),"")</f>
        <v>0.58103949620380313</v>
      </c>
      <c r="CV33" s="9">
        <f t="array" ref="CV33">IF(CV$11&gt;=0,MAX(INDEX(MMULT(inverseG,CU$12:CU$62),$A33+1,1),MAX(strike-$B33,0)),"")</f>
        <v>0.58291365069624279</v>
      </c>
      <c r="CW33" s="9">
        <f t="array" ref="CW33">IF(CW$11&gt;=0,MAX(INDEX(MMULT(inverseG,CV$12:CV$62),$A33+1,1),MAX(strike-$B33,0)),"")</f>
        <v>0.58476277450658654</v>
      </c>
      <c r="CX33" s="9">
        <f t="array" ref="CX33">IF(CX$11&gt;=0,MAX(INDEX(MMULT(inverseG,CW$12:CW$62),$A33+1,1),MAX(strike-$B33,0)),"")</f>
        <v>0.58658740676522003</v>
      </c>
      <c r="CY33" s="9">
        <f t="array" ref="CY33">IF(CY$11&gt;=0,MAX(INDEX(MMULT(inverseG,CX$12:CX$62),$A33+1,1),MAX(strike-$B33,0)),"")</f>
        <v>0.58838809832105665</v>
      </c>
      <c r="CZ33" s="9">
        <f t="array" ref="CZ33">IF(CZ$11&gt;=0,MAX(INDEX(MMULT(inverseG,CY$12:CY$62),$A33+1,1),MAX(strike-$B33,0)),"")</f>
        <v>0.59016540471798085</v>
      </c>
      <c r="DA33" s="9" t="str">
        <f t="array" ref="DA33">IF(DA$11&gt;=0,MAX(INDEX(MMULT(inverseG,CZ$12:CZ$62),$A33+1,1),MAX(strike-$B33,0)),"")</f>
        <v/>
      </c>
      <c r="DB33" s="9" t="str">
        <f t="array" ref="DB33">IF(DB$11&gt;=0,MAX(INDEX(MMULT(inverseG,DA$12:DA$62),$A33+1,1),MAX(strike-$B33,0)),"")</f>
        <v/>
      </c>
      <c r="DC33" s="9" t="str">
        <f t="array" ref="DC33">IF(DC$11&gt;=0,MAX(INDEX(MMULT(inverseG,DB$12:DB$62),$A33+1,1),MAX(strike-$B33,0)),"")</f>
        <v/>
      </c>
      <c r="DD33" s="9" t="str">
        <f t="array" ref="DD33">IF(DD$11&gt;=0,MAX(INDEX(MMULT(inverseG,DC$12:DC$62),$A33+1,1),MAX(strike-$B33,0)),"")</f>
        <v/>
      </c>
      <c r="DE33" s="9" t="str">
        <f t="array" ref="DE33">IF(DE$11&gt;=0,MAX(INDEX(MMULT(inverseG,DD$12:DD$62),$A33+1,1),MAX(strike-$B33,0)),"")</f>
        <v/>
      </c>
      <c r="DF33" s="9" t="str">
        <f t="array" ref="DF33">IF(DF$11&gt;=0,MAX(INDEX(MMULT(inverseG,DE$12:DE$62),$A33+1,1),MAX(strike-$B33,0)),"")</f>
        <v/>
      </c>
      <c r="DG33" s="9" t="str">
        <f t="array" ref="DG33">IF(DG$11&gt;=0,MAX(INDEX(MMULT(inverseG,DF$12:DF$62),$A33+1,1),MAX(strike-$B33,0)),"")</f>
        <v/>
      </c>
      <c r="DH33" s="9" t="str">
        <f t="array" ref="DH33">IF(DH$11&gt;=0,MAX(INDEX(MMULT(inverseG,DG$12:DG$62),$A33+1,1),MAX(strike-$B33,0)),"")</f>
        <v/>
      </c>
      <c r="DI33" s="9" t="str">
        <f t="array" ref="DI33">IF(DI$11&gt;=0,MAX(INDEX(MMULT(inverseG,DH$12:DH$62),$A33+1,1),MAX(strike-$B33,0)),"")</f>
        <v/>
      </c>
      <c r="DJ33" s="9" t="str">
        <f t="array" ref="DJ33">IF(DJ$11&gt;=0,MAX(INDEX(MMULT(inverseG,DI$12:DI$62),$A33+1,1),MAX(strike-$B33,0)),"")</f>
        <v/>
      </c>
      <c r="DK33" s="9" t="str">
        <f t="array" ref="DK33">IF(DK$11&gt;=0,MAX(INDEX(MMULT(inverseG,DJ$12:DJ$62),$A33+1,1),MAX(strike-$B33,0)),"")</f>
        <v/>
      </c>
      <c r="DL33" s="9" t="str">
        <f t="array" ref="DL33">IF(DL$11&gt;=0,MAX(INDEX(MMULT(inverseG,DK$12:DK$62),$A33+1,1),MAX(strike-$B33,0)),"")</f>
        <v/>
      </c>
      <c r="DM33" s="9" t="str">
        <f t="array" ref="DM33">IF(DM$11&gt;=0,MAX(INDEX(MMULT(inverseG,DL$12:DL$62),$A33+1,1),MAX(strike-$B33,0)),"")</f>
        <v/>
      </c>
      <c r="DN33" s="9" t="str">
        <f t="array" ref="DN33">IF(DN$11&gt;=0,MAX(INDEX(MMULT(inverseG,DM$12:DM$62),$A33+1,1),MAX(strike-$B33,0)),"")</f>
        <v/>
      </c>
      <c r="DO33" s="9" t="str">
        <f t="array" ref="DO33">IF(DO$11&gt;=0,MAX(INDEX(MMULT(inverseG,DN$12:DN$62),$A33+1,1),MAX(strike-$B33,0)),"")</f>
        <v/>
      </c>
      <c r="DP33" s="9" t="str">
        <f t="array" ref="DP33">IF(DP$11&gt;=0,MAX(INDEX(MMULT(inverseG,DO$12:DO$62),$A33+1,1),MAX(strike-$B33,0)),"")</f>
        <v/>
      </c>
      <c r="DQ33" s="9" t="str">
        <f t="array" ref="DQ33">IF(DQ$11&gt;=0,MAX(INDEX(MMULT(inverseG,DP$12:DP$62),$A33+1,1),MAX(strike-$B33,0)),"")</f>
        <v/>
      </c>
      <c r="DR33" s="9" t="str">
        <f t="array" ref="DR33">IF(DR$11&gt;=0,MAX(INDEX(MMULT(inverseG,DQ$12:DQ$62),$A33+1,1),MAX(strike-$B33,0)),"")</f>
        <v/>
      </c>
      <c r="DS33" s="9" t="str">
        <f t="array" ref="DS33">IF(DS$11&gt;=0,MAX(INDEX(MMULT(inverseG,DR$12:DR$62),$A33+1,1),MAX(strike-$B33,0)),"")</f>
        <v/>
      </c>
      <c r="DT33" s="9" t="str">
        <f t="array" ref="DT33">IF(DT$11&gt;=0,MAX(INDEX(MMULT(inverseG,DS$12:DS$62),$A33+1,1),MAX(strike-$B33,0)),"")</f>
        <v/>
      </c>
      <c r="DU33" s="9" t="str">
        <f t="array" ref="DU33">IF(DU$11&gt;=0,MAX(INDEX(MMULT(inverseG,DT$12:DT$62),$A33+1,1),MAX(strike-$B33,0)),"")</f>
        <v/>
      </c>
      <c r="DV33" s="9" t="str">
        <f t="array" ref="DV33">IF(DV$11&gt;=0,MAX(INDEX(MMULT(inverseG,DU$12:DU$62),$A33+1,1),MAX(strike-$B33,0)),"")</f>
        <v/>
      </c>
      <c r="DW33" s="9" t="str">
        <f t="array" ref="DW33">IF(DW$11&gt;=0,MAX(INDEX(MMULT(inverseG,DV$12:DV$62),$A33+1,1),MAX(strike-$B33,0)),"")</f>
        <v/>
      </c>
      <c r="DX33" s="9" t="str">
        <f t="array" ref="DX33">IF(DX$11&gt;=0,MAX(INDEX(MMULT(inverseG,DW$12:DW$62),$A33+1,1),MAX(strike-$B33,0)),"")</f>
        <v/>
      </c>
      <c r="DY33" s="9" t="str">
        <f t="array" ref="DY33">IF(DY$11&gt;=0,MAX(INDEX(MMULT(inverseG,DX$12:DX$62),$A33+1,1),MAX(strike-$B33,0)),"")</f>
        <v/>
      </c>
      <c r="DZ33" s="9" t="str">
        <f t="array" ref="DZ33">IF(DZ$11&gt;=0,MAX(INDEX(MMULT(inverseG,DY$12:DY$62),$A33+1,1),MAX(strike-$B33,0)),"")</f>
        <v/>
      </c>
      <c r="EA33" s="9" t="str">
        <f t="array" ref="EA33">IF(EA$11&gt;=0,MAX(INDEX(MMULT(inverseG,DZ$12:DZ$62),$A33+1,1),MAX(strike-$B33,0)),"")</f>
        <v/>
      </c>
      <c r="EB33" s="9" t="str">
        <f t="array" ref="EB33">IF(EB$11&gt;=0,MAX(INDEX(MMULT(inverseG,EA$12:EA$62),$A33+1,1),MAX(strike-$B33,0)),"")</f>
        <v/>
      </c>
      <c r="EC33" s="9" t="str">
        <f t="array" ref="EC33">IF(EC$11&gt;=0,MAX(INDEX(MMULT(inverseG,EB$12:EB$62),$A33+1,1),MAX(strike-$B33,0)),"")</f>
        <v/>
      </c>
      <c r="ED33" s="9" t="str">
        <f t="array" ref="ED33">IF(ED$11&gt;=0,MAX(INDEX(MMULT(inverseG,EC$12:EC$62),$A33+1,1),MAX(strike-$B33,0)),"")</f>
        <v/>
      </c>
      <c r="EE33" s="9" t="str">
        <f t="array" ref="EE33">IF(EE$11&gt;=0,MAX(INDEX(MMULT(inverseG,ED$12:ED$62),$A33+1,1),MAX(strike-$B33,0)),"")</f>
        <v/>
      </c>
      <c r="EF33" s="9" t="str">
        <f t="array" ref="EF33">IF(EF$11&gt;=0,MAX(INDEX(MMULT(inverseG,EE$12:EE$62),$A33+1,1),MAX(strike-$B33,0)),"")</f>
        <v/>
      </c>
      <c r="EG33" s="9" t="str">
        <f t="array" ref="EG33">IF(EG$11&gt;=0,MAX(INDEX(MMULT(inverseG,EF$12:EF$62),$A33+1,1),MAX(strike-$B33,0)),"")</f>
        <v/>
      </c>
      <c r="EH33" s="9" t="str">
        <f t="array" ref="EH33">IF(EH$11&gt;=0,MAX(INDEX(MMULT(inverseG,EG$12:EG$62),$A33+1,1),MAX(strike-$B33,0)),"")</f>
        <v/>
      </c>
      <c r="EI33" s="9" t="str">
        <f t="array" ref="EI33">IF(EI$11&gt;=0,MAX(INDEX(MMULT(inverseG,EH$12:EH$62),$A33+1,1),MAX(strike-$B33,0)),"")</f>
        <v/>
      </c>
      <c r="EJ33" s="9" t="str">
        <f t="array" ref="EJ33">IF(EJ$11&gt;=0,MAX(INDEX(MMULT(inverseG,EI$12:EI$62),$A33+1,1),MAX(strike-$B33,0)),"")</f>
        <v/>
      </c>
      <c r="EK33" s="9" t="str">
        <f t="array" ref="EK33">IF(EK$11&gt;=0,MAX(INDEX(MMULT(inverseG,EJ$12:EJ$62),$A33+1,1),MAX(strike-$B33,0)),"")</f>
        <v/>
      </c>
      <c r="EL33" s="9" t="str">
        <f t="array" ref="EL33">IF(EL$11&gt;=0,MAX(INDEX(MMULT(inverseG,EK$12:EK$62),$A33+1,1),MAX(strike-$B33,0)),"")</f>
        <v/>
      </c>
      <c r="EM33" s="9" t="str">
        <f t="array" ref="EM33">IF(EM$11&gt;=0,MAX(INDEX(MMULT(inverseG,EL$12:EL$62),$A33+1,1),MAX(strike-$B33,0)),"")</f>
        <v/>
      </c>
      <c r="EN33" s="9" t="str">
        <f t="array" ref="EN33">IF(EN$11&gt;=0,MAX(INDEX(MMULT(inverseG,EM$12:EM$62),$A33+1,1),MAX(strike-$B33,0)),"")</f>
        <v/>
      </c>
      <c r="EO33" s="9" t="str">
        <f t="array" ref="EO33">IF(EO$11&gt;=0,MAX(INDEX(MMULT(inverseG,EN$12:EN$62),$A33+1,1),MAX(strike-$B33,0)),"")</f>
        <v/>
      </c>
      <c r="EP33" s="9" t="str">
        <f t="array" ref="EP33">IF(EP$11&gt;=0,MAX(INDEX(MMULT(inverseG,EO$12:EO$62),$A33+1,1),MAX(strike-$B33,0)),"")</f>
        <v/>
      </c>
      <c r="EQ33" s="9" t="str">
        <f t="array" ref="EQ33">IF(EQ$11&gt;=0,MAX(INDEX(MMULT(inverseG,EP$12:EP$62),$A33+1,1),MAX(strike-$B33,0)),"")</f>
        <v/>
      </c>
      <c r="ER33" s="9" t="str">
        <f t="array" ref="ER33">IF(ER$11&gt;=0,MAX(INDEX(MMULT(inverseG,EQ$12:EQ$62),$A33+1,1),MAX(strike-$B33,0)),"")</f>
        <v/>
      </c>
      <c r="ES33" s="9" t="str">
        <f t="array" ref="ES33">IF(ES$11&gt;=0,MAX(INDEX(MMULT(inverseG,ER$12:ER$62),$A33+1,1),MAX(strike-$B33,0)),"")</f>
        <v/>
      </c>
      <c r="ET33" s="9" t="str">
        <f t="array" ref="ET33">IF(ET$11&gt;=0,MAX(INDEX(MMULT(inverseG,ES$12:ES$62),$A33+1,1),MAX(strike-$B33,0)),"")</f>
        <v/>
      </c>
      <c r="EU33" s="9" t="str">
        <f t="array" ref="EU33">IF(EU$11&gt;=0,MAX(INDEX(MMULT(inverseG,ET$12:ET$62),$A33+1,1),MAX(strike-$B33,0)),"")</f>
        <v/>
      </c>
      <c r="EV33" s="9" t="str">
        <f t="array" ref="EV33">IF(EV$11&gt;=0,MAX(INDEX(MMULT(inverseG,EU$12:EU$62),$A33+1,1),MAX(strike-$B33,0)),"")</f>
        <v/>
      </c>
      <c r="EW33" s="9" t="str">
        <f t="array" ref="EW33">IF(EW$11&gt;=0,MAX(INDEX(MMULT(inverseG,EV$12:EV$62),$A33+1,1),MAX(strike-$B33,0)),"")</f>
        <v/>
      </c>
      <c r="EX33" s="9" t="str">
        <f t="array" ref="EX33">IF(EX$11&gt;=0,MAX(INDEX(MMULT(inverseG,EW$12:EW$62),$A33+1,1),MAX(strike-$B33,0)),"")</f>
        <v/>
      </c>
      <c r="EY33" s="9" t="str">
        <f t="array" ref="EY33">IF(EY$11&gt;=0,MAX(INDEX(MMULT(inverseG,EX$12:EX$62),$A33+1,1),MAX(strike-$B33,0)),"")</f>
        <v/>
      </c>
      <c r="EZ33" s="9" t="str">
        <f t="array" ref="EZ33">IF(EZ$11&gt;=0,MAX(INDEX(MMULT(inverseG,EY$12:EY$62),$A33+1,1),MAX(strike-$B33,0)),"")</f>
        <v/>
      </c>
      <c r="FA33" s="9" t="str">
        <f t="array" ref="FA33">IF(FA$11&gt;=0,MAX(INDEX(MMULT(inverseG,EZ$12:EZ$62),$A33+1,1),MAX(strike-$B33,0)),"")</f>
        <v/>
      </c>
      <c r="FB33" s="9" t="str">
        <f t="array" ref="FB33">IF(FB$11&gt;=0,MAX(INDEX(MMULT(inverseG,FA$12:FA$62),$A33+1,1),MAX(strike-$B33,0)),"")</f>
        <v/>
      </c>
      <c r="FC33" s="9" t="str">
        <f t="array" ref="FC33">IF(FC$11&gt;=0,MAX(INDEX(MMULT(inverseG,FB$12:FB$62),$A33+1,1),MAX(strike-$B33,0)),"")</f>
        <v/>
      </c>
      <c r="FD33" s="9" t="str">
        <f t="array" ref="FD33">IF(FD$11&gt;=0,MAX(INDEX(MMULT(inverseG,FC$12:FC$62),$A33+1,1),MAX(strike-$B33,0)),"")</f>
        <v/>
      </c>
      <c r="FE33" s="9" t="str">
        <f t="array" ref="FE33">IF(FE$11&gt;=0,MAX(INDEX(MMULT(inverseG,FD$12:FD$62),$A33+1,1),MAX(strike-$B33,0)),"")</f>
        <v/>
      </c>
      <c r="FF33" s="9" t="str">
        <f t="array" ref="FF33">IF(FF$11&gt;=0,MAX(INDEX(MMULT(inverseG,FE$12:FE$62),$A33+1,1),MAX(strike-$B33,0)),"")</f>
        <v/>
      </c>
      <c r="FG33" s="9" t="str">
        <f t="array" ref="FG33">IF(FG$11&gt;=0,MAX(INDEX(MMULT(inverseG,FF$12:FF$62),$A33+1,1),MAX(strike-$B33,0)),"")</f>
        <v/>
      </c>
      <c r="FH33" s="9" t="str">
        <f t="array" ref="FH33">IF(FH$11&gt;=0,MAX(INDEX(MMULT(inverseG,FG$12:FG$62),$A33+1,1),MAX(strike-$B33,0)),"")</f>
        <v/>
      </c>
      <c r="FI33" s="9" t="str">
        <f t="array" ref="FI33">IF(FI$11&gt;=0,MAX(INDEX(MMULT(inverseG,FH$12:FH$62),$A33+1,1),MAX(strike-$B33,0)),"")</f>
        <v/>
      </c>
      <c r="FJ33" s="9" t="str">
        <f t="array" ref="FJ33">IF(FJ$11&gt;=0,MAX(INDEX(MMULT(inverseG,FI$12:FI$62),$A33+1,1),MAX(strike-$B33,0)),"")</f>
        <v/>
      </c>
      <c r="FK33" s="9" t="str">
        <f t="array" ref="FK33">IF(FK$11&gt;=0,MAX(INDEX(MMULT(inverseG,FJ$12:FJ$62),$A33+1,1),MAX(strike-$B33,0)),"")</f>
        <v/>
      </c>
      <c r="FL33" s="9" t="str">
        <f t="array" ref="FL33">IF(FL$11&gt;=0,MAX(INDEX(MMULT(inverseG,FK$12:FK$62),$A33+1,1),MAX(strike-$B33,0)),"")</f>
        <v/>
      </c>
      <c r="FM33" s="9" t="str">
        <f t="array" ref="FM33">IF(FM$11&gt;=0,MAX(INDEX(MMULT(inverseG,FL$12:FL$62),$A33+1,1),MAX(strike-$B33,0)),"")</f>
        <v/>
      </c>
      <c r="FN33" s="9" t="str">
        <f t="array" ref="FN33">IF(FN$11&gt;=0,MAX(INDEX(MMULT(inverseG,FM$12:FM$62),$A33+1,1),MAX(strike-$B33,0)),"")</f>
        <v/>
      </c>
      <c r="FO33" s="9" t="str">
        <f t="array" ref="FO33">IF(FO$11&gt;=0,MAX(INDEX(MMULT(inverseG,FN$12:FN$62),$A33+1,1),MAX(strike-$B33,0)),"")</f>
        <v/>
      </c>
      <c r="FP33" s="9" t="str">
        <f t="array" ref="FP33">IF(FP$11&gt;=0,MAX(INDEX(MMULT(inverseG,FO$12:FO$62),$A33+1,1),MAX(strike-$B33,0)),"")</f>
        <v/>
      </c>
      <c r="FQ33" s="9" t="str">
        <f t="array" ref="FQ33">IF(FQ$11&gt;=0,MAX(INDEX(MMULT(inverseG,FP$12:FP$62),$A33+1,1),MAX(strike-$B33,0)),"")</f>
        <v/>
      </c>
      <c r="FR33" s="9" t="str">
        <f t="array" ref="FR33">IF(FR$11&gt;=0,MAX(INDEX(MMULT(inverseG,FQ$12:FQ$62),$A33+1,1),MAX(strike-$B33,0)),"")</f>
        <v/>
      </c>
      <c r="FS33" s="9" t="str">
        <f t="array" ref="FS33">IF(FS$11&gt;=0,MAX(INDEX(MMULT(inverseG,FR$12:FR$62),$A33+1,1),MAX(strike-$B33,0)),"")</f>
        <v/>
      </c>
      <c r="FT33" s="9" t="str">
        <f t="array" ref="FT33">IF(FT$11&gt;=0,MAX(INDEX(MMULT(inverseG,FS$12:FS$62),$A33+1,1),MAX(strike-$B33,0)),"")</f>
        <v/>
      </c>
      <c r="FU33" s="9" t="str">
        <f t="array" ref="FU33">IF(FU$11&gt;=0,MAX(INDEX(MMULT(inverseG,FT$12:FT$62),$A33+1,1),MAX(strike-$B33,0)),"")</f>
        <v/>
      </c>
      <c r="FV33" s="9" t="str">
        <f t="array" ref="FV33">IF(FV$11&gt;=0,MAX(INDEX(MMULT(inverseG,FU$12:FU$62),$A33+1,1),MAX(strike-$B33,0)),"")</f>
        <v/>
      </c>
      <c r="FW33" s="9" t="str">
        <f t="array" ref="FW33">IF(FW$11&gt;=0,MAX(INDEX(MMULT(inverseG,FV$12:FV$62),$A33+1,1),MAX(strike-$B33,0)),"")</f>
        <v/>
      </c>
      <c r="FX33" s="9" t="str">
        <f t="array" ref="FX33">IF(FX$11&gt;=0,MAX(INDEX(MMULT(inverseG,FW$12:FW$62),$A33+1,1),MAX(strike-$B33,0)),"")</f>
        <v/>
      </c>
      <c r="FY33" s="9" t="str">
        <f t="array" ref="FY33">IF(FY$11&gt;=0,MAX(INDEX(MMULT(inverseG,FX$12:FX$62),$A33+1,1),MAX(strike-$B33,0)),"")</f>
        <v/>
      </c>
      <c r="FZ33" s="9" t="str">
        <f t="array" ref="FZ33">IF(FZ$11&gt;=0,MAX(INDEX(MMULT(inverseG,FY$12:FY$62),$A33+1,1),MAX(strike-$B33,0)),"")</f>
        <v/>
      </c>
      <c r="GA33" s="9" t="str">
        <f t="array" ref="GA33">IF(GA$11&gt;=0,MAX(INDEX(MMULT(inverseG,FZ$12:FZ$62),$A33+1,1),MAX(strike-$B33,0)),"")</f>
        <v/>
      </c>
      <c r="GB33" s="9" t="str">
        <f t="array" ref="GB33">IF(GB$11&gt;=0,MAX(INDEX(MMULT(inverseG,GA$12:GA$62),$A33+1,1),MAX(strike-$B33,0)),"")</f>
        <v/>
      </c>
      <c r="GC33" s="9" t="str">
        <f t="array" ref="GC33">IF(GC$11&gt;=0,MAX(INDEX(MMULT(inverseG,GB$12:GB$62),$A33+1,1),MAX(strike-$B33,0)),"")</f>
        <v/>
      </c>
      <c r="GD33" s="9" t="str">
        <f t="array" ref="GD33">IF(GD$11&gt;=0,MAX(INDEX(MMULT(inverseG,GC$12:GC$62),$A33+1,1),MAX(strike-$B33,0)),"")</f>
        <v/>
      </c>
      <c r="GE33" s="9" t="str">
        <f t="array" ref="GE33">IF(GE$11&gt;=0,MAX(INDEX(MMULT(inverseG,GD$12:GD$62),$A33+1,1),MAX(strike-$B33,0)),"")</f>
        <v/>
      </c>
      <c r="GF33" s="9" t="str">
        <f t="array" ref="GF33">IF(GF$11&gt;=0,MAX(INDEX(MMULT(inverseG,GE$12:GE$62),$A33+1,1),MAX(strike-$B33,0)),"")</f>
        <v/>
      </c>
      <c r="GG33" s="9" t="str">
        <f t="array" ref="GG33">IF(GG$11&gt;=0,MAX(INDEX(MMULT(inverseG,GF$12:GF$62),$A33+1,1),MAX(strike-$B33,0)),"")</f>
        <v/>
      </c>
      <c r="GH33" s="9" t="str">
        <f t="array" ref="GH33">IF(GH$11&gt;=0,MAX(INDEX(MMULT(inverseG,GG$12:GG$62),$A33+1,1),MAX(strike-$B33,0)),"")</f>
        <v/>
      </c>
      <c r="GI33" s="9" t="str">
        <f t="array" ref="GI33">IF(GI$11&gt;=0,MAX(INDEX(MMULT(inverseG,GH$12:GH$62),$A33+1,1),MAX(strike-$B33,0)),"")</f>
        <v/>
      </c>
      <c r="GJ33" s="9" t="str">
        <f t="array" ref="GJ33">IF(GJ$11&gt;=0,MAX(INDEX(MMULT(inverseG,GI$12:GI$62),$A33+1,1),MAX(strike-$B33,0)),"")</f>
        <v/>
      </c>
      <c r="GK33" s="9" t="str">
        <f t="array" ref="GK33">IF(GK$11&gt;=0,MAX(INDEX(MMULT(inverseG,GJ$12:GJ$62),$A33+1,1),MAX(strike-$B33,0)),"")</f>
        <v/>
      </c>
      <c r="GL33" s="9" t="str">
        <f t="array" ref="GL33">IF(GL$11&gt;=0,MAX(INDEX(MMULT(inverseG,GK$12:GK$62),$A33+1,1),MAX(strike-$B33,0)),"")</f>
        <v/>
      </c>
      <c r="GM33" s="9" t="str">
        <f t="array" ref="GM33">IF(GM$11&gt;=0,MAX(INDEX(MMULT(inverseG,GL$12:GL$62),$A33+1,1),MAX(strike-$B33,0)),"")</f>
        <v/>
      </c>
      <c r="GN33" s="9" t="str">
        <f t="array" ref="GN33">IF(GN$11&gt;=0,MAX(INDEX(MMULT(inverseG,GM$12:GM$62),$A33+1,1),MAX(strike-$B33,0)),"")</f>
        <v/>
      </c>
      <c r="GO33" s="9" t="str">
        <f t="array" ref="GO33">IF(GO$11&gt;=0,MAX(INDEX(MMULT(inverseG,GN$12:GN$62),$A33+1,1),MAX(strike-$B33,0)),"")</f>
        <v/>
      </c>
      <c r="GP33" s="9" t="str">
        <f t="array" ref="GP33">IF(GP$11&gt;=0,MAX(INDEX(MMULT(inverseG,GO$12:GO$62),$A33+1,1),MAX(strike-$B33,0)),"")</f>
        <v/>
      </c>
      <c r="GQ33" s="9" t="str">
        <f t="array" ref="GQ33">IF(GQ$11&gt;=0,MAX(INDEX(MMULT(inverseG,GP$12:GP$62),$A33+1,1),MAX(strike-$B33,0)),"")</f>
        <v/>
      </c>
      <c r="GR33" s="9" t="str">
        <f t="array" ref="GR33">IF(GR$11&gt;=0,MAX(INDEX(MMULT(inverseG,GQ$12:GQ$62),$A33+1,1),MAX(strike-$B33,0)),"")</f>
        <v/>
      </c>
      <c r="GS33" s="9" t="str">
        <f t="array" ref="GS33">IF(GS$11&gt;=0,MAX(INDEX(MMULT(inverseG,GR$12:GR$62),$A33+1,1),MAX(strike-$B33,0)),"")</f>
        <v/>
      </c>
      <c r="GT33" s="9" t="str">
        <f t="array" ref="GT33">IF(GT$11&gt;=0,MAX(INDEX(MMULT(inverseG,GS$12:GS$62),$A33+1,1),MAX(strike-$B33,0)),"")</f>
        <v/>
      </c>
      <c r="GU33" s="9" t="str">
        <f t="array" ref="GU33">IF(GU$11&gt;=0,MAX(INDEX(MMULT(inverseG,GT$12:GT$62),$A33+1,1),MAX(strike-$B33,0)),"")</f>
        <v/>
      </c>
      <c r="GV33" s="9" t="str">
        <f t="array" ref="GV33">IF(GV$11&gt;=0,MAX(INDEX(MMULT(inverseG,GU$12:GU$62),$A33+1,1),MAX(strike-$B33,0)),"")</f>
        <v/>
      </c>
      <c r="GW33" s="9" t="str">
        <f t="array" ref="GW33">IF(GW$11&gt;=0,MAX(INDEX(MMULT(inverseG,GV$12:GV$62),$A33+1,1),MAX(strike-$B33,0)),"")</f>
        <v/>
      </c>
      <c r="GX33" s="9" t="str">
        <f t="array" ref="GX33">IF(GX$11&gt;=0,MAX(INDEX(MMULT(inverseG,GW$12:GW$62),$A33+1,1),MAX(strike-$B33,0)),"")</f>
        <v/>
      </c>
      <c r="GY33" s="9" t="str">
        <f t="array" ref="GY33">IF(GY$11&gt;=0,MAX(INDEX(MMULT(inverseG,GX$12:GX$62),$A33+1,1),MAX(strike-$B33,0)),"")</f>
        <v/>
      </c>
      <c r="GZ33" s="9" t="str">
        <f t="array" ref="GZ33">IF(GZ$11&gt;=0,MAX(INDEX(MMULT(inverseG,GY$12:GY$62),$A33+1,1),MAX(strike-$B33,0)),"")</f>
        <v/>
      </c>
      <c r="HA33" s="9" t="str">
        <f t="array" ref="HA33">IF(HA$11&gt;=0,MAX(INDEX(MMULT(inverseG,GZ$12:GZ$62),$A33+1,1),MAX(strike-$B33,0)),"")</f>
        <v/>
      </c>
      <c r="HB33" s="9" t="str">
        <f t="array" ref="HB33">IF(HB$11&gt;=0,MAX(INDEX(MMULT(inverseG,HA$12:HA$62),$A33+1,1),MAX(strike-$B33,0)),"")</f>
        <v/>
      </c>
      <c r="HC33" s="9" t="str">
        <f t="array" ref="HC33">IF(HC$11&gt;=0,MAX(INDEX(MMULT(inverseG,HB$12:HB$62),$A33+1,1),MAX(strike-$B33,0)),"")</f>
        <v/>
      </c>
      <c r="HD33" s="9" t="str">
        <f t="array" ref="HD33">IF(HD$11&gt;=0,MAX(INDEX(MMULT(inverseG,HC$12:HC$62),$A33+1,1),MAX(strike-$B33,0)),"")</f>
        <v/>
      </c>
      <c r="HE33" s="9" t="str">
        <f t="array" ref="HE33">IF(HE$11&gt;=0,MAX(INDEX(MMULT(inverseG,HD$12:HD$62),$A33+1,1),MAX(strike-$B33,0)),"")</f>
        <v/>
      </c>
      <c r="HF33" s="9" t="str">
        <f t="array" ref="HF33">IF(HF$11&gt;=0,MAX(INDEX(MMULT(inverseG,HE$12:HE$62),$A33+1,1),MAX(strike-$B33,0)),"")</f>
        <v/>
      </c>
      <c r="HG33" s="9" t="str">
        <f t="array" ref="HG33">IF(HG$11&gt;=0,MAX(INDEX(MMULT(inverseG,HF$12:HF$62),$A33+1,1),MAX(strike-$B33,0)),"")</f>
        <v/>
      </c>
      <c r="HH33" s="9" t="str">
        <f t="array" ref="HH33">IF(HH$11&gt;=0,MAX(INDEX(MMULT(inverseG,HG$12:HG$62),$A33+1,1),MAX(strike-$B33,0)),"")</f>
        <v/>
      </c>
      <c r="HI33" s="9" t="str">
        <f t="array" ref="HI33">IF(HI$11&gt;=0,MAX(INDEX(MMULT(inverseG,HH$12:HH$62),$A33+1,1),MAX(strike-$B33,0)),"")</f>
        <v/>
      </c>
      <c r="HJ33" s="9" t="str">
        <f t="array" ref="HJ33">IF(HJ$11&gt;=0,MAX(INDEX(MMULT(inverseG,HI$12:HI$62),$A33+1,1),MAX(strike-$B33,0)),"")</f>
        <v/>
      </c>
      <c r="HK33" s="9" t="str">
        <f t="array" ref="HK33">IF(HK$11&gt;=0,MAX(INDEX(MMULT(inverseG,HJ$12:HJ$62),$A33+1,1),MAX(strike-$B33,0)),"")</f>
        <v/>
      </c>
      <c r="HL33" s="9" t="str">
        <f t="array" ref="HL33">IF(HL$11&gt;=0,MAX(INDEX(MMULT(inverseG,HK$12:HK$62),$A33+1,1),MAX(strike-$B33,0)),"")</f>
        <v/>
      </c>
      <c r="HM33" s="9" t="str">
        <f t="array" ref="HM33">IF(HM$11&gt;=0,MAX(INDEX(MMULT(inverseG,HL$12:HL$62),$A33+1,1),MAX(strike-$B33,0)),"")</f>
        <v/>
      </c>
      <c r="HN33" s="9" t="str">
        <f t="array" ref="HN33">IF(HN$11&gt;=0,MAX(INDEX(MMULT(inverseG,HM$12:HM$62),$A33+1,1),MAX(strike-$B33,0)),"")</f>
        <v/>
      </c>
      <c r="HO33" s="9" t="str">
        <f t="array" ref="HO33">IF(HO$11&gt;=0,MAX(INDEX(MMULT(inverseG,HN$12:HN$62),$A33+1,1),MAX(strike-$B33,0)),"")</f>
        <v/>
      </c>
      <c r="HP33" s="9" t="str">
        <f t="array" ref="HP33">IF(HP$11&gt;=0,MAX(INDEX(MMULT(inverseG,HO$12:HO$62),$A33+1,1),MAX(strike-$B33,0)),"")</f>
        <v/>
      </c>
      <c r="HQ33" s="9" t="str">
        <f t="array" ref="HQ33">IF(HQ$11&gt;=0,MAX(INDEX(MMULT(inverseG,HP$12:HP$62),$A33+1,1),MAX(strike-$B33,0)),"")</f>
        <v/>
      </c>
      <c r="HR33" s="9" t="str">
        <f t="array" ref="HR33">IF(HR$11&gt;=0,MAX(INDEX(MMULT(inverseG,HQ$12:HQ$62),$A33+1,1),MAX(strike-$B33,0)),"")</f>
        <v/>
      </c>
      <c r="HS33" s="9" t="str">
        <f t="array" ref="HS33">IF(HS$11&gt;=0,MAX(INDEX(MMULT(inverseG,HR$12:HR$62),$A33+1,1),MAX(strike-$B33,0)),"")</f>
        <v/>
      </c>
      <c r="HT33" s="9" t="str">
        <f t="array" ref="HT33">IF(HT$11&gt;=0,MAX(INDEX(MMULT(inverseG,HS$12:HS$62),$A33+1,1),MAX(strike-$B33,0)),"")</f>
        <v/>
      </c>
      <c r="HU33" s="9" t="str">
        <f t="array" ref="HU33">IF(HU$11&gt;=0,MAX(INDEX(MMULT(inverseG,HT$12:HT$62),$A33+1,1),MAX(strike-$B33,0)),"")</f>
        <v/>
      </c>
      <c r="HV33" s="9" t="str">
        <f t="array" ref="HV33">IF(HV$11&gt;=0,MAX(INDEX(MMULT(inverseG,HU$12:HU$62),$A33+1,1),MAX(strike-$B33,0)),"")</f>
        <v/>
      </c>
      <c r="HW33" s="9" t="str">
        <f t="array" ref="HW33">IF(HW$11&gt;=0,MAX(INDEX(MMULT(inverseG,HV$12:HV$62),$A33+1,1),MAX(strike-$B33,0)),"")</f>
        <v/>
      </c>
      <c r="HX33" s="9" t="str">
        <f t="array" ref="HX33">IF(HX$11&gt;=0,MAX(INDEX(MMULT(inverseG,HW$12:HW$62),$A33+1,1),MAX(strike-$B33,0)),"")</f>
        <v/>
      </c>
      <c r="HY33" s="9" t="str">
        <f t="array" ref="HY33">IF(HY$11&gt;=0,MAX(INDEX(MMULT(inverseG,HX$12:HX$62),$A33+1,1),MAX(strike-$B33,0)),"")</f>
        <v/>
      </c>
      <c r="HZ33" s="9" t="str">
        <f t="array" ref="HZ33">IF(HZ$11&gt;=0,MAX(INDEX(MMULT(inverseG,HY$12:HY$62),$A33+1,1),MAX(strike-$B33,0)),"")</f>
        <v/>
      </c>
      <c r="IA33" s="9" t="str">
        <f t="array" ref="IA33">IF(IA$11&gt;=0,MAX(INDEX(MMULT(inverseG,HZ$12:HZ$62),$A33+1,1),MAX(strike-$B33,0)),"")</f>
        <v/>
      </c>
      <c r="IB33" s="9" t="str">
        <f t="array" ref="IB33">IF(IB$11&gt;=0,MAX(INDEX(MMULT(inverseG,IA$12:IA$62),$A33+1,1),MAX(strike-$B33,0)),"")</f>
        <v/>
      </c>
      <c r="IC33" s="9" t="str">
        <f t="array" ref="IC33">IF(IC$11&gt;=0,MAX(INDEX(MMULT(inverseG,IB$12:IB$62),$A33+1,1),MAX(strike-$B33,0)),"")</f>
        <v/>
      </c>
      <c r="ID33" s="9" t="str">
        <f t="array" ref="ID33">IF(ID$11&gt;=0,MAX(INDEX(MMULT(inverseG,IC$12:IC$62),$A33+1,1),MAX(strike-$B33,0)),"")</f>
        <v/>
      </c>
      <c r="IE33" s="9" t="str">
        <f t="array" ref="IE33">IF(IE$11&gt;=0,MAX(INDEX(MMULT(inverseG,ID$12:ID$62),$A33+1,1),MAX(strike-$B33,0)),"")</f>
        <v/>
      </c>
      <c r="IF33" s="9" t="str">
        <f t="array" ref="IF33">IF(IF$11&gt;=0,MAX(INDEX(MMULT(inverseG,IE$12:IE$62),$A33+1,1),MAX(strike-$B33,0)),"")</f>
        <v/>
      </c>
      <c r="IG33" s="9" t="str">
        <f t="array" ref="IG33">IF(IG$11&gt;=0,MAX(INDEX(MMULT(inverseG,IF$12:IF$62),$A33+1,1),MAX(strike-$B33,0)),"")</f>
        <v/>
      </c>
      <c r="IH33" s="9" t="str">
        <f t="array" ref="IH33">IF(IH$11&gt;=0,MAX(INDEX(MMULT(inverseG,IG$12:IG$62),$A33+1,1),MAX(strike-$B33,0)),"")</f>
        <v/>
      </c>
      <c r="II33" s="9" t="str">
        <f t="array" ref="II33">IF(II$11&gt;=0,MAX(INDEX(MMULT(inverseG,IH$12:IH$62),$A33+1,1),MAX(strike-$B33,0)),"")</f>
        <v/>
      </c>
      <c r="IJ33" s="9" t="str">
        <f t="array" ref="IJ33">IF(IJ$11&gt;=0,MAX(INDEX(MMULT(inverseG,II$12:II$62),$A33+1,1),MAX(strike-$B33,0)),"")</f>
        <v/>
      </c>
      <c r="IK33" s="9" t="str">
        <f t="array" ref="IK33">IF(IK$11&gt;=0,MAX(INDEX(MMULT(inverseG,IJ$12:IJ$62),$A33+1,1),MAX(strike-$B33,0)),"")</f>
        <v/>
      </c>
      <c r="IL33" s="9" t="str">
        <f t="array" ref="IL33">IF(IL$11&gt;=0,MAX(INDEX(MMULT(inverseG,IK$12:IK$62),$A33+1,1),MAX(strike-$B33,0)),"")</f>
        <v/>
      </c>
      <c r="IM33" s="9" t="str">
        <f t="array" ref="IM33">IF(IM$11&gt;=0,MAX(INDEX(MMULT(inverseG,IL$12:IL$62),$A33+1,1),MAX(strike-$B33,0)),"")</f>
        <v/>
      </c>
      <c r="IN33" s="9" t="str">
        <f t="array" ref="IN33">IF(IN$11&gt;=0,MAX(INDEX(MMULT(inverseG,IM$12:IM$62),$A33+1,1),MAX(strike-$B33,0)),"")</f>
        <v/>
      </c>
      <c r="IO33" s="9" t="str">
        <f t="array" ref="IO33">IF(IO$11&gt;=0,MAX(INDEX(MMULT(inverseG,IN$12:IN$62),$A33+1,1),MAX(strike-$B33,0)),"")</f>
        <v/>
      </c>
      <c r="IP33" s="9" t="str">
        <f t="array" ref="IP33">IF(IP$11&gt;=0,MAX(INDEX(MMULT(inverseG,IO$12:IO$62),$A33+1,1),MAX(strike-$B33,0)),"")</f>
        <v/>
      </c>
      <c r="IQ33" s="9" t="str">
        <f t="array" ref="IQ33">IF(IQ$11&gt;=0,MAX(INDEX(MMULT(inverseG,IP$12:IP$62),$A33+1,1),MAX(strike-$B33,0)),"")</f>
        <v/>
      </c>
      <c r="IR33" s="9" t="str">
        <f t="array" ref="IR33">IF(IR$11&gt;=0,MAX(INDEX(MMULT(inverseG,IQ$12:IQ$62),$A33+1,1),MAX(strike-$B33,0)),"")</f>
        <v/>
      </c>
      <c r="IS33" s="9" t="str">
        <f t="array" ref="IS33">IF(IS$11&gt;=0,MAX(INDEX(MMULT(inverseG,IR$12:IR$62),$A33+1,1),MAX(strike-$B33,0)),"")</f>
        <v/>
      </c>
      <c r="IT33" s="9" t="str">
        <f t="array" ref="IT33">IF(IT$11&gt;=0,MAX(INDEX(MMULT(inverseG,IS$12:IS$62),$A33+1,1),MAX(strike-$B33,0)),"")</f>
        <v/>
      </c>
      <c r="IU33" s="9" t="str">
        <f t="array" ref="IU33">IF(IU$11&gt;=0,MAX(INDEX(MMULT(inverseG,IT$12:IT$62),$A33+1,1),MAX(strike-$B33,0)),"")</f>
        <v/>
      </c>
      <c r="IV33" s="9" t="str">
        <f t="array" ref="IV33">IF(IV$11&gt;=0,MAX(INDEX(MMULT(inverseG,IU$12:IU$62),$A33+1,1),MAX(strike-$B33,0)),"")</f>
        <v/>
      </c>
    </row>
    <row r="34" spans="1:256" x14ac:dyDescent="0.2">
      <c r="A34" s="8">
        <f t="shared" si="7"/>
        <v>22</v>
      </c>
      <c r="B34" s="6">
        <f t="shared" si="4"/>
        <v>5.5</v>
      </c>
      <c r="C34" s="30">
        <f t="shared" ca="1" si="6"/>
        <v>0.52119294147098139</v>
      </c>
      <c r="D34" s="9">
        <f t="shared" si="5"/>
        <v>0</v>
      </c>
      <c r="E34" s="9">
        <f t="array" ref="E34">IF(E$11&gt;=0,MAX(INDEX(MMULT(inverseG,D$12:D$62),$A34+1,1),MAX(strike-$B34,0)),"")</f>
        <v>7.7192779720966966E-3</v>
      </c>
      <c r="F34" s="9">
        <f t="array" ref="F34">IF(F$11&gt;=0,MAX(INDEX(MMULT(inverseG,E$12:E$62),$A34+1,1),MAX(strike-$B34,0)),"")</f>
        <v>2.0381560658919093E-2</v>
      </c>
      <c r="G34" s="9">
        <f t="array" ref="G34">IF(G$11&gt;=0,MAX(INDEX(MMULT(inverseG,F$12:F$62),$A34+1,1),MAX(strike-$B34,0)),"")</f>
        <v>3.5196095921555266E-2</v>
      </c>
      <c r="H34" s="9">
        <f t="array" ref="H34">IF(H$11&gt;=0,MAX(INDEX(MMULT(inverseG,G$12:G$62),$A34+1,1),MAX(strike-$B34,0)),"")</f>
        <v>5.0561615422394943E-2</v>
      </c>
      <c r="I34" s="9">
        <f t="array" ref="I34">IF(I$11&gt;=0,MAX(INDEX(MMULT(inverseG,H$12:H$62),$A34+1,1),MAX(strike-$B34,0)),"")</f>
        <v>6.5707840787540106E-2</v>
      </c>
      <c r="J34" s="9">
        <f t="array" ref="J34">IF(J$11&gt;=0,MAX(INDEX(MMULT(inverseG,I$12:I$62),$A34+1,1),MAX(strike-$B34,0)),"")</f>
        <v>8.0306831939108231E-2</v>
      </c>
      <c r="K34" s="9">
        <f t="array" ref="K34">IF(K$11&gt;=0,MAX(INDEX(MMULT(inverseG,J$12:J$62),$A34+1,1),MAX(strike-$B34,0)),"")</f>
        <v>9.4242450117399706E-2</v>
      </c>
      <c r="L34" s="9">
        <f t="array" ref="L34">IF(L$11&gt;=0,MAX(INDEX(MMULT(inverseG,K$12:K$62),$A34+1,1),MAX(strike-$B34,0)),"")</f>
        <v>0.10749650580355317</v>
      </c>
      <c r="M34" s="9">
        <f t="array" ref="M34">IF(M$11&gt;=0,MAX(INDEX(MMULT(inverseG,L$12:L$62),$A34+1,1),MAX(strike-$B34,0)),"")</f>
        <v>0.12009447263616556</v>
      </c>
      <c r="N34" s="9">
        <f t="array" ref="N34">IF(N$11&gt;=0,MAX(INDEX(MMULT(inverseG,M$12:M$62),$A34+1,1),MAX(strike-$B34,0)),"")</f>
        <v>0.132079362330599</v>
      </c>
      <c r="O34" s="9">
        <f t="array" ref="O34">IF(O$11&gt;=0,MAX(INDEX(MMULT(inverseG,N$12:N$62),$A34+1,1),MAX(strike-$B34,0)),"")</f>
        <v>0.14349904738040589</v>
      </c>
      <c r="P34" s="9">
        <f t="array" ref="P34">IF(P$11&gt;=0,MAX(INDEX(MMULT(inverseG,O$12:O$62),$A34+1,1),MAX(strike-$B34,0)),"")</f>
        <v>0.1544002513741316</v>
      </c>
      <c r="Q34" s="9">
        <f t="array" ref="Q34">IF(Q$11&gt;=0,MAX(INDEX(MMULT(inverseG,P$12:P$62),$A34+1,1),MAX(strike-$B34,0)),"")</f>
        <v>0.16482594630014399</v>
      </c>
      <c r="R34" s="9">
        <f t="array" ref="R34">IF(R$11&gt;=0,MAX(INDEX(MMULT(inverseG,Q$12:Q$62),$A34+1,1),MAX(strike-$B34,0)),"")</f>
        <v>0.1748144960926595</v>
      </c>
      <c r="S34" s="9">
        <f t="array" ref="S34">IF(S$11&gt;=0,MAX(INDEX(MMULT(inverseG,R$12:R$62),$A34+1,1),MAX(strike-$B34,0)),"")</f>
        <v>0.1843996643893174</v>
      </c>
      <c r="T34" s="9">
        <f t="array" ref="T34">IF(T$11&gt;=0,MAX(INDEX(MMULT(inverseG,S$12:S$62),$A34+1,1),MAX(strike-$B34,0)),"")</f>
        <v>0.19361106859900376</v>
      </c>
      <c r="U34" s="9">
        <f t="array" ref="U34">IF(U$11&gt;=0,MAX(INDEX(MMULT(inverseG,T$12:T$62),$A34+1,1),MAX(strike-$B34,0)),"")</f>
        <v>0.20247503628375801</v>
      </c>
      <c r="V34" s="9">
        <f t="array" ref="V34">IF(V$11&gt;=0,MAX(INDEX(MMULT(inverseG,U$12:U$62),$A34+1,1),MAX(strike-$B34,0)),"")</f>
        <v>0.2110154076216593</v>
      </c>
      <c r="W34" s="9">
        <f t="array" ref="W34">IF(W$11&gt;=0,MAX(INDEX(MMULT(inverseG,V$12:V$62),$A34+1,1),MAX(strike-$B34,0)),"")</f>
        <v>0.21925406011101239</v>
      </c>
      <c r="X34" s="9">
        <f t="array" ref="X34">IF(X$11&gt;=0,MAX(INDEX(MMULT(inverseG,W$12:W$62),$A34+1,1),MAX(strike-$B34,0)),"")</f>
        <v>0.22721117284448977</v>
      </c>
      <c r="Y34" s="9">
        <f t="array" ref="Y34">IF(Y$11&gt;=0,MAX(INDEX(MMULT(inverseG,X$12:X$62),$A34+1,1),MAX(strike-$B34,0)),"")</f>
        <v>0.23490533503126484</v>
      </c>
      <c r="Z34" s="9">
        <f t="array" ref="Z34">IF(Z$11&gt;=0,MAX(INDEX(MMULT(inverseG,Y$12:Y$62),$A34+1,1),MAX(strike-$B34,0)),"")</f>
        <v>0.24235359421908267</v>
      </c>
      <c r="AA34" s="9">
        <f t="array" ref="AA34">IF(AA$11&gt;=0,MAX(INDEX(MMULT(inverseG,Z$12:Z$62),$A34+1,1),MAX(strike-$B34,0)),"")</f>
        <v>0.24957150159962938</v>
      </c>
      <c r="AB34" s="9">
        <f t="array" ref="AB34">IF(AB$11&gt;=0,MAX(INDEX(MMULT(inverseG,AA$12:AA$62),$A34+1,1),MAX(strike-$B34,0)),"")</f>
        <v>0.25657317817066116</v>
      </c>
      <c r="AC34" s="9">
        <f t="array" ref="AC34">IF(AC$11&gt;=0,MAX(INDEX(MMULT(inverseG,AB$12:AB$62),$A34+1,1),MAX(strike-$B34,0)),"")</f>
        <v>0.26337140494930056</v>
      </c>
      <c r="AD34" s="9">
        <f t="array" ref="AD34">IF(AD$11&gt;=0,MAX(INDEX(MMULT(inverseG,AC$12:AC$62),$A34+1,1),MAX(strike-$B34,0)),"")</f>
        <v>0.26997773100162065</v>
      </c>
      <c r="AE34" s="9">
        <f t="array" ref="AE34">IF(AE$11&gt;=0,MAX(INDEX(MMULT(inverseG,AD$12:AD$62),$A34+1,1),MAX(strike-$B34,0)),"")</f>
        <v>0.27640259053713723</v>
      </c>
      <c r="AF34" s="9">
        <f t="array" ref="AF34">IF(AF$11&gt;=0,MAX(INDEX(MMULT(inverseG,AE$12:AE$62),$A34+1,1),MAX(strike-$B34,0)),"")</f>
        <v>0.28265542119438325</v>
      </c>
      <c r="AG34" s="9">
        <f t="array" ref="AG34">IF(AG$11&gt;=0,MAX(INDEX(MMULT(inverseG,AF$12:AF$62),$A34+1,1),MAX(strike-$B34,0)),"")</f>
        <v>0.28874477772051199</v>
      </c>
      <c r="AH34" s="9">
        <f t="array" ref="AH34">IF(AH$11&gt;=0,MAX(INDEX(MMULT(inverseG,AG$12:AG$62),$A34+1,1),MAX(strike-$B34,0)),"")</f>
        <v>0.29467843739777777</v>
      </c>
      <c r="AI34" s="9">
        <f t="array" ref="AI34">IF(AI$11&gt;=0,MAX(INDEX(MMULT(inverseG,AH$12:AH$62),$A34+1,1),MAX(strike-$B34,0)),"")</f>
        <v>0.30046349533411926</v>
      </c>
      <c r="AJ34" s="9">
        <f t="array" ref="AJ34">IF(AJ$11&gt;=0,MAX(INDEX(MMULT(inverseG,AI$12:AI$62),$A34+1,1),MAX(strike-$B34,0)),"")</f>
        <v>0.30610644900750827</v>
      </c>
      <c r="AK34" s="9">
        <f t="array" ref="AK34">IF(AK$11&gt;=0,MAX(INDEX(MMULT(inverseG,AJ$12:AJ$62),$A34+1,1),MAX(strike-$B34,0)),"")</f>
        <v>0.31161327228359903</v>
      </c>
      <c r="AL34" s="9">
        <f t="array" ref="AL34">IF(AL$11&gt;=0,MAX(INDEX(MMULT(inverseG,AK$12:AK$62),$A34+1,1),MAX(strike-$B34,0)),"")</f>
        <v>0.31698947961302415</v>
      </c>
      <c r="AM34" s="9">
        <f t="array" ref="AM34">IF(AM$11&gt;=0,MAX(INDEX(MMULT(inverseG,AL$12:AL$62),$A34+1,1),MAX(strike-$B34,0)),"")</f>
        <v>0.32224018135895693</v>
      </c>
      <c r="AN34" s="9">
        <f t="array" ref="AN34">IF(AN$11&gt;=0,MAX(INDEX(MMULT(inverseG,AM$12:AM$62),$A34+1,1),MAX(strike-$B34,0)),"")</f>
        <v>0.32737013129024839</v>
      </c>
      <c r="AO34" s="9">
        <f t="array" ref="AO34">IF(AO$11&gt;=0,MAX(INDEX(MMULT(inverseG,AN$12:AN$62),$A34+1,1),MAX(strike-$B34,0)),"")</f>
        <v>0.33238379546514624</v>
      </c>
      <c r="AP34" s="9">
        <f t="array" ref="AP34">IF(AP$11&gt;=0,MAX(INDEX(MMULT(inverseG,AO$12:AO$62),$A34+1,1),MAX(strike-$B34,0)),"")</f>
        <v>0.33728543272805656</v>
      </c>
      <c r="AQ34" s="9">
        <f t="array" ref="AQ34">IF(AQ$11&gt;=0,MAX(INDEX(MMULT(inverseG,AP$12:AP$62),$A34+1,1),MAX(strike-$B34,0)),"")</f>
        <v>0.34207916210404143</v>
      </c>
      <c r="AR34" s="9">
        <f t="array" ref="AR34">IF(AR$11&gt;=0,MAX(INDEX(MMULT(inverseG,AQ$12:AQ$62),$A34+1,1),MAX(strike-$B34,0)),"")</f>
        <v>0.34676900243989683</v>
      </c>
      <c r="AS34" s="9">
        <f t="array" ref="AS34">IF(AS$11&gt;=0,MAX(INDEX(MMULT(inverseG,AR$12:AR$62),$A34+1,1),MAX(strike-$B34,0)),"")</f>
        <v>0.35135888386832559</v>
      </c>
      <c r="AT34" s="9">
        <f t="array" ref="AT34">IF(AT$11&gt;=0,MAX(INDEX(MMULT(inverseG,AS$12:AS$62),$A34+1,1),MAX(strike-$B34,0)),"")</f>
        <v>0.35585263901052494</v>
      </c>
      <c r="AU34" s="9">
        <f t="array" ref="AU34">IF(AU$11&gt;=0,MAX(INDEX(MMULT(inverseG,AT$12:AT$62),$A34+1,1),MAX(strike-$B34,0)),"")</f>
        <v>0.36025398377393814</v>
      </c>
      <c r="AV34" s="9">
        <f t="array" ref="AV34">IF(AV$11&gt;=0,MAX(INDEX(MMULT(inverseG,AU$12:AU$62),$A34+1,1),MAX(strike-$B34,0)),"")</f>
        <v>0.36456649586057599</v>
      </c>
      <c r="AW34" s="9">
        <f t="array" ref="AW34">IF(AW$11&gt;=0,MAX(INDEX(MMULT(inverseG,AV$12:AV$62),$A34+1,1),MAX(strike-$B34,0)),"")</f>
        <v>0.36879359618621238</v>
      </c>
      <c r="AX34" s="9">
        <f t="array" ref="AX34">IF(AX$11&gt;=0,MAX(INDEX(MMULT(inverseG,AW$12:AW$62),$A34+1,1),MAX(strike-$B34,0)),"")</f>
        <v>0.37293853574057961</v>
      </c>
      <c r="AY34" s="9">
        <f t="array" ref="AY34">IF(AY$11&gt;=0,MAX(INDEX(MMULT(inverseG,AX$12:AX$62),$A34+1,1),MAX(strike-$B34,0)),"")</f>
        <v>0.37700438851122459</v>
      </c>
      <c r="AZ34" s="9">
        <f t="array" ref="AZ34">IF(AZ$11&gt;=0,MAX(INDEX(MMULT(inverseG,AY$12:AY$62),$A34+1,1),MAX(strike-$B34,0)),"")</f>
        <v>0.38099404996581598</v>
      </c>
      <c r="BA34" s="9">
        <f t="array" ref="BA34">IF(BA$11&gt;=0,MAX(INDEX(MMULT(inverseG,AZ$12:AZ$62),$A34+1,1),MAX(strike-$B34,0)),"")</f>
        <v>0.38491024005944779</v>
      </c>
      <c r="BB34" s="9">
        <f t="array" ref="BB34">IF(BB$11&gt;=0,MAX(INDEX(MMULT(inverseG,BA$12:BA$62),$A34+1,1),MAX(strike-$B34,0)),"")</f>
        <v>0.38875550959449262</v>
      </c>
      <c r="BC34" s="9">
        <f t="array" ref="BC34">IF(BC$11&gt;=0,MAX(INDEX(MMULT(inverseG,BB$12:BB$62),$A34+1,1),MAX(strike-$B34,0)),"")</f>
        <v>0.3925322488385477</v>
      </c>
      <c r="BD34" s="9">
        <f t="array" ref="BD34">IF(BD$11&gt;=0,MAX(INDEX(MMULT(inverseG,BC$12:BC$62),$A34+1,1),MAX(strike-$B34,0)),"")</f>
        <v>0.39624269748223084</v>
      </c>
      <c r="BE34" s="9">
        <f t="array" ref="BE34">IF(BE$11&gt;=0,MAX(INDEX(MMULT(inverseG,BD$12:BD$62),$A34+1,1),MAX(strike-$B34,0)),"")</f>
        <v>0.39988895522104911</v>
      </c>
      <c r="BF34" s="9">
        <f t="array" ref="BF34">IF(BF$11&gt;=0,MAX(INDEX(MMULT(inverseG,BE$12:BE$62),$A34+1,1),MAX(strike-$B34,0)),"")</f>
        <v>0.40347299243590801</v>
      </c>
      <c r="BG34" s="9">
        <f t="array" ref="BG34">IF(BG$11&gt;=0,MAX(INDEX(MMULT(inverseG,BF$12:BF$62),$A34+1,1),MAX(strike-$B34,0)),"")</f>
        <v>0.40699666060828965</v>
      </c>
      <c r="BH34" s="9">
        <f t="array" ref="BH34">IF(BH$11&gt;=0,MAX(INDEX(MMULT(inverseG,BG$12:BG$62),$A34+1,1),MAX(strike-$B34,0)),"")</f>
        <v>0.41046170223428763</v>
      </c>
      <c r="BI34" s="9">
        <f t="array" ref="BI34">IF(BI$11&gt;=0,MAX(INDEX(MMULT(inverseG,BH$12:BH$62),$A34+1,1),MAX(strike-$B34,0)),"")</f>
        <v>0.4138697600985406</v>
      </c>
      <c r="BJ34" s="9">
        <f t="array" ref="BJ34">IF(BJ$11&gt;=0,MAX(INDEX(MMULT(inverseG,BI$12:BI$62),$A34+1,1),MAX(strike-$B34,0)),"")</f>
        <v>0.41722238583931848</v>
      </c>
      <c r="BK34" s="9">
        <f t="array" ref="BK34">IF(BK$11&gt;=0,MAX(INDEX(MMULT(inverseG,BJ$12:BJ$62),$A34+1,1),MAX(strike-$B34,0)),"")</f>
        <v>0.42052104778492883</v>
      </c>
      <c r="BL34" s="9">
        <f t="array" ref="BL34">IF(BL$11&gt;=0,MAX(INDEX(MMULT(inverseG,BK$12:BK$62),$A34+1,1),MAX(strike-$B34,0)),"")</f>
        <v>0.42376713807422317</v>
      </c>
      <c r="BM34" s="9">
        <f t="array" ref="BM34">IF(BM$11&gt;=0,MAX(INDEX(MMULT(inverseG,BL$12:BL$62),$A34+1,1),MAX(strike-$B34,0)),"")</f>
        <v>0.4269619790945508</v>
      </c>
      <c r="BN34" s="9">
        <f t="array" ref="BN34">IF(BN$11&gt;=0,MAX(INDEX(MMULT(inverseG,BM$12:BM$62),$A34+1,1),MAX(strike-$B34,0)),"")</f>
        <v>0.43010682928241528</v>
      </c>
      <c r="BO34" s="9">
        <f t="array" ref="BO34">IF(BO$11&gt;=0,MAX(INDEX(MMULT(inverseG,BN$12:BN$62),$A34+1,1),MAX(strike-$B34,0)),"")</f>
        <v>0.4332028883379842</v>
      </c>
      <c r="BP34" s="9">
        <f t="array" ref="BP34">IF(BP$11&gt;=0,MAX(INDEX(MMULT(inverseG,BO$12:BO$62),$A34+1,1),MAX(strike-$B34,0)),"")</f>
        <v>0.43625130190640821</v>
      </c>
      <c r="BQ34" s="9">
        <f t="array" ref="BQ34">IF(BQ$11&gt;=0,MAX(INDEX(MMULT(inverseG,BP$12:BP$62),$A34+1,1),MAX(strike-$B34,0)),"")</f>
        <v>0.43925316577806517</v>
      </c>
      <c r="BR34" s="9">
        <f t="array" ref="BR34">IF(BR$11&gt;=0,MAX(INDEX(MMULT(inverseG,BQ$12:BQ$62),$A34+1,1),MAX(strike-$B34,0)),"")</f>
        <v>0.44220952965737542</v>
      </c>
      <c r="BS34" s="9">
        <f t="array" ref="BS34">IF(BS$11&gt;=0,MAX(INDEX(MMULT(inverseG,BR$12:BR$62),$A34+1,1),MAX(strike-$B34,0)),"")</f>
        <v>0.44512140054641391</v>
      </c>
      <c r="BT34" s="9">
        <f t="array" ref="BT34">IF(BT$11&gt;=0,MAX(INDEX(MMULT(inverseG,BS$12:BS$62),$A34+1,1),MAX(strike-$B34,0)),"")</f>
        <v>0.44798974578570055</v>
      </c>
      <c r="BU34" s="9">
        <f t="array" ref="BU34">IF(BU$11&gt;=0,MAX(INDEX(MMULT(inverseG,BT$12:BT$62),$A34+1,1),MAX(strike-$B34,0)),"")</f>
        <v>0.45081549579055358</v>
      </c>
      <c r="BV34" s="9">
        <f t="array" ref="BV34">IF(BV$11&gt;=0,MAX(INDEX(MMULT(inverseG,BU$12:BU$62),$A34+1,1),MAX(strike-$B34,0)),"")</f>
        <v>0.45359954651747941</v>
      </c>
      <c r="BW34" s="9">
        <f t="array" ref="BW34">IF(BW$11&gt;=0,MAX(INDEX(MMULT(inverseG,BV$12:BV$62),$A34+1,1),MAX(strike-$B34,0)),"")</f>
        <v>0.4563427616913594</v>
      </c>
      <c r="BX34" s="9">
        <f t="array" ref="BX34">IF(BX$11&gt;=0,MAX(INDEX(MMULT(inverseG,BW$12:BW$62),$A34+1,1),MAX(strike-$B34,0)),"")</f>
        <v>0.45904597482073939</v>
      </c>
      <c r="BY34" s="9">
        <f t="array" ref="BY34">IF(BY$11&gt;=0,MAX(INDEX(MMULT(inverseG,BX$12:BX$62),$A34+1,1),MAX(strike-$B34,0)),"")</f>
        <v>0.46170999102538124</v>
      </c>
      <c r="BZ34" s="9">
        <f t="array" ref="BZ34">IF(BZ$11&gt;=0,MAX(INDEX(MMULT(inverseG,BY$12:BY$62),$A34+1,1),MAX(strike-$B34,0)),"")</f>
        <v>0.46433558869738717</v>
      </c>
      <c r="CA34" s="9">
        <f t="array" ref="CA34">IF(CA$11&gt;=0,MAX(INDEX(MMULT(inverseG,BZ$12:BZ$62),$A34+1,1),MAX(strike-$B34,0)),"")</f>
        <v>0.46692352101466544</v>
      </c>
      <c r="CB34" s="9">
        <f t="array" ref="CB34">IF(CB$11&gt;=0,MAX(INDEX(MMULT(inverseG,CA$12:CA$62),$A34+1,1),MAX(strike-$B34,0)),"")</f>
        <v>0.46947451732323797</v>
      </c>
      <c r="CC34" s="9">
        <f t="array" ref="CC34">IF(CC$11&gt;=0,MAX(INDEX(MMULT(inverseG,CB$12:CB$62),$A34+1,1),MAX(strike-$B34,0)),"")</f>
        <v>0.471989284402896</v>
      </c>
      <c r="CD34" s="9">
        <f t="array" ref="CD34">IF(CD$11&gt;=0,MAX(INDEX(MMULT(inverseG,CC$12:CC$62),$A34+1,1),MAX(strike-$B34,0)),"")</f>
        <v>0.47446850762893772</v>
      </c>
      <c r="CE34" s="9">
        <f t="array" ref="CE34">IF(CE$11&gt;=0,MAX(INDEX(MMULT(inverseG,CD$12:CD$62),$A34+1,1),MAX(strike-$B34,0)),"")</f>
        <v>0.47691285204117978</v>
      </c>
      <c r="CF34" s="9">
        <f t="array" ref="CF34">IF(CF$11&gt;=0,MAX(INDEX(MMULT(inverseG,CE$12:CE$62),$A34+1,1),MAX(strike-$B34,0)),"")</f>
        <v>0.47932296333007202</v>
      </c>
      <c r="CG34" s="9">
        <f t="array" ref="CG34">IF(CG$11&gt;=0,MAX(INDEX(MMULT(inverseG,CF$12:CF$62),$A34+1,1),MAX(strike-$B34,0)),"")</f>
        <v>0.48169946874855407</v>
      </c>
      <c r="CH34" s="9">
        <f t="array" ref="CH34">IF(CH$11&gt;=0,MAX(INDEX(MMULT(inverseG,CG$12:CG$62),$A34+1,1),MAX(strike-$B34,0)),"")</f>
        <v>0.4840429779572607</v>
      </c>
      <c r="CI34" s="9">
        <f t="array" ref="CI34">IF(CI$11&gt;=0,MAX(INDEX(MMULT(inverseG,CH$12:CH$62),$A34+1,1),MAX(strike-$B34,0)),"")</f>
        <v>0.48635408380976242</v>
      </c>
      <c r="CJ34" s="9">
        <f t="array" ref="CJ34">IF(CJ$11&gt;=0,MAX(INDEX(MMULT(inverseG,CI$12:CI$62),$A34+1,1),MAX(strike-$B34,0)),"")</f>
        <v>0.48863336308374566</v>
      </c>
      <c r="CK34" s="9">
        <f t="array" ref="CK34">IF(CK$11&gt;=0,MAX(INDEX(MMULT(inverseG,CJ$12:CJ$62),$A34+1,1),MAX(strike-$B34,0)),"")</f>
        <v>0.49088137716333513</v>
      </c>
      <c r="CL34" s="9">
        <f t="array" ref="CL34">IF(CL$11&gt;=0,MAX(INDEX(MMULT(inverseG,CK$12:CK$62),$A34+1,1),MAX(strike-$B34,0)),"")</f>
        <v>0.49309867267716201</v>
      </c>
      <c r="CM34" s="9">
        <f t="array" ref="CM34">IF(CM$11&gt;=0,MAX(INDEX(MMULT(inverseG,CL$12:CL$62),$A34+1,1),MAX(strike-$B34,0)),"")</f>
        <v>0.49528578209624824</v>
      </c>
      <c r="CN34" s="9">
        <f t="array" ref="CN34">IF(CN$11&gt;=0,MAX(INDEX(MMULT(inverseG,CM$12:CM$62),$A34+1,1),MAX(strike-$B34,0)),"")</f>
        <v>0.49744322429531518</v>
      </c>
      <c r="CO34" s="9">
        <f t="array" ref="CO34">IF(CO$11&gt;=0,MAX(INDEX(MMULT(inverseG,CN$12:CN$62),$A34+1,1),MAX(strike-$B34,0)),"")</f>
        <v>0.49957150508072418</v>
      </c>
      <c r="CP34" s="9">
        <f t="array" ref="CP34">IF(CP$11&gt;=0,MAX(INDEX(MMULT(inverseG,CO$12:CO$62),$A34+1,1),MAX(strike-$B34,0)),"")</f>
        <v>0.50167111768789741</v>
      </c>
      <c r="CQ34" s="9">
        <f t="array" ref="CQ34">IF(CQ$11&gt;=0,MAX(INDEX(MMULT(inverseG,CP$12:CP$62),$A34+1,1),MAX(strike-$B34,0)),"")</f>
        <v>0.50374254325075773</v>
      </c>
      <c r="CR34" s="9">
        <f t="array" ref="CR34">IF(CR$11&gt;=0,MAX(INDEX(MMULT(inverseG,CQ$12:CQ$62),$A34+1,1),MAX(strike-$B34,0)),"")</f>
        <v>0.50578625124546317</v>
      </c>
      <c r="CS34" s="9">
        <f t="array" ref="CS34">IF(CS$11&gt;=0,MAX(INDEX(MMULT(inverseG,CR$12:CR$62),$A34+1,1),MAX(strike-$B34,0)),"")</f>
        <v>0.50780270099400415</v>
      </c>
      <c r="CT34" s="9">
        <f t="array" ref="CT34">IF(CT$11&gt;=0,MAX(INDEX(MMULT(inverseG,CS$12:CS$62),$A34+1,1),MAX(strike-$B34,0)),"")</f>
        <v>0.50979234522090877</v>
      </c>
      <c r="CU34" s="9">
        <f t="array" ref="CU34">IF(CU$11&gt;=0,MAX(INDEX(MMULT(inverseG,CT$12:CT$62),$A34+1,1),MAX(strike-$B34,0)),"")</f>
        <v>0.51175563509545907</v>
      </c>
      <c r="CV34" s="9">
        <f t="array" ref="CV34">IF(CV$11&gt;=0,MAX(INDEX(MMULT(inverseG,CU$12:CU$62),$A34+1,1),MAX(strike-$B34,0)),"")</f>
        <v>0.51369302523237603</v>
      </c>
      <c r="CW34" s="9">
        <f t="array" ref="CW34">IF(CW$11&gt;=0,MAX(INDEX(MMULT(inverseG,CV$12:CV$62),$A34+1,1),MAX(strike-$B34,0)),"")</f>
        <v>0.51560497725333176</v>
      </c>
      <c r="CX34" s="9">
        <f t="array" ref="CX34">IF(CX$11&gt;=0,MAX(INDEX(MMULT(inverseG,CW$12:CW$62),$A34+1,1),MAX(strike-$B34,0)),"")</f>
        <v>0.51749196121152607</v>
      </c>
      <c r="CY34" s="9">
        <f t="array" ref="CY34">IF(CY$11&gt;=0,MAX(INDEX(MMULT(inverseG,CX$12:CX$62),$A34+1,1),MAX(strike-$B34,0)),"")</f>
        <v>0.51935445489380971</v>
      </c>
      <c r="CZ34" s="9">
        <f t="array" ref="CZ34">IF(CZ$11&gt;=0,MAX(INDEX(MMULT(inverseG,CY$12:CY$62),$A34+1,1),MAX(strike-$B34,0)),"")</f>
        <v>0.52119294147098139</v>
      </c>
      <c r="DA34" s="9" t="str">
        <f t="array" ref="DA34">IF(DA$11&gt;=0,MAX(INDEX(MMULT(inverseG,CZ$12:CZ$62),$A34+1,1),MAX(strike-$B34,0)),"")</f>
        <v/>
      </c>
      <c r="DB34" s="9" t="str">
        <f t="array" ref="DB34">IF(DB$11&gt;=0,MAX(INDEX(MMULT(inverseG,DA$12:DA$62),$A34+1,1),MAX(strike-$B34,0)),"")</f>
        <v/>
      </c>
      <c r="DC34" s="9" t="str">
        <f t="array" ref="DC34">IF(DC$11&gt;=0,MAX(INDEX(MMULT(inverseG,DB$12:DB$62),$A34+1,1),MAX(strike-$B34,0)),"")</f>
        <v/>
      </c>
      <c r="DD34" s="9" t="str">
        <f t="array" ref="DD34">IF(DD$11&gt;=0,MAX(INDEX(MMULT(inverseG,DC$12:DC$62),$A34+1,1),MAX(strike-$B34,0)),"")</f>
        <v/>
      </c>
      <c r="DE34" s="9" t="str">
        <f t="array" ref="DE34">IF(DE$11&gt;=0,MAX(INDEX(MMULT(inverseG,DD$12:DD$62),$A34+1,1),MAX(strike-$B34,0)),"")</f>
        <v/>
      </c>
      <c r="DF34" s="9" t="str">
        <f t="array" ref="DF34">IF(DF$11&gt;=0,MAX(INDEX(MMULT(inverseG,DE$12:DE$62),$A34+1,1),MAX(strike-$B34,0)),"")</f>
        <v/>
      </c>
      <c r="DG34" s="9" t="str">
        <f t="array" ref="DG34">IF(DG$11&gt;=0,MAX(INDEX(MMULT(inverseG,DF$12:DF$62),$A34+1,1),MAX(strike-$B34,0)),"")</f>
        <v/>
      </c>
      <c r="DH34" s="9" t="str">
        <f t="array" ref="DH34">IF(DH$11&gt;=0,MAX(INDEX(MMULT(inverseG,DG$12:DG$62),$A34+1,1),MAX(strike-$B34,0)),"")</f>
        <v/>
      </c>
      <c r="DI34" s="9" t="str">
        <f t="array" ref="DI34">IF(DI$11&gt;=0,MAX(INDEX(MMULT(inverseG,DH$12:DH$62),$A34+1,1),MAX(strike-$B34,0)),"")</f>
        <v/>
      </c>
      <c r="DJ34" s="9" t="str">
        <f t="array" ref="DJ34">IF(DJ$11&gt;=0,MAX(INDEX(MMULT(inverseG,DI$12:DI$62),$A34+1,1),MAX(strike-$B34,0)),"")</f>
        <v/>
      </c>
      <c r="DK34" s="9" t="str">
        <f t="array" ref="DK34">IF(DK$11&gt;=0,MAX(INDEX(MMULT(inverseG,DJ$12:DJ$62),$A34+1,1),MAX(strike-$B34,0)),"")</f>
        <v/>
      </c>
      <c r="DL34" s="9" t="str">
        <f t="array" ref="DL34">IF(DL$11&gt;=0,MAX(INDEX(MMULT(inverseG,DK$12:DK$62),$A34+1,1),MAX(strike-$B34,0)),"")</f>
        <v/>
      </c>
      <c r="DM34" s="9" t="str">
        <f t="array" ref="DM34">IF(DM$11&gt;=0,MAX(INDEX(MMULT(inverseG,DL$12:DL$62),$A34+1,1),MAX(strike-$B34,0)),"")</f>
        <v/>
      </c>
      <c r="DN34" s="9" t="str">
        <f t="array" ref="DN34">IF(DN$11&gt;=0,MAX(INDEX(MMULT(inverseG,DM$12:DM$62),$A34+1,1),MAX(strike-$B34,0)),"")</f>
        <v/>
      </c>
      <c r="DO34" s="9" t="str">
        <f t="array" ref="DO34">IF(DO$11&gt;=0,MAX(INDEX(MMULT(inverseG,DN$12:DN$62),$A34+1,1),MAX(strike-$B34,0)),"")</f>
        <v/>
      </c>
      <c r="DP34" s="9" t="str">
        <f t="array" ref="DP34">IF(DP$11&gt;=0,MAX(INDEX(MMULT(inverseG,DO$12:DO$62),$A34+1,1),MAX(strike-$B34,0)),"")</f>
        <v/>
      </c>
      <c r="DQ34" s="9" t="str">
        <f t="array" ref="DQ34">IF(DQ$11&gt;=0,MAX(INDEX(MMULT(inverseG,DP$12:DP$62),$A34+1,1),MAX(strike-$B34,0)),"")</f>
        <v/>
      </c>
      <c r="DR34" s="9" t="str">
        <f t="array" ref="DR34">IF(DR$11&gt;=0,MAX(INDEX(MMULT(inverseG,DQ$12:DQ$62),$A34+1,1),MAX(strike-$B34,0)),"")</f>
        <v/>
      </c>
      <c r="DS34" s="9" t="str">
        <f t="array" ref="DS34">IF(DS$11&gt;=0,MAX(INDEX(MMULT(inverseG,DR$12:DR$62),$A34+1,1),MAX(strike-$B34,0)),"")</f>
        <v/>
      </c>
      <c r="DT34" s="9" t="str">
        <f t="array" ref="DT34">IF(DT$11&gt;=0,MAX(INDEX(MMULT(inverseG,DS$12:DS$62),$A34+1,1),MAX(strike-$B34,0)),"")</f>
        <v/>
      </c>
      <c r="DU34" s="9" t="str">
        <f t="array" ref="DU34">IF(DU$11&gt;=0,MAX(INDEX(MMULT(inverseG,DT$12:DT$62),$A34+1,1),MAX(strike-$B34,0)),"")</f>
        <v/>
      </c>
      <c r="DV34" s="9" t="str">
        <f t="array" ref="DV34">IF(DV$11&gt;=0,MAX(INDEX(MMULT(inverseG,DU$12:DU$62),$A34+1,1),MAX(strike-$B34,0)),"")</f>
        <v/>
      </c>
      <c r="DW34" s="9" t="str">
        <f t="array" ref="DW34">IF(DW$11&gt;=0,MAX(INDEX(MMULT(inverseG,DV$12:DV$62),$A34+1,1),MAX(strike-$B34,0)),"")</f>
        <v/>
      </c>
      <c r="DX34" s="9" t="str">
        <f t="array" ref="DX34">IF(DX$11&gt;=0,MAX(INDEX(MMULT(inverseG,DW$12:DW$62),$A34+1,1),MAX(strike-$B34,0)),"")</f>
        <v/>
      </c>
      <c r="DY34" s="9" t="str">
        <f t="array" ref="DY34">IF(DY$11&gt;=0,MAX(INDEX(MMULT(inverseG,DX$12:DX$62),$A34+1,1),MAX(strike-$B34,0)),"")</f>
        <v/>
      </c>
      <c r="DZ34" s="9" t="str">
        <f t="array" ref="DZ34">IF(DZ$11&gt;=0,MAX(INDEX(MMULT(inverseG,DY$12:DY$62),$A34+1,1),MAX(strike-$B34,0)),"")</f>
        <v/>
      </c>
      <c r="EA34" s="9" t="str">
        <f t="array" ref="EA34">IF(EA$11&gt;=0,MAX(INDEX(MMULT(inverseG,DZ$12:DZ$62),$A34+1,1),MAX(strike-$B34,0)),"")</f>
        <v/>
      </c>
      <c r="EB34" s="9" t="str">
        <f t="array" ref="EB34">IF(EB$11&gt;=0,MAX(INDEX(MMULT(inverseG,EA$12:EA$62),$A34+1,1),MAX(strike-$B34,0)),"")</f>
        <v/>
      </c>
      <c r="EC34" s="9" t="str">
        <f t="array" ref="EC34">IF(EC$11&gt;=0,MAX(INDEX(MMULT(inverseG,EB$12:EB$62),$A34+1,1),MAX(strike-$B34,0)),"")</f>
        <v/>
      </c>
      <c r="ED34" s="9" t="str">
        <f t="array" ref="ED34">IF(ED$11&gt;=0,MAX(INDEX(MMULT(inverseG,EC$12:EC$62),$A34+1,1),MAX(strike-$B34,0)),"")</f>
        <v/>
      </c>
      <c r="EE34" s="9" t="str">
        <f t="array" ref="EE34">IF(EE$11&gt;=0,MAX(INDEX(MMULT(inverseG,ED$12:ED$62),$A34+1,1),MAX(strike-$B34,0)),"")</f>
        <v/>
      </c>
      <c r="EF34" s="9" t="str">
        <f t="array" ref="EF34">IF(EF$11&gt;=0,MAX(INDEX(MMULT(inverseG,EE$12:EE$62),$A34+1,1),MAX(strike-$B34,0)),"")</f>
        <v/>
      </c>
      <c r="EG34" s="9" t="str">
        <f t="array" ref="EG34">IF(EG$11&gt;=0,MAX(INDEX(MMULT(inverseG,EF$12:EF$62),$A34+1,1),MAX(strike-$B34,0)),"")</f>
        <v/>
      </c>
      <c r="EH34" s="9" t="str">
        <f t="array" ref="EH34">IF(EH$11&gt;=0,MAX(INDEX(MMULT(inverseG,EG$12:EG$62),$A34+1,1),MAX(strike-$B34,0)),"")</f>
        <v/>
      </c>
      <c r="EI34" s="9" t="str">
        <f t="array" ref="EI34">IF(EI$11&gt;=0,MAX(INDEX(MMULT(inverseG,EH$12:EH$62),$A34+1,1),MAX(strike-$B34,0)),"")</f>
        <v/>
      </c>
      <c r="EJ34" s="9" t="str">
        <f t="array" ref="EJ34">IF(EJ$11&gt;=0,MAX(INDEX(MMULT(inverseG,EI$12:EI$62),$A34+1,1),MAX(strike-$B34,0)),"")</f>
        <v/>
      </c>
      <c r="EK34" s="9" t="str">
        <f t="array" ref="EK34">IF(EK$11&gt;=0,MAX(INDEX(MMULT(inverseG,EJ$12:EJ$62),$A34+1,1),MAX(strike-$B34,0)),"")</f>
        <v/>
      </c>
      <c r="EL34" s="9" t="str">
        <f t="array" ref="EL34">IF(EL$11&gt;=0,MAX(INDEX(MMULT(inverseG,EK$12:EK$62),$A34+1,1),MAX(strike-$B34,0)),"")</f>
        <v/>
      </c>
      <c r="EM34" s="9" t="str">
        <f t="array" ref="EM34">IF(EM$11&gt;=0,MAX(INDEX(MMULT(inverseG,EL$12:EL$62),$A34+1,1),MAX(strike-$B34,0)),"")</f>
        <v/>
      </c>
      <c r="EN34" s="9" t="str">
        <f t="array" ref="EN34">IF(EN$11&gt;=0,MAX(INDEX(MMULT(inverseG,EM$12:EM$62),$A34+1,1),MAX(strike-$B34,0)),"")</f>
        <v/>
      </c>
      <c r="EO34" s="9" t="str">
        <f t="array" ref="EO34">IF(EO$11&gt;=0,MAX(INDEX(MMULT(inverseG,EN$12:EN$62),$A34+1,1),MAX(strike-$B34,0)),"")</f>
        <v/>
      </c>
      <c r="EP34" s="9" t="str">
        <f t="array" ref="EP34">IF(EP$11&gt;=0,MAX(INDEX(MMULT(inverseG,EO$12:EO$62),$A34+1,1),MAX(strike-$B34,0)),"")</f>
        <v/>
      </c>
      <c r="EQ34" s="9" t="str">
        <f t="array" ref="EQ34">IF(EQ$11&gt;=0,MAX(INDEX(MMULT(inverseG,EP$12:EP$62),$A34+1,1),MAX(strike-$B34,0)),"")</f>
        <v/>
      </c>
      <c r="ER34" s="9" t="str">
        <f t="array" ref="ER34">IF(ER$11&gt;=0,MAX(INDEX(MMULT(inverseG,EQ$12:EQ$62),$A34+1,1),MAX(strike-$B34,0)),"")</f>
        <v/>
      </c>
      <c r="ES34" s="9" t="str">
        <f t="array" ref="ES34">IF(ES$11&gt;=0,MAX(INDEX(MMULT(inverseG,ER$12:ER$62),$A34+1,1),MAX(strike-$B34,0)),"")</f>
        <v/>
      </c>
      <c r="ET34" s="9" t="str">
        <f t="array" ref="ET34">IF(ET$11&gt;=0,MAX(INDEX(MMULT(inverseG,ES$12:ES$62),$A34+1,1),MAX(strike-$B34,0)),"")</f>
        <v/>
      </c>
      <c r="EU34" s="9" t="str">
        <f t="array" ref="EU34">IF(EU$11&gt;=0,MAX(INDEX(MMULT(inverseG,ET$12:ET$62),$A34+1,1),MAX(strike-$B34,0)),"")</f>
        <v/>
      </c>
      <c r="EV34" s="9" t="str">
        <f t="array" ref="EV34">IF(EV$11&gt;=0,MAX(INDEX(MMULT(inverseG,EU$12:EU$62),$A34+1,1),MAX(strike-$B34,0)),"")</f>
        <v/>
      </c>
      <c r="EW34" s="9" t="str">
        <f t="array" ref="EW34">IF(EW$11&gt;=0,MAX(INDEX(MMULT(inverseG,EV$12:EV$62),$A34+1,1),MAX(strike-$B34,0)),"")</f>
        <v/>
      </c>
      <c r="EX34" s="9" t="str">
        <f t="array" ref="EX34">IF(EX$11&gt;=0,MAX(INDEX(MMULT(inverseG,EW$12:EW$62),$A34+1,1),MAX(strike-$B34,0)),"")</f>
        <v/>
      </c>
      <c r="EY34" s="9" t="str">
        <f t="array" ref="EY34">IF(EY$11&gt;=0,MAX(INDEX(MMULT(inverseG,EX$12:EX$62),$A34+1,1),MAX(strike-$B34,0)),"")</f>
        <v/>
      </c>
      <c r="EZ34" s="9" t="str">
        <f t="array" ref="EZ34">IF(EZ$11&gt;=0,MAX(INDEX(MMULT(inverseG,EY$12:EY$62),$A34+1,1),MAX(strike-$B34,0)),"")</f>
        <v/>
      </c>
      <c r="FA34" s="9" t="str">
        <f t="array" ref="FA34">IF(FA$11&gt;=0,MAX(INDEX(MMULT(inverseG,EZ$12:EZ$62),$A34+1,1),MAX(strike-$B34,0)),"")</f>
        <v/>
      </c>
      <c r="FB34" s="9" t="str">
        <f t="array" ref="FB34">IF(FB$11&gt;=0,MAX(INDEX(MMULT(inverseG,FA$12:FA$62),$A34+1,1),MAX(strike-$B34,0)),"")</f>
        <v/>
      </c>
      <c r="FC34" s="9" t="str">
        <f t="array" ref="FC34">IF(FC$11&gt;=0,MAX(INDEX(MMULT(inverseG,FB$12:FB$62),$A34+1,1),MAX(strike-$B34,0)),"")</f>
        <v/>
      </c>
      <c r="FD34" s="9" t="str">
        <f t="array" ref="FD34">IF(FD$11&gt;=0,MAX(INDEX(MMULT(inverseG,FC$12:FC$62),$A34+1,1),MAX(strike-$B34,0)),"")</f>
        <v/>
      </c>
      <c r="FE34" s="9" t="str">
        <f t="array" ref="FE34">IF(FE$11&gt;=0,MAX(INDEX(MMULT(inverseG,FD$12:FD$62),$A34+1,1),MAX(strike-$B34,0)),"")</f>
        <v/>
      </c>
      <c r="FF34" s="9" t="str">
        <f t="array" ref="FF34">IF(FF$11&gt;=0,MAX(INDEX(MMULT(inverseG,FE$12:FE$62),$A34+1,1),MAX(strike-$B34,0)),"")</f>
        <v/>
      </c>
      <c r="FG34" s="9" t="str">
        <f t="array" ref="FG34">IF(FG$11&gt;=0,MAX(INDEX(MMULT(inverseG,FF$12:FF$62),$A34+1,1),MAX(strike-$B34,0)),"")</f>
        <v/>
      </c>
      <c r="FH34" s="9" t="str">
        <f t="array" ref="FH34">IF(FH$11&gt;=0,MAX(INDEX(MMULT(inverseG,FG$12:FG$62),$A34+1,1),MAX(strike-$B34,0)),"")</f>
        <v/>
      </c>
      <c r="FI34" s="9" t="str">
        <f t="array" ref="FI34">IF(FI$11&gt;=0,MAX(INDEX(MMULT(inverseG,FH$12:FH$62),$A34+1,1),MAX(strike-$B34,0)),"")</f>
        <v/>
      </c>
      <c r="FJ34" s="9" t="str">
        <f t="array" ref="FJ34">IF(FJ$11&gt;=0,MAX(INDEX(MMULT(inverseG,FI$12:FI$62),$A34+1,1),MAX(strike-$B34,0)),"")</f>
        <v/>
      </c>
      <c r="FK34" s="9" t="str">
        <f t="array" ref="FK34">IF(FK$11&gt;=0,MAX(INDEX(MMULT(inverseG,FJ$12:FJ$62),$A34+1,1),MAX(strike-$B34,0)),"")</f>
        <v/>
      </c>
      <c r="FL34" s="9" t="str">
        <f t="array" ref="FL34">IF(FL$11&gt;=0,MAX(INDEX(MMULT(inverseG,FK$12:FK$62),$A34+1,1),MAX(strike-$B34,0)),"")</f>
        <v/>
      </c>
      <c r="FM34" s="9" t="str">
        <f t="array" ref="FM34">IF(FM$11&gt;=0,MAX(INDEX(MMULT(inverseG,FL$12:FL$62),$A34+1,1),MAX(strike-$B34,0)),"")</f>
        <v/>
      </c>
      <c r="FN34" s="9" t="str">
        <f t="array" ref="FN34">IF(FN$11&gt;=0,MAX(INDEX(MMULT(inverseG,FM$12:FM$62),$A34+1,1),MAX(strike-$B34,0)),"")</f>
        <v/>
      </c>
      <c r="FO34" s="9" t="str">
        <f t="array" ref="FO34">IF(FO$11&gt;=0,MAX(INDEX(MMULT(inverseG,FN$12:FN$62),$A34+1,1),MAX(strike-$B34,0)),"")</f>
        <v/>
      </c>
      <c r="FP34" s="9" t="str">
        <f t="array" ref="FP34">IF(FP$11&gt;=0,MAX(INDEX(MMULT(inverseG,FO$12:FO$62),$A34+1,1),MAX(strike-$B34,0)),"")</f>
        <v/>
      </c>
      <c r="FQ34" s="9" t="str">
        <f t="array" ref="FQ34">IF(FQ$11&gt;=0,MAX(INDEX(MMULT(inverseG,FP$12:FP$62),$A34+1,1),MAX(strike-$B34,0)),"")</f>
        <v/>
      </c>
      <c r="FR34" s="9" t="str">
        <f t="array" ref="FR34">IF(FR$11&gt;=0,MAX(INDEX(MMULT(inverseG,FQ$12:FQ$62),$A34+1,1),MAX(strike-$B34,0)),"")</f>
        <v/>
      </c>
      <c r="FS34" s="9" t="str">
        <f t="array" ref="FS34">IF(FS$11&gt;=0,MAX(INDEX(MMULT(inverseG,FR$12:FR$62),$A34+1,1),MAX(strike-$B34,0)),"")</f>
        <v/>
      </c>
      <c r="FT34" s="9" t="str">
        <f t="array" ref="FT34">IF(FT$11&gt;=0,MAX(INDEX(MMULT(inverseG,FS$12:FS$62),$A34+1,1),MAX(strike-$B34,0)),"")</f>
        <v/>
      </c>
      <c r="FU34" s="9" t="str">
        <f t="array" ref="FU34">IF(FU$11&gt;=0,MAX(INDEX(MMULT(inverseG,FT$12:FT$62),$A34+1,1),MAX(strike-$B34,0)),"")</f>
        <v/>
      </c>
      <c r="FV34" s="9" t="str">
        <f t="array" ref="FV34">IF(FV$11&gt;=0,MAX(INDEX(MMULT(inverseG,FU$12:FU$62),$A34+1,1),MAX(strike-$B34,0)),"")</f>
        <v/>
      </c>
      <c r="FW34" s="9" t="str">
        <f t="array" ref="FW34">IF(FW$11&gt;=0,MAX(INDEX(MMULT(inverseG,FV$12:FV$62),$A34+1,1),MAX(strike-$B34,0)),"")</f>
        <v/>
      </c>
      <c r="FX34" s="9" t="str">
        <f t="array" ref="FX34">IF(FX$11&gt;=0,MAX(INDEX(MMULT(inverseG,FW$12:FW$62),$A34+1,1),MAX(strike-$B34,0)),"")</f>
        <v/>
      </c>
      <c r="FY34" s="9" t="str">
        <f t="array" ref="FY34">IF(FY$11&gt;=0,MAX(INDEX(MMULT(inverseG,FX$12:FX$62),$A34+1,1),MAX(strike-$B34,0)),"")</f>
        <v/>
      </c>
      <c r="FZ34" s="9" t="str">
        <f t="array" ref="FZ34">IF(FZ$11&gt;=0,MAX(INDEX(MMULT(inverseG,FY$12:FY$62),$A34+1,1),MAX(strike-$B34,0)),"")</f>
        <v/>
      </c>
      <c r="GA34" s="9" t="str">
        <f t="array" ref="GA34">IF(GA$11&gt;=0,MAX(INDEX(MMULT(inverseG,FZ$12:FZ$62),$A34+1,1),MAX(strike-$B34,0)),"")</f>
        <v/>
      </c>
      <c r="GB34" s="9" t="str">
        <f t="array" ref="GB34">IF(GB$11&gt;=0,MAX(INDEX(MMULT(inverseG,GA$12:GA$62),$A34+1,1),MAX(strike-$B34,0)),"")</f>
        <v/>
      </c>
      <c r="GC34" s="9" t="str">
        <f t="array" ref="GC34">IF(GC$11&gt;=0,MAX(INDEX(MMULT(inverseG,GB$12:GB$62),$A34+1,1),MAX(strike-$B34,0)),"")</f>
        <v/>
      </c>
      <c r="GD34" s="9" t="str">
        <f t="array" ref="GD34">IF(GD$11&gt;=0,MAX(INDEX(MMULT(inverseG,GC$12:GC$62),$A34+1,1),MAX(strike-$B34,0)),"")</f>
        <v/>
      </c>
      <c r="GE34" s="9" t="str">
        <f t="array" ref="GE34">IF(GE$11&gt;=0,MAX(INDEX(MMULT(inverseG,GD$12:GD$62),$A34+1,1),MAX(strike-$B34,0)),"")</f>
        <v/>
      </c>
      <c r="GF34" s="9" t="str">
        <f t="array" ref="GF34">IF(GF$11&gt;=0,MAX(INDEX(MMULT(inverseG,GE$12:GE$62),$A34+1,1),MAX(strike-$B34,0)),"")</f>
        <v/>
      </c>
      <c r="GG34" s="9" t="str">
        <f t="array" ref="GG34">IF(GG$11&gt;=0,MAX(INDEX(MMULT(inverseG,GF$12:GF$62),$A34+1,1),MAX(strike-$B34,0)),"")</f>
        <v/>
      </c>
      <c r="GH34" s="9" t="str">
        <f t="array" ref="GH34">IF(GH$11&gt;=0,MAX(INDEX(MMULT(inverseG,GG$12:GG$62),$A34+1,1),MAX(strike-$B34,0)),"")</f>
        <v/>
      </c>
      <c r="GI34" s="9" t="str">
        <f t="array" ref="GI34">IF(GI$11&gt;=0,MAX(INDEX(MMULT(inverseG,GH$12:GH$62),$A34+1,1),MAX(strike-$B34,0)),"")</f>
        <v/>
      </c>
      <c r="GJ34" s="9" t="str">
        <f t="array" ref="GJ34">IF(GJ$11&gt;=0,MAX(INDEX(MMULT(inverseG,GI$12:GI$62),$A34+1,1),MAX(strike-$B34,0)),"")</f>
        <v/>
      </c>
      <c r="GK34" s="9" t="str">
        <f t="array" ref="GK34">IF(GK$11&gt;=0,MAX(INDEX(MMULT(inverseG,GJ$12:GJ$62),$A34+1,1),MAX(strike-$B34,0)),"")</f>
        <v/>
      </c>
      <c r="GL34" s="9" t="str">
        <f t="array" ref="GL34">IF(GL$11&gt;=0,MAX(INDEX(MMULT(inverseG,GK$12:GK$62),$A34+1,1),MAX(strike-$B34,0)),"")</f>
        <v/>
      </c>
      <c r="GM34" s="9" t="str">
        <f t="array" ref="GM34">IF(GM$11&gt;=0,MAX(INDEX(MMULT(inverseG,GL$12:GL$62),$A34+1,1),MAX(strike-$B34,0)),"")</f>
        <v/>
      </c>
      <c r="GN34" s="9" t="str">
        <f t="array" ref="GN34">IF(GN$11&gt;=0,MAX(INDEX(MMULT(inverseG,GM$12:GM$62),$A34+1,1),MAX(strike-$B34,0)),"")</f>
        <v/>
      </c>
      <c r="GO34" s="9" t="str">
        <f t="array" ref="GO34">IF(GO$11&gt;=0,MAX(INDEX(MMULT(inverseG,GN$12:GN$62),$A34+1,1),MAX(strike-$B34,0)),"")</f>
        <v/>
      </c>
      <c r="GP34" s="9" t="str">
        <f t="array" ref="GP34">IF(GP$11&gt;=0,MAX(INDEX(MMULT(inverseG,GO$12:GO$62),$A34+1,1),MAX(strike-$B34,0)),"")</f>
        <v/>
      </c>
      <c r="GQ34" s="9" t="str">
        <f t="array" ref="GQ34">IF(GQ$11&gt;=0,MAX(INDEX(MMULT(inverseG,GP$12:GP$62),$A34+1,1),MAX(strike-$B34,0)),"")</f>
        <v/>
      </c>
      <c r="GR34" s="9" t="str">
        <f t="array" ref="GR34">IF(GR$11&gt;=0,MAX(INDEX(MMULT(inverseG,GQ$12:GQ$62),$A34+1,1),MAX(strike-$B34,0)),"")</f>
        <v/>
      </c>
      <c r="GS34" s="9" t="str">
        <f t="array" ref="GS34">IF(GS$11&gt;=0,MAX(INDEX(MMULT(inverseG,GR$12:GR$62),$A34+1,1),MAX(strike-$B34,0)),"")</f>
        <v/>
      </c>
      <c r="GT34" s="9" t="str">
        <f t="array" ref="GT34">IF(GT$11&gt;=0,MAX(INDEX(MMULT(inverseG,GS$12:GS$62),$A34+1,1),MAX(strike-$B34,0)),"")</f>
        <v/>
      </c>
      <c r="GU34" s="9" t="str">
        <f t="array" ref="GU34">IF(GU$11&gt;=0,MAX(INDEX(MMULT(inverseG,GT$12:GT$62),$A34+1,1),MAX(strike-$B34,0)),"")</f>
        <v/>
      </c>
      <c r="GV34" s="9" t="str">
        <f t="array" ref="GV34">IF(GV$11&gt;=0,MAX(INDEX(MMULT(inverseG,GU$12:GU$62),$A34+1,1),MAX(strike-$B34,0)),"")</f>
        <v/>
      </c>
      <c r="GW34" s="9" t="str">
        <f t="array" ref="GW34">IF(GW$11&gt;=0,MAX(INDEX(MMULT(inverseG,GV$12:GV$62),$A34+1,1),MAX(strike-$B34,0)),"")</f>
        <v/>
      </c>
      <c r="GX34" s="9" t="str">
        <f t="array" ref="GX34">IF(GX$11&gt;=0,MAX(INDEX(MMULT(inverseG,GW$12:GW$62),$A34+1,1),MAX(strike-$B34,0)),"")</f>
        <v/>
      </c>
      <c r="GY34" s="9" t="str">
        <f t="array" ref="GY34">IF(GY$11&gt;=0,MAX(INDEX(MMULT(inverseG,GX$12:GX$62),$A34+1,1),MAX(strike-$B34,0)),"")</f>
        <v/>
      </c>
      <c r="GZ34" s="9" t="str">
        <f t="array" ref="GZ34">IF(GZ$11&gt;=0,MAX(INDEX(MMULT(inverseG,GY$12:GY$62),$A34+1,1),MAX(strike-$B34,0)),"")</f>
        <v/>
      </c>
      <c r="HA34" s="9" t="str">
        <f t="array" ref="HA34">IF(HA$11&gt;=0,MAX(INDEX(MMULT(inverseG,GZ$12:GZ$62),$A34+1,1),MAX(strike-$B34,0)),"")</f>
        <v/>
      </c>
      <c r="HB34" s="9" t="str">
        <f t="array" ref="HB34">IF(HB$11&gt;=0,MAX(INDEX(MMULT(inverseG,HA$12:HA$62),$A34+1,1),MAX(strike-$B34,0)),"")</f>
        <v/>
      </c>
      <c r="HC34" s="9" t="str">
        <f t="array" ref="HC34">IF(HC$11&gt;=0,MAX(INDEX(MMULT(inverseG,HB$12:HB$62),$A34+1,1),MAX(strike-$B34,0)),"")</f>
        <v/>
      </c>
      <c r="HD34" s="9" t="str">
        <f t="array" ref="HD34">IF(HD$11&gt;=0,MAX(INDEX(MMULT(inverseG,HC$12:HC$62),$A34+1,1),MAX(strike-$B34,0)),"")</f>
        <v/>
      </c>
      <c r="HE34" s="9" t="str">
        <f t="array" ref="HE34">IF(HE$11&gt;=0,MAX(INDEX(MMULT(inverseG,HD$12:HD$62),$A34+1,1),MAX(strike-$B34,0)),"")</f>
        <v/>
      </c>
      <c r="HF34" s="9" t="str">
        <f t="array" ref="HF34">IF(HF$11&gt;=0,MAX(INDEX(MMULT(inverseG,HE$12:HE$62),$A34+1,1),MAX(strike-$B34,0)),"")</f>
        <v/>
      </c>
      <c r="HG34" s="9" t="str">
        <f t="array" ref="HG34">IF(HG$11&gt;=0,MAX(INDEX(MMULT(inverseG,HF$12:HF$62),$A34+1,1),MAX(strike-$B34,0)),"")</f>
        <v/>
      </c>
      <c r="HH34" s="9" t="str">
        <f t="array" ref="HH34">IF(HH$11&gt;=0,MAX(INDEX(MMULT(inverseG,HG$12:HG$62),$A34+1,1),MAX(strike-$B34,0)),"")</f>
        <v/>
      </c>
      <c r="HI34" s="9" t="str">
        <f t="array" ref="HI34">IF(HI$11&gt;=0,MAX(INDEX(MMULT(inverseG,HH$12:HH$62),$A34+1,1),MAX(strike-$B34,0)),"")</f>
        <v/>
      </c>
      <c r="HJ34" s="9" t="str">
        <f t="array" ref="HJ34">IF(HJ$11&gt;=0,MAX(INDEX(MMULT(inverseG,HI$12:HI$62),$A34+1,1),MAX(strike-$B34,0)),"")</f>
        <v/>
      </c>
      <c r="HK34" s="9" t="str">
        <f t="array" ref="HK34">IF(HK$11&gt;=0,MAX(INDEX(MMULT(inverseG,HJ$12:HJ$62),$A34+1,1),MAX(strike-$B34,0)),"")</f>
        <v/>
      </c>
      <c r="HL34" s="9" t="str">
        <f t="array" ref="HL34">IF(HL$11&gt;=0,MAX(INDEX(MMULT(inverseG,HK$12:HK$62),$A34+1,1),MAX(strike-$B34,0)),"")</f>
        <v/>
      </c>
      <c r="HM34" s="9" t="str">
        <f t="array" ref="HM34">IF(HM$11&gt;=0,MAX(INDEX(MMULT(inverseG,HL$12:HL$62),$A34+1,1),MAX(strike-$B34,0)),"")</f>
        <v/>
      </c>
      <c r="HN34" s="9" t="str">
        <f t="array" ref="HN34">IF(HN$11&gt;=0,MAX(INDEX(MMULT(inverseG,HM$12:HM$62),$A34+1,1),MAX(strike-$B34,0)),"")</f>
        <v/>
      </c>
      <c r="HO34" s="9" t="str">
        <f t="array" ref="HO34">IF(HO$11&gt;=0,MAX(INDEX(MMULT(inverseG,HN$12:HN$62),$A34+1,1),MAX(strike-$B34,0)),"")</f>
        <v/>
      </c>
      <c r="HP34" s="9" t="str">
        <f t="array" ref="HP34">IF(HP$11&gt;=0,MAX(INDEX(MMULT(inverseG,HO$12:HO$62),$A34+1,1),MAX(strike-$B34,0)),"")</f>
        <v/>
      </c>
      <c r="HQ34" s="9" t="str">
        <f t="array" ref="HQ34">IF(HQ$11&gt;=0,MAX(INDEX(MMULT(inverseG,HP$12:HP$62),$A34+1,1),MAX(strike-$B34,0)),"")</f>
        <v/>
      </c>
      <c r="HR34" s="9" t="str">
        <f t="array" ref="HR34">IF(HR$11&gt;=0,MAX(INDEX(MMULT(inverseG,HQ$12:HQ$62),$A34+1,1),MAX(strike-$B34,0)),"")</f>
        <v/>
      </c>
      <c r="HS34" s="9" t="str">
        <f t="array" ref="HS34">IF(HS$11&gt;=0,MAX(INDEX(MMULT(inverseG,HR$12:HR$62),$A34+1,1),MAX(strike-$B34,0)),"")</f>
        <v/>
      </c>
      <c r="HT34" s="9" t="str">
        <f t="array" ref="HT34">IF(HT$11&gt;=0,MAX(INDEX(MMULT(inverseG,HS$12:HS$62),$A34+1,1),MAX(strike-$B34,0)),"")</f>
        <v/>
      </c>
      <c r="HU34" s="9" t="str">
        <f t="array" ref="HU34">IF(HU$11&gt;=0,MAX(INDEX(MMULT(inverseG,HT$12:HT$62),$A34+1,1),MAX(strike-$B34,0)),"")</f>
        <v/>
      </c>
      <c r="HV34" s="9" t="str">
        <f t="array" ref="HV34">IF(HV$11&gt;=0,MAX(INDEX(MMULT(inverseG,HU$12:HU$62),$A34+1,1),MAX(strike-$B34,0)),"")</f>
        <v/>
      </c>
      <c r="HW34" s="9" t="str">
        <f t="array" ref="HW34">IF(HW$11&gt;=0,MAX(INDEX(MMULT(inverseG,HV$12:HV$62),$A34+1,1),MAX(strike-$B34,0)),"")</f>
        <v/>
      </c>
      <c r="HX34" s="9" t="str">
        <f t="array" ref="HX34">IF(HX$11&gt;=0,MAX(INDEX(MMULT(inverseG,HW$12:HW$62),$A34+1,1),MAX(strike-$B34,0)),"")</f>
        <v/>
      </c>
      <c r="HY34" s="9" t="str">
        <f t="array" ref="HY34">IF(HY$11&gt;=0,MAX(INDEX(MMULT(inverseG,HX$12:HX$62),$A34+1,1),MAX(strike-$B34,0)),"")</f>
        <v/>
      </c>
      <c r="HZ34" s="9" t="str">
        <f t="array" ref="HZ34">IF(HZ$11&gt;=0,MAX(INDEX(MMULT(inverseG,HY$12:HY$62),$A34+1,1),MAX(strike-$B34,0)),"")</f>
        <v/>
      </c>
      <c r="IA34" s="9" t="str">
        <f t="array" ref="IA34">IF(IA$11&gt;=0,MAX(INDEX(MMULT(inverseG,HZ$12:HZ$62),$A34+1,1),MAX(strike-$B34,0)),"")</f>
        <v/>
      </c>
      <c r="IB34" s="9" t="str">
        <f t="array" ref="IB34">IF(IB$11&gt;=0,MAX(INDEX(MMULT(inverseG,IA$12:IA$62),$A34+1,1),MAX(strike-$B34,0)),"")</f>
        <v/>
      </c>
      <c r="IC34" s="9" t="str">
        <f t="array" ref="IC34">IF(IC$11&gt;=0,MAX(INDEX(MMULT(inverseG,IB$12:IB$62),$A34+1,1),MAX(strike-$B34,0)),"")</f>
        <v/>
      </c>
      <c r="ID34" s="9" t="str">
        <f t="array" ref="ID34">IF(ID$11&gt;=0,MAX(INDEX(MMULT(inverseG,IC$12:IC$62),$A34+1,1),MAX(strike-$B34,0)),"")</f>
        <v/>
      </c>
      <c r="IE34" s="9" t="str">
        <f t="array" ref="IE34">IF(IE$11&gt;=0,MAX(INDEX(MMULT(inverseG,ID$12:ID$62),$A34+1,1),MAX(strike-$B34,0)),"")</f>
        <v/>
      </c>
      <c r="IF34" s="9" t="str">
        <f t="array" ref="IF34">IF(IF$11&gt;=0,MAX(INDEX(MMULT(inverseG,IE$12:IE$62),$A34+1,1),MAX(strike-$B34,0)),"")</f>
        <v/>
      </c>
      <c r="IG34" s="9" t="str">
        <f t="array" ref="IG34">IF(IG$11&gt;=0,MAX(INDEX(MMULT(inverseG,IF$12:IF$62),$A34+1,1),MAX(strike-$B34,0)),"")</f>
        <v/>
      </c>
      <c r="IH34" s="9" t="str">
        <f t="array" ref="IH34">IF(IH$11&gt;=0,MAX(INDEX(MMULT(inverseG,IG$12:IG$62),$A34+1,1),MAX(strike-$B34,0)),"")</f>
        <v/>
      </c>
      <c r="II34" s="9" t="str">
        <f t="array" ref="II34">IF(II$11&gt;=0,MAX(INDEX(MMULT(inverseG,IH$12:IH$62),$A34+1,1),MAX(strike-$B34,0)),"")</f>
        <v/>
      </c>
      <c r="IJ34" s="9" t="str">
        <f t="array" ref="IJ34">IF(IJ$11&gt;=0,MAX(INDEX(MMULT(inverseG,II$12:II$62),$A34+1,1),MAX(strike-$B34,0)),"")</f>
        <v/>
      </c>
      <c r="IK34" s="9" t="str">
        <f t="array" ref="IK34">IF(IK$11&gt;=0,MAX(INDEX(MMULT(inverseG,IJ$12:IJ$62),$A34+1,1),MAX(strike-$B34,0)),"")</f>
        <v/>
      </c>
      <c r="IL34" s="9" t="str">
        <f t="array" ref="IL34">IF(IL$11&gt;=0,MAX(INDEX(MMULT(inverseG,IK$12:IK$62),$A34+1,1),MAX(strike-$B34,0)),"")</f>
        <v/>
      </c>
      <c r="IM34" s="9" t="str">
        <f t="array" ref="IM34">IF(IM$11&gt;=0,MAX(INDEX(MMULT(inverseG,IL$12:IL$62),$A34+1,1),MAX(strike-$B34,0)),"")</f>
        <v/>
      </c>
      <c r="IN34" s="9" t="str">
        <f t="array" ref="IN34">IF(IN$11&gt;=0,MAX(INDEX(MMULT(inverseG,IM$12:IM$62),$A34+1,1),MAX(strike-$B34,0)),"")</f>
        <v/>
      </c>
      <c r="IO34" s="9" t="str">
        <f t="array" ref="IO34">IF(IO$11&gt;=0,MAX(INDEX(MMULT(inverseG,IN$12:IN$62),$A34+1,1),MAX(strike-$B34,0)),"")</f>
        <v/>
      </c>
      <c r="IP34" s="9" t="str">
        <f t="array" ref="IP34">IF(IP$11&gt;=0,MAX(INDEX(MMULT(inverseG,IO$12:IO$62),$A34+1,1),MAX(strike-$B34,0)),"")</f>
        <v/>
      </c>
      <c r="IQ34" s="9" t="str">
        <f t="array" ref="IQ34">IF(IQ$11&gt;=0,MAX(INDEX(MMULT(inverseG,IP$12:IP$62),$A34+1,1),MAX(strike-$B34,0)),"")</f>
        <v/>
      </c>
      <c r="IR34" s="9" t="str">
        <f t="array" ref="IR34">IF(IR$11&gt;=0,MAX(INDEX(MMULT(inverseG,IQ$12:IQ$62),$A34+1,1),MAX(strike-$B34,0)),"")</f>
        <v/>
      </c>
      <c r="IS34" s="9" t="str">
        <f t="array" ref="IS34">IF(IS$11&gt;=0,MAX(INDEX(MMULT(inverseG,IR$12:IR$62),$A34+1,1),MAX(strike-$B34,0)),"")</f>
        <v/>
      </c>
      <c r="IT34" s="9" t="str">
        <f t="array" ref="IT34">IF(IT$11&gt;=0,MAX(INDEX(MMULT(inverseG,IS$12:IS$62),$A34+1,1),MAX(strike-$B34,0)),"")</f>
        <v/>
      </c>
      <c r="IU34" s="9" t="str">
        <f t="array" ref="IU34">IF(IU$11&gt;=0,MAX(INDEX(MMULT(inverseG,IT$12:IT$62),$A34+1,1),MAX(strike-$B34,0)),"")</f>
        <v/>
      </c>
      <c r="IV34" s="9" t="str">
        <f t="array" ref="IV34">IF(IV$11&gt;=0,MAX(INDEX(MMULT(inverseG,IU$12:IU$62),$A34+1,1),MAX(strike-$B34,0)),"")</f>
        <v/>
      </c>
    </row>
    <row r="35" spans="1:256" x14ac:dyDescent="0.2">
      <c r="A35" s="8">
        <f t="shared" si="7"/>
        <v>23</v>
      </c>
      <c r="B35" s="6">
        <f t="shared" si="4"/>
        <v>5.75</v>
      </c>
      <c r="C35" s="30">
        <f t="shared" ca="1" si="6"/>
        <v>0.46106890490268543</v>
      </c>
      <c r="D35" s="9">
        <f t="shared" si="5"/>
        <v>0</v>
      </c>
      <c r="E35" s="9">
        <f t="array" ref="E35">IF(E$11&gt;=0,MAX(INDEX(MMULT(inverseG,D$12:D$62),$A35+1,1),MAX(strike-$B35,0)),"")</f>
        <v>2.6170764664477579E-3</v>
      </c>
      <c r="F35" s="9">
        <f t="array" ref="F35">IF(F$11&gt;=0,MAX(INDEX(MMULT(inverseG,E$12:E$62),$A35+1,1),MAX(strike-$B35,0)),"")</f>
        <v>8.1800457046368336E-3</v>
      </c>
      <c r="G35" s="9">
        <f t="array" ref="G35">IF(G$11&gt;=0,MAX(INDEX(MMULT(inverseG,F$12:F$62),$A35+1,1),MAX(strike-$B35,0)),"")</f>
        <v>1.5987750651088952E-2</v>
      </c>
      <c r="H35" s="9">
        <f t="array" ref="H35">IF(H$11&gt;=0,MAX(INDEX(MMULT(inverseG,G$12:G$62),$A35+1,1),MAX(strike-$B35,0)),"")</f>
        <v>2.521997705466357E-2</v>
      </c>
      <c r="I35" s="9">
        <f t="array" ref="I35">IF(I$11&gt;=0,MAX(INDEX(MMULT(inverseG,H$12:H$62),$A35+1,1),MAX(strike-$B35,0)),"")</f>
        <v>3.5236318068867831E-2</v>
      </c>
      <c r="J35" s="9">
        <f t="array" ref="J35">IF(J$11&gt;=0,MAX(INDEX(MMULT(inverseG,I$12:I$62),$A35+1,1),MAX(strike-$B35,0)),"")</f>
        <v>4.5603836221223701E-2</v>
      </c>
      <c r="K35" s="9">
        <f t="array" ref="K35">IF(K$11&gt;=0,MAX(INDEX(MMULT(inverseG,J$12:J$62),$A35+1,1),MAX(strike-$B35,0)),"")</f>
        <v>5.6048904294515561E-2</v>
      </c>
      <c r="L35" s="9">
        <f t="array" ref="L35">IF(L$11&gt;=0,MAX(INDEX(MMULT(inverseG,K$12:K$62),$A35+1,1),MAX(strike-$B35,0)),"")</f>
        <v>6.6405603495049523E-2</v>
      </c>
      <c r="M35" s="9">
        <f t="array" ref="M35">IF(M$11&gt;=0,MAX(INDEX(MMULT(inverseG,L$12:L$62),$A35+1,1),MAX(strike-$B35,0)),"")</f>
        <v>7.6577187256353693E-2</v>
      </c>
      <c r="N35" s="9">
        <f t="array" ref="N35">IF(N$11&gt;=0,MAX(INDEX(MMULT(inverseG,M$12:M$62),$A35+1,1),MAX(strike-$B35,0)),"")</f>
        <v>8.6510250291664093E-2</v>
      </c>
      <c r="O35" s="9">
        <f t="array" ref="O35">IF(O$11&gt;=0,MAX(INDEX(MMULT(inverseG,N$12:N$62),$A35+1,1),MAX(strike-$B35,0)),"")</f>
        <v>9.6178091030895099E-2</v>
      </c>
      <c r="P35" s="9">
        <f t="array" ref="P35">IF(P$11&gt;=0,MAX(INDEX(MMULT(inverseG,O$12:O$62),$A35+1,1),MAX(strike-$B35,0)),"")</f>
        <v>0.10557017421457308</v>
      </c>
      <c r="Q35" s="9">
        <f t="array" ref="Q35">IF(Q$11&gt;=0,MAX(INDEX(MMULT(inverseG,P$12:P$62),$A35+1,1),MAX(strike-$B35,0)),"")</f>
        <v>0.11468552599431109</v>
      </c>
      <c r="R35" s="9">
        <f t="array" ref="R35">IF(R$11&gt;=0,MAX(INDEX(MMULT(inverseG,Q$12:Q$62),$A35+1,1),MAX(strike-$B35,0)),"")</f>
        <v>0.12352863735343658</v>
      </c>
      <c r="S35" s="9">
        <f t="array" ref="S35">IF(S$11&gt;=0,MAX(INDEX(MMULT(inverseG,R$12:R$62),$A35+1,1),MAX(strike-$B35,0)),"")</f>
        <v>0.13210695683955559</v>
      </c>
      <c r="T35" s="9">
        <f t="array" ref="T35">IF(T$11&gt;=0,MAX(INDEX(MMULT(inverseG,S$12:S$62),$A35+1,1),MAX(strike-$B35,0)),"")</f>
        <v>0.14042940191380437</v>
      </c>
      <c r="U35" s="9">
        <f t="array" ref="U35">IF(U$11&gt;=0,MAX(INDEX(MMULT(inverseG,T$12:T$62),$A35+1,1),MAX(strike-$B35,0)),"")</f>
        <v>0.14850559134783994</v>
      </c>
      <c r="V35" s="9">
        <f t="array" ref="V35">IF(V$11&gt;=0,MAX(INDEX(MMULT(inverseG,U$12:U$62),$A35+1,1),MAX(strike-$B35,0)),"")</f>
        <v>0.15634548655399666</v>
      </c>
      <c r="W35" s="9">
        <f t="array" ref="W35">IF(W$11&gt;=0,MAX(INDEX(MMULT(inverseG,V$12:V$62),$A35+1,1),MAX(strike-$B35,0)),"")</f>
        <v>0.1639592024620774</v>
      </c>
      <c r="X35" s="9">
        <f t="array" ref="X35">IF(X$11&gt;=0,MAX(INDEX(MMULT(inverseG,W$12:W$62),$A35+1,1),MAX(strike-$B35,0)),"")</f>
        <v>0.17135686348477364</v>
      </c>
      <c r="Y35" s="9">
        <f t="array" ref="Y35">IF(Y$11&gt;=0,MAX(INDEX(MMULT(inverseG,X$12:X$62),$A35+1,1),MAX(strike-$B35,0)),"")</f>
        <v>0.17854846521404516</v>
      </c>
      <c r="Z35" s="9">
        <f t="array" ref="Z35">IF(Z$11&gt;=0,MAX(INDEX(MMULT(inverseG,Y$12:Y$62),$A35+1,1),MAX(strike-$B35,0)),"")</f>
        <v>0.18554374326392026</v>
      </c>
      <c r="AA35" s="9">
        <f t="array" ref="AA35">IF(AA$11&gt;=0,MAX(INDEX(MMULT(inverseG,Z$12:Z$62),$A35+1,1),MAX(strike-$B35,0)),"")</f>
        <v>0.19235206125037363</v>
      </c>
      <c r="AB35" s="9">
        <f t="array" ref="AB35">IF(AB$11&gt;=0,MAX(INDEX(MMULT(inverseG,AA$12:AA$62),$A35+1,1),MAX(strike-$B35,0)),"")</f>
        <v>0.19898232684498754</v>
      </c>
      <c r="AC35" s="9">
        <f t="array" ref="AC35">IF(AC$11&gt;=0,MAX(INDEX(MMULT(inverseG,AB$12:AB$62),$A35+1,1),MAX(strike-$B35,0)),"")</f>
        <v>0.20544293853299717</v>
      </c>
      <c r="AD35" s="9">
        <f t="array" ref="AD35">IF(AD$11&gt;=0,MAX(INDEX(MMULT(inverseG,AC$12:AC$62),$A35+1,1),MAX(strike-$B35,0)),"")</f>
        <v>0.21174176064345623</v>
      </c>
      <c r="AE35" s="9">
        <f t="array" ref="AE35">IF(AE$11&gt;=0,MAX(INDEX(MMULT(inverseG,AD$12:AD$62),$A35+1,1),MAX(strike-$B35,0)),"")</f>
        <v>0.21788612146530548</v>
      </c>
      <c r="AF35" s="9">
        <f t="array" ref="AF35">IF(AF$11&gt;=0,MAX(INDEX(MMULT(inverseG,AE$12:AE$62),$A35+1,1),MAX(strike-$B35,0)),"")</f>
        <v>0.22388282843979485</v>
      </c>
      <c r="AG35" s="9">
        <f t="array" ref="AG35">IF(AG$11&gt;=0,MAX(INDEX(MMULT(inverseG,AF$12:AF$62),$A35+1,1),MAX(strike-$B35,0)),"")</f>
        <v>0.22973819479744184</v>
      </c>
      <c r="AH35" s="9">
        <f t="array" ref="AH35">IF(AH$11&gt;=0,MAX(INDEX(MMULT(inverseG,AG$12:AG$62),$A35+1,1),MAX(strike-$B35,0)),"")</f>
        <v>0.23545807295615076</v>
      </c>
      <c r="AI35" s="9">
        <f t="array" ref="AI35">IF(AI$11&gt;=0,MAX(INDEX(MMULT(inverseG,AH$12:AH$62),$A35+1,1),MAX(strike-$B35,0)),"")</f>
        <v>0.24104789109857278</v>
      </c>
      <c r="AJ35" s="9">
        <f t="array" ref="AJ35">IF(AJ$11&gt;=0,MAX(INDEX(MMULT(inverseG,AI$12:AI$62),$A35+1,1),MAX(strike-$B35,0)),"")</f>
        <v>0.2465126903729026</v>
      </c>
      <c r="AK35" s="9">
        <f t="array" ref="AK35">IF(AK$11&gt;=0,MAX(INDEX(MMULT(inverseG,AJ$12:AJ$62),$A35+1,1),MAX(strike-$B35,0)),"")</f>
        <v>0.25185716101409389</v>
      </c>
      <c r="AL35" s="9">
        <f t="array" ref="AL35">IF(AL$11&gt;=0,MAX(INDEX(MMULT(inverseG,AK$12:AK$62),$A35+1,1),MAX(strike-$B35,0)),"")</f>
        <v>0.25708567634039242</v>
      </c>
      <c r="AM35" s="9">
        <f t="array" ref="AM35">IF(AM$11&gt;=0,MAX(INDEX(MMULT(inverseG,AL$12:AL$62),$A35+1,1),MAX(strike-$B35,0)),"")</f>
        <v>0.26220232405968508</v>
      </c>
      <c r="AN35" s="9">
        <f t="array" ref="AN35">IF(AN$11&gt;=0,MAX(INDEX(MMULT(inverseG,AM$12:AM$62),$A35+1,1),MAX(strike-$B35,0)),"")</f>
        <v>0.26721093465287632</v>
      </c>
      <c r="AO35" s="9">
        <f t="array" ref="AO35">IF(AO$11&gt;=0,MAX(INDEX(MMULT(inverseG,AN$12:AN$62),$A35+1,1),MAX(strike-$B35,0)),"")</f>
        <v>0.27211511638259089</v>
      </c>
      <c r="AP35" s="9">
        <f t="array" ref="AP35">IF(AP$11&gt;=0,MAX(INDEX(MMULT(inverseG,AO$12:AO$62),$A35+1,1),MAX(strike-$B35,0)),"")</f>
        <v>0.27691829805196261</v>
      </c>
      <c r="AQ35" s="9">
        <f t="array" ref="AQ35">IF(AQ$11&gt;=0,MAX(INDEX(MMULT(inverseG,AP$12:AP$62),$A35+1,1),MAX(strike-$B35,0)),"")</f>
        <v>0.28162377184152437</v>
      </c>
      <c r="AR35" s="9">
        <f t="array" ref="AR35">IF(AR$11&gt;=0,MAX(INDEX(MMULT(inverseG,AQ$12:AQ$62),$A35+1,1),MAX(strike-$B35,0)),"")</f>
        <v>0.28623472764159108</v>
      </c>
      <c r="AS35" s="9">
        <f t="array" ref="AS35">IF(AS$11&gt;=0,MAX(INDEX(MMULT(inverseG,AR$12:AR$62),$A35+1,1),MAX(strike-$B35,0)),"")</f>
        <v>0.29075427437485085</v>
      </c>
      <c r="AT35" s="9">
        <f t="array" ref="AT35">IF(AT$11&gt;=0,MAX(INDEX(MMULT(inverseG,AS$12:AS$62),$A35+1,1),MAX(strike-$B35,0)),"")</f>
        <v>0.29518544840128258</v>
      </c>
      <c r="AU35" s="9">
        <f t="array" ref="AU35">IF(AU$11&gt;=0,MAX(INDEX(MMULT(inverseG,AT$12:AT$62),$A35+1,1),MAX(strike-$B35,0)),"")</f>
        <v>0.29953121198591204</v>
      </c>
      <c r="AV35" s="9">
        <f t="array" ref="AV35">IF(AV$11&gt;=0,MAX(INDEX(MMULT(inverseG,AU$12:AU$62),$A35+1,1),MAX(strike-$B35,0)),"")</f>
        <v>0.30379444575936698</v>
      </c>
      <c r="AW35" s="9">
        <f t="array" ref="AW35">IF(AW$11&gt;=0,MAX(INDEX(MMULT(inverseG,AV$12:AV$62),$A35+1,1),MAX(strike-$B35,0)),"")</f>
        <v>0.30797793874528312</v>
      </c>
      <c r="AX35" s="9">
        <f t="array" ref="AX35">IF(AX$11&gt;=0,MAX(INDEX(MMULT(inverseG,AW$12:AW$62),$A35+1,1),MAX(strike-$B35,0)),"")</f>
        <v>0.31208437858697097</v>
      </c>
      <c r="AY35" s="9">
        <f t="array" ref="AY35">IF(AY$11&gt;=0,MAX(INDEX(MMULT(inverseG,AX$12:AX$62),$A35+1,1),MAX(strike-$B35,0)),"")</f>
        <v>0.31611634357992335</v>
      </c>
      <c r="AZ35" s="9">
        <f t="array" ref="AZ35">IF(AZ$11&gt;=0,MAX(INDEX(MMULT(inverseG,AY$12:AY$62),$A35+1,1),MAX(strike-$B35,0)),"")</f>
        <v>0.32007629726186493</v>
      </c>
      <c r="BA35" s="9">
        <f t="array" ref="BA35">IF(BA$11&gt;=0,MAX(INDEX(MMULT(inverseG,AZ$12:AZ$62),$A35+1,1),MAX(strike-$B35,0)),"")</f>
        <v>0.32396658570811354</v>
      </c>
      <c r="BB35" s="9">
        <f t="array" ref="BB35">IF(BB$11&gt;=0,MAX(INDEX(MMULT(inverseG,BA$12:BA$62),$A35+1,1),MAX(strike-$B35,0)),"")</f>
        <v>0.32778943731191418</v>
      </c>
      <c r="BC35" s="9">
        <f t="array" ref="BC35">IF(BC$11&gt;=0,MAX(INDEX(MMULT(inverseG,BB$12:BB$62),$A35+1,1),MAX(strike-$B35,0)),"")</f>
        <v>0.33154696464415756</v>
      </c>
      <c r="BD35" s="9">
        <f t="array" ref="BD35">IF(BD$11&gt;=0,MAX(INDEX(MMULT(inverseG,BC$12:BC$62),$A35+1,1),MAX(strike-$B35,0)),"")</f>
        <v>0.33524116792624464</v>
      </c>
      <c r="BE35" s="9">
        <f t="array" ref="BE35">IF(BE$11&gt;=0,MAX(INDEX(MMULT(inverseG,BD$12:BD$62),$A35+1,1),MAX(strike-$B35,0)),"")</f>
        <v>0.33887393966454299</v>
      </c>
      <c r="BF35" s="9">
        <f t="array" ref="BF35">IF(BF$11&gt;=0,MAX(INDEX(MMULT(inverseG,BE$12:BE$62),$A35+1,1),MAX(strike-$B35,0)),"")</f>
        <v>0.342447070048925</v>
      </c>
      <c r="BG35" s="9">
        <f t="array" ref="BG35">IF(BG$11&gt;=0,MAX(INDEX(MMULT(inverseG,BF$12:BF$62),$A35+1,1),MAX(strike-$B35,0)),"")</f>
        <v>0.34596225278739634</v>
      </c>
      <c r="BH35" s="9">
        <f t="array" ref="BH35">IF(BH$11&gt;=0,MAX(INDEX(MMULT(inverseG,BG$12:BG$62),$A35+1,1),MAX(strike-$B35,0)),"")</f>
        <v>0.34942109111960645</v>
      </c>
      <c r="BI35" s="9">
        <f t="array" ref="BI35">IF(BI$11&gt;=0,MAX(INDEX(MMULT(inverseG,BH$12:BH$62),$A35+1,1),MAX(strike-$B35,0)),"")</f>
        <v>0.35282510381643972</v>
      </c>
      <c r="BJ35" s="9">
        <f t="array" ref="BJ35">IF(BJ$11&gt;=0,MAX(INDEX(MMULT(inverseG,BI$12:BI$62),$A35+1,1),MAX(strike-$B35,0)),"")</f>
        <v>0.35617573102767053</v>
      </c>
      <c r="BK35" s="9">
        <f t="array" ref="BK35">IF(BK$11&gt;=0,MAX(INDEX(MMULT(inverseG,BJ$12:BJ$62),$A35+1,1),MAX(strike-$B35,0)),"")</f>
        <v>0.35947433988407101</v>
      </c>
      <c r="BL35" s="9">
        <f t="array" ref="BL35">IF(BL$11&gt;=0,MAX(INDEX(MMULT(inverseG,BK$12:BK$62),$A35+1,1),MAX(strike-$B35,0)),"")</f>
        <v>0.36272222979505792</v>
      </c>
      <c r="BM35" s="9">
        <f t="array" ref="BM35">IF(BM$11&gt;=0,MAX(INDEX(MMULT(inverseG,BL$12:BL$62),$A35+1,1),MAX(strike-$B35,0)),"")</f>
        <v>0.36592063740921565</v>
      </c>
      <c r="BN35" s="9">
        <f t="array" ref="BN35">IF(BN$11&gt;=0,MAX(INDEX(MMULT(inverseG,BM$12:BM$62),$A35+1,1),MAX(strike-$B35,0)),"")</f>
        <v>0.36907074122429046</v>
      </c>
      <c r="BO35" s="9">
        <f t="array" ref="BO35">IF(BO$11&gt;=0,MAX(INDEX(MMULT(inverseG,BN$12:BN$62),$A35+1,1),MAX(strike-$B35,0)),"")</f>
        <v>0.37217366584695094</v>
      </c>
      <c r="BP35" s="9">
        <f t="array" ref="BP35">IF(BP$11&gt;=0,MAX(INDEX(MMULT(inverseG,BO$12:BO$62),$A35+1,1),MAX(strike-$B35,0)),"")</f>
        <v>0.37523048591197383</v>
      </c>
      <c r="BQ35" s="9">
        <f t="array" ref="BQ35">IF(BQ$11&gt;=0,MAX(INDEX(MMULT(inverseG,BP$12:BP$62),$A35+1,1),MAX(strike-$B35,0)),"")</f>
        <v>0.37824222967661203</v>
      </c>
      <c r="BR35" s="9">
        <f t="array" ref="BR35">IF(BR$11&gt;=0,MAX(INDEX(MMULT(inverseG,BQ$12:BQ$62),$A35+1,1),MAX(strike-$B35,0)),"")</f>
        <v>0.38120988230956587</v>
      </c>
      <c r="BS35" s="9">
        <f t="array" ref="BS35">IF(BS$11&gt;=0,MAX(INDEX(MMULT(inverseG,BR$12:BR$62),$A35+1,1),MAX(strike-$B35,0)),"")</f>
        <v>0.38413438889588958</v>
      </c>
      <c r="BT35" s="9">
        <f t="array" ref="BT35">IF(BT$11&gt;=0,MAX(INDEX(MMULT(inverseG,BS$12:BS$62),$A35+1,1),MAX(strike-$B35,0)),"")</f>
        <v>0.38701665717982264</v>
      </c>
      <c r="BU35" s="9">
        <f t="array" ref="BU35">IF(BU$11&gt;=0,MAX(INDEX(MMULT(inverseG,BT$12:BT$62),$A35+1,1),MAX(strike-$B35,0)),"")</f>
        <v>0.38985756006734912</v>
      </c>
      <c r="BV35" s="9">
        <f t="array" ref="BV35">IF(BV$11&gt;=0,MAX(INDEX(MMULT(inverseG,BU$12:BU$62),$A35+1,1),MAX(strike-$B35,0)),"")</f>
        <v>0.39265793790951564</v>
      </c>
      <c r="BW35" s="9">
        <f t="array" ref="BW35">IF(BW$11&gt;=0,MAX(INDEX(MMULT(inverseG,BV$12:BV$62),$A35+1,1),MAX(strike-$B35,0)),"")</f>
        <v>0.39541860058643524</v>
      </c>
      <c r="BX35" s="9">
        <f t="array" ref="BX35">IF(BX$11&gt;=0,MAX(INDEX(MMULT(inverseG,BW$12:BW$62),$A35+1,1),MAX(strike-$B35,0)),"")</f>
        <v>0.39814032941057315</v>
      </c>
      <c r="BY35" s="9">
        <f t="array" ref="BY35">IF(BY$11&gt;=0,MAX(INDEX(MMULT(inverseG,BX$12:BX$62),$A35+1,1),MAX(strike-$B35,0)),"")</f>
        <v>0.40082387886651</v>
      </c>
      <c r="BZ35" s="9">
        <f t="array" ref="BZ35">IF(BZ$11&gt;=0,MAX(INDEX(MMULT(inverseG,BY$12:BY$62),$A35+1,1),MAX(strike-$B35,0)),"")</f>
        <v>0.40346997820293568</v>
      </c>
      <c r="CA35" s="9">
        <f t="array" ref="CA35">IF(CA$11&gt;=0,MAX(INDEX(MMULT(inverseG,BZ$12:BZ$62),$A35+1,1),MAX(strike-$B35,0)),"")</f>
        <v>0.40607933289122988</v>
      </c>
      <c r="CB35" s="9">
        <f t="array" ref="CB35">IF(CB$11&gt;=0,MAX(INDEX(MMULT(inverseG,CA$12:CA$62),$A35+1,1),MAX(strike-$B35,0)),"")</f>
        <v>0.40865262596364377</v>
      </c>
      <c r="CC35" s="9">
        <f t="array" ref="CC35">IF(CC$11&gt;=0,MAX(INDEX(MMULT(inverseG,CB$12:CB$62),$A35+1,1),MAX(strike-$B35,0)),"")</f>
        <v>0.41119051924283745</v>
      </c>
      <c r="CD35" s="9">
        <f t="array" ref="CD35">IF(CD$11&gt;=0,MAX(INDEX(MMULT(inverseG,CC$12:CC$62),$A35+1,1),MAX(strike-$B35,0)),"")</f>
        <v>0.41369365447336431</v>
      </c>
      <c r="CE35" s="9">
        <f t="array" ref="CE35">IF(CE$11&gt;=0,MAX(INDEX(MMULT(inverseG,CD$12:CD$62),$A35+1,1),MAX(strike-$B35,0)),"")</f>
        <v>0.4161626543646143</v>
      </c>
      <c r="CF35" s="9">
        <f t="array" ref="CF35">IF(CF$11&gt;=0,MAX(INDEX(MMULT(inverseG,CE$12:CE$62),$A35+1,1),MAX(strike-$B35,0)),"")</f>
        <v>0.41859812355375853</v>
      </c>
      <c r="CG35" s="9">
        <f t="array" ref="CG35">IF(CG$11&gt;=0,MAX(INDEX(MMULT(inverseG,CF$12:CF$62),$A35+1,1),MAX(strike-$B35,0)),"")</f>
        <v>0.42100064949634852</v>
      </c>
      <c r="CH35" s="9">
        <f t="array" ref="CH35">IF(CH$11&gt;=0,MAX(INDEX(MMULT(inverseG,CG$12:CG$62),$A35+1,1),MAX(strike-$B35,0)),"")</f>
        <v>0.42337080329142496</v>
      </c>
      <c r="CI35" s="9">
        <f t="array" ref="CI35">IF(CI$11&gt;=0,MAX(INDEX(MMULT(inverseG,CH$12:CH$62),$A35+1,1),MAX(strike-$B35,0)),"")</f>
        <v>0.42570914044727426</v>
      </c>
      <c r="CJ35" s="9">
        <f t="array" ref="CJ35">IF(CJ$11&gt;=0,MAX(INDEX(MMULT(inverseG,CI$12:CI$62),$A35+1,1),MAX(strike-$B35,0)),"")</f>
        <v>0.4280162015933261</v>
      </c>
      <c r="CK35" s="9">
        <f t="array" ref="CK35">IF(CK$11&gt;=0,MAX(INDEX(MMULT(inverseG,CJ$12:CJ$62),$A35+1,1),MAX(strike-$B35,0)),"")</f>
        <v>0.43029251314311323</v>
      </c>
      <c r="CL35" s="9">
        <f t="array" ref="CL35">IF(CL$11&gt;=0,MAX(INDEX(MMULT(inverseG,CK$12:CK$62),$A35+1,1),MAX(strike-$B35,0)),"")</f>
        <v>0.4325385879126965</v>
      </c>
      <c r="CM35" s="9">
        <f t="array" ref="CM35">IF(CM$11&gt;=0,MAX(INDEX(MMULT(inverseG,CL$12:CL$62),$A35+1,1),MAX(strike-$B35,0)),"")</f>
        <v>0.43475492569850499</v>
      </c>
      <c r="CN35" s="9">
        <f t="array" ref="CN35">IF(CN$11&gt;=0,MAX(INDEX(MMULT(inverseG,CM$12:CM$62),$A35+1,1),MAX(strike-$B35,0)),"")</f>
        <v>0.43694201381813008</v>
      </c>
      <c r="CO35" s="9">
        <f t="array" ref="CO35">IF(CO$11&gt;=0,MAX(INDEX(MMULT(inverseG,CN$12:CN$62),$A35+1,1),MAX(strike-$B35,0)),"")</f>
        <v>0.43910032761724715</v>
      </c>
      <c r="CP35" s="9">
        <f t="array" ref="CP35">IF(CP$11&gt;=0,MAX(INDEX(MMULT(inverseG,CO$12:CO$62),$A35+1,1),MAX(strike-$B35,0)),"")</f>
        <v>0.44123033094552289</v>
      </c>
      <c r="CQ35" s="9">
        <f t="array" ref="CQ35">IF(CQ$11&gt;=0,MAX(INDEX(MMULT(inverseG,CP$12:CP$62),$A35+1,1),MAX(strike-$B35,0)),"")</f>
        <v>0.44333247660406849</v>
      </c>
      <c r="CR35" s="9">
        <f t="array" ref="CR35">IF(CR$11&gt;=0,MAX(INDEX(MMULT(inverseG,CQ$12:CQ$62),$A35+1,1),MAX(strike-$B35,0)),"")</f>
        <v>0.44540720676674939</v>
      </c>
      <c r="CS35" s="9">
        <f t="array" ref="CS35">IF(CS$11&gt;=0,MAX(INDEX(MMULT(inverseG,CR$12:CR$62),$A35+1,1),MAX(strike-$B35,0)),"")</f>
        <v>0.44745495374479055</v>
      </c>
      <c r="CT35" s="9">
        <f t="array" ref="CT35">IF(CT$11&gt;=0,MAX(INDEX(MMULT(inverseG,CS$12:CS$62),$A35+1,1),MAX(strike-$B35,0)),"")</f>
        <v>0.44947614161095339</v>
      </c>
      <c r="CU35" s="9">
        <f t="array" ref="CU35">IF(CU$11&gt;=0,MAX(INDEX(MMULT(inverseG,CT$12:CT$62),$A35+1,1),MAX(strike-$B35,0)),"")</f>
        <v>0.45147118875361969</v>
      </c>
      <c r="CV35" s="9">
        <f t="array" ref="CV35">IF(CV$11&gt;=0,MAX(INDEX(MMULT(inverseG,CU$12:CU$62),$A35+1,1),MAX(strike-$B35,0)),"")</f>
        <v>0.45344051090153698</v>
      </c>
      <c r="CW35" s="9">
        <f t="array" ref="CW35">IF(CW$11&gt;=0,MAX(INDEX(MMULT(inverseG,CV$12:CV$62),$A35+1,1),MAX(strike-$B35,0)),"")</f>
        <v>0.4553845239401319</v>
      </c>
      <c r="CX35" s="9">
        <f t="array" ref="CX35">IF(CX$11&gt;=0,MAX(INDEX(MMULT(inverseG,CW$12:CW$62),$A35+1,1),MAX(strike-$B35,0)),"")</f>
        <v>0.4573036459502417</v>
      </c>
      <c r="CY35" s="9">
        <f t="array" ref="CY35">IF(CY$11&gt;=0,MAX(INDEX(MMULT(inverseG,CX$12:CX$62),$A35+1,1),MAX(strike-$B35,0)),"")</f>
        <v>0.45919829817535607</v>
      </c>
      <c r="CZ35" s="9">
        <f t="array" ref="CZ35">IF(CZ$11&gt;=0,MAX(INDEX(MMULT(inverseG,CY$12:CY$62),$A35+1,1),MAX(strike-$B35,0)),"")</f>
        <v>0.46106890490268543</v>
      </c>
      <c r="DA35" s="9" t="str">
        <f t="array" ref="DA35">IF(DA$11&gt;=0,MAX(INDEX(MMULT(inverseG,CZ$12:CZ$62),$A35+1,1),MAX(strike-$B35,0)),"")</f>
        <v/>
      </c>
      <c r="DB35" s="9" t="str">
        <f t="array" ref="DB35">IF(DB$11&gt;=0,MAX(INDEX(MMULT(inverseG,DA$12:DA$62),$A35+1,1),MAX(strike-$B35,0)),"")</f>
        <v/>
      </c>
      <c r="DC35" s="9" t="str">
        <f t="array" ref="DC35">IF(DC$11&gt;=0,MAX(INDEX(MMULT(inverseG,DB$12:DB$62),$A35+1,1),MAX(strike-$B35,0)),"")</f>
        <v/>
      </c>
      <c r="DD35" s="9" t="str">
        <f t="array" ref="DD35">IF(DD$11&gt;=0,MAX(INDEX(MMULT(inverseG,DC$12:DC$62),$A35+1,1),MAX(strike-$B35,0)),"")</f>
        <v/>
      </c>
      <c r="DE35" s="9" t="str">
        <f t="array" ref="DE35">IF(DE$11&gt;=0,MAX(INDEX(MMULT(inverseG,DD$12:DD$62),$A35+1,1),MAX(strike-$B35,0)),"")</f>
        <v/>
      </c>
      <c r="DF35" s="9" t="str">
        <f t="array" ref="DF35">IF(DF$11&gt;=0,MAX(INDEX(MMULT(inverseG,DE$12:DE$62),$A35+1,1),MAX(strike-$B35,0)),"")</f>
        <v/>
      </c>
      <c r="DG35" s="9" t="str">
        <f t="array" ref="DG35">IF(DG$11&gt;=0,MAX(INDEX(MMULT(inverseG,DF$12:DF$62),$A35+1,1),MAX(strike-$B35,0)),"")</f>
        <v/>
      </c>
      <c r="DH35" s="9" t="str">
        <f t="array" ref="DH35">IF(DH$11&gt;=0,MAX(INDEX(MMULT(inverseG,DG$12:DG$62),$A35+1,1),MAX(strike-$B35,0)),"")</f>
        <v/>
      </c>
      <c r="DI35" s="9" t="str">
        <f t="array" ref="DI35">IF(DI$11&gt;=0,MAX(INDEX(MMULT(inverseG,DH$12:DH$62),$A35+1,1),MAX(strike-$B35,0)),"")</f>
        <v/>
      </c>
      <c r="DJ35" s="9" t="str">
        <f t="array" ref="DJ35">IF(DJ$11&gt;=0,MAX(INDEX(MMULT(inverseG,DI$12:DI$62),$A35+1,1),MAX(strike-$B35,0)),"")</f>
        <v/>
      </c>
      <c r="DK35" s="9" t="str">
        <f t="array" ref="DK35">IF(DK$11&gt;=0,MAX(INDEX(MMULT(inverseG,DJ$12:DJ$62),$A35+1,1),MAX(strike-$B35,0)),"")</f>
        <v/>
      </c>
      <c r="DL35" s="9" t="str">
        <f t="array" ref="DL35">IF(DL$11&gt;=0,MAX(INDEX(MMULT(inverseG,DK$12:DK$62),$A35+1,1),MAX(strike-$B35,0)),"")</f>
        <v/>
      </c>
      <c r="DM35" s="9" t="str">
        <f t="array" ref="DM35">IF(DM$11&gt;=0,MAX(INDEX(MMULT(inverseG,DL$12:DL$62),$A35+1,1),MAX(strike-$B35,0)),"")</f>
        <v/>
      </c>
      <c r="DN35" s="9" t="str">
        <f t="array" ref="DN35">IF(DN$11&gt;=0,MAX(INDEX(MMULT(inverseG,DM$12:DM$62),$A35+1,1),MAX(strike-$B35,0)),"")</f>
        <v/>
      </c>
      <c r="DO35" s="9" t="str">
        <f t="array" ref="DO35">IF(DO$11&gt;=0,MAX(INDEX(MMULT(inverseG,DN$12:DN$62),$A35+1,1),MAX(strike-$B35,0)),"")</f>
        <v/>
      </c>
      <c r="DP35" s="9" t="str">
        <f t="array" ref="DP35">IF(DP$11&gt;=0,MAX(INDEX(MMULT(inverseG,DO$12:DO$62),$A35+1,1),MAX(strike-$B35,0)),"")</f>
        <v/>
      </c>
      <c r="DQ35" s="9" t="str">
        <f t="array" ref="DQ35">IF(DQ$11&gt;=0,MAX(INDEX(MMULT(inverseG,DP$12:DP$62),$A35+1,1),MAX(strike-$B35,0)),"")</f>
        <v/>
      </c>
      <c r="DR35" s="9" t="str">
        <f t="array" ref="DR35">IF(DR$11&gt;=0,MAX(INDEX(MMULT(inverseG,DQ$12:DQ$62),$A35+1,1),MAX(strike-$B35,0)),"")</f>
        <v/>
      </c>
      <c r="DS35" s="9" t="str">
        <f t="array" ref="DS35">IF(DS$11&gt;=0,MAX(INDEX(MMULT(inverseG,DR$12:DR$62),$A35+1,1),MAX(strike-$B35,0)),"")</f>
        <v/>
      </c>
      <c r="DT35" s="9" t="str">
        <f t="array" ref="DT35">IF(DT$11&gt;=0,MAX(INDEX(MMULT(inverseG,DS$12:DS$62),$A35+1,1),MAX(strike-$B35,0)),"")</f>
        <v/>
      </c>
      <c r="DU35" s="9" t="str">
        <f t="array" ref="DU35">IF(DU$11&gt;=0,MAX(INDEX(MMULT(inverseG,DT$12:DT$62),$A35+1,1),MAX(strike-$B35,0)),"")</f>
        <v/>
      </c>
      <c r="DV35" s="9" t="str">
        <f t="array" ref="DV35">IF(DV$11&gt;=0,MAX(INDEX(MMULT(inverseG,DU$12:DU$62),$A35+1,1),MAX(strike-$B35,0)),"")</f>
        <v/>
      </c>
      <c r="DW35" s="9" t="str">
        <f t="array" ref="DW35">IF(DW$11&gt;=0,MAX(INDEX(MMULT(inverseG,DV$12:DV$62),$A35+1,1),MAX(strike-$B35,0)),"")</f>
        <v/>
      </c>
      <c r="DX35" s="9" t="str">
        <f t="array" ref="DX35">IF(DX$11&gt;=0,MAX(INDEX(MMULT(inverseG,DW$12:DW$62),$A35+1,1),MAX(strike-$B35,0)),"")</f>
        <v/>
      </c>
      <c r="DY35" s="9" t="str">
        <f t="array" ref="DY35">IF(DY$11&gt;=0,MAX(INDEX(MMULT(inverseG,DX$12:DX$62),$A35+1,1),MAX(strike-$B35,0)),"")</f>
        <v/>
      </c>
      <c r="DZ35" s="9" t="str">
        <f t="array" ref="DZ35">IF(DZ$11&gt;=0,MAX(INDEX(MMULT(inverseG,DY$12:DY$62),$A35+1,1),MAX(strike-$B35,0)),"")</f>
        <v/>
      </c>
      <c r="EA35" s="9" t="str">
        <f t="array" ref="EA35">IF(EA$11&gt;=0,MAX(INDEX(MMULT(inverseG,DZ$12:DZ$62),$A35+1,1),MAX(strike-$B35,0)),"")</f>
        <v/>
      </c>
      <c r="EB35" s="9" t="str">
        <f t="array" ref="EB35">IF(EB$11&gt;=0,MAX(INDEX(MMULT(inverseG,EA$12:EA$62),$A35+1,1),MAX(strike-$B35,0)),"")</f>
        <v/>
      </c>
      <c r="EC35" s="9" t="str">
        <f t="array" ref="EC35">IF(EC$11&gt;=0,MAX(INDEX(MMULT(inverseG,EB$12:EB$62),$A35+1,1),MAX(strike-$B35,0)),"")</f>
        <v/>
      </c>
      <c r="ED35" s="9" t="str">
        <f t="array" ref="ED35">IF(ED$11&gt;=0,MAX(INDEX(MMULT(inverseG,EC$12:EC$62),$A35+1,1),MAX(strike-$B35,0)),"")</f>
        <v/>
      </c>
      <c r="EE35" s="9" t="str">
        <f t="array" ref="EE35">IF(EE$11&gt;=0,MAX(INDEX(MMULT(inverseG,ED$12:ED$62),$A35+1,1),MAX(strike-$B35,0)),"")</f>
        <v/>
      </c>
      <c r="EF35" s="9" t="str">
        <f t="array" ref="EF35">IF(EF$11&gt;=0,MAX(INDEX(MMULT(inverseG,EE$12:EE$62),$A35+1,1),MAX(strike-$B35,0)),"")</f>
        <v/>
      </c>
      <c r="EG35" s="9" t="str">
        <f t="array" ref="EG35">IF(EG$11&gt;=0,MAX(INDEX(MMULT(inverseG,EF$12:EF$62),$A35+1,1),MAX(strike-$B35,0)),"")</f>
        <v/>
      </c>
      <c r="EH35" s="9" t="str">
        <f t="array" ref="EH35">IF(EH$11&gt;=0,MAX(INDEX(MMULT(inverseG,EG$12:EG$62),$A35+1,1),MAX(strike-$B35,0)),"")</f>
        <v/>
      </c>
      <c r="EI35" s="9" t="str">
        <f t="array" ref="EI35">IF(EI$11&gt;=0,MAX(INDEX(MMULT(inverseG,EH$12:EH$62),$A35+1,1),MAX(strike-$B35,0)),"")</f>
        <v/>
      </c>
      <c r="EJ35" s="9" t="str">
        <f t="array" ref="EJ35">IF(EJ$11&gt;=0,MAX(INDEX(MMULT(inverseG,EI$12:EI$62),$A35+1,1),MAX(strike-$B35,0)),"")</f>
        <v/>
      </c>
      <c r="EK35" s="9" t="str">
        <f t="array" ref="EK35">IF(EK$11&gt;=0,MAX(INDEX(MMULT(inverseG,EJ$12:EJ$62),$A35+1,1),MAX(strike-$B35,0)),"")</f>
        <v/>
      </c>
      <c r="EL35" s="9" t="str">
        <f t="array" ref="EL35">IF(EL$11&gt;=0,MAX(INDEX(MMULT(inverseG,EK$12:EK$62),$A35+1,1),MAX(strike-$B35,0)),"")</f>
        <v/>
      </c>
      <c r="EM35" s="9" t="str">
        <f t="array" ref="EM35">IF(EM$11&gt;=0,MAX(INDEX(MMULT(inverseG,EL$12:EL$62),$A35+1,1),MAX(strike-$B35,0)),"")</f>
        <v/>
      </c>
      <c r="EN35" s="9" t="str">
        <f t="array" ref="EN35">IF(EN$11&gt;=0,MAX(INDEX(MMULT(inverseG,EM$12:EM$62),$A35+1,1),MAX(strike-$B35,0)),"")</f>
        <v/>
      </c>
      <c r="EO35" s="9" t="str">
        <f t="array" ref="EO35">IF(EO$11&gt;=0,MAX(INDEX(MMULT(inverseG,EN$12:EN$62),$A35+1,1),MAX(strike-$B35,0)),"")</f>
        <v/>
      </c>
      <c r="EP35" s="9" t="str">
        <f t="array" ref="EP35">IF(EP$11&gt;=0,MAX(INDEX(MMULT(inverseG,EO$12:EO$62),$A35+1,1),MAX(strike-$B35,0)),"")</f>
        <v/>
      </c>
      <c r="EQ35" s="9" t="str">
        <f t="array" ref="EQ35">IF(EQ$11&gt;=0,MAX(INDEX(MMULT(inverseG,EP$12:EP$62),$A35+1,1),MAX(strike-$B35,0)),"")</f>
        <v/>
      </c>
      <c r="ER35" s="9" t="str">
        <f t="array" ref="ER35">IF(ER$11&gt;=0,MAX(INDEX(MMULT(inverseG,EQ$12:EQ$62),$A35+1,1),MAX(strike-$B35,0)),"")</f>
        <v/>
      </c>
      <c r="ES35" s="9" t="str">
        <f t="array" ref="ES35">IF(ES$11&gt;=0,MAX(INDEX(MMULT(inverseG,ER$12:ER$62),$A35+1,1),MAX(strike-$B35,0)),"")</f>
        <v/>
      </c>
      <c r="ET35" s="9" t="str">
        <f t="array" ref="ET35">IF(ET$11&gt;=0,MAX(INDEX(MMULT(inverseG,ES$12:ES$62),$A35+1,1),MAX(strike-$B35,0)),"")</f>
        <v/>
      </c>
      <c r="EU35" s="9" t="str">
        <f t="array" ref="EU35">IF(EU$11&gt;=0,MAX(INDEX(MMULT(inverseG,ET$12:ET$62),$A35+1,1),MAX(strike-$B35,0)),"")</f>
        <v/>
      </c>
      <c r="EV35" s="9" t="str">
        <f t="array" ref="EV35">IF(EV$11&gt;=0,MAX(INDEX(MMULT(inverseG,EU$12:EU$62),$A35+1,1),MAX(strike-$B35,0)),"")</f>
        <v/>
      </c>
      <c r="EW35" s="9" t="str">
        <f t="array" ref="EW35">IF(EW$11&gt;=0,MAX(INDEX(MMULT(inverseG,EV$12:EV$62),$A35+1,1),MAX(strike-$B35,0)),"")</f>
        <v/>
      </c>
      <c r="EX35" s="9" t="str">
        <f t="array" ref="EX35">IF(EX$11&gt;=0,MAX(INDEX(MMULT(inverseG,EW$12:EW$62),$A35+1,1),MAX(strike-$B35,0)),"")</f>
        <v/>
      </c>
      <c r="EY35" s="9" t="str">
        <f t="array" ref="EY35">IF(EY$11&gt;=0,MAX(INDEX(MMULT(inverseG,EX$12:EX$62),$A35+1,1),MAX(strike-$B35,0)),"")</f>
        <v/>
      </c>
      <c r="EZ35" s="9" t="str">
        <f t="array" ref="EZ35">IF(EZ$11&gt;=0,MAX(INDEX(MMULT(inverseG,EY$12:EY$62),$A35+1,1),MAX(strike-$B35,0)),"")</f>
        <v/>
      </c>
      <c r="FA35" s="9" t="str">
        <f t="array" ref="FA35">IF(FA$11&gt;=0,MAX(INDEX(MMULT(inverseG,EZ$12:EZ$62),$A35+1,1),MAX(strike-$B35,0)),"")</f>
        <v/>
      </c>
      <c r="FB35" s="9" t="str">
        <f t="array" ref="FB35">IF(FB$11&gt;=0,MAX(INDEX(MMULT(inverseG,FA$12:FA$62),$A35+1,1),MAX(strike-$B35,0)),"")</f>
        <v/>
      </c>
      <c r="FC35" s="9" t="str">
        <f t="array" ref="FC35">IF(FC$11&gt;=0,MAX(INDEX(MMULT(inverseG,FB$12:FB$62),$A35+1,1),MAX(strike-$B35,0)),"")</f>
        <v/>
      </c>
      <c r="FD35" s="9" t="str">
        <f t="array" ref="FD35">IF(FD$11&gt;=0,MAX(INDEX(MMULT(inverseG,FC$12:FC$62),$A35+1,1),MAX(strike-$B35,0)),"")</f>
        <v/>
      </c>
      <c r="FE35" s="9" t="str">
        <f t="array" ref="FE35">IF(FE$11&gt;=0,MAX(INDEX(MMULT(inverseG,FD$12:FD$62),$A35+1,1),MAX(strike-$B35,0)),"")</f>
        <v/>
      </c>
      <c r="FF35" s="9" t="str">
        <f t="array" ref="FF35">IF(FF$11&gt;=0,MAX(INDEX(MMULT(inverseG,FE$12:FE$62),$A35+1,1),MAX(strike-$B35,0)),"")</f>
        <v/>
      </c>
      <c r="FG35" s="9" t="str">
        <f t="array" ref="FG35">IF(FG$11&gt;=0,MAX(INDEX(MMULT(inverseG,FF$12:FF$62),$A35+1,1),MAX(strike-$B35,0)),"")</f>
        <v/>
      </c>
      <c r="FH35" s="9" t="str">
        <f t="array" ref="FH35">IF(FH$11&gt;=0,MAX(INDEX(MMULT(inverseG,FG$12:FG$62),$A35+1,1),MAX(strike-$B35,0)),"")</f>
        <v/>
      </c>
      <c r="FI35" s="9" t="str">
        <f t="array" ref="FI35">IF(FI$11&gt;=0,MAX(INDEX(MMULT(inverseG,FH$12:FH$62),$A35+1,1),MAX(strike-$B35,0)),"")</f>
        <v/>
      </c>
      <c r="FJ35" s="9" t="str">
        <f t="array" ref="FJ35">IF(FJ$11&gt;=0,MAX(INDEX(MMULT(inverseG,FI$12:FI$62),$A35+1,1),MAX(strike-$B35,0)),"")</f>
        <v/>
      </c>
      <c r="FK35" s="9" t="str">
        <f t="array" ref="FK35">IF(FK$11&gt;=0,MAX(INDEX(MMULT(inverseG,FJ$12:FJ$62),$A35+1,1),MAX(strike-$B35,0)),"")</f>
        <v/>
      </c>
      <c r="FL35" s="9" t="str">
        <f t="array" ref="FL35">IF(FL$11&gt;=0,MAX(INDEX(MMULT(inverseG,FK$12:FK$62),$A35+1,1),MAX(strike-$B35,0)),"")</f>
        <v/>
      </c>
      <c r="FM35" s="9" t="str">
        <f t="array" ref="FM35">IF(FM$11&gt;=0,MAX(INDEX(MMULT(inverseG,FL$12:FL$62),$A35+1,1),MAX(strike-$B35,0)),"")</f>
        <v/>
      </c>
      <c r="FN35" s="9" t="str">
        <f t="array" ref="FN35">IF(FN$11&gt;=0,MAX(INDEX(MMULT(inverseG,FM$12:FM$62),$A35+1,1),MAX(strike-$B35,0)),"")</f>
        <v/>
      </c>
      <c r="FO35" s="9" t="str">
        <f t="array" ref="FO35">IF(FO$11&gt;=0,MAX(INDEX(MMULT(inverseG,FN$12:FN$62),$A35+1,1),MAX(strike-$B35,0)),"")</f>
        <v/>
      </c>
      <c r="FP35" s="9" t="str">
        <f t="array" ref="FP35">IF(FP$11&gt;=0,MAX(INDEX(MMULT(inverseG,FO$12:FO$62),$A35+1,1),MAX(strike-$B35,0)),"")</f>
        <v/>
      </c>
      <c r="FQ35" s="9" t="str">
        <f t="array" ref="FQ35">IF(FQ$11&gt;=0,MAX(INDEX(MMULT(inverseG,FP$12:FP$62),$A35+1,1),MAX(strike-$B35,0)),"")</f>
        <v/>
      </c>
      <c r="FR35" s="9" t="str">
        <f t="array" ref="FR35">IF(FR$11&gt;=0,MAX(INDEX(MMULT(inverseG,FQ$12:FQ$62),$A35+1,1),MAX(strike-$B35,0)),"")</f>
        <v/>
      </c>
      <c r="FS35" s="9" t="str">
        <f t="array" ref="FS35">IF(FS$11&gt;=0,MAX(INDEX(MMULT(inverseG,FR$12:FR$62),$A35+1,1),MAX(strike-$B35,0)),"")</f>
        <v/>
      </c>
      <c r="FT35" s="9" t="str">
        <f t="array" ref="FT35">IF(FT$11&gt;=0,MAX(INDEX(MMULT(inverseG,FS$12:FS$62),$A35+1,1),MAX(strike-$B35,0)),"")</f>
        <v/>
      </c>
      <c r="FU35" s="9" t="str">
        <f t="array" ref="FU35">IF(FU$11&gt;=0,MAX(INDEX(MMULT(inverseG,FT$12:FT$62),$A35+1,1),MAX(strike-$B35,0)),"")</f>
        <v/>
      </c>
      <c r="FV35" s="9" t="str">
        <f t="array" ref="FV35">IF(FV$11&gt;=0,MAX(INDEX(MMULT(inverseG,FU$12:FU$62),$A35+1,1),MAX(strike-$B35,0)),"")</f>
        <v/>
      </c>
      <c r="FW35" s="9" t="str">
        <f t="array" ref="FW35">IF(FW$11&gt;=0,MAX(INDEX(MMULT(inverseG,FV$12:FV$62),$A35+1,1),MAX(strike-$B35,0)),"")</f>
        <v/>
      </c>
      <c r="FX35" s="9" t="str">
        <f t="array" ref="FX35">IF(FX$11&gt;=0,MAX(INDEX(MMULT(inverseG,FW$12:FW$62),$A35+1,1),MAX(strike-$B35,0)),"")</f>
        <v/>
      </c>
      <c r="FY35" s="9" t="str">
        <f t="array" ref="FY35">IF(FY$11&gt;=0,MAX(INDEX(MMULT(inverseG,FX$12:FX$62),$A35+1,1),MAX(strike-$B35,0)),"")</f>
        <v/>
      </c>
      <c r="FZ35" s="9" t="str">
        <f t="array" ref="FZ35">IF(FZ$11&gt;=0,MAX(INDEX(MMULT(inverseG,FY$12:FY$62),$A35+1,1),MAX(strike-$B35,0)),"")</f>
        <v/>
      </c>
      <c r="GA35" s="9" t="str">
        <f t="array" ref="GA35">IF(GA$11&gt;=0,MAX(INDEX(MMULT(inverseG,FZ$12:FZ$62),$A35+1,1),MAX(strike-$B35,0)),"")</f>
        <v/>
      </c>
      <c r="GB35" s="9" t="str">
        <f t="array" ref="GB35">IF(GB$11&gt;=0,MAX(INDEX(MMULT(inverseG,GA$12:GA$62),$A35+1,1),MAX(strike-$B35,0)),"")</f>
        <v/>
      </c>
      <c r="GC35" s="9" t="str">
        <f t="array" ref="GC35">IF(GC$11&gt;=0,MAX(INDEX(MMULT(inverseG,GB$12:GB$62),$A35+1,1),MAX(strike-$B35,0)),"")</f>
        <v/>
      </c>
      <c r="GD35" s="9" t="str">
        <f t="array" ref="GD35">IF(GD$11&gt;=0,MAX(INDEX(MMULT(inverseG,GC$12:GC$62),$A35+1,1),MAX(strike-$B35,0)),"")</f>
        <v/>
      </c>
      <c r="GE35" s="9" t="str">
        <f t="array" ref="GE35">IF(GE$11&gt;=0,MAX(INDEX(MMULT(inverseG,GD$12:GD$62),$A35+1,1),MAX(strike-$B35,0)),"")</f>
        <v/>
      </c>
      <c r="GF35" s="9" t="str">
        <f t="array" ref="GF35">IF(GF$11&gt;=0,MAX(INDEX(MMULT(inverseG,GE$12:GE$62),$A35+1,1),MAX(strike-$B35,0)),"")</f>
        <v/>
      </c>
      <c r="GG35" s="9" t="str">
        <f t="array" ref="GG35">IF(GG$11&gt;=0,MAX(INDEX(MMULT(inverseG,GF$12:GF$62),$A35+1,1),MAX(strike-$B35,0)),"")</f>
        <v/>
      </c>
      <c r="GH35" s="9" t="str">
        <f t="array" ref="GH35">IF(GH$11&gt;=0,MAX(INDEX(MMULT(inverseG,GG$12:GG$62),$A35+1,1),MAX(strike-$B35,0)),"")</f>
        <v/>
      </c>
      <c r="GI35" s="9" t="str">
        <f t="array" ref="GI35">IF(GI$11&gt;=0,MAX(INDEX(MMULT(inverseG,GH$12:GH$62),$A35+1,1),MAX(strike-$B35,0)),"")</f>
        <v/>
      </c>
      <c r="GJ35" s="9" t="str">
        <f t="array" ref="GJ35">IF(GJ$11&gt;=0,MAX(INDEX(MMULT(inverseG,GI$12:GI$62),$A35+1,1),MAX(strike-$B35,0)),"")</f>
        <v/>
      </c>
      <c r="GK35" s="9" t="str">
        <f t="array" ref="GK35">IF(GK$11&gt;=0,MAX(INDEX(MMULT(inverseG,GJ$12:GJ$62),$A35+1,1),MAX(strike-$B35,0)),"")</f>
        <v/>
      </c>
      <c r="GL35" s="9" t="str">
        <f t="array" ref="GL35">IF(GL$11&gt;=0,MAX(INDEX(MMULT(inverseG,GK$12:GK$62),$A35+1,1),MAX(strike-$B35,0)),"")</f>
        <v/>
      </c>
      <c r="GM35" s="9" t="str">
        <f t="array" ref="GM35">IF(GM$11&gt;=0,MAX(INDEX(MMULT(inverseG,GL$12:GL$62),$A35+1,1),MAX(strike-$B35,0)),"")</f>
        <v/>
      </c>
      <c r="GN35" s="9" t="str">
        <f t="array" ref="GN35">IF(GN$11&gt;=0,MAX(INDEX(MMULT(inverseG,GM$12:GM$62),$A35+1,1),MAX(strike-$B35,0)),"")</f>
        <v/>
      </c>
      <c r="GO35" s="9" t="str">
        <f t="array" ref="GO35">IF(GO$11&gt;=0,MAX(INDEX(MMULT(inverseG,GN$12:GN$62),$A35+1,1),MAX(strike-$B35,0)),"")</f>
        <v/>
      </c>
      <c r="GP35" s="9" t="str">
        <f t="array" ref="GP35">IF(GP$11&gt;=0,MAX(INDEX(MMULT(inverseG,GO$12:GO$62),$A35+1,1),MAX(strike-$B35,0)),"")</f>
        <v/>
      </c>
      <c r="GQ35" s="9" t="str">
        <f t="array" ref="GQ35">IF(GQ$11&gt;=0,MAX(INDEX(MMULT(inverseG,GP$12:GP$62),$A35+1,1),MAX(strike-$B35,0)),"")</f>
        <v/>
      </c>
      <c r="GR35" s="9" t="str">
        <f t="array" ref="GR35">IF(GR$11&gt;=0,MAX(INDEX(MMULT(inverseG,GQ$12:GQ$62),$A35+1,1),MAX(strike-$B35,0)),"")</f>
        <v/>
      </c>
      <c r="GS35" s="9" t="str">
        <f t="array" ref="GS35">IF(GS$11&gt;=0,MAX(INDEX(MMULT(inverseG,GR$12:GR$62),$A35+1,1),MAX(strike-$B35,0)),"")</f>
        <v/>
      </c>
      <c r="GT35" s="9" t="str">
        <f t="array" ref="GT35">IF(GT$11&gt;=0,MAX(INDEX(MMULT(inverseG,GS$12:GS$62),$A35+1,1),MAX(strike-$B35,0)),"")</f>
        <v/>
      </c>
      <c r="GU35" s="9" t="str">
        <f t="array" ref="GU35">IF(GU$11&gt;=0,MAX(INDEX(MMULT(inverseG,GT$12:GT$62),$A35+1,1),MAX(strike-$B35,0)),"")</f>
        <v/>
      </c>
      <c r="GV35" s="9" t="str">
        <f t="array" ref="GV35">IF(GV$11&gt;=0,MAX(INDEX(MMULT(inverseG,GU$12:GU$62),$A35+1,1),MAX(strike-$B35,0)),"")</f>
        <v/>
      </c>
      <c r="GW35" s="9" t="str">
        <f t="array" ref="GW35">IF(GW$11&gt;=0,MAX(INDEX(MMULT(inverseG,GV$12:GV$62),$A35+1,1),MAX(strike-$B35,0)),"")</f>
        <v/>
      </c>
      <c r="GX35" s="9" t="str">
        <f t="array" ref="GX35">IF(GX$11&gt;=0,MAX(INDEX(MMULT(inverseG,GW$12:GW$62),$A35+1,1),MAX(strike-$B35,0)),"")</f>
        <v/>
      </c>
      <c r="GY35" s="9" t="str">
        <f t="array" ref="GY35">IF(GY$11&gt;=0,MAX(INDEX(MMULT(inverseG,GX$12:GX$62),$A35+1,1),MAX(strike-$B35,0)),"")</f>
        <v/>
      </c>
      <c r="GZ35" s="9" t="str">
        <f t="array" ref="GZ35">IF(GZ$11&gt;=0,MAX(INDEX(MMULT(inverseG,GY$12:GY$62),$A35+1,1),MAX(strike-$B35,0)),"")</f>
        <v/>
      </c>
      <c r="HA35" s="9" t="str">
        <f t="array" ref="HA35">IF(HA$11&gt;=0,MAX(INDEX(MMULT(inverseG,GZ$12:GZ$62),$A35+1,1),MAX(strike-$B35,0)),"")</f>
        <v/>
      </c>
      <c r="HB35" s="9" t="str">
        <f t="array" ref="HB35">IF(HB$11&gt;=0,MAX(INDEX(MMULT(inverseG,HA$12:HA$62),$A35+1,1),MAX(strike-$B35,0)),"")</f>
        <v/>
      </c>
      <c r="HC35" s="9" t="str">
        <f t="array" ref="HC35">IF(HC$11&gt;=0,MAX(INDEX(MMULT(inverseG,HB$12:HB$62),$A35+1,1),MAX(strike-$B35,0)),"")</f>
        <v/>
      </c>
      <c r="HD35" s="9" t="str">
        <f t="array" ref="HD35">IF(HD$11&gt;=0,MAX(INDEX(MMULT(inverseG,HC$12:HC$62),$A35+1,1),MAX(strike-$B35,0)),"")</f>
        <v/>
      </c>
      <c r="HE35" s="9" t="str">
        <f t="array" ref="HE35">IF(HE$11&gt;=0,MAX(INDEX(MMULT(inverseG,HD$12:HD$62),$A35+1,1),MAX(strike-$B35,0)),"")</f>
        <v/>
      </c>
      <c r="HF35" s="9" t="str">
        <f t="array" ref="HF35">IF(HF$11&gt;=0,MAX(INDEX(MMULT(inverseG,HE$12:HE$62),$A35+1,1),MAX(strike-$B35,0)),"")</f>
        <v/>
      </c>
      <c r="HG35" s="9" t="str">
        <f t="array" ref="HG35">IF(HG$11&gt;=0,MAX(INDEX(MMULT(inverseG,HF$12:HF$62),$A35+1,1),MAX(strike-$B35,0)),"")</f>
        <v/>
      </c>
      <c r="HH35" s="9" t="str">
        <f t="array" ref="HH35">IF(HH$11&gt;=0,MAX(INDEX(MMULT(inverseG,HG$12:HG$62),$A35+1,1),MAX(strike-$B35,0)),"")</f>
        <v/>
      </c>
      <c r="HI35" s="9" t="str">
        <f t="array" ref="HI35">IF(HI$11&gt;=0,MAX(INDEX(MMULT(inverseG,HH$12:HH$62),$A35+1,1),MAX(strike-$B35,0)),"")</f>
        <v/>
      </c>
      <c r="HJ35" s="9" t="str">
        <f t="array" ref="HJ35">IF(HJ$11&gt;=0,MAX(INDEX(MMULT(inverseG,HI$12:HI$62),$A35+1,1),MAX(strike-$B35,0)),"")</f>
        <v/>
      </c>
      <c r="HK35" s="9" t="str">
        <f t="array" ref="HK35">IF(HK$11&gt;=0,MAX(INDEX(MMULT(inverseG,HJ$12:HJ$62),$A35+1,1),MAX(strike-$B35,0)),"")</f>
        <v/>
      </c>
      <c r="HL35" s="9" t="str">
        <f t="array" ref="HL35">IF(HL$11&gt;=0,MAX(INDEX(MMULT(inverseG,HK$12:HK$62),$A35+1,1),MAX(strike-$B35,0)),"")</f>
        <v/>
      </c>
      <c r="HM35" s="9" t="str">
        <f t="array" ref="HM35">IF(HM$11&gt;=0,MAX(INDEX(MMULT(inverseG,HL$12:HL$62),$A35+1,1),MAX(strike-$B35,0)),"")</f>
        <v/>
      </c>
      <c r="HN35" s="9" t="str">
        <f t="array" ref="HN35">IF(HN$11&gt;=0,MAX(INDEX(MMULT(inverseG,HM$12:HM$62),$A35+1,1),MAX(strike-$B35,0)),"")</f>
        <v/>
      </c>
      <c r="HO35" s="9" t="str">
        <f t="array" ref="HO35">IF(HO$11&gt;=0,MAX(INDEX(MMULT(inverseG,HN$12:HN$62),$A35+1,1),MAX(strike-$B35,0)),"")</f>
        <v/>
      </c>
      <c r="HP35" s="9" t="str">
        <f t="array" ref="HP35">IF(HP$11&gt;=0,MAX(INDEX(MMULT(inverseG,HO$12:HO$62),$A35+1,1),MAX(strike-$B35,0)),"")</f>
        <v/>
      </c>
      <c r="HQ35" s="9" t="str">
        <f t="array" ref="HQ35">IF(HQ$11&gt;=0,MAX(INDEX(MMULT(inverseG,HP$12:HP$62),$A35+1,1),MAX(strike-$B35,0)),"")</f>
        <v/>
      </c>
      <c r="HR35" s="9" t="str">
        <f t="array" ref="HR35">IF(HR$11&gt;=0,MAX(INDEX(MMULT(inverseG,HQ$12:HQ$62),$A35+1,1),MAX(strike-$B35,0)),"")</f>
        <v/>
      </c>
      <c r="HS35" s="9" t="str">
        <f t="array" ref="HS35">IF(HS$11&gt;=0,MAX(INDEX(MMULT(inverseG,HR$12:HR$62),$A35+1,1),MAX(strike-$B35,0)),"")</f>
        <v/>
      </c>
      <c r="HT35" s="9" t="str">
        <f t="array" ref="HT35">IF(HT$11&gt;=0,MAX(INDEX(MMULT(inverseG,HS$12:HS$62),$A35+1,1),MAX(strike-$B35,0)),"")</f>
        <v/>
      </c>
      <c r="HU35" s="9" t="str">
        <f t="array" ref="HU35">IF(HU$11&gt;=0,MAX(INDEX(MMULT(inverseG,HT$12:HT$62),$A35+1,1),MAX(strike-$B35,0)),"")</f>
        <v/>
      </c>
      <c r="HV35" s="9" t="str">
        <f t="array" ref="HV35">IF(HV$11&gt;=0,MAX(INDEX(MMULT(inverseG,HU$12:HU$62),$A35+1,1),MAX(strike-$B35,0)),"")</f>
        <v/>
      </c>
      <c r="HW35" s="9" t="str">
        <f t="array" ref="HW35">IF(HW$11&gt;=0,MAX(INDEX(MMULT(inverseG,HV$12:HV$62),$A35+1,1),MAX(strike-$B35,0)),"")</f>
        <v/>
      </c>
      <c r="HX35" s="9" t="str">
        <f t="array" ref="HX35">IF(HX$11&gt;=0,MAX(INDEX(MMULT(inverseG,HW$12:HW$62),$A35+1,1),MAX(strike-$B35,0)),"")</f>
        <v/>
      </c>
      <c r="HY35" s="9" t="str">
        <f t="array" ref="HY35">IF(HY$11&gt;=0,MAX(INDEX(MMULT(inverseG,HX$12:HX$62),$A35+1,1),MAX(strike-$B35,0)),"")</f>
        <v/>
      </c>
      <c r="HZ35" s="9" t="str">
        <f t="array" ref="HZ35">IF(HZ$11&gt;=0,MAX(INDEX(MMULT(inverseG,HY$12:HY$62),$A35+1,1),MAX(strike-$B35,0)),"")</f>
        <v/>
      </c>
      <c r="IA35" s="9" t="str">
        <f t="array" ref="IA35">IF(IA$11&gt;=0,MAX(INDEX(MMULT(inverseG,HZ$12:HZ$62),$A35+1,1),MAX(strike-$B35,0)),"")</f>
        <v/>
      </c>
      <c r="IB35" s="9" t="str">
        <f t="array" ref="IB35">IF(IB$11&gt;=0,MAX(INDEX(MMULT(inverseG,IA$12:IA$62),$A35+1,1),MAX(strike-$B35,0)),"")</f>
        <v/>
      </c>
      <c r="IC35" s="9" t="str">
        <f t="array" ref="IC35">IF(IC$11&gt;=0,MAX(INDEX(MMULT(inverseG,IB$12:IB$62),$A35+1,1),MAX(strike-$B35,0)),"")</f>
        <v/>
      </c>
      <c r="ID35" s="9" t="str">
        <f t="array" ref="ID35">IF(ID$11&gt;=0,MAX(INDEX(MMULT(inverseG,IC$12:IC$62),$A35+1,1),MAX(strike-$B35,0)),"")</f>
        <v/>
      </c>
      <c r="IE35" s="9" t="str">
        <f t="array" ref="IE35">IF(IE$11&gt;=0,MAX(INDEX(MMULT(inverseG,ID$12:ID$62),$A35+1,1),MAX(strike-$B35,0)),"")</f>
        <v/>
      </c>
      <c r="IF35" s="9" t="str">
        <f t="array" ref="IF35">IF(IF$11&gt;=0,MAX(INDEX(MMULT(inverseG,IE$12:IE$62),$A35+1,1),MAX(strike-$B35,0)),"")</f>
        <v/>
      </c>
      <c r="IG35" s="9" t="str">
        <f t="array" ref="IG35">IF(IG$11&gt;=0,MAX(INDEX(MMULT(inverseG,IF$12:IF$62),$A35+1,1),MAX(strike-$B35,0)),"")</f>
        <v/>
      </c>
      <c r="IH35" s="9" t="str">
        <f t="array" ref="IH35">IF(IH$11&gt;=0,MAX(INDEX(MMULT(inverseG,IG$12:IG$62),$A35+1,1),MAX(strike-$B35,0)),"")</f>
        <v/>
      </c>
      <c r="II35" s="9" t="str">
        <f t="array" ref="II35">IF(II$11&gt;=0,MAX(INDEX(MMULT(inverseG,IH$12:IH$62),$A35+1,1),MAX(strike-$B35,0)),"")</f>
        <v/>
      </c>
      <c r="IJ35" s="9" t="str">
        <f t="array" ref="IJ35">IF(IJ$11&gt;=0,MAX(INDEX(MMULT(inverseG,II$12:II$62),$A35+1,1),MAX(strike-$B35,0)),"")</f>
        <v/>
      </c>
      <c r="IK35" s="9" t="str">
        <f t="array" ref="IK35">IF(IK$11&gt;=0,MAX(INDEX(MMULT(inverseG,IJ$12:IJ$62),$A35+1,1),MAX(strike-$B35,0)),"")</f>
        <v/>
      </c>
      <c r="IL35" s="9" t="str">
        <f t="array" ref="IL35">IF(IL$11&gt;=0,MAX(INDEX(MMULT(inverseG,IK$12:IK$62),$A35+1,1),MAX(strike-$B35,0)),"")</f>
        <v/>
      </c>
      <c r="IM35" s="9" t="str">
        <f t="array" ref="IM35">IF(IM$11&gt;=0,MAX(INDEX(MMULT(inverseG,IL$12:IL$62),$A35+1,1),MAX(strike-$B35,0)),"")</f>
        <v/>
      </c>
      <c r="IN35" s="9" t="str">
        <f t="array" ref="IN35">IF(IN$11&gt;=0,MAX(INDEX(MMULT(inverseG,IM$12:IM$62),$A35+1,1),MAX(strike-$B35,0)),"")</f>
        <v/>
      </c>
      <c r="IO35" s="9" t="str">
        <f t="array" ref="IO35">IF(IO$11&gt;=0,MAX(INDEX(MMULT(inverseG,IN$12:IN$62),$A35+1,1),MAX(strike-$B35,0)),"")</f>
        <v/>
      </c>
      <c r="IP35" s="9" t="str">
        <f t="array" ref="IP35">IF(IP$11&gt;=0,MAX(INDEX(MMULT(inverseG,IO$12:IO$62),$A35+1,1),MAX(strike-$B35,0)),"")</f>
        <v/>
      </c>
      <c r="IQ35" s="9" t="str">
        <f t="array" ref="IQ35">IF(IQ$11&gt;=0,MAX(INDEX(MMULT(inverseG,IP$12:IP$62),$A35+1,1),MAX(strike-$B35,0)),"")</f>
        <v/>
      </c>
      <c r="IR35" s="9" t="str">
        <f t="array" ref="IR35">IF(IR$11&gt;=0,MAX(INDEX(MMULT(inverseG,IQ$12:IQ$62),$A35+1,1),MAX(strike-$B35,0)),"")</f>
        <v/>
      </c>
      <c r="IS35" s="9" t="str">
        <f t="array" ref="IS35">IF(IS$11&gt;=0,MAX(INDEX(MMULT(inverseG,IR$12:IR$62),$A35+1,1),MAX(strike-$B35,0)),"")</f>
        <v/>
      </c>
      <c r="IT35" s="9" t="str">
        <f t="array" ref="IT35">IF(IT$11&gt;=0,MAX(INDEX(MMULT(inverseG,IS$12:IS$62),$A35+1,1),MAX(strike-$B35,0)),"")</f>
        <v/>
      </c>
      <c r="IU35" s="9" t="str">
        <f t="array" ref="IU35">IF(IU$11&gt;=0,MAX(INDEX(MMULT(inverseG,IT$12:IT$62),$A35+1,1),MAX(strike-$B35,0)),"")</f>
        <v/>
      </c>
      <c r="IV35" s="9" t="str">
        <f t="array" ref="IV35">IF(IV$11&gt;=0,MAX(INDEX(MMULT(inverseG,IU$12:IU$62),$A35+1,1),MAX(strike-$B35,0)),"")</f>
        <v/>
      </c>
    </row>
    <row r="36" spans="1:256" x14ac:dyDescent="0.2">
      <c r="A36" s="8">
        <f t="shared" si="7"/>
        <v>24</v>
      </c>
      <c r="B36" s="6">
        <f t="shared" si="4"/>
        <v>6</v>
      </c>
      <c r="C36" s="30">
        <f t="shared" ca="1" si="6"/>
        <v>0.40852152726578961</v>
      </c>
      <c r="D36" s="9">
        <f t="shared" si="5"/>
        <v>0</v>
      </c>
      <c r="E36" s="9">
        <f t="array" ref="E36">IF(E$11&gt;=0,MAX(INDEX(MMULT(inverseG,D$12:D$62),$A36+1,1),MAX(strike-$B36,0)),"")</f>
        <v>9.2531938221051429E-4</v>
      </c>
      <c r="F36" s="9">
        <f t="array" ref="F36">IF(F$11&gt;=0,MAX(INDEX(MMULT(inverseG,E$12:E$62),$A36+1,1),MAX(strike-$B36,0)),"")</f>
        <v>3.3267297563575248E-3</v>
      </c>
      <c r="G36" s="9">
        <f t="array" ref="G36">IF(G$11&gt;=0,MAX(INDEX(MMULT(inverseG,F$12:F$62),$A36+1,1),MAX(strike-$B36,0)),"")</f>
        <v>7.2459356559684031E-3</v>
      </c>
      <c r="H36" s="9">
        <f t="array" ref="H36">IF(H$11&gt;=0,MAX(INDEX(MMULT(inverseG,G$12:G$62),$A36+1,1),MAX(strike-$B36,0)),"")</f>
        <v>1.2449674371089542E-2</v>
      </c>
      <c r="I36" s="9">
        <f t="array" ref="I36">IF(I$11&gt;=0,MAX(INDEX(MMULT(inverseG,H$12:H$62),$A36+1,1),MAX(strike-$B36,0)),"")</f>
        <v>1.8627032094894184E-2</v>
      </c>
      <c r="J36" s="9">
        <f t="array" ref="J36">IF(J$11&gt;=0,MAX(INDEX(MMULT(inverseG,I$12:I$62),$A36+1,1),MAX(strike-$B36,0)),"")</f>
        <v>2.5488432753759095E-2</v>
      </c>
      <c r="K36" s="9">
        <f t="array" ref="K36">IF(K$11&gt;=0,MAX(INDEX(MMULT(inverseG,J$12:J$62),$A36+1,1),MAX(strike-$B36,0)),"")</f>
        <v>3.2798808051573182E-2</v>
      </c>
      <c r="L36" s="9">
        <f t="array" ref="L36">IF(L$11&gt;=0,MAX(INDEX(MMULT(inverseG,K$12:K$62),$A36+1,1),MAX(strike-$B36,0)),"")</f>
        <v>4.0379885071980225E-2</v>
      </c>
      <c r="M36" s="9">
        <f t="array" ref="M36">IF(M$11&gt;=0,MAX(INDEX(MMULT(inverseG,L$12:L$62),$A36+1,1),MAX(strike-$B36,0)),"")</f>
        <v>4.8101504377129942E-2</v>
      </c>
      <c r="N36" s="9">
        <f t="array" ref="N36">IF(N$11&gt;=0,MAX(INDEX(MMULT(inverseG,M$12:M$62),$A36+1,1),MAX(strike-$B36,0)),"")</f>
        <v>5.5870842429013808E-2</v>
      </c>
      <c r="O36" s="9">
        <f t="array" ref="O36">IF(O$11&gt;=0,MAX(INDEX(MMULT(inverseG,N$12:N$62),$A36+1,1),MAX(strike-$B36,0)),"")</f>
        <v>6.3622779936077831E-2</v>
      </c>
      <c r="P36" s="9">
        <f t="array" ref="P36">IF(P$11&gt;=0,MAX(INDEX(MMULT(inverseG,O$12:O$62),$A36+1,1),MAX(strike-$B36,0)),"")</f>
        <v>7.1312242388900243E-2</v>
      </c>
      <c r="Q36" s="9">
        <f t="array" ref="Q36">IF(Q$11&gt;=0,MAX(INDEX(MMULT(inverseG,P$12:P$62),$A36+1,1),MAX(strike-$B36,0)),"")</f>
        <v>7.8908440448941852E-2</v>
      </c>
      <c r="R36" s="9">
        <f t="array" ref="R36">IF(R$11&gt;=0,MAX(INDEX(MMULT(inverseG,Q$12:Q$62),$A36+1,1),MAX(strike-$B36,0)),"")</f>
        <v>8.6390671729319857E-2</v>
      </c>
      <c r="S36" s="9">
        <f t="array" ref="S36">IF(S$11&gt;=0,MAX(INDEX(MMULT(inverseG,R$12:R$62),$A36+1,1),MAX(strike-$B36,0)),"")</f>
        <v>9.374531841637522E-2</v>
      </c>
      <c r="T36" s="9">
        <f t="array" ref="T36">IF(T$11&gt;=0,MAX(INDEX(MMULT(inverseG,S$12:S$62),$A36+1,1),MAX(strike-$B36,0)),"")</f>
        <v>0.10096373308135703</v>
      </c>
      <c r="U36" s="9">
        <f t="array" ref="U36">IF(U$11&gt;=0,MAX(INDEX(MMULT(inverseG,T$12:T$62),$A36+1,1),MAX(strike-$B36,0)),"")</f>
        <v>0.10804079704688878</v>
      </c>
      <c r="V36" s="9">
        <f t="array" ref="V36">IF(V$11&gt;=0,MAX(INDEX(MMULT(inverseG,U$12:U$62),$A36+1,1),MAX(strike-$B36,0)),"")</f>
        <v>0.11497395570503438</v>
      </c>
      <c r="W36" s="9">
        <f t="array" ref="W36">IF(W$11&gt;=0,MAX(INDEX(MMULT(inverseG,V$12:V$62),$A36+1,1),MAX(strike-$B36,0)),"")</f>
        <v>0.12176256123000727</v>
      </c>
      <c r="X36" s="9">
        <f t="array" ref="X36">IF(X$11&gt;=0,MAX(INDEX(MMULT(inverseG,W$12:W$62),$A36+1,1),MAX(strike-$B36,0)),"")</f>
        <v>0.1284073999791657</v>
      </c>
      <c r="Y36" s="9">
        <f t="array" ref="Y36">IF(Y$11&gt;=0,MAX(INDEX(MMULT(inverseG,X$12:X$62),$A36+1,1),MAX(strike-$B36,0)),"")</f>
        <v>0.13491033025314605</v>
      </c>
      <c r="Z36" s="9">
        <f t="array" ref="Z36">IF(Z$11&gt;=0,MAX(INDEX(MMULT(inverseG,Y$12:Y$62),$A36+1,1),MAX(strike-$B36,0)),"")</f>
        <v>0.14127399179047562</v>
      </c>
      <c r="AA36" s="9">
        <f t="array" ref="AA36">IF(AA$11&gt;=0,MAX(INDEX(MMULT(inverseG,Z$12:Z$62),$A36+1,1),MAX(strike-$B36,0)),"")</f>
        <v>0.14750156904540587</v>
      </c>
      <c r="AB36" s="9">
        <f t="array" ref="AB36">IF(AB$11&gt;=0,MAX(INDEX(MMULT(inverseG,AA$12:AA$62),$A36+1,1),MAX(strike-$B36,0)),"")</f>
        <v>0.15359659980190382</v>
      </c>
      <c r="AC36" s="9">
        <f t="array" ref="AC36">IF(AC$11&gt;=0,MAX(INDEX(MMULT(inverseG,AB$12:AB$62),$A36+1,1),MAX(strike-$B36,0)),"")</f>
        <v>0.15956282386331211</v>
      </c>
      <c r="AD36" s="9">
        <f t="array" ref="AD36">IF(AD$11&gt;=0,MAX(INDEX(MMULT(inverseG,AC$12:AC$62),$A36+1,1),MAX(strike-$B36,0)),"")</f>
        <v>0.16540406700597818</v>
      </c>
      <c r="AE36" s="9">
        <f t="array" ref="AE36">IF(AE$11&gt;=0,MAX(INDEX(MMULT(inverseG,AD$12:AD$62),$A36+1,1),MAX(strike-$B36,0)),"")</f>
        <v>0.17112415510113063</v>
      </c>
      <c r="AF36" s="9">
        <f t="array" ref="AF36">IF(AF$11&gt;=0,MAX(INDEX(MMULT(inverseG,AE$12:AE$62),$A36+1,1),MAX(strike-$B36,0)),"")</f>
        <v>0.17672685315423389</v>
      </c>
      <c r="AG36" s="9">
        <f t="array" ref="AG36">IF(AG$11&gt;=0,MAX(INDEX(MMULT(inverseG,AF$12:AF$62),$A36+1,1),MAX(strike-$B36,0)),"")</f>
        <v>0.1822158242092986</v>
      </c>
      <c r="AH36" s="9">
        <f t="array" ref="AH36">IF(AH$11&gt;=0,MAX(INDEX(MMULT(inverseG,AG$12:AG$62),$A36+1,1),MAX(strike-$B36,0)),"")</f>
        <v>0.18759460356340052</v>
      </c>
      <c r="AI36" s="9">
        <f t="array" ref="AI36">IF(AI$11&gt;=0,MAX(INDEX(MMULT(inverseG,AH$12:AH$62),$A36+1,1),MAX(strike-$B36,0)),"")</f>
        <v>0.19286658440189364</v>
      </c>
      <c r="AJ36" s="9">
        <f t="array" ref="AJ36">IF(AJ$11&gt;=0,MAX(INDEX(MMULT(inverseG,AI$12:AI$62),$A36+1,1),MAX(strike-$B36,0)),"")</f>
        <v>0.19803501167604115</v>
      </c>
      <c r="AK36" s="9">
        <f t="array" ref="AK36">IF(AK$11&gt;=0,MAX(INDEX(MMULT(inverseG,AJ$12:AJ$62),$A36+1,1),MAX(strike-$B36,0)),"")</f>
        <v>0.20310298171883562</v>
      </c>
      <c r="AL36" s="9">
        <f t="array" ref="AL36">IF(AL$11&gt;=0,MAX(INDEX(MMULT(inverseG,AK$12:AK$62),$A36+1,1),MAX(strike-$B36,0)),"")</f>
        <v>0.20807344568633671</v>
      </c>
      <c r="AM36" s="9">
        <f t="array" ref="AM36">IF(AM$11&gt;=0,MAX(INDEX(MMULT(inverseG,AL$12:AL$62),$A36+1,1),MAX(strike-$B36,0)),"")</f>
        <v>0.21294921540392081</v>
      </c>
      <c r="AN36" s="9">
        <f t="array" ref="AN36">IF(AN$11&gt;=0,MAX(INDEX(MMULT(inverseG,AM$12:AM$62),$A36+1,1),MAX(strike-$B36,0)),"")</f>
        <v>0.2177329705901157</v>
      </c>
      <c r="AO36" s="9">
        <f t="array" ref="AO36">IF(AO$11&gt;=0,MAX(INDEX(MMULT(inverseG,AN$12:AN$62),$A36+1,1),MAX(strike-$B36,0)),"")</f>
        <v>0.22242727011601562</v>
      </c>
      <c r="AP36" s="9">
        <f t="array" ref="AP36">IF(AP$11&gt;=0,MAX(INDEX(MMULT(inverseG,AO$12:AO$62),$A36+1,1),MAX(strike-$B36,0)),"")</f>
        <v>0.22703456874919897</v>
      </c>
      <c r="AQ36" s="9">
        <f t="array" ref="AQ36">IF(AQ$11&gt;=0,MAX(INDEX(MMULT(inverseG,AP$12:AP$62),$A36+1,1),MAX(strike-$B36,0)),"")</f>
        <v>0.2315572373004659</v>
      </c>
      <c r="AR36" s="9">
        <f t="array" ref="AR36">IF(AR$11&gt;=0,MAX(INDEX(MMULT(inverseG,AQ$12:AQ$62),$A36+1,1),MAX(strike-$B36,0)),"")</f>
        <v>0.23599758216160238</v>
      </c>
      <c r="AS36" s="9">
        <f t="array" ref="AS36">IF(AS$11&gt;=0,MAX(INDEX(MMULT(inverseG,AR$12:AR$62),$A36+1,1),MAX(strike-$B36,0)),"")</f>
        <v>0.24035786067539475</v>
      </c>
      <c r="AT36" s="9">
        <f t="array" ref="AT36">IF(AT$11&gt;=0,MAX(INDEX(MMULT(inverseG,AS$12:AS$62),$A36+1,1),MAX(strike-$B36,0)),"")</f>
        <v>0.2446402905081129</v>
      </c>
      <c r="AU36" s="9">
        <f t="array" ref="AU36">IF(AU$11&gt;=0,MAX(INDEX(MMULT(inverseG,AT$12:AT$62),$A36+1,1),MAX(strike-$B36,0)),"")</f>
        <v>0.24884705297673079</v>
      </c>
      <c r="AV36" s="9">
        <f t="array" ref="AV36">IF(AV$11&gt;=0,MAX(INDEX(MMULT(inverseG,AU$12:AU$62),$A36+1,1),MAX(strike-$B36,0)),"")</f>
        <v>0.25298029147830875</v>
      </c>
      <c r="AW36" s="9">
        <f t="array" ref="AW36">IF(AW$11&gt;=0,MAX(INDEX(MMULT(inverseG,AV$12:AV$62),$A36+1,1),MAX(strike-$B36,0)),"")</f>
        <v>0.25704210667301475</v>
      </c>
      <c r="AX36" s="9">
        <f t="array" ref="AX36">IF(AX$11&gt;=0,MAX(INDEX(MMULT(inverseG,AW$12:AW$62),$A36+1,1),MAX(strike-$B36,0)),"")</f>
        <v>0.26103455005534293</v>
      </c>
      <c r="AY36" s="9">
        <f t="array" ref="AY36">IF(AY$11&gt;=0,MAX(INDEX(MMULT(inverseG,AX$12:AX$62),$A36+1,1),MAX(strike-$B36,0)),"")</f>
        <v>0.26495961724323192</v>
      </c>
      <c r="AZ36" s="9">
        <f t="array" ref="AZ36">IF(AZ$11&gt;=0,MAX(INDEX(MMULT(inverseG,AY$12:AY$62),$A36+1,1),MAX(strike-$B36,0)),"")</f>
        <v>0.26881924191189038</v>
      </c>
      <c r="BA36" s="9">
        <f t="array" ref="BA36">IF(BA$11&gt;=0,MAX(INDEX(MMULT(inverseG,AZ$12:AZ$62),$A36+1,1),MAX(strike-$B36,0)),"")</f>
        <v>0.27261529091626313</v>
      </c>
      <c r="BB36" s="9">
        <f t="array" ref="BB36">IF(BB$11&gt;=0,MAX(INDEX(MMULT(inverseG,BA$12:BA$62),$A36+1,1),MAX(strike-$B36,0)),"")</f>
        <v>0.27634956083885392</v>
      </c>
      <c r="BC36" s="9">
        <f t="array" ref="BC36">IF(BC$11&gt;=0,MAX(INDEX(MMULT(inverseG,BB$12:BB$62),$A36+1,1),MAX(strike-$B36,0)),"")</f>
        <v>0.28002377598213901</v>
      </c>
      <c r="BD36" s="9">
        <f t="array" ref="BD36">IF(BD$11&gt;=0,MAX(INDEX(MMULT(inverseG,BC$12:BC$62),$A36+1,1),MAX(strike-$B36,0)),"")</f>
        <v>0.28363958768863218</v>
      </c>
      <c r="BE36" s="9">
        <f t="array" ref="BE36">IF(BE$11&gt;=0,MAX(INDEX(MMULT(inverseG,BD$12:BD$62),$A36+1,1),MAX(strike-$B36,0)),"")</f>
        <v>0.28719857479940275</v>
      </c>
      <c r="BF36" s="9">
        <f t="array" ref="BF36">IF(BF$11&gt;=0,MAX(INDEX(MMULT(inverseG,BE$12:BE$62),$A36+1,1),MAX(strike-$B36,0)),"")</f>
        <v>0.2907022450348391</v>
      </c>
      <c r="BG36" s="9">
        <f t="array" ref="BG36">IF(BG$11&gt;=0,MAX(INDEX(MMULT(inverseG,BF$12:BF$62),$A36+1,1),MAX(strike-$B36,0)),"")</f>
        <v>0.29415203708358473</v>
      </c>
      <c r="BH36" s="9">
        <f t="array" ref="BH36">IF(BH$11&gt;=0,MAX(INDEX(MMULT(inverseG,BG$12:BG$62),$A36+1,1),MAX(strike-$B36,0)),"")</f>
        <v>0.29754932320446109</v>
      </c>
      <c r="BI36" s="9">
        <f t="array" ref="BI36">IF(BI$11&gt;=0,MAX(INDEX(MMULT(inverseG,BH$12:BH$62),$A36+1,1),MAX(strike-$B36,0)),"")</f>
        <v>0.3008954121731055</v>
      </c>
      <c r="BJ36" s="9">
        <f t="array" ref="BJ36">IF(BJ$11&gt;=0,MAX(INDEX(MMULT(inverseG,BI$12:BI$62),$A36+1,1),MAX(strike-$B36,0)),"")</f>
        <v>0.30419155243432866</v>
      </c>
      <c r="BK36" s="9">
        <f t="array" ref="BK36">IF(BK$11&gt;=0,MAX(INDEX(MMULT(inverseG,BJ$12:BJ$62),$A36+1,1),MAX(strike-$B36,0)),"")</f>
        <v>0.30743893534942135</v>
      </c>
      <c r="BL36" s="9">
        <f t="array" ref="BL36">IF(BL$11&gt;=0,MAX(INDEX(MMULT(inverseG,BK$12:BK$62),$A36+1,1),MAX(strike-$B36,0)),"")</f>
        <v>0.31063869845300829</v>
      </c>
      <c r="BM36" s="9">
        <f t="array" ref="BM36">IF(BM$11&gt;=0,MAX(INDEX(MMULT(inverseG,BL$12:BL$62),$A36+1,1),MAX(strike-$B36,0)),"")</f>
        <v>0.31379192865580602</v>
      </c>
      <c r="BN36" s="9">
        <f t="array" ref="BN36">IF(BN$11&gt;=0,MAX(INDEX(MMULT(inverseG,BM$12:BM$62),$A36+1,1),MAX(strike-$B36,0)),"")</f>
        <v>0.31689966534765229</v>
      </c>
      <c r="BO36" s="9">
        <f t="array" ref="BO36">IF(BO$11&gt;=0,MAX(INDEX(MMULT(inverseG,BN$12:BN$62),$A36+1,1),MAX(strike-$B36,0)),"")</f>
        <v>0.31996290336966937</v>
      </c>
      <c r="BP36" s="9">
        <f t="array" ref="BP36">IF(BP$11&gt;=0,MAX(INDEX(MMULT(inverseG,BO$12:BO$62),$A36+1,1),MAX(strike-$B36,0)),"")</f>
        <v>0.32298259583582378</v>
      </c>
      <c r="BQ36" s="9">
        <f t="array" ref="BQ36">IF(BQ$11&gt;=0,MAX(INDEX(MMULT(inverseG,BP$12:BP$62),$A36+1,1),MAX(strike-$B36,0)),"")</f>
        <v>0.32595965679288696</v>
      </c>
      <c r="BR36" s="9">
        <f t="array" ref="BR36">IF(BR$11&gt;=0,MAX(INDEX(MMULT(inverseG,BQ$12:BQ$62),$A36+1,1),MAX(strike-$B36,0)),"")</f>
        <v>0.32889496371437826</v>
      </c>
      <c r="BS36" s="9">
        <f t="array" ref="BS36">IF(BS$11&gt;=0,MAX(INDEX(MMULT(inverseG,BR$12:BR$62),$A36+1,1),MAX(strike-$B36,0)),"")</f>
        <v>0.33178935982888669</v>
      </c>
      <c r="BT36" s="9">
        <f t="array" ref="BT36">IF(BT$11&gt;=0,MAX(INDEX(MMULT(inverseG,BS$12:BS$62),$A36+1,1),MAX(strike-$B36,0)),"")</f>
        <v>0.33464365628658832</v>
      </c>
      <c r="BU36" s="9">
        <f t="array" ref="BU36">IF(BU$11&gt;=0,MAX(INDEX(MMULT(inverseG,BT$12:BT$62),$A36+1,1),MAX(strike-$B36,0)),"")</f>
        <v>0.33745863417011895</v>
      </c>
      <c r="BV36" s="9">
        <f t="array" ref="BV36">IF(BV$11&gt;=0,MAX(INDEX(MMULT(inverseG,BU$12:BU$62),$A36+1,1),MAX(strike-$B36,0)),"")</f>
        <v>0.3402350463574797</v>
      </c>
      <c r="BW36" s="9">
        <f t="array" ref="BW36">IF(BW$11&gt;=0,MAX(INDEX(MMULT(inverseG,BV$12:BV$62),$A36+1,1),MAX(strike-$B36,0)),"")</f>
        <v>0.34297361924553721</v>
      </c>
      <c r="BX36" s="9">
        <f t="array" ref="BX36">IF(BX$11&gt;=0,MAX(INDEX(MMULT(inverseG,BW$12:BW$62),$A36+1,1),MAX(strike-$B36,0)),"")</f>
        <v>0.34567505434311641</v>
      </c>
      <c r="BY36" s="9">
        <f t="array" ref="BY36">IF(BY$11&gt;=0,MAX(INDEX(MMULT(inverseG,BX$12:BX$62),$A36+1,1),MAX(strike-$B36,0)),"")</f>
        <v>0.34834002974277295</v>
      </c>
      <c r="BZ36" s="9">
        <f t="array" ref="BZ36">IF(BZ$11&gt;=0,MAX(INDEX(MMULT(inverseG,BY$12:BY$62),$A36+1,1),MAX(strike-$B36,0)),"")</f>
        <v>0.35096920148019223</v>
      </c>
      <c r="CA36" s="9">
        <f t="array" ref="CA36">IF(CA$11&gt;=0,MAX(INDEX(MMULT(inverseG,BZ$12:BZ$62),$A36+1,1),MAX(strike-$B36,0)),"")</f>
        <v>0.35356320478985637</v>
      </c>
      <c r="CB36" s="9">
        <f t="array" ref="CB36">IF(CB$11&gt;=0,MAX(INDEX(MMULT(inverseG,CA$12:CA$62),$A36+1,1),MAX(strike-$B36,0)),"")</f>
        <v>0.35612265526521059</v>
      </c>
      <c r="CC36" s="9">
        <f t="array" ref="CC36">IF(CC$11&gt;=0,MAX(INDEX(MMULT(inverseG,CB$12:CB$62),$A36+1,1),MAX(strike-$B36,0)),"")</f>
        <v>0.35864814993108496</v>
      </c>
      <c r="CD36" s="9">
        <f t="array" ref="CD36">IF(CD$11&gt;=0,MAX(INDEX(MMULT(inverseG,CC$12:CC$62),$A36+1,1),MAX(strike-$B36,0)),"")</f>
        <v>0.3611402682356204</v>
      </c>
      <c r="CE36" s="9">
        <f t="array" ref="CE36">IF(CE$11&gt;=0,MAX(INDEX(MMULT(inverseG,CD$12:CD$62),$A36+1,1),MAX(strike-$B36,0)),"")</f>
        <v>0.36359957296843054</v>
      </c>
      <c r="CF36" s="9">
        <f t="array" ref="CF36">IF(CF$11&gt;=0,MAX(INDEX(MMULT(inverseG,CE$12:CE$62),$A36+1,1),MAX(strike-$B36,0)),"")</f>
        <v>0.36602661111121676</v>
      </c>
      <c r="CG36" s="9">
        <f t="array" ref="CG36">IF(CG$11&gt;=0,MAX(INDEX(MMULT(inverseG,CF$12:CF$62),$A36+1,1),MAX(strike-$B36,0)),"")</f>
        <v>0.36842191462655577</v>
      </c>
      <c r="CH36" s="9">
        <f t="array" ref="CH36">IF(CH$11&gt;=0,MAX(INDEX(MMULT(inverseG,CG$12:CG$62),$A36+1,1),MAX(strike-$B36,0)),"")</f>
        <v>0.37078600119010879</v>
      </c>
      <c r="CI36" s="9">
        <f t="array" ref="CI36">IF(CI$11&gt;=0,MAX(INDEX(MMULT(inverseG,CH$12:CH$62),$A36+1,1),MAX(strike-$B36,0)),"")</f>
        <v>0.37311937487104596</v>
      </c>
      <c r="CJ36" s="9">
        <f t="array" ref="CJ36">IF(CJ$11&gt;=0,MAX(INDEX(MMULT(inverseG,CI$12:CI$62),$A36+1,1),MAX(strike-$B36,0)),"")</f>
        <v>0.37542252676507304</v>
      </c>
      <c r="CK36" s="9">
        <f t="array" ref="CK36">IF(CK$11&gt;=0,MAX(INDEX(MMULT(inverseG,CJ$12:CJ$62),$A36+1,1),MAX(strike-$B36,0)),"")</f>
        <v>0.37769593558404735</v>
      </c>
      <c r="CL36" s="9">
        <f t="array" ref="CL36">IF(CL$11&gt;=0,MAX(INDEX(MMULT(inverseG,CK$12:CK$62),$A36+1,1),MAX(strike-$B36,0)),"")</f>
        <v>0.37994006820582277</v>
      </c>
      <c r="CM36" s="9">
        <f t="array" ref="CM36">IF(CM$11&gt;=0,MAX(INDEX(MMULT(inverseG,CL$12:CL$62),$A36+1,1),MAX(strike-$B36,0)),"")</f>
        <v>0.38215538018763062</v>
      </c>
      <c r="CN36" s="9">
        <f t="array" ref="CN36">IF(CN$11&gt;=0,MAX(INDEX(MMULT(inverseG,CM$12:CM$62),$A36+1,1),MAX(strike-$B36,0)),"")</f>
        <v>0.38434231624600379</v>
      </c>
      <c r="CO36" s="9">
        <f t="array" ref="CO36">IF(CO$11&gt;=0,MAX(INDEX(MMULT(inverseG,CN$12:CN$62),$A36+1,1),MAX(strike-$B36,0)),"")</f>
        <v>0.38650131070597754</v>
      </c>
      <c r="CP36" s="9">
        <f t="array" ref="CP36">IF(CP$11&gt;=0,MAX(INDEX(MMULT(inverseG,CO$12:CO$62),$A36+1,1),MAX(strike-$B36,0)),"")</f>
        <v>0.38863278792205386</v>
      </c>
      <c r="CQ36" s="9">
        <f t="array" ref="CQ36">IF(CQ$11&gt;=0,MAX(INDEX(MMULT(inverseG,CP$12:CP$62),$A36+1,1),MAX(strike-$B36,0)),"")</f>
        <v>0.39073716267318814</v>
      </c>
      <c r="CR36" s="9">
        <f t="array" ref="CR36">IF(CR$11&gt;=0,MAX(INDEX(MMULT(inverseG,CQ$12:CQ$62),$A36+1,1),MAX(strike-$B36,0)),"")</f>
        <v>0.39281484053385063</v>
      </c>
      <c r="CS36" s="9">
        <f t="array" ref="CS36">IF(CS$11&gt;=0,MAX(INDEX(MMULT(inverseG,CR$12:CR$62),$A36+1,1),MAX(strike-$B36,0)),"")</f>
        <v>0.39486621835291941</v>
      </c>
      <c r="CT36" s="9">
        <f t="array" ref="CT36">IF(CT$11&gt;=0,MAX(INDEX(MMULT(inverseG,CS$12:CS$62),$A36+1,1),MAX(strike-$B36,0)),"")</f>
        <v>0.39689168508497313</v>
      </c>
      <c r="CU36" s="9">
        <f t="array" ref="CU36">IF(CU$11&gt;=0,MAX(INDEX(MMULT(inverseG,CT$12:CT$62),$A36+1,1),MAX(strike-$B36,0)),"")</f>
        <v>0.39889162311819576</v>
      </c>
      <c r="CV36" s="9">
        <f t="array" ref="CV36">IF(CV$11&gt;=0,MAX(INDEX(MMULT(inverseG,CU$12:CU$62),$A36+1,1),MAX(strike-$B36,0)),"")</f>
        <v>0.40086641001513423</v>
      </c>
      <c r="CW36" s="9">
        <f t="array" ref="CW36">IF(CW$11&gt;=0,MAX(INDEX(MMULT(inverseG,CV$12:CV$62),$A36+1,1),MAX(strike-$B36,0)),"")</f>
        <v>0.40281642039845283</v>
      </c>
      <c r="CX36" s="9">
        <f t="array" ref="CX36">IF(CX$11&gt;=0,MAX(INDEX(MMULT(inverseG,CW$12:CW$62),$A36+1,1),MAX(strike-$B36,0)),"")</f>
        <v>0.40474202765937334</v>
      </c>
      <c r="CY36" s="9">
        <f t="array" ref="CY36">IF(CY$11&gt;=0,MAX(INDEX(MMULT(inverseG,CX$12:CX$62),$A36+1,1),MAX(strike-$B36,0)),"")</f>
        <v>0.40664360522817178</v>
      </c>
      <c r="CZ36" s="9">
        <f t="array" ref="CZ36">IF(CZ$11&gt;=0,MAX(INDEX(MMULT(inverseG,CY$12:CY$62),$A36+1,1),MAX(strike-$B36,0)),"")</f>
        <v>0.40852152726578961</v>
      </c>
      <c r="DA36" s="9" t="str">
        <f t="array" ref="DA36">IF(DA$11&gt;=0,MAX(INDEX(MMULT(inverseG,CZ$12:CZ$62),$A36+1,1),MAX(strike-$B36,0)),"")</f>
        <v/>
      </c>
      <c r="DB36" s="9" t="str">
        <f t="array" ref="DB36">IF(DB$11&gt;=0,MAX(INDEX(MMULT(inverseG,DA$12:DA$62),$A36+1,1),MAX(strike-$B36,0)),"")</f>
        <v/>
      </c>
      <c r="DC36" s="9" t="str">
        <f t="array" ref="DC36">IF(DC$11&gt;=0,MAX(INDEX(MMULT(inverseG,DB$12:DB$62),$A36+1,1),MAX(strike-$B36,0)),"")</f>
        <v/>
      </c>
      <c r="DD36" s="9" t="str">
        <f t="array" ref="DD36">IF(DD$11&gt;=0,MAX(INDEX(MMULT(inverseG,DC$12:DC$62),$A36+1,1),MAX(strike-$B36,0)),"")</f>
        <v/>
      </c>
      <c r="DE36" s="9" t="str">
        <f t="array" ref="DE36">IF(DE$11&gt;=0,MAX(INDEX(MMULT(inverseG,DD$12:DD$62),$A36+1,1),MAX(strike-$B36,0)),"")</f>
        <v/>
      </c>
      <c r="DF36" s="9" t="str">
        <f t="array" ref="DF36">IF(DF$11&gt;=0,MAX(INDEX(MMULT(inverseG,DE$12:DE$62),$A36+1,1),MAX(strike-$B36,0)),"")</f>
        <v/>
      </c>
      <c r="DG36" s="9" t="str">
        <f t="array" ref="DG36">IF(DG$11&gt;=0,MAX(INDEX(MMULT(inverseG,DF$12:DF$62),$A36+1,1),MAX(strike-$B36,0)),"")</f>
        <v/>
      </c>
      <c r="DH36" s="9" t="str">
        <f t="array" ref="DH36">IF(DH$11&gt;=0,MAX(INDEX(MMULT(inverseG,DG$12:DG$62),$A36+1,1),MAX(strike-$B36,0)),"")</f>
        <v/>
      </c>
      <c r="DI36" s="9" t="str">
        <f t="array" ref="DI36">IF(DI$11&gt;=0,MAX(INDEX(MMULT(inverseG,DH$12:DH$62),$A36+1,1),MAX(strike-$B36,0)),"")</f>
        <v/>
      </c>
      <c r="DJ36" s="9" t="str">
        <f t="array" ref="DJ36">IF(DJ$11&gt;=0,MAX(INDEX(MMULT(inverseG,DI$12:DI$62),$A36+1,1),MAX(strike-$B36,0)),"")</f>
        <v/>
      </c>
      <c r="DK36" s="9" t="str">
        <f t="array" ref="DK36">IF(DK$11&gt;=0,MAX(INDEX(MMULT(inverseG,DJ$12:DJ$62),$A36+1,1),MAX(strike-$B36,0)),"")</f>
        <v/>
      </c>
      <c r="DL36" s="9" t="str">
        <f t="array" ref="DL36">IF(DL$11&gt;=0,MAX(INDEX(MMULT(inverseG,DK$12:DK$62),$A36+1,1),MAX(strike-$B36,0)),"")</f>
        <v/>
      </c>
      <c r="DM36" s="9" t="str">
        <f t="array" ref="DM36">IF(DM$11&gt;=0,MAX(INDEX(MMULT(inverseG,DL$12:DL$62),$A36+1,1),MAX(strike-$B36,0)),"")</f>
        <v/>
      </c>
      <c r="DN36" s="9" t="str">
        <f t="array" ref="DN36">IF(DN$11&gt;=0,MAX(INDEX(MMULT(inverseG,DM$12:DM$62),$A36+1,1),MAX(strike-$B36,0)),"")</f>
        <v/>
      </c>
      <c r="DO36" s="9" t="str">
        <f t="array" ref="DO36">IF(DO$11&gt;=0,MAX(INDEX(MMULT(inverseG,DN$12:DN$62),$A36+1,1),MAX(strike-$B36,0)),"")</f>
        <v/>
      </c>
      <c r="DP36" s="9" t="str">
        <f t="array" ref="DP36">IF(DP$11&gt;=0,MAX(INDEX(MMULT(inverseG,DO$12:DO$62),$A36+1,1),MAX(strike-$B36,0)),"")</f>
        <v/>
      </c>
      <c r="DQ36" s="9" t="str">
        <f t="array" ref="DQ36">IF(DQ$11&gt;=0,MAX(INDEX(MMULT(inverseG,DP$12:DP$62),$A36+1,1),MAX(strike-$B36,0)),"")</f>
        <v/>
      </c>
      <c r="DR36" s="9" t="str">
        <f t="array" ref="DR36">IF(DR$11&gt;=0,MAX(INDEX(MMULT(inverseG,DQ$12:DQ$62),$A36+1,1),MAX(strike-$B36,0)),"")</f>
        <v/>
      </c>
      <c r="DS36" s="9" t="str">
        <f t="array" ref="DS36">IF(DS$11&gt;=0,MAX(INDEX(MMULT(inverseG,DR$12:DR$62),$A36+1,1),MAX(strike-$B36,0)),"")</f>
        <v/>
      </c>
      <c r="DT36" s="9" t="str">
        <f t="array" ref="DT36">IF(DT$11&gt;=0,MAX(INDEX(MMULT(inverseG,DS$12:DS$62),$A36+1,1),MAX(strike-$B36,0)),"")</f>
        <v/>
      </c>
      <c r="DU36" s="9" t="str">
        <f t="array" ref="DU36">IF(DU$11&gt;=0,MAX(INDEX(MMULT(inverseG,DT$12:DT$62),$A36+1,1),MAX(strike-$B36,0)),"")</f>
        <v/>
      </c>
      <c r="DV36" s="9" t="str">
        <f t="array" ref="DV36">IF(DV$11&gt;=0,MAX(INDEX(MMULT(inverseG,DU$12:DU$62),$A36+1,1),MAX(strike-$B36,0)),"")</f>
        <v/>
      </c>
      <c r="DW36" s="9" t="str">
        <f t="array" ref="DW36">IF(DW$11&gt;=0,MAX(INDEX(MMULT(inverseG,DV$12:DV$62),$A36+1,1),MAX(strike-$B36,0)),"")</f>
        <v/>
      </c>
      <c r="DX36" s="9" t="str">
        <f t="array" ref="DX36">IF(DX$11&gt;=0,MAX(INDEX(MMULT(inverseG,DW$12:DW$62),$A36+1,1),MAX(strike-$B36,0)),"")</f>
        <v/>
      </c>
      <c r="DY36" s="9" t="str">
        <f t="array" ref="DY36">IF(DY$11&gt;=0,MAX(INDEX(MMULT(inverseG,DX$12:DX$62),$A36+1,1),MAX(strike-$B36,0)),"")</f>
        <v/>
      </c>
      <c r="DZ36" s="9" t="str">
        <f t="array" ref="DZ36">IF(DZ$11&gt;=0,MAX(INDEX(MMULT(inverseG,DY$12:DY$62),$A36+1,1),MAX(strike-$B36,0)),"")</f>
        <v/>
      </c>
      <c r="EA36" s="9" t="str">
        <f t="array" ref="EA36">IF(EA$11&gt;=0,MAX(INDEX(MMULT(inverseG,DZ$12:DZ$62),$A36+1,1),MAX(strike-$B36,0)),"")</f>
        <v/>
      </c>
      <c r="EB36" s="9" t="str">
        <f t="array" ref="EB36">IF(EB$11&gt;=0,MAX(INDEX(MMULT(inverseG,EA$12:EA$62),$A36+1,1),MAX(strike-$B36,0)),"")</f>
        <v/>
      </c>
      <c r="EC36" s="9" t="str">
        <f t="array" ref="EC36">IF(EC$11&gt;=0,MAX(INDEX(MMULT(inverseG,EB$12:EB$62),$A36+1,1),MAX(strike-$B36,0)),"")</f>
        <v/>
      </c>
      <c r="ED36" s="9" t="str">
        <f t="array" ref="ED36">IF(ED$11&gt;=0,MAX(INDEX(MMULT(inverseG,EC$12:EC$62),$A36+1,1),MAX(strike-$B36,0)),"")</f>
        <v/>
      </c>
      <c r="EE36" s="9" t="str">
        <f t="array" ref="EE36">IF(EE$11&gt;=0,MAX(INDEX(MMULT(inverseG,ED$12:ED$62),$A36+1,1),MAX(strike-$B36,0)),"")</f>
        <v/>
      </c>
      <c r="EF36" s="9" t="str">
        <f t="array" ref="EF36">IF(EF$11&gt;=0,MAX(INDEX(MMULT(inverseG,EE$12:EE$62),$A36+1,1),MAX(strike-$B36,0)),"")</f>
        <v/>
      </c>
      <c r="EG36" s="9" t="str">
        <f t="array" ref="EG36">IF(EG$11&gt;=0,MAX(INDEX(MMULT(inverseG,EF$12:EF$62),$A36+1,1),MAX(strike-$B36,0)),"")</f>
        <v/>
      </c>
      <c r="EH36" s="9" t="str">
        <f t="array" ref="EH36">IF(EH$11&gt;=0,MAX(INDEX(MMULT(inverseG,EG$12:EG$62),$A36+1,1),MAX(strike-$B36,0)),"")</f>
        <v/>
      </c>
      <c r="EI36" s="9" t="str">
        <f t="array" ref="EI36">IF(EI$11&gt;=0,MAX(INDEX(MMULT(inverseG,EH$12:EH$62),$A36+1,1),MAX(strike-$B36,0)),"")</f>
        <v/>
      </c>
      <c r="EJ36" s="9" t="str">
        <f t="array" ref="EJ36">IF(EJ$11&gt;=0,MAX(INDEX(MMULT(inverseG,EI$12:EI$62),$A36+1,1),MAX(strike-$B36,0)),"")</f>
        <v/>
      </c>
      <c r="EK36" s="9" t="str">
        <f t="array" ref="EK36">IF(EK$11&gt;=0,MAX(INDEX(MMULT(inverseG,EJ$12:EJ$62),$A36+1,1),MAX(strike-$B36,0)),"")</f>
        <v/>
      </c>
      <c r="EL36" s="9" t="str">
        <f t="array" ref="EL36">IF(EL$11&gt;=0,MAX(INDEX(MMULT(inverseG,EK$12:EK$62),$A36+1,1),MAX(strike-$B36,0)),"")</f>
        <v/>
      </c>
      <c r="EM36" s="9" t="str">
        <f t="array" ref="EM36">IF(EM$11&gt;=0,MAX(INDEX(MMULT(inverseG,EL$12:EL$62),$A36+1,1),MAX(strike-$B36,0)),"")</f>
        <v/>
      </c>
      <c r="EN36" s="9" t="str">
        <f t="array" ref="EN36">IF(EN$11&gt;=0,MAX(INDEX(MMULT(inverseG,EM$12:EM$62),$A36+1,1),MAX(strike-$B36,0)),"")</f>
        <v/>
      </c>
      <c r="EO36" s="9" t="str">
        <f t="array" ref="EO36">IF(EO$11&gt;=0,MAX(INDEX(MMULT(inverseG,EN$12:EN$62),$A36+1,1),MAX(strike-$B36,0)),"")</f>
        <v/>
      </c>
      <c r="EP36" s="9" t="str">
        <f t="array" ref="EP36">IF(EP$11&gt;=0,MAX(INDEX(MMULT(inverseG,EO$12:EO$62),$A36+1,1),MAX(strike-$B36,0)),"")</f>
        <v/>
      </c>
      <c r="EQ36" s="9" t="str">
        <f t="array" ref="EQ36">IF(EQ$11&gt;=0,MAX(INDEX(MMULT(inverseG,EP$12:EP$62),$A36+1,1),MAX(strike-$B36,0)),"")</f>
        <v/>
      </c>
      <c r="ER36" s="9" t="str">
        <f t="array" ref="ER36">IF(ER$11&gt;=0,MAX(INDEX(MMULT(inverseG,EQ$12:EQ$62),$A36+1,1),MAX(strike-$B36,0)),"")</f>
        <v/>
      </c>
      <c r="ES36" s="9" t="str">
        <f t="array" ref="ES36">IF(ES$11&gt;=0,MAX(INDEX(MMULT(inverseG,ER$12:ER$62),$A36+1,1),MAX(strike-$B36,0)),"")</f>
        <v/>
      </c>
      <c r="ET36" s="9" t="str">
        <f t="array" ref="ET36">IF(ET$11&gt;=0,MAX(INDEX(MMULT(inverseG,ES$12:ES$62),$A36+1,1),MAX(strike-$B36,0)),"")</f>
        <v/>
      </c>
      <c r="EU36" s="9" t="str">
        <f t="array" ref="EU36">IF(EU$11&gt;=0,MAX(INDEX(MMULT(inverseG,ET$12:ET$62),$A36+1,1),MAX(strike-$B36,0)),"")</f>
        <v/>
      </c>
      <c r="EV36" s="9" t="str">
        <f t="array" ref="EV36">IF(EV$11&gt;=0,MAX(INDEX(MMULT(inverseG,EU$12:EU$62),$A36+1,1),MAX(strike-$B36,0)),"")</f>
        <v/>
      </c>
      <c r="EW36" s="9" t="str">
        <f t="array" ref="EW36">IF(EW$11&gt;=0,MAX(INDEX(MMULT(inverseG,EV$12:EV$62),$A36+1,1),MAX(strike-$B36,0)),"")</f>
        <v/>
      </c>
      <c r="EX36" s="9" t="str">
        <f t="array" ref="EX36">IF(EX$11&gt;=0,MAX(INDEX(MMULT(inverseG,EW$12:EW$62),$A36+1,1),MAX(strike-$B36,0)),"")</f>
        <v/>
      </c>
      <c r="EY36" s="9" t="str">
        <f t="array" ref="EY36">IF(EY$11&gt;=0,MAX(INDEX(MMULT(inverseG,EX$12:EX$62),$A36+1,1),MAX(strike-$B36,0)),"")</f>
        <v/>
      </c>
      <c r="EZ36" s="9" t="str">
        <f t="array" ref="EZ36">IF(EZ$11&gt;=0,MAX(INDEX(MMULT(inverseG,EY$12:EY$62),$A36+1,1),MAX(strike-$B36,0)),"")</f>
        <v/>
      </c>
      <c r="FA36" s="9" t="str">
        <f t="array" ref="FA36">IF(FA$11&gt;=0,MAX(INDEX(MMULT(inverseG,EZ$12:EZ$62),$A36+1,1),MAX(strike-$B36,0)),"")</f>
        <v/>
      </c>
      <c r="FB36" s="9" t="str">
        <f t="array" ref="FB36">IF(FB$11&gt;=0,MAX(INDEX(MMULT(inverseG,FA$12:FA$62),$A36+1,1),MAX(strike-$B36,0)),"")</f>
        <v/>
      </c>
      <c r="FC36" s="9" t="str">
        <f t="array" ref="FC36">IF(FC$11&gt;=0,MAX(INDEX(MMULT(inverseG,FB$12:FB$62),$A36+1,1),MAX(strike-$B36,0)),"")</f>
        <v/>
      </c>
      <c r="FD36" s="9" t="str">
        <f t="array" ref="FD36">IF(FD$11&gt;=0,MAX(INDEX(MMULT(inverseG,FC$12:FC$62),$A36+1,1),MAX(strike-$B36,0)),"")</f>
        <v/>
      </c>
      <c r="FE36" s="9" t="str">
        <f t="array" ref="FE36">IF(FE$11&gt;=0,MAX(INDEX(MMULT(inverseG,FD$12:FD$62),$A36+1,1),MAX(strike-$B36,0)),"")</f>
        <v/>
      </c>
      <c r="FF36" s="9" t="str">
        <f t="array" ref="FF36">IF(FF$11&gt;=0,MAX(INDEX(MMULT(inverseG,FE$12:FE$62),$A36+1,1),MAX(strike-$B36,0)),"")</f>
        <v/>
      </c>
      <c r="FG36" s="9" t="str">
        <f t="array" ref="FG36">IF(FG$11&gt;=0,MAX(INDEX(MMULT(inverseG,FF$12:FF$62),$A36+1,1),MAX(strike-$B36,0)),"")</f>
        <v/>
      </c>
      <c r="FH36" s="9" t="str">
        <f t="array" ref="FH36">IF(FH$11&gt;=0,MAX(INDEX(MMULT(inverseG,FG$12:FG$62),$A36+1,1),MAX(strike-$B36,0)),"")</f>
        <v/>
      </c>
      <c r="FI36" s="9" t="str">
        <f t="array" ref="FI36">IF(FI$11&gt;=0,MAX(INDEX(MMULT(inverseG,FH$12:FH$62),$A36+1,1),MAX(strike-$B36,0)),"")</f>
        <v/>
      </c>
      <c r="FJ36" s="9" t="str">
        <f t="array" ref="FJ36">IF(FJ$11&gt;=0,MAX(INDEX(MMULT(inverseG,FI$12:FI$62),$A36+1,1),MAX(strike-$B36,0)),"")</f>
        <v/>
      </c>
      <c r="FK36" s="9" t="str">
        <f t="array" ref="FK36">IF(FK$11&gt;=0,MAX(INDEX(MMULT(inverseG,FJ$12:FJ$62),$A36+1,1),MAX(strike-$B36,0)),"")</f>
        <v/>
      </c>
      <c r="FL36" s="9" t="str">
        <f t="array" ref="FL36">IF(FL$11&gt;=0,MAX(INDEX(MMULT(inverseG,FK$12:FK$62),$A36+1,1),MAX(strike-$B36,0)),"")</f>
        <v/>
      </c>
      <c r="FM36" s="9" t="str">
        <f t="array" ref="FM36">IF(FM$11&gt;=0,MAX(INDEX(MMULT(inverseG,FL$12:FL$62),$A36+1,1),MAX(strike-$B36,0)),"")</f>
        <v/>
      </c>
      <c r="FN36" s="9" t="str">
        <f t="array" ref="FN36">IF(FN$11&gt;=0,MAX(INDEX(MMULT(inverseG,FM$12:FM$62),$A36+1,1),MAX(strike-$B36,0)),"")</f>
        <v/>
      </c>
      <c r="FO36" s="9" t="str">
        <f t="array" ref="FO36">IF(FO$11&gt;=0,MAX(INDEX(MMULT(inverseG,FN$12:FN$62),$A36+1,1),MAX(strike-$B36,0)),"")</f>
        <v/>
      </c>
      <c r="FP36" s="9" t="str">
        <f t="array" ref="FP36">IF(FP$11&gt;=0,MAX(INDEX(MMULT(inverseG,FO$12:FO$62),$A36+1,1),MAX(strike-$B36,0)),"")</f>
        <v/>
      </c>
      <c r="FQ36" s="9" t="str">
        <f t="array" ref="FQ36">IF(FQ$11&gt;=0,MAX(INDEX(MMULT(inverseG,FP$12:FP$62),$A36+1,1),MAX(strike-$B36,0)),"")</f>
        <v/>
      </c>
      <c r="FR36" s="9" t="str">
        <f t="array" ref="FR36">IF(FR$11&gt;=0,MAX(INDEX(MMULT(inverseG,FQ$12:FQ$62),$A36+1,1),MAX(strike-$B36,0)),"")</f>
        <v/>
      </c>
      <c r="FS36" s="9" t="str">
        <f t="array" ref="FS36">IF(FS$11&gt;=0,MAX(INDEX(MMULT(inverseG,FR$12:FR$62),$A36+1,1),MAX(strike-$B36,0)),"")</f>
        <v/>
      </c>
      <c r="FT36" s="9" t="str">
        <f t="array" ref="FT36">IF(FT$11&gt;=0,MAX(INDEX(MMULT(inverseG,FS$12:FS$62),$A36+1,1),MAX(strike-$B36,0)),"")</f>
        <v/>
      </c>
      <c r="FU36" s="9" t="str">
        <f t="array" ref="FU36">IF(FU$11&gt;=0,MAX(INDEX(MMULT(inverseG,FT$12:FT$62),$A36+1,1),MAX(strike-$B36,0)),"")</f>
        <v/>
      </c>
      <c r="FV36" s="9" t="str">
        <f t="array" ref="FV36">IF(FV$11&gt;=0,MAX(INDEX(MMULT(inverseG,FU$12:FU$62),$A36+1,1),MAX(strike-$B36,0)),"")</f>
        <v/>
      </c>
      <c r="FW36" s="9" t="str">
        <f t="array" ref="FW36">IF(FW$11&gt;=0,MAX(INDEX(MMULT(inverseG,FV$12:FV$62),$A36+1,1),MAX(strike-$B36,0)),"")</f>
        <v/>
      </c>
      <c r="FX36" s="9" t="str">
        <f t="array" ref="FX36">IF(FX$11&gt;=0,MAX(INDEX(MMULT(inverseG,FW$12:FW$62),$A36+1,1),MAX(strike-$B36,0)),"")</f>
        <v/>
      </c>
      <c r="FY36" s="9" t="str">
        <f t="array" ref="FY36">IF(FY$11&gt;=0,MAX(INDEX(MMULT(inverseG,FX$12:FX$62),$A36+1,1),MAX(strike-$B36,0)),"")</f>
        <v/>
      </c>
      <c r="FZ36" s="9" t="str">
        <f t="array" ref="FZ36">IF(FZ$11&gt;=0,MAX(INDEX(MMULT(inverseG,FY$12:FY$62),$A36+1,1),MAX(strike-$B36,0)),"")</f>
        <v/>
      </c>
      <c r="GA36" s="9" t="str">
        <f t="array" ref="GA36">IF(GA$11&gt;=0,MAX(INDEX(MMULT(inverseG,FZ$12:FZ$62),$A36+1,1),MAX(strike-$B36,0)),"")</f>
        <v/>
      </c>
      <c r="GB36" s="9" t="str">
        <f t="array" ref="GB36">IF(GB$11&gt;=0,MAX(INDEX(MMULT(inverseG,GA$12:GA$62),$A36+1,1),MAX(strike-$B36,0)),"")</f>
        <v/>
      </c>
      <c r="GC36" s="9" t="str">
        <f t="array" ref="GC36">IF(GC$11&gt;=0,MAX(INDEX(MMULT(inverseG,GB$12:GB$62),$A36+1,1),MAX(strike-$B36,0)),"")</f>
        <v/>
      </c>
      <c r="GD36" s="9" t="str">
        <f t="array" ref="GD36">IF(GD$11&gt;=0,MAX(INDEX(MMULT(inverseG,GC$12:GC$62),$A36+1,1),MAX(strike-$B36,0)),"")</f>
        <v/>
      </c>
      <c r="GE36" s="9" t="str">
        <f t="array" ref="GE36">IF(GE$11&gt;=0,MAX(INDEX(MMULT(inverseG,GD$12:GD$62),$A36+1,1),MAX(strike-$B36,0)),"")</f>
        <v/>
      </c>
      <c r="GF36" s="9" t="str">
        <f t="array" ref="GF36">IF(GF$11&gt;=0,MAX(INDEX(MMULT(inverseG,GE$12:GE$62),$A36+1,1),MAX(strike-$B36,0)),"")</f>
        <v/>
      </c>
      <c r="GG36" s="9" t="str">
        <f t="array" ref="GG36">IF(GG$11&gt;=0,MAX(INDEX(MMULT(inverseG,GF$12:GF$62),$A36+1,1),MAX(strike-$B36,0)),"")</f>
        <v/>
      </c>
      <c r="GH36" s="9" t="str">
        <f t="array" ref="GH36">IF(GH$11&gt;=0,MAX(INDEX(MMULT(inverseG,GG$12:GG$62),$A36+1,1),MAX(strike-$B36,0)),"")</f>
        <v/>
      </c>
      <c r="GI36" s="9" t="str">
        <f t="array" ref="GI36">IF(GI$11&gt;=0,MAX(INDEX(MMULT(inverseG,GH$12:GH$62),$A36+1,1),MAX(strike-$B36,0)),"")</f>
        <v/>
      </c>
      <c r="GJ36" s="9" t="str">
        <f t="array" ref="GJ36">IF(GJ$11&gt;=0,MAX(INDEX(MMULT(inverseG,GI$12:GI$62),$A36+1,1),MAX(strike-$B36,0)),"")</f>
        <v/>
      </c>
      <c r="GK36" s="9" t="str">
        <f t="array" ref="GK36">IF(GK$11&gt;=0,MAX(INDEX(MMULT(inverseG,GJ$12:GJ$62),$A36+1,1),MAX(strike-$B36,0)),"")</f>
        <v/>
      </c>
      <c r="GL36" s="9" t="str">
        <f t="array" ref="GL36">IF(GL$11&gt;=0,MAX(INDEX(MMULT(inverseG,GK$12:GK$62),$A36+1,1),MAX(strike-$B36,0)),"")</f>
        <v/>
      </c>
      <c r="GM36" s="9" t="str">
        <f t="array" ref="GM36">IF(GM$11&gt;=0,MAX(INDEX(MMULT(inverseG,GL$12:GL$62),$A36+1,1),MAX(strike-$B36,0)),"")</f>
        <v/>
      </c>
      <c r="GN36" s="9" t="str">
        <f t="array" ref="GN36">IF(GN$11&gt;=0,MAX(INDEX(MMULT(inverseG,GM$12:GM$62),$A36+1,1),MAX(strike-$B36,0)),"")</f>
        <v/>
      </c>
      <c r="GO36" s="9" t="str">
        <f t="array" ref="GO36">IF(GO$11&gt;=0,MAX(INDEX(MMULT(inverseG,GN$12:GN$62),$A36+1,1),MAX(strike-$B36,0)),"")</f>
        <v/>
      </c>
      <c r="GP36" s="9" t="str">
        <f t="array" ref="GP36">IF(GP$11&gt;=0,MAX(INDEX(MMULT(inverseG,GO$12:GO$62),$A36+1,1),MAX(strike-$B36,0)),"")</f>
        <v/>
      </c>
      <c r="GQ36" s="9" t="str">
        <f t="array" ref="GQ36">IF(GQ$11&gt;=0,MAX(INDEX(MMULT(inverseG,GP$12:GP$62),$A36+1,1),MAX(strike-$B36,0)),"")</f>
        <v/>
      </c>
      <c r="GR36" s="9" t="str">
        <f t="array" ref="GR36">IF(GR$11&gt;=0,MAX(INDEX(MMULT(inverseG,GQ$12:GQ$62),$A36+1,1),MAX(strike-$B36,0)),"")</f>
        <v/>
      </c>
      <c r="GS36" s="9" t="str">
        <f t="array" ref="GS36">IF(GS$11&gt;=0,MAX(INDEX(MMULT(inverseG,GR$12:GR$62),$A36+1,1),MAX(strike-$B36,0)),"")</f>
        <v/>
      </c>
      <c r="GT36" s="9" t="str">
        <f t="array" ref="GT36">IF(GT$11&gt;=0,MAX(INDEX(MMULT(inverseG,GS$12:GS$62),$A36+1,1),MAX(strike-$B36,0)),"")</f>
        <v/>
      </c>
      <c r="GU36" s="9" t="str">
        <f t="array" ref="GU36">IF(GU$11&gt;=0,MAX(INDEX(MMULT(inverseG,GT$12:GT$62),$A36+1,1),MAX(strike-$B36,0)),"")</f>
        <v/>
      </c>
      <c r="GV36" s="9" t="str">
        <f t="array" ref="GV36">IF(GV$11&gt;=0,MAX(INDEX(MMULT(inverseG,GU$12:GU$62),$A36+1,1),MAX(strike-$B36,0)),"")</f>
        <v/>
      </c>
      <c r="GW36" s="9" t="str">
        <f t="array" ref="GW36">IF(GW$11&gt;=0,MAX(INDEX(MMULT(inverseG,GV$12:GV$62),$A36+1,1),MAX(strike-$B36,0)),"")</f>
        <v/>
      </c>
      <c r="GX36" s="9" t="str">
        <f t="array" ref="GX36">IF(GX$11&gt;=0,MAX(INDEX(MMULT(inverseG,GW$12:GW$62),$A36+1,1),MAX(strike-$B36,0)),"")</f>
        <v/>
      </c>
      <c r="GY36" s="9" t="str">
        <f t="array" ref="GY36">IF(GY$11&gt;=0,MAX(INDEX(MMULT(inverseG,GX$12:GX$62),$A36+1,1),MAX(strike-$B36,0)),"")</f>
        <v/>
      </c>
      <c r="GZ36" s="9" t="str">
        <f t="array" ref="GZ36">IF(GZ$11&gt;=0,MAX(INDEX(MMULT(inverseG,GY$12:GY$62),$A36+1,1),MAX(strike-$B36,0)),"")</f>
        <v/>
      </c>
      <c r="HA36" s="9" t="str">
        <f t="array" ref="HA36">IF(HA$11&gt;=0,MAX(INDEX(MMULT(inverseG,GZ$12:GZ$62),$A36+1,1),MAX(strike-$B36,0)),"")</f>
        <v/>
      </c>
      <c r="HB36" s="9" t="str">
        <f t="array" ref="HB36">IF(HB$11&gt;=0,MAX(INDEX(MMULT(inverseG,HA$12:HA$62),$A36+1,1),MAX(strike-$B36,0)),"")</f>
        <v/>
      </c>
      <c r="HC36" s="9" t="str">
        <f t="array" ref="HC36">IF(HC$11&gt;=0,MAX(INDEX(MMULT(inverseG,HB$12:HB$62),$A36+1,1),MAX(strike-$B36,0)),"")</f>
        <v/>
      </c>
      <c r="HD36" s="9" t="str">
        <f t="array" ref="HD36">IF(HD$11&gt;=0,MAX(INDEX(MMULT(inverseG,HC$12:HC$62),$A36+1,1),MAX(strike-$B36,0)),"")</f>
        <v/>
      </c>
      <c r="HE36" s="9" t="str">
        <f t="array" ref="HE36">IF(HE$11&gt;=0,MAX(INDEX(MMULT(inverseG,HD$12:HD$62),$A36+1,1),MAX(strike-$B36,0)),"")</f>
        <v/>
      </c>
      <c r="HF36" s="9" t="str">
        <f t="array" ref="HF36">IF(HF$11&gt;=0,MAX(INDEX(MMULT(inverseG,HE$12:HE$62),$A36+1,1),MAX(strike-$B36,0)),"")</f>
        <v/>
      </c>
      <c r="HG36" s="9" t="str">
        <f t="array" ref="HG36">IF(HG$11&gt;=0,MAX(INDEX(MMULT(inverseG,HF$12:HF$62),$A36+1,1),MAX(strike-$B36,0)),"")</f>
        <v/>
      </c>
      <c r="HH36" s="9" t="str">
        <f t="array" ref="HH36">IF(HH$11&gt;=0,MAX(INDEX(MMULT(inverseG,HG$12:HG$62),$A36+1,1),MAX(strike-$B36,0)),"")</f>
        <v/>
      </c>
      <c r="HI36" s="9" t="str">
        <f t="array" ref="HI36">IF(HI$11&gt;=0,MAX(INDEX(MMULT(inverseG,HH$12:HH$62),$A36+1,1),MAX(strike-$B36,0)),"")</f>
        <v/>
      </c>
      <c r="HJ36" s="9" t="str">
        <f t="array" ref="HJ36">IF(HJ$11&gt;=0,MAX(INDEX(MMULT(inverseG,HI$12:HI$62),$A36+1,1),MAX(strike-$B36,0)),"")</f>
        <v/>
      </c>
      <c r="HK36" s="9" t="str">
        <f t="array" ref="HK36">IF(HK$11&gt;=0,MAX(INDEX(MMULT(inverseG,HJ$12:HJ$62),$A36+1,1),MAX(strike-$B36,0)),"")</f>
        <v/>
      </c>
      <c r="HL36" s="9" t="str">
        <f t="array" ref="HL36">IF(HL$11&gt;=0,MAX(INDEX(MMULT(inverseG,HK$12:HK$62),$A36+1,1),MAX(strike-$B36,0)),"")</f>
        <v/>
      </c>
      <c r="HM36" s="9" t="str">
        <f t="array" ref="HM36">IF(HM$11&gt;=0,MAX(INDEX(MMULT(inverseG,HL$12:HL$62),$A36+1,1),MAX(strike-$B36,0)),"")</f>
        <v/>
      </c>
      <c r="HN36" s="9" t="str">
        <f t="array" ref="HN36">IF(HN$11&gt;=0,MAX(INDEX(MMULT(inverseG,HM$12:HM$62),$A36+1,1),MAX(strike-$B36,0)),"")</f>
        <v/>
      </c>
      <c r="HO36" s="9" t="str">
        <f t="array" ref="HO36">IF(HO$11&gt;=0,MAX(INDEX(MMULT(inverseG,HN$12:HN$62),$A36+1,1),MAX(strike-$B36,0)),"")</f>
        <v/>
      </c>
      <c r="HP36" s="9" t="str">
        <f t="array" ref="HP36">IF(HP$11&gt;=0,MAX(INDEX(MMULT(inverseG,HO$12:HO$62),$A36+1,1),MAX(strike-$B36,0)),"")</f>
        <v/>
      </c>
      <c r="HQ36" s="9" t="str">
        <f t="array" ref="HQ36">IF(HQ$11&gt;=0,MAX(INDEX(MMULT(inverseG,HP$12:HP$62),$A36+1,1),MAX(strike-$B36,0)),"")</f>
        <v/>
      </c>
      <c r="HR36" s="9" t="str">
        <f t="array" ref="HR36">IF(HR$11&gt;=0,MAX(INDEX(MMULT(inverseG,HQ$12:HQ$62),$A36+1,1),MAX(strike-$B36,0)),"")</f>
        <v/>
      </c>
      <c r="HS36" s="9" t="str">
        <f t="array" ref="HS36">IF(HS$11&gt;=0,MAX(INDEX(MMULT(inverseG,HR$12:HR$62),$A36+1,1),MAX(strike-$B36,0)),"")</f>
        <v/>
      </c>
      <c r="HT36" s="9" t="str">
        <f t="array" ref="HT36">IF(HT$11&gt;=0,MAX(INDEX(MMULT(inverseG,HS$12:HS$62),$A36+1,1),MAX(strike-$B36,0)),"")</f>
        <v/>
      </c>
      <c r="HU36" s="9" t="str">
        <f t="array" ref="HU36">IF(HU$11&gt;=0,MAX(INDEX(MMULT(inverseG,HT$12:HT$62),$A36+1,1),MAX(strike-$B36,0)),"")</f>
        <v/>
      </c>
      <c r="HV36" s="9" t="str">
        <f t="array" ref="HV36">IF(HV$11&gt;=0,MAX(INDEX(MMULT(inverseG,HU$12:HU$62),$A36+1,1),MAX(strike-$B36,0)),"")</f>
        <v/>
      </c>
      <c r="HW36" s="9" t="str">
        <f t="array" ref="HW36">IF(HW$11&gt;=0,MAX(INDEX(MMULT(inverseG,HV$12:HV$62),$A36+1,1),MAX(strike-$B36,0)),"")</f>
        <v/>
      </c>
      <c r="HX36" s="9" t="str">
        <f t="array" ref="HX36">IF(HX$11&gt;=0,MAX(INDEX(MMULT(inverseG,HW$12:HW$62),$A36+1,1),MAX(strike-$B36,0)),"")</f>
        <v/>
      </c>
      <c r="HY36" s="9" t="str">
        <f t="array" ref="HY36">IF(HY$11&gt;=0,MAX(INDEX(MMULT(inverseG,HX$12:HX$62),$A36+1,1),MAX(strike-$B36,0)),"")</f>
        <v/>
      </c>
      <c r="HZ36" s="9" t="str">
        <f t="array" ref="HZ36">IF(HZ$11&gt;=0,MAX(INDEX(MMULT(inverseG,HY$12:HY$62),$A36+1,1),MAX(strike-$B36,0)),"")</f>
        <v/>
      </c>
      <c r="IA36" s="9" t="str">
        <f t="array" ref="IA36">IF(IA$11&gt;=0,MAX(INDEX(MMULT(inverseG,HZ$12:HZ$62),$A36+1,1),MAX(strike-$B36,0)),"")</f>
        <v/>
      </c>
      <c r="IB36" s="9" t="str">
        <f t="array" ref="IB36">IF(IB$11&gt;=0,MAX(INDEX(MMULT(inverseG,IA$12:IA$62),$A36+1,1),MAX(strike-$B36,0)),"")</f>
        <v/>
      </c>
      <c r="IC36" s="9" t="str">
        <f t="array" ref="IC36">IF(IC$11&gt;=0,MAX(INDEX(MMULT(inverseG,IB$12:IB$62),$A36+1,1),MAX(strike-$B36,0)),"")</f>
        <v/>
      </c>
      <c r="ID36" s="9" t="str">
        <f t="array" ref="ID36">IF(ID$11&gt;=0,MAX(INDEX(MMULT(inverseG,IC$12:IC$62),$A36+1,1),MAX(strike-$B36,0)),"")</f>
        <v/>
      </c>
      <c r="IE36" s="9" t="str">
        <f t="array" ref="IE36">IF(IE$11&gt;=0,MAX(INDEX(MMULT(inverseG,ID$12:ID$62),$A36+1,1),MAX(strike-$B36,0)),"")</f>
        <v/>
      </c>
      <c r="IF36" s="9" t="str">
        <f t="array" ref="IF36">IF(IF$11&gt;=0,MAX(INDEX(MMULT(inverseG,IE$12:IE$62),$A36+1,1),MAX(strike-$B36,0)),"")</f>
        <v/>
      </c>
      <c r="IG36" s="9" t="str">
        <f t="array" ref="IG36">IF(IG$11&gt;=0,MAX(INDEX(MMULT(inverseG,IF$12:IF$62),$A36+1,1),MAX(strike-$B36,0)),"")</f>
        <v/>
      </c>
      <c r="IH36" s="9" t="str">
        <f t="array" ref="IH36">IF(IH$11&gt;=0,MAX(INDEX(MMULT(inverseG,IG$12:IG$62),$A36+1,1),MAX(strike-$B36,0)),"")</f>
        <v/>
      </c>
      <c r="II36" s="9" t="str">
        <f t="array" ref="II36">IF(II$11&gt;=0,MAX(INDEX(MMULT(inverseG,IH$12:IH$62),$A36+1,1),MAX(strike-$B36,0)),"")</f>
        <v/>
      </c>
      <c r="IJ36" s="9" t="str">
        <f t="array" ref="IJ36">IF(IJ$11&gt;=0,MAX(INDEX(MMULT(inverseG,II$12:II$62),$A36+1,1),MAX(strike-$B36,0)),"")</f>
        <v/>
      </c>
      <c r="IK36" s="9" t="str">
        <f t="array" ref="IK36">IF(IK$11&gt;=0,MAX(INDEX(MMULT(inverseG,IJ$12:IJ$62),$A36+1,1),MAX(strike-$B36,0)),"")</f>
        <v/>
      </c>
      <c r="IL36" s="9" t="str">
        <f t="array" ref="IL36">IF(IL$11&gt;=0,MAX(INDEX(MMULT(inverseG,IK$12:IK$62),$A36+1,1),MAX(strike-$B36,0)),"")</f>
        <v/>
      </c>
      <c r="IM36" s="9" t="str">
        <f t="array" ref="IM36">IF(IM$11&gt;=0,MAX(INDEX(MMULT(inverseG,IL$12:IL$62),$A36+1,1),MAX(strike-$B36,0)),"")</f>
        <v/>
      </c>
      <c r="IN36" s="9" t="str">
        <f t="array" ref="IN36">IF(IN$11&gt;=0,MAX(INDEX(MMULT(inverseG,IM$12:IM$62),$A36+1,1),MAX(strike-$B36,0)),"")</f>
        <v/>
      </c>
      <c r="IO36" s="9" t="str">
        <f t="array" ref="IO36">IF(IO$11&gt;=0,MAX(INDEX(MMULT(inverseG,IN$12:IN$62),$A36+1,1),MAX(strike-$B36,0)),"")</f>
        <v/>
      </c>
      <c r="IP36" s="9" t="str">
        <f t="array" ref="IP36">IF(IP$11&gt;=0,MAX(INDEX(MMULT(inverseG,IO$12:IO$62),$A36+1,1),MAX(strike-$B36,0)),"")</f>
        <v/>
      </c>
      <c r="IQ36" s="9" t="str">
        <f t="array" ref="IQ36">IF(IQ$11&gt;=0,MAX(INDEX(MMULT(inverseG,IP$12:IP$62),$A36+1,1),MAX(strike-$B36,0)),"")</f>
        <v/>
      </c>
      <c r="IR36" s="9" t="str">
        <f t="array" ref="IR36">IF(IR$11&gt;=0,MAX(INDEX(MMULT(inverseG,IQ$12:IQ$62),$A36+1,1),MAX(strike-$B36,0)),"")</f>
        <v/>
      </c>
      <c r="IS36" s="9" t="str">
        <f t="array" ref="IS36">IF(IS$11&gt;=0,MAX(INDEX(MMULT(inverseG,IR$12:IR$62),$A36+1,1),MAX(strike-$B36,0)),"")</f>
        <v/>
      </c>
      <c r="IT36" s="9" t="str">
        <f t="array" ref="IT36">IF(IT$11&gt;=0,MAX(INDEX(MMULT(inverseG,IS$12:IS$62),$A36+1,1),MAX(strike-$B36,0)),"")</f>
        <v/>
      </c>
      <c r="IU36" s="9" t="str">
        <f t="array" ref="IU36">IF(IU$11&gt;=0,MAX(INDEX(MMULT(inverseG,IT$12:IT$62),$A36+1,1),MAX(strike-$B36,0)),"")</f>
        <v/>
      </c>
      <c r="IV36" s="9" t="str">
        <f t="array" ref="IV36">IF(IV$11&gt;=0,MAX(INDEX(MMULT(inverseG,IU$12:IU$62),$A36+1,1),MAX(strike-$B36,0)),"")</f>
        <v/>
      </c>
    </row>
    <row r="37" spans="1:256" x14ac:dyDescent="0.2">
      <c r="A37" s="8">
        <f t="shared" si="7"/>
        <v>25</v>
      </c>
      <c r="B37" s="6">
        <f t="shared" si="4"/>
        <v>6.25</v>
      </c>
      <c r="C37" s="30">
        <f t="shared" ca="1" si="6"/>
        <v>0.36248175018157791</v>
      </c>
      <c r="D37" s="9">
        <f t="shared" si="5"/>
        <v>0</v>
      </c>
      <c r="E37" s="9">
        <f t="array" ref="E37">IF(E$11&gt;=0,MAX(INDEX(MMULT(inverseG,D$12:D$62),$A37+1,1),MAX(strike-$B37,0)),"")</f>
        <v>3.4016241165098606E-4</v>
      </c>
      <c r="F37" s="9">
        <f t="array" ref="F37">IF(F$11&gt;=0,MAX(INDEX(MMULT(inverseG,E$12:E$62),$A37+1,1),MAX(strike-$B37,0)),"")</f>
        <v>1.3776354805886072E-3</v>
      </c>
      <c r="G37" s="9">
        <f t="array" ref="G37">IF(G$11&gt;=0,MAX(INDEX(MMULT(inverseG,F$12:F$62),$A37+1,1),MAX(strike-$B37,0)),"")</f>
        <v>3.3017869387597094E-3</v>
      </c>
      <c r="H37" s="9">
        <f t="array" ref="H37">IF(H$11&gt;=0,MAX(INDEX(MMULT(inverseG,G$12:G$62),$A37+1,1),MAX(strike-$B37,0)),"")</f>
        <v>6.132147023067463E-3</v>
      </c>
      <c r="I37" s="9">
        <f t="array" ref="I37">IF(I$11&gt;=0,MAX(INDEX(MMULT(inverseG,H$12:H$62),$A37+1,1),MAX(strike-$B37,0)),"")</f>
        <v>9.7817057579961363E-3</v>
      </c>
      <c r="J37" s="9">
        <f t="array" ref="J37">IF(J$11&gt;=0,MAX(INDEX(MMULT(inverseG,I$12:I$62),$A37+1,1),MAX(strike-$B37,0)),"")</f>
        <v>1.411716471510863E-2</v>
      </c>
      <c r="K37" s="9">
        <f t="array" ref="K37">IF(K$11&gt;=0,MAX(INDEX(MMULT(inverseG,J$12:J$62),$A37+1,1),MAX(strike-$B37,0)),"")</f>
        <v>1.8997505456501314E-2</v>
      </c>
      <c r="L37" s="9">
        <f t="array" ref="L37">IF(L$11&gt;=0,MAX(INDEX(MMULT(inverseG,K$12:K$62),$A37+1,1),MAX(strike-$B37,0)),"")</f>
        <v>2.4293489055869158E-2</v>
      </c>
      <c r="M37" s="9">
        <f t="array" ref="M37">IF(M$11&gt;=0,MAX(INDEX(MMULT(inverseG,L$12:L$62),$A37+1,1),MAX(strike-$B37,0)),"")</f>
        <v>2.9895083905267343E-2</v>
      </c>
      <c r="N37" s="9">
        <f t="array" ref="N37">IF(N$11&gt;=0,MAX(INDEX(MMULT(inverseG,M$12:M$62),$A37+1,1),MAX(strike-$B37,0)),"")</f>
        <v>3.5712487931648898E-2</v>
      </c>
      <c r="O37" s="9">
        <f t="array" ref="O37">IF(O$11&gt;=0,MAX(INDEX(MMULT(inverseG,N$12:N$62),$A37+1,1),MAX(strike-$B37,0)),"")</f>
        <v>4.1674257145124322E-2</v>
      </c>
      <c r="P37" s="9">
        <f t="array" ref="P37">IF(P$11&gt;=0,MAX(INDEX(MMULT(inverseG,O$12:O$62),$A37+1,1),MAX(strike-$B37,0)),"")</f>
        <v>4.7724438486168211E-2</v>
      </c>
      <c r="Q37" s="9">
        <f t="array" ref="Q37">IF(Q$11&gt;=0,MAX(INDEX(MMULT(inverseG,P$12:P$62),$A37+1,1),MAX(strike-$B37,0)),"")</f>
        <v>5.381962833785886E-2</v>
      </c>
      <c r="R37" s="9">
        <f t="array" ref="R37">IF(R$11&gt;=0,MAX(INDEX(MMULT(inverseG,Q$12:Q$62),$A37+1,1),MAX(strike-$B37,0)),"")</f>
        <v>5.9926346854824938E-2</v>
      </c>
      <c r="S37" s="9">
        <f t="array" ref="S37">IF(S$11&gt;=0,MAX(INDEX(MMULT(inverseG,R$12:R$62),$A37+1,1),MAX(strike-$B37,0)),"")</f>
        <v>6.6018850195869241E-2</v>
      </c>
      <c r="T37" s="9">
        <f t="array" ref="T37">IF(T$11&gt;=0,MAX(INDEX(MMULT(inverseG,S$12:S$62),$A37+1,1),MAX(strike-$B37,0)),"")</f>
        <v>7.2077380515180881E-2</v>
      </c>
      <c r="U37" s="9">
        <f t="array" ref="U37">IF(U$11&gt;=0,MAX(INDEX(MMULT(inverseG,T$12:T$62),$A37+1,1),MAX(strike-$B37,0)),"")</f>
        <v>7.8086813085944146E-2</v>
      </c>
      <c r="V37" s="9">
        <f t="array" ref="V37">IF(V$11&gt;=0,MAX(INDEX(MMULT(inverseG,U$12:U$62),$A37+1,1),MAX(strike-$B37,0)),"")</f>
        <v>8.403563496182051E-2</v>
      </c>
      <c r="W37" s="9">
        <f t="array" ref="W37">IF(W$11&gt;=0,MAX(INDEX(MMULT(inverseG,V$12:V$62),$A37+1,1),MAX(strike-$B37,0)),"")</f>
        <v>8.991517849468128E-2</v>
      </c>
      <c r="X37" s="9">
        <f t="array" ref="X37">IF(X$11&gt;=0,MAX(INDEX(MMULT(inverseG,W$12:W$62),$A37+1,1),MAX(strike-$B37,0)),"")</f>
        <v>9.5719038688012417E-2</v>
      </c>
      <c r="Y37" s="9">
        <f t="array" ref="Y37">IF(Y$11&gt;=0,MAX(INDEX(MMULT(inverseG,X$12:X$62),$A37+1,1),MAX(strike-$B37,0)),"")</f>
        <v>0.10144261916027623</v>
      </c>
      <c r="Z37" s="9">
        <f t="array" ref="Z37">IF(Z$11&gt;=0,MAX(INDEX(MMULT(inverseG,Y$12:Y$62),$A37+1,1),MAX(strike-$B37,0)),"")</f>
        <v>0.1070827689247863</v>
      </c>
      <c r="AA37" s="9">
        <f t="array" ref="AA37">IF(AA$11&gt;=0,MAX(INDEX(MMULT(inverseG,Z$12:Z$62),$A37+1,1),MAX(strike-$B37,0)),"")</f>
        <v>0.11263748620585963</v>
      </c>
      <c r="AB37" s="9">
        <f t="array" ref="AB37">IF(AB$11&gt;=0,MAX(INDEX(MMULT(inverseG,AA$12:AA$62),$A37+1,1),MAX(strike-$B37,0)),"")</f>
        <v>0.118105674778807</v>
      </c>
      <c r="AC37" s="9">
        <f t="array" ref="AC37">IF(AC$11&gt;=0,MAX(INDEX(MMULT(inverseG,AB$12:AB$62),$A37+1,1),MAX(strike-$B37,0)),"")</f>
        <v>0.12348694360357078</v>
      </c>
      <c r="AD37" s="9">
        <f t="array" ref="AD37">IF(AD$11&gt;=0,MAX(INDEX(MMULT(inverseG,AC$12:AC$62),$A37+1,1),MAX(strike-$B37,0)),"")</f>
        <v>0.12878144318401594</v>
      </c>
      <c r="AE37" s="9">
        <f t="array" ref="AE37">IF(AE$11&gt;=0,MAX(INDEX(MMULT(inverseG,AD$12:AD$62),$A37+1,1),MAX(strike-$B37,0)),"")</f>
        <v>0.13398973332271463</v>
      </c>
      <c r="AF37" s="9">
        <f t="array" ref="AF37">IF(AF$11&gt;=0,MAX(INDEX(MMULT(inverseG,AE$12:AE$62),$A37+1,1),MAX(strike-$B37,0)),"")</f>
        <v>0.13911267754945011</v>
      </c>
      <c r="AG37" s="9">
        <f t="array" ref="AG37">IF(AG$11&gt;=0,MAX(INDEX(MMULT(inverseG,AF$12:AF$62),$A37+1,1),MAX(strike-$B37,0)),"")</f>
        <v>0.14415135991242045</v>
      </c>
      <c r="AH37" s="9">
        <f t="array" ref="AH37">IF(AH$11&gt;=0,MAX(INDEX(MMULT(inverseG,AG$12:AG$62),$A37+1,1),MAX(strike-$B37,0)),"")</f>
        <v>0.14910702022073161</v>
      </c>
      <c r="AI37" s="9">
        <f t="array" ref="AI37">IF(AI$11&gt;=0,MAX(INDEX(MMULT(inverseG,AH$12:AH$62),$A37+1,1),MAX(strike-$B37,0)),"")</f>
        <v>0.15398100426575048</v>
      </c>
      <c r="AJ37" s="9">
        <f t="array" ref="AJ37">IF(AJ$11&gt;=0,MAX(INDEX(MMULT(inverseG,AI$12:AI$62),$A37+1,1),MAX(strike-$B37,0)),"")</f>
        <v>0.15877472601697454</v>
      </c>
      <c r="AK37" s="9">
        <f t="array" ref="AK37">IF(AK$11&gt;=0,MAX(INDEX(MMULT(inverseG,AJ$12:AJ$62),$A37+1,1),MAX(strike-$B37,0)),"")</f>
        <v>0.16348963925670312</v>
      </c>
      <c r="AL37" s="9">
        <f t="array" ref="AL37">IF(AL$11&gt;=0,MAX(INDEX(MMULT(inverseG,AK$12:AK$62),$A37+1,1),MAX(strike-$B37,0)),"")</f>
        <v>0.16812721656019511</v>
      </c>
      <c r="AM37" s="9">
        <f t="array" ref="AM37">IF(AM$11&gt;=0,MAX(INDEX(MMULT(inverseG,AL$12:AL$62),$A37+1,1),MAX(strike-$B37,0)),"")</f>
        <v>0.17268893392604875</v>
      </c>
      <c r="AN37" s="9">
        <f t="array" ref="AN37">IF(AN$11&gt;=0,MAX(INDEX(MMULT(inverseG,AM$12:AM$62),$A37+1,1),MAX(strike-$B37,0)),"")</f>
        <v>0.17717625970631817</v>
      </c>
      <c r="AO37" s="9">
        <f t="array" ref="AO37">IF(AO$11&gt;=0,MAX(INDEX(MMULT(inverseG,AN$12:AN$62),$A37+1,1),MAX(strike-$B37,0)),"")</f>
        <v>0.18159064801845604</v>
      </c>
      <c r="AP37" s="9">
        <f t="array" ref="AP37">IF(AP$11&gt;=0,MAX(INDEX(MMULT(inverseG,AO$12:AO$62),$A37+1,1),MAX(strike-$B37,0)),"")</f>
        <v>0.18593353709506139</v>
      </c>
      <c r="AQ37" s="9">
        <f t="array" ref="AQ37">IF(AQ$11&gt;=0,MAX(INDEX(MMULT(inverseG,AP$12:AP$62),$A37+1,1),MAX(strike-$B37,0)),"")</f>
        <v>0.1902063519174523</v>
      </c>
      <c r="AR37" s="9">
        <f t="array" ref="AR37">IF(AR$11&gt;=0,MAX(INDEX(MMULT(inverseG,AQ$12:AQ$62),$A37+1,1),MAX(strike-$B37,0)),"")</f>
        <v>0.19441050931101136</v>
      </c>
      <c r="AS37" s="9">
        <f t="array" ref="AS37">IF(AS$11&gt;=0,MAX(INDEX(MMULT(inverseG,AR$12:AR$62),$A37+1,1),MAX(strike-$B37,0)),"")</f>
        <v>0.19854742330652816</v>
      </c>
      <c r="AT37" s="9">
        <f t="array" ref="AT37">IF(AT$11&gt;=0,MAX(INDEX(MMULT(inverseG,AS$12:AS$62),$A37+1,1),MAX(strike-$B37,0)),"")</f>
        <v>0.20261850899406006</v>
      </c>
      <c r="AU37" s="9">
        <f t="array" ref="AU37">IF(AU$11&gt;=0,MAX(INDEX(MMULT(inverseG,AT$12:AT$62),$A37+1,1),MAX(strike-$B37,0)),"")</f>
        <v>0.20662518390476534</v>
      </c>
      <c r="AV37" s="9">
        <f t="array" ref="AV37">IF(AV$11&gt;=0,MAX(INDEX(MMULT(inverseG,AU$12:AU$62),$A37+1,1),MAX(strike-$B37,0)),"")</f>
        <v>0.21056886675331199</v>
      </c>
      <c r="AW37" s="9">
        <f t="array" ref="AW37">IF(AW$11&gt;=0,MAX(INDEX(MMULT(inverseG,AV$12:AV$62),$A37+1,1),MAX(strike-$B37,0)),"")</f>
        <v>0.21445097394023493</v>
      </c>
      <c r="AX37" s="9">
        <f t="array" ref="AX37">IF(AX$11&gt;=0,MAX(INDEX(MMULT(inverseG,AW$12:AW$62),$A37+1,1),MAX(strike-$B37,0)),"")</f>
        <v>0.21827291450152578</v>
      </c>
      <c r="AY37" s="9">
        <f t="array" ref="AY37">IF(AY$11&gt;=0,MAX(INDEX(MMULT(inverseG,AX$12:AX$62),$A37+1,1),MAX(strike-$B37,0)),"")</f>
        <v>0.2220360842519149</v>
      </c>
      <c r="AZ37" s="9">
        <f t="array" ref="AZ37">IF(AZ$11&gt;=0,MAX(INDEX(MMULT(inverseG,AY$12:AY$62),$A37+1,1),MAX(strike-$B37,0)),"")</f>
        <v>0.22574185978174013</v>
      </c>
      <c r="BA37" s="9">
        <f t="array" ref="BA37">IF(BA$11&gt;=0,MAX(INDEX(MMULT(inverseG,AZ$12:AZ$62),$A37+1,1),MAX(strike-$B37,0)),"")</f>
        <v>0.22939159281169652</v>
      </c>
      <c r="BB37" s="9">
        <f t="array" ref="BB37">IF(BB$11&gt;=0,MAX(INDEX(MMULT(inverseG,BA$12:BA$62),$A37+1,1),MAX(strike-$B37,0)),"")</f>
        <v>0.23298660524006409</v>
      </c>
      <c r="BC37" s="9">
        <f t="array" ref="BC37">IF(BC$11&gt;=0,MAX(INDEX(MMULT(inverseG,BB$12:BB$62),$A37+1,1),MAX(strike-$B37,0)),"")</f>
        <v>0.23652818506524029</v>
      </c>
      <c r="BD37" s="9">
        <f t="array" ref="BD37">IF(BD$11&gt;=0,MAX(INDEX(MMULT(inverseG,BC$12:BC$62),$A37+1,1),MAX(strike-$B37,0)),"")</f>
        <v>0.24001758324668829</v>
      </c>
      <c r="BE37" s="9">
        <f t="array" ref="BE37">IF(BE$11&gt;=0,MAX(INDEX(MMULT(inverseG,BD$12:BD$62),$A37+1,1),MAX(strike-$B37,0)),"")</f>
        <v>0.243456011482303</v>
      </c>
      <c r="BF37" s="9">
        <f t="array" ref="BF37">IF(BF$11&gt;=0,MAX(INDEX(MMULT(inverseG,BE$12:BE$62),$A37+1,1),MAX(strike-$B37,0)),"")</f>
        <v>0.24684464082598795</v>
      </c>
      <c r="BG37" s="9">
        <f t="array" ref="BG37">IF(BG$11&gt;=0,MAX(INDEX(MMULT(inverseG,BF$12:BF$62),$A37+1,1),MAX(strike-$B37,0)),"")</f>
        <v>0.25018460103964768</v>
      </c>
      <c r="BH37" s="9">
        <f t="array" ref="BH37">IF(BH$11&gt;=0,MAX(INDEX(MMULT(inverseG,BG$12:BG$62),$A37+1,1),MAX(strike-$B37,0)),"")</f>
        <v>0.25347698056221535</v>
      </c>
      <c r="BI37" s="9">
        <f t="array" ref="BI37">IF(BI$11&gt;=0,MAX(INDEX(MMULT(inverseG,BH$12:BH$62),$A37+1,1),MAX(strike-$B37,0)),"")</f>
        <v>0.25672282697888665</v>
      </c>
      <c r="BJ37" s="9">
        <f t="array" ref="BJ37">IF(BJ$11&gt;=0,MAX(INDEX(MMULT(inverseG,BI$12:BI$62),$A37+1,1),MAX(strike-$B37,0)),"")</f>
        <v>0.25992314788174986</v>
      </c>
      <c r="BK37" s="9">
        <f t="array" ref="BK37">IF(BK$11&gt;=0,MAX(INDEX(MMULT(inverseG,BJ$12:BJ$62),$A37+1,1),MAX(strike-$B37,0)),"")</f>
        <v>0.26307891202503569</v>
      </c>
      <c r="BL37" s="9">
        <f t="array" ref="BL37">IF(BL$11&gt;=0,MAX(INDEX(MMULT(inverseG,BK$12:BK$62),$A37+1,1),MAX(strike-$B37,0)),"")</f>
        <v>0.26619105069186461</v>
      </c>
      <c r="BM37" s="9">
        <f t="array" ref="BM37">IF(BM$11&gt;=0,MAX(INDEX(MMULT(inverseG,BL$12:BL$62),$A37+1,1),MAX(strike-$B37,0)),"")</f>
        <v>0.26926045920308694</v>
      </c>
      <c r="BN37" s="9">
        <f t="array" ref="BN37">IF(BN$11&gt;=0,MAX(INDEX(MMULT(inverseG,BM$12:BM$62),$A37+1,1),MAX(strike-$B37,0)),"")</f>
        <v>0.27228799851167368</v>
      </c>
      <c r="BO37" s="9">
        <f t="array" ref="BO37">IF(BO$11&gt;=0,MAX(INDEX(MMULT(inverseG,BN$12:BN$62),$A37+1,1),MAX(strike-$B37,0)),"")</f>
        <v>0.27527449683763283</v>
      </c>
      <c r="BP37" s="9">
        <f t="array" ref="BP37">IF(BP$11&gt;=0,MAX(INDEX(MMULT(inverseG,BO$12:BO$62),$A37+1,1),MAX(strike-$B37,0)),"")</f>
        <v>0.2782207513083973</v>
      </c>
      <c r="BQ37" s="9">
        <f t="array" ref="BQ37">IF(BQ$11&gt;=0,MAX(INDEX(MMULT(inverseG,BP$12:BP$62),$A37+1,1),MAX(strike-$B37,0)),"")</f>
        <v>0.28112752957805298</v>
      </c>
      <c r="BR37" s="9">
        <f t="array" ref="BR37">IF(BR$11&gt;=0,MAX(INDEX(MMULT(inverseG,BQ$12:BQ$62),$A37+1,1),MAX(strike-$B37,0)),"")</f>
        <v>0.28399557140573733</v>
      </c>
      <c r="BS37" s="9">
        <f t="array" ref="BS37">IF(BS$11&gt;=0,MAX(INDEX(MMULT(inverseG,BR$12:BR$62),$A37+1,1),MAX(strike-$B37,0)),"")</f>
        <v>0.28682559017919679</v>
      </c>
      <c r="BT37" s="9">
        <f t="array" ref="BT37">IF(BT$11&gt;=0,MAX(INDEX(MMULT(inverseG,BS$12:BS$62),$A37+1,1),MAX(strike-$B37,0)),"")</f>
        <v>0.28961827437401216</v>
      </c>
      <c r="BU37" s="9">
        <f t="array" ref="BU37">IF(BU$11&gt;=0,MAX(INDEX(MMULT(inverseG,BT$12:BT$62),$A37+1,1),MAX(strike-$B37,0)),"")</f>
        <v>0.29237428894255557</v>
      </c>
      <c r="BV37" s="9">
        <f t="array" ref="BV37">IF(BV$11&gt;=0,MAX(INDEX(MMULT(inverseG,BU$12:BU$62),$A37+1,1),MAX(strike-$B37,0)),"")</f>
        <v>0.29509427662950455</v>
      </c>
      <c r="BW37" s="9">
        <f t="array" ref="BW37">IF(BW$11&gt;=0,MAX(INDEX(MMULT(inverseG,BV$12:BV$62),$A37+1,1),MAX(strike-$B37,0)),"")</f>
        <v>0.29777885921283831</v>
      </c>
      <c r="BX37" s="9">
        <f t="array" ref="BX37">IF(BX$11&gt;=0,MAX(INDEX(MMULT(inverseG,BW$12:BW$62),$A37+1,1),MAX(strike-$B37,0)),"")</f>
        <v>0.30042863867080416</v>
      </c>
      <c r="BY37" s="9">
        <f t="array" ref="BY37">IF(BY$11&gt;=0,MAX(INDEX(MMULT(inverseG,BX$12:BX$62),$A37+1,1),MAX(strike-$B37,0)),"")</f>
        <v>0.30304419827649592</v>
      </c>
      <c r="BZ37" s="9">
        <f t="array" ref="BZ37">IF(BZ$11&gt;=0,MAX(INDEX(MMULT(inverseG,BY$12:BY$62),$A37+1,1),MAX(strike-$B37,0)),"")</f>
        <v>0.30562610362248566</v>
      </c>
      <c r="CA37" s="9">
        <f t="array" ref="CA37">IF(CA$11&gt;=0,MAX(INDEX(MMULT(inverseG,BZ$12:BZ$62),$A37+1,1),MAX(strike-$B37,0)),"")</f>
        <v>0.30817490357850547</v>
      </c>
      <c r="CB37" s="9">
        <f t="array" ref="CB37">IF(CB$11&gt;=0,MAX(INDEX(MMULT(inverseG,CA$12:CA$62),$A37+1,1),MAX(strike-$B37,0)),"")</f>
        <v>0.31069113118551211</v>
      </c>
      <c r="CC37" s="9">
        <f t="array" ref="CC37">IF(CC$11&gt;=0,MAX(INDEX(MMULT(inverseG,CB$12:CB$62),$A37+1,1),MAX(strike-$B37,0)),"")</f>
        <v>0.31317530448966252</v>
      </c>
      <c r="CD37" s="9">
        <f t="array" ref="CD37">IF(CD$11&gt;=0,MAX(INDEX(MMULT(inverseG,CC$12:CC$62),$A37+1,1),MAX(strike-$B37,0)),"")</f>
        <v>0.31562792731979977</v>
      </c>
      <c r="CE37" s="9">
        <f t="array" ref="CE37">IF(CE$11&gt;=0,MAX(INDEX(MMULT(inverseG,CD$12:CD$62),$A37+1,1),MAX(strike-$B37,0)),"")</f>
        <v>0.31804949001203398</v>
      </c>
      <c r="CF37" s="9">
        <f t="array" ref="CF37">IF(CF$11&gt;=0,MAX(INDEX(MMULT(inverseG,CE$12:CE$62),$A37+1,1),MAX(strike-$B37,0)),"")</f>
        <v>0.32044047008492937</v>
      </c>
      <c r="CG37" s="9">
        <f t="array" ref="CG37">IF(CG$11&gt;=0,MAX(INDEX(MMULT(inverseG,CF$12:CF$62),$A37+1,1),MAX(strike-$B37,0)),"")</f>
        <v>0.32280133286869112</v>
      </c>
      <c r="CH37" s="9">
        <f t="array" ref="CH37">IF(CH$11&gt;=0,MAX(INDEX(MMULT(inverseG,CG$12:CG$62),$A37+1,1),MAX(strike-$B37,0)),"")</f>
        <v>0.32513253209159571</v>
      </c>
      <c r="CI37" s="9">
        <f t="array" ref="CI37">IF(CI$11&gt;=0,MAX(INDEX(MMULT(inverseG,CH$12:CH$62),$A37+1,1),MAX(strike-$B37,0)),"")</f>
        <v>0.32743451042674077</v>
      </c>
      <c r="CJ37" s="9">
        <f t="array" ref="CJ37">IF(CJ$11&gt;=0,MAX(INDEX(MMULT(inverseG,CI$12:CI$62),$A37+1,1),MAX(strike-$B37,0)),"")</f>
        <v>0.32970770000201882</v>
      </c>
      <c r="CK37" s="9">
        <f t="array" ref="CK37">IF(CK$11&gt;=0,MAX(INDEX(MMULT(inverseG,CJ$12:CJ$62),$A37+1,1),MAX(strike-$B37,0)),"")</f>
        <v>0.33195252287603322</v>
      </c>
      <c r="CL37" s="9">
        <f t="array" ref="CL37">IF(CL$11&gt;=0,MAX(INDEX(MMULT(inverseG,CK$12:CK$62),$A37+1,1),MAX(strike-$B37,0)),"")</f>
        <v>0.33416939148249997</v>
      </c>
      <c r="CM37" s="9">
        <f t="array" ref="CM37">IF(CM$11&gt;=0,MAX(INDEX(MMULT(inverseG,CL$12:CL$62),$A37+1,1),MAX(strike-$B37,0)),"")</f>
        <v>0.33635870904549781</v>
      </c>
      <c r="CN37" s="9">
        <f t="array" ref="CN37">IF(CN$11&gt;=0,MAX(INDEX(MMULT(inverseG,CM$12:CM$62),$A37+1,1),MAX(strike-$B37,0)),"")</f>
        <v>0.3385208699677657</v>
      </c>
      <c r="CO37" s="9">
        <f t="array" ref="CO37">IF(CO$11&gt;=0,MAX(INDEX(MMULT(inverseG,CN$12:CN$62),$A37+1,1),MAX(strike-$B37,0)),"")</f>
        <v>0.34065626019407858</v>
      </c>
      <c r="CP37" s="9">
        <f t="array" ref="CP37">IF(CP$11&gt;=0,MAX(INDEX(MMULT(inverseG,CO$12:CO$62),$A37+1,1),MAX(strike-$B37,0)),"")</f>
        <v>0.34276525755158443</v>
      </c>
      <c r="CQ37" s="9">
        <f t="array" ref="CQ37">IF(CQ$11&gt;=0,MAX(INDEX(MMULT(inverseG,CP$12:CP$62),$A37+1,1),MAX(strike-$B37,0)),"")</f>
        <v>0.34484823206883486</v>
      </c>
      <c r="CR37" s="9">
        <f t="array" ref="CR37">IF(CR$11&gt;=0,MAX(INDEX(MMULT(inverseG,CQ$12:CQ$62),$A37+1,1),MAX(strike-$B37,0)),"")</f>
        <v>0.34690554627511405</v>
      </c>
      <c r="CS37" s="9">
        <f t="array" ref="CS37">IF(CS$11&gt;=0,MAX(INDEX(MMULT(inverseG,CR$12:CR$62),$A37+1,1),MAX(strike-$B37,0)),"")</f>
        <v>0.34893755552928796</v>
      </c>
      <c r="CT37" s="9">
        <f t="array" ref="CT37">IF(CT$11&gt;=0,MAX(INDEX(MMULT(inverseG,CS$12:CS$62),$A37+1,1),MAX(strike-$B37,0)),"")</f>
        <v>0.35094460849052506</v>
      </c>
      <c r="CU37" s="9">
        <f t="array" ref="CU37">IF(CU$11&gt;=0,MAX(INDEX(MMULT(inverseG,CT$12:CT$62),$A37+1,1),MAX(strike-$B37,0)),"")</f>
        <v>0.35292704783668927</v>
      </c>
      <c r="CV37" s="9">
        <f t="array" ref="CV37">IF(CV$11&gt;=0,MAX(INDEX(MMULT(inverseG,CU$12:CU$62),$A37+1,1),MAX(strike-$B37,0)),"")</f>
        <v>0.3548852112525599</v>
      </c>
      <c r="CW37" s="9">
        <f t="array" ref="CW37">IF(CW$11&gt;=0,MAX(INDEX(MMULT(inverseG,CV$12:CV$62),$A37+1,1),MAX(strike-$B37,0)),"")</f>
        <v>0.35681943260603832</v>
      </c>
      <c r="CX37" s="9">
        <f t="array" ref="CX37">IF(CX$11&gt;=0,MAX(INDEX(MMULT(inverseG,CW$12:CW$62),$A37+1,1),MAX(strike-$B37,0)),"")</f>
        <v>0.35873004316153839</v>
      </c>
      <c r="CY37" s="9">
        <f t="array" ref="CY37">IF(CY$11&gt;=0,MAX(INDEX(MMULT(inverseG,CX$12:CX$62),$A37+1,1),MAX(strike-$B37,0)),"")</f>
        <v>0.36061737266668581</v>
      </c>
      <c r="CZ37" s="9">
        <f t="array" ref="CZ37">IF(CZ$11&gt;=0,MAX(INDEX(MMULT(inverseG,CY$12:CY$62),$A37+1,1),MAX(strike-$B37,0)),"")</f>
        <v>0.36248175018157791</v>
      </c>
      <c r="DA37" s="9" t="str">
        <f t="array" ref="DA37">IF(DA$11&gt;=0,MAX(INDEX(MMULT(inverseG,CZ$12:CZ$62),$A37+1,1),MAX(strike-$B37,0)),"")</f>
        <v/>
      </c>
      <c r="DB37" s="9" t="str">
        <f t="array" ref="DB37">IF(DB$11&gt;=0,MAX(INDEX(MMULT(inverseG,DA$12:DA$62),$A37+1,1),MAX(strike-$B37,0)),"")</f>
        <v/>
      </c>
      <c r="DC37" s="9" t="str">
        <f t="array" ref="DC37">IF(DC$11&gt;=0,MAX(INDEX(MMULT(inverseG,DB$12:DB$62),$A37+1,1),MAX(strike-$B37,0)),"")</f>
        <v/>
      </c>
      <c r="DD37" s="9" t="str">
        <f t="array" ref="DD37">IF(DD$11&gt;=0,MAX(INDEX(MMULT(inverseG,DC$12:DC$62),$A37+1,1),MAX(strike-$B37,0)),"")</f>
        <v/>
      </c>
      <c r="DE37" s="9" t="str">
        <f t="array" ref="DE37">IF(DE$11&gt;=0,MAX(INDEX(MMULT(inverseG,DD$12:DD$62),$A37+1,1),MAX(strike-$B37,0)),"")</f>
        <v/>
      </c>
      <c r="DF37" s="9" t="str">
        <f t="array" ref="DF37">IF(DF$11&gt;=0,MAX(INDEX(MMULT(inverseG,DE$12:DE$62),$A37+1,1),MAX(strike-$B37,0)),"")</f>
        <v/>
      </c>
      <c r="DG37" s="9" t="str">
        <f t="array" ref="DG37">IF(DG$11&gt;=0,MAX(INDEX(MMULT(inverseG,DF$12:DF$62),$A37+1,1),MAX(strike-$B37,0)),"")</f>
        <v/>
      </c>
      <c r="DH37" s="9" t="str">
        <f t="array" ref="DH37">IF(DH$11&gt;=0,MAX(INDEX(MMULT(inverseG,DG$12:DG$62),$A37+1,1),MAX(strike-$B37,0)),"")</f>
        <v/>
      </c>
      <c r="DI37" s="9" t="str">
        <f t="array" ref="DI37">IF(DI$11&gt;=0,MAX(INDEX(MMULT(inverseG,DH$12:DH$62),$A37+1,1),MAX(strike-$B37,0)),"")</f>
        <v/>
      </c>
      <c r="DJ37" s="9" t="str">
        <f t="array" ref="DJ37">IF(DJ$11&gt;=0,MAX(INDEX(MMULT(inverseG,DI$12:DI$62),$A37+1,1),MAX(strike-$B37,0)),"")</f>
        <v/>
      </c>
      <c r="DK37" s="9" t="str">
        <f t="array" ref="DK37">IF(DK$11&gt;=0,MAX(INDEX(MMULT(inverseG,DJ$12:DJ$62),$A37+1,1),MAX(strike-$B37,0)),"")</f>
        <v/>
      </c>
      <c r="DL37" s="9" t="str">
        <f t="array" ref="DL37">IF(DL$11&gt;=0,MAX(INDEX(MMULT(inverseG,DK$12:DK$62),$A37+1,1),MAX(strike-$B37,0)),"")</f>
        <v/>
      </c>
      <c r="DM37" s="9" t="str">
        <f t="array" ref="DM37">IF(DM$11&gt;=0,MAX(INDEX(MMULT(inverseG,DL$12:DL$62),$A37+1,1),MAX(strike-$B37,0)),"")</f>
        <v/>
      </c>
      <c r="DN37" s="9" t="str">
        <f t="array" ref="DN37">IF(DN$11&gt;=0,MAX(INDEX(MMULT(inverseG,DM$12:DM$62),$A37+1,1),MAX(strike-$B37,0)),"")</f>
        <v/>
      </c>
      <c r="DO37" s="9" t="str">
        <f t="array" ref="DO37">IF(DO$11&gt;=0,MAX(INDEX(MMULT(inverseG,DN$12:DN$62),$A37+1,1),MAX(strike-$B37,0)),"")</f>
        <v/>
      </c>
      <c r="DP37" s="9" t="str">
        <f t="array" ref="DP37">IF(DP$11&gt;=0,MAX(INDEX(MMULT(inverseG,DO$12:DO$62),$A37+1,1),MAX(strike-$B37,0)),"")</f>
        <v/>
      </c>
      <c r="DQ37" s="9" t="str">
        <f t="array" ref="DQ37">IF(DQ$11&gt;=0,MAX(INDEX(MMULT(inverseG,DP$12:DP$62),$A37+1,1),MAX(strike-$B37,0)),"")</f>
        <v/>
      </c>
      <c r="DR37" s="9" t="str">
        <f t="array" ref="DR37">IF(DR$11&gt;=0,MAX(INDEX(MMULT(inverseG,DQ$12:DQ$62),$A37+1,1),MAX(strike-$B37,0)),"")</f>
        <v/>
      </c>
      <c r="DS37" s="9" t="str">
        <f t="array" ref="DS37">IF(DS$11&gt;=0,MAX(INDEX(MMULT(inverseG,DR$12:DR$62),$A37+1,1),MAX(strike-$B37,0)),"")</f>
        <v/>
      </c>
      <c r="DT37" s="9" t="str">
        <f t="array" ref="DT37">IF(DT$11&gt;=0,MAX(INDEX(MMULT(inverseG,DS$12:DS$62),$A37+1,1),MAX(strike-$B37,0)),"")</f>
        <v/>
      </c>
      <c r="DU37" s="9" t="str">
        <f t="array" ref="DU37">IF(DU$11&gt;=0,MAX(INDEX(MMULT(inverseG,DT$12:DT$62),$A37+1,1),MAX(strike-$B37,0)),"")</f>
        <v/>
      </c>
      <c r="DV37" s="9" t="str">
        <f t="array" ref="DV37">IF(DV$11&gt;=0,MAX(INDEX(MMULT(inverseG,DU$12:DU$62),$A37+1,1),MAX(strike-$B37,0)),"")</f>
        <v/>
      </c>
      <c r="DW37" s="9" t="str">
        <f t="array" ref="DW37">IF(DW$11&gt;=0,MAX(INDEX(MMULT(inverseG,DV$12:DV$62),$A37+1,1),MAX(strike-$B37,0)),"")</f>
        <v/>
      </c>
      <c r="DX37" s="9" t="str">
        <f t="array" ref="DX37">IF(DX$11&gt;=0,MAX(INDEX(MMULT(inverseG,DW$12:DW$62),$A37+1,1),MAX(strike-$B37,0)),"")</f>
        <v/>
      </c>
      <c r="DY37" s="9" t="str">
        <f t="array" ref="DY37">IF(DY$11&gt;=0,MAX(INDEX(MMULT(inverseG,DX$12:DX$62),$A37+1,1),MAX(strike-$B37,0)),"")</f>
        <v/>
      </c>
      <c r="DZ37" s="9" t="str">
        <f t="array" ref="DZ37">IF(DZ$11&gt;=0,MAX(INDEX(MMULT(inverseG,DY$12:DY$62),$A37+1,1),MAX(strike-$B37,0)),"")</f>
        <v/>
      </c>
      <c r="EA37" s="9" t="str">
        <f t="array" ref="EA37">IF(EA$11&gt;=0,MAX(INDEX(MMULT(inverseG,DZ$12:DZ$62),$A37+1,1),MAX(strike-$B37,0)),"")</f>
        <v/>
      </c>
      <c r="EB37" s="9" t="str">
        <f t="array" ref="EB37">IF(EB$11&gt;=0,MAX(INDEX(MMULT(inverseG,EA$12:EA$62),$A37+1,1),MAX(strike-$B37,0)),"")</f>
        <v/>
      </c>
      <c r="EC37" s="9" t="str">
        <f t="array" ref="EC37">IF(EC$11&gt;=0,MAX(INDEX(MMULT(inverseG,EB$12:EB$62),$A37+1,1),MAX(strike-$B37,0)),"")</f>
        <v/>
      </c>
      <c r="ED37" s="9" t="str">
        <f t="array" ref="ED37">IF(ED$11&gt;=0,MAX(INDEX(MMULT(inverseG,EC$12:EC$62),$A37+1,1),MAX(strike-$B37,0)),"")</f>
        <v/>
      </c>
      <c r="EE37" s="9" t="str">
        <f t="array" ref="EE37">IF(EE$11&gt;=0,MAX(INDEX(MMULT(inverseG,ED$12:ED$62),$A37+1,1),MAX(strike-$B37,0)),"")</f>
        <v/>
      </c>
      <c r="EF37" s="9" t="str">
        <f t="array" ref="EF37">IF(EF$11&gt;=0,MAX(INDEX(MMULT(inverseG,EE$12:EE$62),$A37+1,1),MAX(strike-$B37,0)),"")</f>
        <v/>
      </c>
      <c r="EG37" s="9" t="str">
        <f t="array" ref="EG37">IF(EG$11&gt;=0,MAX(INDEX(MMULT(inverseG,EF$12:EF$62),$A37+1,1),MAX(strike-$B37,0)),"")</f>
        <v/>
      </c>
      <c r="EH37" s="9" t="str">
        <f t="array" ref="EH37">IF(EH$11&gt;=0,MAX(INDEX(MMULT(inverseG,EG$12:EG$62),$A37+1,1),MAX(strike-$B37,0)),"")</f>
        <v/>
      </c>
      <c r="EI37" s="9" t="str">
        <f t="array" ref="EI37">IF(EI$11&gt;=0,MAX(INDEX(MMULT(inverseG,EH$12:EH$62),$A37+1,1),MAX(strike-$B37,0)),"")</f>
        <v/>
      </c>
      <c r="EJ37" s="9" t="str">
        <f t="array" ref="EJ37">IF(EJ$11&gt;=0,MAX(INDEX(MMULT(inverseG,EI$12:EI$62),$A37+1,1),MAX(strike-$B37,0)),"")</f>
        <v/>
      </c>
      <c r="EK37" s="9" t="str">
        <f t="array" ref="EK37">IF(EK$11&gt;=0,MAX(INDEX(MMULT(inverseG,EJ$12:EJ$62),$A37+1,1),MAX(strike-$B37,0)),"")</f>
        <v/>
      </c>
      <c r="EL37" s="9" t="str">
        <f t="array" ref="EL37">IF(EL$11&gt;=0,MAX(INDEX(MMULT(inverseG,EK$12:EK$62),$A37+1,1),MAX(strike-$B37,0)),"")</f>
        <v/>
      </c>
      <c r="EM37" s="9" t="str">
        <f t="array" ref="EM37">IF(EM$11&gt;=0,MAX(INDEX(MMULT(inverseG,EL$12:EL$62),$A37+1,1),MAX(strike-$B37,0)),"")</f>
        <v/>
      </c>
      <c r="EN37" s="9" t="str">
        <f t="array" ref="EN37">IF(EN$11&gt;=0,MAX(INDEX(MMULT(inverseG,EM$12:EM$62),$A37+1,1),MAX(strike-$B37,0)),"")</f>
        <v/>
      </c>
      <c r="EO37" s="9" t="str">
        <f t="array" ref="EO37">IF(EO$11&gt;=0,MAX(INDEX(MMULT(inverseG,EN$12:EN$62),$A37+1,1),MAX(strike-$B37,0)),"")</f>
        <v/>
      </c>
      <c r="EP37" s="9" t="str">
        <f t="array" ref="EP37">IF(EP$11&gt;=0,MAX(INDEX(MMULT(inverseG,EO$12:EO$62),$A37+1,1),MAX(strike-$B37,0)),"")</f>
        <v/>
      </c>
      <c r="EQ37" s="9" t="str">
        <f t="array" ref="EQ37">IF(EQ$11&gt;=0,MAX(INDEX(MMULT(inverseG,EP$12:EP$62),$A37+1,1),MAX(strike-$B37,0)),"")</f>
        <v/>
      </c>
      <c r="ER37" s="9" t="str">
        <f t="array" ref="ER37">IF(ER$11&gt;=0,MAX(INDEX(MMULT(inverseG,EQ$12:EQ$62),$A37+1,1),MAX(strike-$B37,0)),"")</f>
        <v/>
      </c>
      <c r="ES37" s="9" t="str">
        <f t="array" ref="ES37">IF(ES$11&gt;=0,MAX(INDEX(MMULT(inverseG,ER$12:ER$62),$A37+1,1),MAX(strike-$B37,0)),"")</f>
        <v/>
      </c>
      <c r="ET37" s="9" t="str">
        <f t="array" ref="ET37">IF(ET$11&gt;=0,MAX(INDEX(MMULT(inverseG,ES$12:ES$62),$A37+1,1),MAX(strike-$B37,0)),"")</f>
        <v/>
      </c>
      <c r="EU37" s="9" t="str">
        <f t="array" ref="EU37">IF(EU$11&gt;=0,MAX(INDEX(MMULT(inverseG,ET$12:ET$62),$A37+1,1),MAX(strike-$B37,0)),"")</f>
        <v/>
      </c>
      <c r="EV37" s="9" t="str">
        <f t="array" ref="EV37">IF(EV$11&gt;=0,MAX(INDEX(MMULT(inverseG,EU$12:EU$62),$A37+1,1),MAX(strike-$B37,0)),"")</f>
        <v/>
      </c>
      <c r="EW37" s="9" t="str">
        <f t="array" ref="EW37">IF(EW$11&gt;=0,MAX(INDEX(MMULT(inverseG,EV$12:EV$62),$A37+1,1),MAX(strike-$B37,0)),"")</f>
        <v/>
      </c>
      <c r="EX37" s="9" t="str">
        <f t="array" ref="EX37">IF(EX$11&gt;=0,MAX(INDEX(MMULT(inverseG,EW$12:EW$62),$A37+1,1),MAX(strike-$B37,0)),"")</f>
        <v/>
      </c>
      <c r="EY37" s="9" t="str">
        <f t="array" ref="EY37">IF(EY$11&gt;=0,MAX(INDEX(MMULT(inverseG,EX$12:EX$62),$A37+1,1),MAX(strike-$B37,0)),"")</f>
        <v/>
      </c>
      <c r="EZ37" s="9" t="str">
        <f t="array" ref="EZ37">IF(EZ$11&gt;=0,MAX(INDEX(MMULT(inverseG,EY$12:EY$62),$A37+1,1),MAX(strike-$B37,0)),"")</f>
        <v/>
      </c>
      <c r="FA37" s="9" t="str">
        <f t="array" ref="FA37">IF(FA$11&gt;=0,MAX(INDEX(MMULT(inverseG,EZ$12:EZ$62),$A37+1,1),MAX(strike-$B37,0)),"")</f>
        <v/>
      </c>
      <c r="FB37" s="9" t="str">
        <f t="array" ref="FB37">IF(FB$11&gt;=0,MAX(INDEX(MMULT(inverseG,FA$12:FA$62),$A37+1,1),MAX(strike-$B37,0)),"")</f>
        <v/>
      </c>
      <c r="FC37" s="9" t="str">
        <f t="array" ref="FC37">IF(FC$11&gt;=0,MAX(INDEX(MMULT(inverseG,FB$12:FB$62),$A37+1,1),MAX(strike-$B37,0)),"")</f>
        <v/>
      </c>
      <c r="FD37" s="9" t="str">
        <f t="array" ref="FD37">IF(FD$11&gt;=0,MAX(INDEX(MMULT(inverseG,FC$12:FC$62),$A37+1,1),MAX(strike-$B37,0)),"")</f>
        <v/>
      </c>
      <c r="FE37" s="9" t="str">
        <f t="array" ref="FE37">IF(FE$11&gt;=0,MAX(INDEX(MMULT(inverseG,FD$12:FD$62),$A37+1,1),MAX(strike-$B37,0)),"")</f>
        <v/>
      </c>
      <c r="FF37" s="9" t="str">
        <f t="array" ref="FF37">IF(FF$11&gt;=0,MAX(INDEX(MMULT(inverseG,FE$12:FE$62),$A37+1,1),MAX(strike-$B37,0)),"")</f>
        <v/>
      </c>
      <c r="FG37" s="9" t="str">
        <f t="array" ref="FG37">IF(FG$11&gt;=0,MAX(INDEX(MMULT(inverseG,FF$12:FF$62),$A37+1,1),MAX(strike-$B37,0)),"")</f>
        <v/>
      </c>
      <c r="FH37" s="9" t="str">
        <f t="array" ref="FH37">IF(FH$11&gt;=0,MAX(INDEX(MMULT(inverseG,FG$12:FG$62),$A37+1,1),MAX(strike-$B37,0)),"")</f>
        <v/>
      </c>
      <c r="FI37" s="9" t="str">
        <f t="array" ref="FI37">IF(FI$11&gt;=0,MAX(INDEX(MMULT(inverseG,FH$12:FH$62),$A37+1,1),MAX(strike-$B37,0)),"")</f>
        <v/>
      </c>
      <c r="FJ37" s="9" t="str">
        <f t="array" ref="FJ37">IF(FJ$11&gt;=0,MAX(INDEX(MMULT(inverseG,FI$12:FI$62),$A37+1,1),MAX(strike-$B37,0)),"")</f>
        <v/>
      </c>
      <c r="FK37" s="9" t="str">
        <f t="array" ref="FK37">IF(FK$11&gt;=0,MAX(INDEX(MMULT(inverseG,FJ$12:FJ$62),$A37+1,1),MAX(strike-$B37,0)),"")</f>
        <v/>
      </c>
      <c r="FL37" s="9" t="str">
        <f t="array" ref="FL37">IF(FL$11&gt;=0,MAX(INDEX(MMULT(inverseG,FK$12:FK$62),$A37+1,1),MAX(strike-$B37,0)),"")</f>
        <v/>
      </c>
      <c r="FM37" s="9" t="str">
        <f t="array" ref="FM37">IF(FM$11&gt;=0,MAX(INDEX(MMULT(inverseG,FL$12:FL$62),$A37+1,1),MAX(strike-$B37,0)),"")</f>
        <v/>
      </c>
      <c r="FN37" s="9" t="str">
        <f t="array" ref="FN37">IF(FN$11&gt;=0,MAX(INDEX(MMULT(inverseG,FM$12:FM$62),$A37+1,1),MAX(strike-$B37,0)),"")</f>
        <v/>
      </c>
      <c r="FO37" s="9" t="str">
        <f t="array" ref="FO37">IF(FO$11&gt;=0,MAX(INDEX(MMULT(inverseG,FN$12:FN$62),$A37+1,1),MAX(strike-$B37,0)),"")</f>
        <v/>
      </c>
      <c r="FP37" s="9" t="str">
        <f t="array" ref="FP37">IF(FP$11&gt;=0,MAX(INDEX(MMULT(inverseG,FO$12:FO$62),$A37+1,1),MAX(strike-$B37,0)),"")</f>
        <v/>
      </c>
      <c r="FQ37" s="9" t="str">
        <f t="array" ref="FQ37">IF(FQ$11&gt;=0,MAX(INDEX(MMULT(inverseG,FP$12:FP$62),$A37+1,1),MAX(strike-$B37,0)),"")</f>
        <v/>
      </c>
      <c r="FR37" s="9" t="str">
        <f t="array" ref="FR37">IF(FR$11&gt;=0,MAX(INDEX(MMULT(inverseG,FQ$12:FQ$62),$A37+1,1),MAX(strike-$B37,0)),"")</f>
        <v/>
      </c>
      <c r="FS37" s="9" t="str">
        <f t="array" ref="FS37">IF(FS$11&gt;=0,MAX(INDEX(MMULT(inverseG,FR$12:FR$62),$A37+1,1),MAX(strike-$B37,0)),"")</f>
        <v/>
      </c>
      <c r="FT37" s="9" t="str">
        <f t="array" ref="FT37">IF(FT$11&gt;=0,MAX(INDEX(MMULT(inverseG,FS$12:FS$62),$A37+1,1),MAX(strike-$B37,0)),"")</f>
        <v/>
      </c>
      <c r="FU37" s="9" t="str">
        <f t="array" ref="FU37">IF(FU$11&gt;=0,MAX(INDEX(MMULT(inverseG,FT$12:FT$62),$A37+1,1),MAX(strike-$B37,0)),"")</f>
        <v/>
      </c>
      <c r="FV37" s="9" t="str">
        <f t="array" ref="FV37">IF(FV$11&gt;=0,MAX(INDEX(MMULT(inverseG,FU$12:FU$62),$A37+1,1),MAX(strike-$B37,0)),"")</f>
        <v/>
      </c>
      <c r="FW37" s="9" t="str">
        <f t="array" ref="FW37">IF(FW$11&gt;=0,MAX(INDEX(MMULT(inverseG,FV$12:FV$62),$A37+1,1),MAX(strike-$B37,0)),"")</f>
        <v/>
      </c>
      <c r="FX37" s="9" t="str">
        <f t="array" ref="FX37">IF(FX$11&gt;=0,MAX(INDEX(MMULT(inverseG,FW$12:FW$62),$A37+1,1),MAX(strike-$B37,0)),"")</f>
        <v/>
      </c>
      <c r="FY37" s="9" t="str">
        <f t="array" ref="FY37">IF(FY$11&gt;=0,MAX(INDEX(MMULT(inverseG,FX$12:FX$62),$A37+1,1),MAX(strike-$B37,0)),"")</f>
        <v/>
      </c>
      <c r="FZ37" s="9" t="str">
        <f t="array" ref="FZ37">IF(FZ$11&gt;=0,MAX(INDEX(MMULT(inverseG,FY$12:FY$62),$A37+1,1),MAX(strike-$B37,0)),"")</f>
        <v/>
      </c>
      <c r="GA37" s="9" t="str">
        <f t="array" ref="GA37">IF(GA$11&gt;=0,MAX(INDEX(MMULT(inverseG,FZ$12:FZ$62),$A37+1,1),MAX(strike-$B37,0)),"")</f>
        <v/>
      </c>
      <c r="GB37" s="9" t="str">
        <f t="array" ref="GB37">IF(GB$11&gt;=0,MAX(INDEX(MMULT(inverseG,GA$12:GA$62),$A37+1,1),MAX(strike-$B37,0)),"")</f>
        <v/>
      </c>
      <c r="GC37" s="9" t="str">
        <f t="array" ref="GC37">IF(GC$11&gt;=0,MAX(INDEX(MMULT(inverseG,GB$12:GB$62),$A37+1,1),MAX(strike-$B37,0)),"")</f>
        <v/>
      </c>
      <c r="GD37" s="9" t="str">
        <f t="array" ref="GD37">IF(GD$11&gt;=0,MAX(INDEX(MMULT(inverseG,GC$12:GC$62),$A37+1,1),MAX(strike-$B37,0)),"")</f>
        <v/>
      </c>
      <c r="GE37" s="9" t="str">
        <f t="array" ref="GE37">IF(GE$11&gt;=0,MAX(INDEX(MMULT(inverseG,GD$12:GD$62),$A37+1,1),MAX(strike-$B37,0)),"")</f>
        <v/>
      </c>
      <c r="GF37" s="9" t="str">
        <f t="array" ref="GF37">IF(GF$11&gt;=0,MAX(INDEX(MMULT(inverseG,GE$12:GE$62),$A37+1,1),MAX(strike-$B37,0)),"")</f>
        <v/>
      </c>
      <c r="GG37" s="9" t="str">
        <f t="array" ref="GG37">IF(GG$11&gt;=0,MAX(INDEX(MMULT(inverseG,GF$12:GF$62),$A37+1,1),MAX(strike-$B37,0)),"")</f>
        <v/>
      </c>
      <c r="GH37" s="9" t="str">
        <f t="array" ref="GH37">IF(GH$11&gt;=0,MAX(INDEX(MMULT(inverseG,GG$12:GG$62),$A37+1,1),MAX(strike-$B37,0)),"")</f>
        <v/>
      </c>
      <c r="GI37" s="9" t="str">
        <f t="array" ref="GI37">IF(GI$11&gt;=0,MAX(INDEX(MMULT(inverseG,GH$12:GH$62),$A37+1,1),MAX(strike-$B37,0)),"")</f>
        <v/>
      </c>
      <c r="GJ37" s="9" t="str">
        <f t="array" ref="GJ37">IF(GJ$11&gt;=0,MAX(INDEX(MMULT(inverseG,GI$12:GI$62),$A37+1,1),MAX(strike-$B37,0)),"")</f>
        <v/>
      </c>
      <c r="GK37" s="9" t="str">
        <f t="array" ref="GK37">IF(GK$11&gt;=0,MAX(INDEX(MMULT(inverseG,GJ$12:GJ$62),$A37+1,1),MAX(strike-$B37,0)),"")</f>
        <v/>
      </c>
      <c r="GL37" s="9" t="str">
        <f t="array" ref="GL37">IF(GL$11&gt;=0,MAX(INDEX(MMULT(inverseG,GK$12:GK$62),$A37+1,1),MAX(strike-$B37,0)),"")</f>
        <v/>
      </c>
      <c r="GM37" s="9" t="str">
        <f t="array" ref="GM37">IF(GM$11&gt;=0,MAX(INDEX(MMULT(inverseG,GL$12:GL$62),$A37+1,1),MAX(strike-$B37,0)),"")</f>
        <v/>
      </c>
      <c r="GN37" s="9" t="str">
        <f t="array" ref="GN37">IF(GN$11&gt;=0,MAX(INDEX(MMULT(inverseG,GM$12:GM$62),$A37+1,1),MAX(strike-$B37,0)),"")</f>
        <v/>
      </c>
      <c r="GO37" s="9" t="str">
        <f t="array" ref="GO37">IF(GO$11&gt;=0,MAX(INDEX(MMULT(inverseG,GN$12:GN$62),$A37+1,1),MAX(strike-$B37,0)),"")</f>
        <v/>
      </c>
      <c r="GP37" s="9" t="str">
        <f t="array" ref="GP37">IF(GP$11&gt;=0,MAX(INDEX(MMULT(inverseG,GO$12:GO$62),$A37+1,1),MAX(strike-$B37,0)),"")</f>
        <v/>
      </c>
      <c r="GQ37" s="9" t="str">
        <f t="array" ref="GQ37">IF(GQ$11&gt;=0,MAX(INDEX(MMULT(inverseG,GP$12:GP$62),$A37+1,1),MAX(strike-$B37,0)),"")</f>
        <v/>
      </c>
      <c r="GR37" s="9" t="str">
        <f t="array" ref="GR37">IF(GR$11&gt;=0,MAX(INDEX(MMULT(inverseG,GQ$12:GQ$62),$A37+1,1),MAX(strike-$B37,0)),"")</f>
        <v/>
      </c>
      <c r="GS37" s="9" t="str">
        <f t="array" ref="GS37">IF(GS$11&gt;=0,MAX(INDEX(MMULT(inverseG,GR$12:GR$62),$A37+1,1),MAX(strike-$B37,0)),"")</f>
        <v/>
      </c>
      <c r="GT37" s="9" t="str">
        <f t="array" ref="GT37">IF(GT$11&gt;=0,MAX(INDEX(MMULT(inverseG,GS$12:GS$62),$A37+1,1),MAX(strike-$B37,0)),"")</f>
        <v/>
      </c>
      <c r="GU37" s="9" t="str">
        <f t="array" ref="GU37">IF(GU$11&gt;=0,MAX(INDEX(MMULT(inverseG,GT$12:GT$62),$A37+1,1),MAX(strike-$B37,0)),"")</f>
        <v/>
      </c>
      <c r="GV37" s="9" t="str">
        <f t="array" ref="GV37">IF(GV$11&gt;=0,MAX(INDEX(MMULT(inverseG,GU$12:GU$62),$A37+1,1),MAX(strike-$B37,0)),"")</f>
        <v/>
      </c>
      <c r="GW37" s="9" t="str">
        <f t="array" ref="GW37">IF(GW$11&gt;=0,MAX(INDEX(MMULT(inverseG,GV$12:GV$62),$A37+1,1),MAX(strike-$B37,0)),"")</f>
        <v/>
      </c>
      <c r="GX37" s="9" t="str">
        <f t="array" ref="GX37">IF(GX$11&gt;=0,MAX(INDEX(MMULT(inverseG,GW$12:GW$62),$A37+1,1),MAX(strike-$B37,0)),"")</f>
        <v/>
      </c>
      <c r="GY37" s="9" t="str">
        <f t="array" ref="GY37">IF(GY$11&gt;=0,MAX(INDEX(MMULT(inverseG,GX$12:GX$62),$A37+1,1),MAX(strike-$B37,0)),"")</f>
        <v/>
      </c>
      <c r="GZ37" s="9" t="str">
        <f t="array" ref="GZ37">IF(GZ$11&gt;=0,MAX(INDEX(MMULT(inverseG,GY$12:GY$62),$A37+1,1),MAX(strike-$B37,0)),"")</f>
        <v/>
      </c>
      <c r="HA37" s="9" t="str">
        <f t="array" ref="HA37">IF(HA$11&gt;=0,MAX(INDEX(MMULT(inverseG,GZ$12:GZ$62),$A37+1,1),MAX(strike-$B37,0)),"")</f>
        <v/>
      </c>
      <c r="HB37" s="9" t="str">
        <f t="array" ref="HB37">IF(HB$11&gt;=0,MAX(INDEX(MMULT(inverseG,HA$12:HA$62),$A37+1,1),MAX(strike-$B37,0)),"")</f>
        <v/>
      </c>
      <c r="HC37" s="9" t="str">
        <f t="array" ref="HC37">IF(HC$11&gt;=0,MAX(INDEX(MMULT(inverseG,HB$12:HB$62),$A37+1,1),MAX(strike-$B37,0)),"")</f>
        <v/>
      </c>
      <c r="HD37" s="9" t="str">
        <f t="array" ref="HD37">IF(HD$11&gt;=0,MAX(INDEX(MMULT(inverseG,HC$12:HC$62),$A37+1,1),MAX(strike-$B37,0)),"")</f>
        <v/>
      </c>
      <c r="HE37" s="9" t="str">
        <f t="array" ref="HE37">IF(HE$11&gt;=0,MAX(INDEX(MMULT(inverseG,HD$12:HD$62),$A37+1,1),MAX(strike-$B37,0)),"")</f>
        <v/>
      </c>
      <c r="HF37" s="9" t="str">
        <f t="array" ref="HF37">IF(HF$11&gt;=0,MAX(INDEX(MMULT(inverseG,HE$12:HE$62),$A37+1,1),MAX(strike-$B37,0)),"")</f>
        <v/>
      </c>
      <c r="HG37" s="9" t="str">
        <f t="array" ref="HG37">IF(HG$11&gt;=0,MAX(INDEX(MMULT(inverseG,HF$12:HF$62),$A37+1,1),MAX(strike-$B37,0)),"")</f>
        <v/>
      </c>
      <c r="HH37" s="9" t="str">
        <f t="array" ref="HH37">IF(HH$11&gt;=0,MAX(INDEX(MMULT(inverseG,HG$12:HG$62),$A37+1,1),MAX(strike-$B37,0)),"")</f>
        <v/>
      </c>
      <c r="HI37" s="9" t="str">
        <f t="array" ref="HI37">IF(HI$11&gt;=0,MAX(INDEX(MMULT(inverseG,HH$12:HH$62),$A37+1,1),MAX(strike-$B37,0)),"")</f>
        <v/>
      </c>
      <c r="HJ37" s="9" t="str">
        <f t="array" ref="HJ37">IF(HJ$11&gt;=0,MAX(INDEX(MMULT(inverseG,HI$12:HI$62),$A37+1,1),MAX(strike-$B37,0)),"")</f>
        <v/>
      </c>
      <c r="HK37" s="9" t="str">
        <f t="array" ref="HK37">IF(HK$11&gt;=0,MAX(INDEX(MMULT(inverseG,HJ$12:HJ$62),$A37+1,1),MAX(strike-$B37,0)),"")</f>
        <v/>
      </c>
      <c r="HL37" s="9" t="str">
        <f t="array" ref="HL37">IF(HL$11&gt;=0,MAX(INDEX(MMULT(inverseG,HK$12:HK$62),$A37+1,1),MAX(strike-$B37,0)),"")</f>
        <v/>
      </c>
      <c r="HM37" s="9" t="str">
        <f t="array" ref="HM37">IF(HM$11&gt;=0,MAX(INDEX(MMULT(inverseG,HL$12:HL$62),$A37+1,1),MAX(strike-$B37,0)),"")</f>
        <v/>
      </c>
      <c r="HN37" s="9" t="str">
        <f t="array" ref="HN37">IF(HN$11&gt;=0,MAX(INDEX(MMULT(inverseG,HM$12:HM$62),$A37+1,1),MAX(strike-$B37,0)),"")</f>
        <v/>
      </c>
      <c r="HO37" s="9" t="str">
        <f t="array" ref="HO37">IF(HO$11&gt;=0,MAX(INDEX(MMULT(inverseG,HN$12:HN$62),$A37+1,1),MAX(strike-$B37,0)),"")</f>
        <v/>
      </c>
      <c r="HP37" s="9" t="str">
        <f t="array" ref="HP37">IF(HP$11&gt;=0,MAX(INDEX(MMULT(inverseG,HO$12:HO$62),$A37+1,1),MAX(strike-$B37,0)),"")</f>
        <v/>
      </c>
      <c r="HQ37" s="9" t="str">
        <f t="array" ref="HQ37">IF(HQ$11&gt;=0,MAX(INDEX(MMULT(inverseG,HP$12:HP$62),$A37+1,1),MAX(strike-$B37,0)),"")</f>
        <v/>
      </c>
      <c r="HR37" s="9" t="str">
        <f t="array" ref="HR37">IF(HR$11&gt;=0,MAX(INDEX(MMULT(inverseG,HQ$12:HQ$62),$A37+1,1),MAX(strike-$B37,0)),"")</f>
        <v/>
      </c>
      <c r="HS37" s="9" t="str">
        <f t="array" ref="HS37">IF(HS$11&gt;=0,MAX(INDEX(MMULT(inverseG,HR$12:HR$62),$A37+1,1),MAX(strike-$B37,0)),"")</f>
        <v/>
      </c>
      <c r="HT37" s="9" t="str">
        <f t="array" ref="HT37">IF(HT$11&gt;=0,MAX(INDEX(MMULT(inverseG,HS$12:HS$62),$A37+1,1),MAX(strike-$B37,0)),"")</f>
        <v/>
      </c>
      <c r="HU37" s="9" t="str">
        <f t="array" ref="HU37">IF(HU$11&gt;=0,MAX(INDEX(MMULT(inverseG,HT$12:HT$62),$A37+1,1),MAX(strike-$B37,0)),"")</f>
        <v/>
      </c>
      <c r="HV37" s="9" t="str">
        <f t="array" ref="HV37">IF(HV$11&gt;=0,MAX(INDEX(MMULT(inverseG,HU$12:HU$62),$A37+1,1),MAX(strike-$B37,0)),"")</f>
        <v/>
      </c>
      <c r="HW37" s="9" t="str">
        <f t="array" ref="HW37">IF(HW$11&gt;=0,MAX(INDEX(MMULT(inverseG,HV$12:HV$62),$A37+1,1),MAX(strike-$B37,0)),"")</f>
        <v/>
      </c>
      <c r="HX37" s="9" t="str">
        <f t="array" ref="HX37">IF(HX$11&gt;=0,MAX(INDEX(MMULT(inverseG,HW$12:HW$62),$A37+1,1),MAX(strike-$B37,0)),"")</f>
        <v/>
      </c>
      <c r="HY37" s="9" t="str">
        <f t="array" ref="HY37">IF(HY$11&gt;=0,MAX(INDEX(MMULT(inverseG,HX$12:HX$62),$A37+1,1),MAX(strike-$B37,0)),"")</f>
        <v/>
      </c>
      <c r="HZ37" s="9" t="str">
        <f t="array" ref="HZ37">IF(HZ$11&gt;=0,MAX(INDEX(MMULT(inverseG,HY$12:HY$62),$A37+1,1),MAX(strike-$B37,0)),"")</f>
        <v/>
      </c>
      <c r="IA37" s="9" t="str">
        <f t="array" ref="IA37">IF(IA$11&gt;=0,MAX(INDEX(MMULT(inverseG,HZ$12:HZ$62),$A37+1,1),MAX(strike-$B37,0)),"")</f>
        <v/>
      </c>
      <c r="IB37" s="9" t="str">
        <f t="array" ref="IB37">IF(IB$11&gt;=0,MAX(INDEX(MMULT(inverseG,IA$12:IA$62),$A37+1,1),MAX(strike-$B37,0)),"")</f>
        <v/>
      </c>
      <c r="IC37" s="9" t="str">
        <f t="array" ref="IC37">IF(IC$11&gt;=0,MAX(INDEX(MMULT(inverseG,IB$12:IB$62),$A37+1,1),MAX(strike-$B37,0)),"")</f>
        <v/>
      </c>
      <c r="ID37" s="9" t="str">
        <f t="array" ref="ID37">IF(ID$11&gt;=0,MAX(INDEX(MMULT(inverseG,IC$12:IC$62),$A37+1,1),MAX(strike-$B37,0)),"")</f>
        <v/>
      </c>
      <c r="IE37" s="9" t="str">
        <f t="array" ref="IE37">IF(IE$11&gt;=0,MAX(INDEX(MMULT(inverseG,ID$12:ID$62),$A37+1,1),MAX(strike-$B37,0)),"")</f>
        <v/>
      </c>
      <c r="IF37" s="9" t="str">
        <f t="array" ref="IF37">IF(IF$11&gt;=0,MAX(INDEX(MMULT(inverseG,IE$12:IE$62),$A37+1,1),MAX(strike-$B37,0)),"")</f>
        <v/>
      </c>
      <c r="IG37" s="9" t="str">
        <f t="array" ref="IG37">IF(IG$11&gt;=0,MAX(INDEX(MMULT(inverseG,IF$12:IF$62),$A37+1,1),MAX(strike-$B37,0)),"")</f>
        <v/>
      </c>
      <c r="IH37" s="9" t="str">
        <f t="array" ref="IH37">IF(IH$11&gt;=0,MAX(INDEX(MMULT(inverseG,IG$12:IG$62),$A37+1,1),MAX(strike-$B37,0)),"")</f>
        <v/>
      </c>
      <c r="II37" s="9" t="str">
        <f t="array" ref="II37">IF(II$11&gt;=0,MAX(INDEX(MMULT(inverseG,IH$12:IH$62),$A37+1,1),MAX(strike-$B37,0)),"")</f>
        <v/>
      </c>
      <c r="IJ37" s="9" t="str">
        <f t="array" ref="IJ37">IF(IJ$11&gt;=0,MAX(INDEX(MMULT(inverseG,II$12:II$62),$A37+1,1),MAX(strike-$B37,0)),"")</f>
        <v/>
      </c>
      <c r="IK37" s="9" t="str">
        <f t="array" ref="IK37">IF(IK$11&gt;=0,MAX(INDEX(MMULT(inverseG,IJ$12:IJ$62),$A37+1,1),MAX(strike-$B37,0)),"")</f>
        <v/>
      </c>
      <c r="IL37" s="9" t="str">
        <f t="array" ref="IL37">IF(IL$11&gt;=0,MAX(INDEX(MMULT(inverseG,IK$12:IK$62),$A37+1,1),MAX(strike-$B37,0)),"")</f>
        <v/>
      </c>
      <c r="IM37" s="9" t="str">
        <f t="array" ref="IM37">IF(IM$11&gt;=0,MAX(INDEX(MMULT(inverseG,IL$12:IL$62),$A37+1,1),MAX(strike-$B37,0)),"")</f>
        <v/>
      </c>
      <c r="IN37" s="9" t="str">
        <f t="array" ref="IN37">IF(IN$11&gt;=0,MAX(INDEX(MMULT(inverseG,IM$12:IM$62),$A37+1,1),MAX(strike-$B37,0)),"")</f>
        <v/>
      </c>
      <c r="IO37" s="9" t="str">
        <f t="array" ref="IO37">IF(IO$11&gt;=0,MAX(INDEX(MMULT(inverseG,IN$12:IN$62),$A37+1,1),MAX(strike-$B37,0)),"")</f>
        <v/>
      </c>
      <c r="IP37" s="9" t="str">
        <f t="array" ref="IP37">IF(IP$11&gt;=0,MAX(INDEX(MMULT(inverseG,IO$12:IO$62),$A37+1,1),MAX(strike-$B37,0)),"")</f>
        <v/>
      </c>
      <c r="IQ37" s="9" t="str">
        <f t="array" ref="IQ37">IF(IQ$11&gt;=0,MAX(INDEX(MMULT(inverseG,IP$12:IP$62),$A37+1,1),MAX(strike-$B37,0)),"")</f>
        <v/>
      </c>
      <c r="IR37" s="9" t="str">
        <f t="array" ref="IR37">IF(IR$11&gt;=0,MAX(INDEX(MMULT(inverseG,IQ$12:IQ$62),$A37+1,1),MAX(strike-$B37,0)),"")</f>
        <v/>
      </c>
      <c r="IS37" s="9" t="str">
        <f t="array" ref="IS37">IF(IS$11&gt;=0,MAX(INDEX(MMULT(inverseG,IR$12:IR$62),$A37+1,1),MAX(strike-$B37,0)),"")</f>
        <v/>
      </c>
      <c r="IT37" s="9" t="str">
        <f t="array" ref="IT37">IF(IT$11&gt;=0,MAX(INDEX(MMULT(inverseG,IS$12:IS$62),$A37+1,1),MAX(strike-$B37,0)),"")</f>
        <v/>
      </c>
      <c r="IU37" s="9" t="str">
        <f t="array" ref="IU37">IF(IU$11&gt;=0,MAX(INDEX(MMULT(inverseG,IT$12:IT$62),$A37+1,1),MAX(strike-$B37,0)),"")</f>
        <v/>
      </c>
      <c r="IV37" s="9" t="str">
        <f t="array" ref="IV37">IF(IV$11&gt;=0,MAX(INDEX(MMULT(inverseG,IU$12:IU$62),$A37+1,1),MAX(strike-$B37,0)),"")</f>
        <v/>
      </c>
    </row>
    <row r="38" spans="1:256" x14ac:dyDescent="0.2">
      <c r="A38" s="8">
        <f t="shared" si="7"/>
        <v>26</v>
      </c>
      <c r="B38" s="6">
        <f t="shared" si="4"/>
        <v>6.5</v>
      </c>
      <c r="C38" s="30">
        <f t="shared" ca="1" si="6"/>
        <v>0.32204625758293187</v>
      </c>
      <c r="D38" s="9">
        <f t="shared" si="5"/>
        <v>0</v>
      </c>
      <c r="E38" s="9">
        <f t="array" ref="E38">IF(E$11&gt;=0,MAX(INDEX(MMULT(inverseG,D$12:D$62),$A38+1,1),MAX(strike-$B38,0)),"")</f>
        <v>1.2966355293278134E-4</v>
      </c>
      <c r="F38" s="9">
        <f t="array" ref="F38">IF(F$11&gt;=0,MAX(INDEX(MMULT(inverseG,E$12:E$62),$A38+1,1),MAX(strike-$B38,0)),"")</f>
        <v>5.8226330081934184E-4</v>
      </c>
      <c r="G38" s="9">
        <f t="array" ref="G38">IF(G$11&gt;=0,MAX(INDEX(MMULT(inverseG,F$12:F$62),$A38+1,1),MAX(strike-$B38,0)),"")</f>
        <v>1.5196626262329854E-3</v>
      </c>
      <c r="H38" s="9">
        <f t="array" ref="H38">IF(H$11&gt;=0,MAX(INDEX(MMULT(inverseG,G$12:G$62),$A38+1,1),MAX(strike-$B38,0)),"")</f>
        <v>3.0300351527426704E-3</v>
      </c>
      <c r="I38" s="9">
        <f t="array" ref="I38">IF(I$11&gt;=0,MAX(INDEX(MMULT(inverseG,H$12:H$62),$A38+1,1),MAX(strike-$B38,0)),"")</f>
        <v>5.1304590692268599E-3</v>
      </c>
      <c r="J38" s="9">
        <f t="array" ref="J38">IF(J$11&gt;=0,MAX(INDEX(MMULT(inverseG,I$12:I$62),$A38+1,1),MAX(strike-$B38,0)),"")</f>
        <v>7.7879616650507136E-3</v>
      </c>
      <c r="K38" s="9">
        <f t="array" ref="K38">IF(K$11&gt;=0,MAX(INDEX(MMULT(inverseG,J$12:J$62),$A38+1,1),MAX(strike-$B38,0)),"")</f>
        <v>1.0941731833560588E-2</v>
      </c>
      <c r="L38" s="9">
        <f t="array" ref="L38">IF(L$11&gt;=0,MAX(INDEX(MMULT(inverseG,K$12:K$62),$A38+1,1),MAX(strike-$B38,0)),"")</f>
        <v>1.4519891375772417E-2</v>
      </c>
      <c r="M38" s="9">
        <f t="array" ref="M38">IF(M$11&gt;=0,MAX(INDEX(MMULT(inverseG,L$12:L$62),$A38+1,1),MAX(strike-$B38,0)),"")</f>
        <v>1.8450073753928459E-2</v>
      </c>
      <c r="N38" s="9">
        <f t="array" ref="N38">IF(N$11&gt;=0,MAX(INDEX(MMULT(inverseG,M$12:M$62),$A38+1,1),MAX(strike-$B38,0)),"")</f>
        <v>2.2665160934236598E-2</v>
      </c>
      <c r="O38" s="9">
        <f t="array" ref="O38">IF(O$11&gt;=0,MAX(INDEX(MMULT(inverseG,N$12:N$62),$A38+1,1),MAX(strike-$B38,0)),"")</f>
        <v>2.7105815004860163E-2</v>
      </c>
      <c r="P38" s="9">
        <f t="array" ref="P38">IF(P$11&gt;=0,MAX(INDEX(MMULT(inverseG,O$12:O$62),$A38+1,1),MAX(strike-$B38,0)),"")</f>
        <v>3.1721111042281494E-2</v>
      </c>
      <c r="Q38" s="9">
        <f t="array" ref="Q38">IF(Q$11&gt;=0,MAX(INDEX(MMULT(inverseG,P$12:P$62),$A38+1,1),MAX(strike-$B38,0)),"")</f>
        <v>3.646815792424235E-2</v>
      </c>
      <c r="R38" s="9">
        <f t="array" ref="R38">IF(R$11&gt;=0,MAX(INDEX(MMULT(inverseG,Q$12:Q$62),$A38+1,1),MAX(strike-$B38,0)),"")</f>
        <v>4.1311254539718872E-2</v>
      </c>
      <c r="S38" s="9">
        <f t="array" ref="S38">IF(S$11&gt;=0,MAX(INDEX(MMULT(inverseG,R$12:R$62),$A38+1,1),MAX(strike-$B38,0)),"")</f>
        <v>4.6220895196141511E-2</v>
      </c>
      <c r="T38" s="9">
        <f t="array" ref="T38">IF(T$11&gt;=0,MAX(INDEX(MMULT(inverseG,S$12:S$62),$A38+1,1),MAX(strike-$B38,0)),"")</f>
        <v>5.1172791229362434E-2</v>
      </c>
      <c r="U38" s="9">
        <f t="array" ref="U38">IF(U$11&gt;=0,MAX(INDEX(MMULT(inverseG,T$12:T$62),$A38+1,1),MAX(strike-$B38,0)),"")</f>
        <v>5.6146992077966647E-2</v>
      </c>
      <c r="V38" s="9">
        <f t="array" ref="V38">IF(V$11&gt;=0,MAX(INDEX(MMULT(inverseG,U$12:U$62),$A38+1,1),MAX(strike-$B38,0)),"")</f>
        <v>6.1127137236014845E-2</v>
      </c>
      <c r="W38" s="9">
        <f t="array" ref="W38">IF(W$11&gt;=0,MAX(INDEX(MMULT(inverseG,V$12:V$62),$A38+1,1),MAX(strike-$B38,0)),"")</f>
        <v>6.6099838326852053E-2</v>
      </c>
      <c r="X38" s="9">
        <f t="array" ref="X38">IF(X$11&gt;=0,MAX(INDEX(MMULT(inverseG,W$12:W$62),$A38+1,1),MAX(strike-$B38,0)),"")</f>
        <v>7.1054174198841899E-2</v>
      </c>
      <c r="Y38" s="9">
        <f t="array" ref="Y38">IF(Y$11&gt;=0,MAX(INDEX(MMULT(inverseG,X$12:X$62),$A38+1,1),MAX(strike-$B38,0)),"")</f>
        <v>7.5981277271468459E-2</v>
      </c>
      <c r="Z38" s="9">
        <f t="array" ref="Z38">IF(Z$11&gt;=0,MAX(INDEX(MMULT(inverseG,Y$12:Y$62),$A38+1,1),MAX(strike-$B38,0)),"")</f>
        <v>8.087399132141275E-2</v>
      </c>
      <c r="AA38" s="9">
        <f t="array" ref="AA38">IF(AA$11&gt;=0,MAX(INDEX(MMULT(inverseG,Z$12:Z$62),$A38+1,1),MAX(strike-$B38,0)),"")</f>
        <v>8.57265853064655E-2</v>
      </c>
      <c r="AB38" s="9">
        <f t="array" ref="AB38">IF(AB$11&gt;=0,MAX(INDEX(MMULT(inverseG,AA$12:AA$62),$A38+1,1),MAX(strike-$B38,0)),"")</f>
        <v>9.0534512185564783E-2</v>
      </c>
      <c r="AC38" s="9">
        <f t="array" ref="AC38">IF(AC$11&gt;=0,MAX(INDEX(MMULT(inverseG,AB$12:AB$62),$A38+1,1),MAX(strike-$B38,0)),"")</f>
        <v>9.5294204999649912E-2</v>
      </c>
      <c r="AD38" s="9">
        <f t="array" ref="AD38">IF(AD$11&gt;=0,MAX(INDEX(MMULT(inverseG,AC$12:AC$62),$A38+1,1),MAX(strike-$B38,0)),"")</f>
        <v>0.10000290462322849</v>
      </c>
      <c r="AE38" s="9">
        <f t="array" ref="AE38">IF(AE$11&gt;=0,MAX(INDEX(MMULT(inverseG,AD$12:AD$62),$A38+1,1),MAX(strike-$B38,0)),"")</f>
        <v>0.10465851485161684</v>
      </c>
      <c r="AF38" s="9">
        <f t="array" ref="AF38">IF(AF$11&gt;=0,MAX(INDEX(MMULT(inverseG,AE$12:AE$62),$A38+1,1),MAX(strike-$B38,0)),"")</f>
        <v>0.1092594811902183</v>
      </c>
      <c r="AG38" s="9">
        <f t="array" ref="AG38">IF(AG$11&gt;=0,MAX(INDEX(MMULT(inverseG,AF$12:AF$62),$A38+1,1),MAX(strike-$B38,0)),"")</f>
        <v>0.11380469012722601</v>
      </c>
      <c r="AH38" s="9">
        <f t="array" ref="AH38">IF(AH$11&gt;=0,MAX(INDEX(MMULT(inverseG,AG$12:AG$62),$A38+1,1),MAX(strike-$B38,0)),"")</f>
        <v>0.11829338596857281</v>
      </c>
      <c r="AI38" s="9">
        <f t="array" ref="AI38">IF(AI$11&gt;=0,MAX(INDEX(MMULT(inverseG,AH$12:AH$62),$A38+1,1),MAX(strike-$B38,0)),"")</f>
        <v>0.1227251025808989</v>
      </c>
      <c r="AJ38" s="9">
        <f t="array" ref="AJ38">IF(AJ$11&gt;=0,MAX(INDEX(MMULT(inverseG,AI$12:AI$62),$A38+1,1),MAX(strike-$B38,0)),"")</f>
        <v>0.12709960765833164</v>
      </c>
      <c r="AK38" s="9">
        <f t="array" ref="AK38">IF(AK$11&gt;=0,MAX(INDEX(MMULT(inverseG,AJ$12:AJ$62),$A38+1,1),MAX(strike-$B38,0)),"")</f>
        <v>0.1314168574065433</v>
      </c>
      <c r="AL38" s="9">
        <f t="array" ref="AL38">IF(AL$11&gt;=0,MAX(INDEX(MMULT(inverseG,AK$12:AK$62),$A38+1,1),MAX(strike-$B38,0)),"")</f>
        <v>0.13567695981510283</v>
      </c>
      <c r="AM38" s="9">
        <f t="array" ref="AM38">IF(AM$11&gt;=0,MAX(INDEX(MMULT(inverseG,AL$12:AL$62),$A38+1,1),MAX(strike-$B38,0)),"")</f>
        <v>0.13988014495599504</v>
      </c>
      <c r="AN38" s="9">
        <f t="array" ref="AN38">IF(AN$11&gt;=0,MAX(INDEX(MMULT(inverseG,AM$12:AM$62),$A38+1,1),MAX(strike-$B38,0)),"")</f>
        <v>0.14402674099345789</v>
      </c>
      <c r="AO38" s="9">
        <f t="array" ref="AO38">IF(AO$11&gt;=0,MAX(INDEX(MMULT(inverseG,AN$12:AN$62),$A38+1,1),MAX(strike-$B38,0)),"")</f>
        <v>0.14811715528601277</v>
      </c>
      <c r="AP38" s="9">
        <f t="array" ref="AP38">IF(AP$11&gt;=0,MAX(INDEX(MMULT(inverseG,AO$12:AO$62),$A38+1,1),MAX(strike-$B38,0)),"")</f>
        <v>0.15215186037820277</v>
      </c>
      <c r="AQ38" s="9">
        <f t="array" ref="AQ38">IF(AQ$11&gt;=0,MAX(INDEX(MMULT(inverseG,AP$12:AP$62),$A38+1,1),MAX(strike-$B38,0)),"")</f>
        <v>0.15613138446423494</v>
      </c>
      <c r="AR38" s="9">
        <f t="array" ref="AR38">IF(AR$11&gt;=0,MAX(INDEX(MMULT(inverseG,AQ$12:AQ$62),$A38+1,1),MAX(strike-$B38,0)),"")</f>
        <v>0.16005630539189178</v>
      </c>
      <c r="AS38" s="9">
        <f t="array" ref="AS38">IF(AS$11&gt;=0,MAX(INDEX(MMULT(inverseG,AR$12:AR$62),$A38+1,1),MAX(strike-$B38,0)),"")</f>
        <v>0.16392724691312791</v>
      </c>
      <c r="AT38" s="9">
        <f t="array" ref="AT38">IF(AT$11&gt;=0,MAX(INDEX(MMULT(inverseG,AS$12:AS$62),$A38+1,1),MAX(strike-$B38,0)),"")</f>
        <v>0.16774487587531409</v>
      </c>
      <c r="AU38" s="9">
        <f t="array" ref="AU38">IF(AU$11&gt;=0,MAX(INDEX(MMULT(inverseG,AT$12:AT$62),$A38+1,1),MAX(strike-$B38,0)),"")</f>
        <v>0.17150989932888913</v>
      </c>
      <c r="AV38" s="9">
        <f t="array" ref="AV38">IF(AV$11&gt;=0,MAX(INDEX(MMULT(inverseG,AU$12:AU$62),$A38+1,1),MAX(strike-$B38,0)),"")</f>
        <v>0.17522306094129969</v>
      </c>
      <c r="AW38" s="9">
        <f t="array" ref="AW38">IF(AW$11&gt;=0,MAX(INDEX(MMULT(inverseG,AV$12:AV$62),$A38+1,1),MAX(strike-$B38,0)),"")</f>
        <v>0.17888513650551138</v>
      </c>
      <c r="AX38" s="9">
        <f t="array" ref="AX38">IF(AX$11&gt;=0,MAX(INDEX(MMULT(inverseG,AW$12:AW$62),$A38+1,1),MAX(strike-$B38,0)),"")</f>
        <v>0.18249692862923006</v>
      </c>
      <c r="AY38" s="9">
        <f t="array" ref="AY38">IF(AY$11&gt;=0,MAX(INDEX(MMULT(inverseG,AX$12:AX$62),$A38+1,1),MAX(strike-$B38,0)),"")</f>
        <v>0.18605926086479141</v>
      </c>
      <c r="AZ38" s="9">
        <f t="array" ref="AZ38">IF(AZ$11&gt;=0,MAX(INDEX(MMULT(inverseG,AY$12:AY$62),$A38+1,1),MAX(strike-$B38,0)),"")</f>
        <v>0.18957297160499295</v>
      </c>
      <c r="BA38" s="9">
        <f t="array" ref="BA38">IF(BA$11&gt;=0,MAX(INDEX(MMULT(inverseG,AZ$12:AZ$62),$A38+1,1),MAX(strike-$B38,0)),"")</f>
        <v>0.1930389080588408</v>
      </c>
      <c r="BB38" s="9">
        <f t="array" ref="BB38">IF(BB$11&gt;=0,MAX(INDEX(MMULT(inverseG,BA$12:BA$62),$A38+1,1),MAX(strike-$B38,0)),"")</f>
        <v>0.19645792056606637</v>
      </c>
      <c r="BC38" s="9">
        <f t="array" ref="BC38">IF(BC$11&gt;=0,MAX(INDEX(MMULT(inverseG,BB$12:BB$62),$A38+1,1),MAX(strike-$B38,0)),"")</f>
        <v>0.19983085743654785</v>
      </c>
      <c r="BD38" s="9">
        <f t="array" ref="BD38">IF(BD$11&gt;=0,MAX(INDEX(MMULT(inverseG,BC$12:BC$62),$A38+1,1),MAX(strike-$B38,0)),"")</f>
        <v>0.20315856042799876</v>
      </c>
      <c r="BE38" s="9">
        <f t="array" ref="BE38">IF(BE$11&gt;=0,MAX(INDEX(MMULT(inverseG,BD$12:BD$62),$A38+1,1),MAX(strike-$B38,0)),"")</f>
        <v>0.20644186091225603</v>
      </c>
      <c r="BF38" s="9">
        <f t="array" ref="BF38">IF(BF$11&gt;=0,MAX(INDEX(MMULT(inverseG,BE$12:BE$62),$A38+1,1),MAX(strike-$B38,0)),"")</f>
        <v>0.20968157673129806</v>
      </c>
      <c r="BG38" s="9">
        <f t="array" ref="BG38">IF(BG$11&gt;=0,MAX(INDEX(MMULT(inverseG,BF$12:BF$62),$A38+1,1),MAX(strike-$B38,0)),"")</f>
        <v>0.21287850970914157</v>
      </c>
      <c r="BH38" s="9">
        <f t="array" ref="BH38">IF(BH$11&gt;=0,MAX(INDEX(MMULT(inverseG,BG$12:BG$62),$A38+1,1),MAX(strike-$B38,0)),"")</f>
        <v>0.21603344376343084</v>
      </c>
      <c r="BI38" s="9">
        <f t="array" ref="BI38">IF(BI$11&gt;=0,MAX(INDEX(MMULT(inverseG,BH$12:BH$62),$A38+1,1),MAX(strike-$B38,0)),"")</f>
        <v>0.21914714354839585</v>
      </c>
      <c r="BJ38" s="9">
        <f t="array" ref="BJ38">IF(BJ$11&gt;=0,MAX(INDEX(MMULT(inverseG,BI$12:BI$62),$A38+1,1),MAX(strike-$B38,0)),"")</f>
        <v>0.22222035355637448</v>
      </c>
      <c r="BK38" s="9">
        <f t="array" ref="BK38">IF(BK$11&gt;=0,MAX(INDEX(MMULT(inverseG,BJ$12:BJ$62),$A38+1,1),MAX(strike-$B38,0)),"")</f>
        <v>0.22525379760594949</v>
      </c>
      <c r="BL38" s="9">
        <f t="array" ref="BL38">IF(BL$11&gt;=0,MAX(INDEX(MMULT(inverseG,BK$12:BK$62),$A38+1,1),MAX(strike-$B38,0)),"")</f>
        <v>0.22824817864905142</v>
      </c>
      <c r="BM38" s="9">
        <f t="array" ref="BM38">IF(BM$11&gt;=0,MAX(INDEX(MMULT(inverseG,BL$12:BL$62),$A38+1,1),MAX(strike-$B38,0)),"")</f>
        <v>0.23120417883566372</v>
      </c>
      <c r="BN38" s="9">
        <f t="array" ref="BN38">IF(BN$11&gt;=0,MAX(INDEX(MMULT(inverseG,BM$12:BM$62),$A38+1,1),MAX(strike-$B38,0)),"")</f>
        <v>0.23412245978197946</v>
      </c>
      <c r="BO38" s="9">
        <f t="array" ref="BO38">IF(BO$11&gt;=0,MAX(INDEX(MMULT(inverseG,BN$12:BN$62),$A38+1,1),MAX(strike-$B38,0)),"")</f>
        <v>0.23700366299526418</v>
      </c>
      <c r="BP38" s="9">
        <f t="array" ref="BP38">IF(BP$11&gt;=0,MAX(INDEX(MMULT(inverseG,BO$12:BO$62),$A38+1,1),MAX(strike-$B38,0)),"")</f>
        <v>0.23984841041582361</v>
      </c>
      <c r="BQ38" s="9">
        <f t="array" ref="BQ38">IF(BQ$11&gt;=0,MAX(INDEX(MMULT(inverseG,BP$12:BP$62),$A38+1,1),MAX(strike-$B38,0)),"")</f>
        <v>0.24265730504306077</v>
      </c>
      <c r="BR38" s="9">
        <f t="array" ref="BR38">IF(BR$11&gt;=0,MAX(INDEX(MMULT(inverseG,BQ$12:BQ$62),$A38+1,1),MAX(strike-$B38,0)),"")</f>
        <v>0.24543093161851126</v>
      </c>
      <c r="BS38" s="9">
        <f t="array" ref="BS38">IF(BS$11&gt;=0,MAX(INDEX(MMULT(inverseG,BR$12:BR$62),$A38+1,1),MAX(strike-$B38,0)),"")</f>
        <v>0.24816985734390762</v>
      </c>
      <c r="BT38" s="9">
        <f t="array" ref="BT38">IF(BT$11&gt;=0,MAX(INDEX(MMULT(inverseG,BS$12:BS$62),$A38+1,1),MAX(strike-$B38,0)),"")</f>
        <v>0.25087463261675941</v>
      </c>
      <c r="BU38" s="9">
        <f t="array" ref="BU38">IF(BU$11&gt;=0,MAX(INDEX(MMULT(inverseG,BT$12:BT$62),$A38+1,1),MAX(strike-$B38,0)),"")</f>
        <v>0.25354579176968733</v>
      </c>
      <c r="BV38" s="9">
        <f t="array" ref="BV38">IF(BV$11&gt;=0,MAX(INDEX(MMULT(inverseG,BU$12:BU$62),$A38+1,1),MAX(strike-$B38,0)),"")</f>
        <v>0.256183853802884</v>
      </c>
      <c r="BW38" s="9">
        <f t="array" ref="BW38">IF(BW$11&gt;=0,MAX(INDEX(MMULT(inverseG,BV$12:BV$62),$A38+1,1),MAX(strike-$B38,0)),"")</f>
        <v>0.25878932310166192</v>
      </c>
      <c r="BX38" s="9">
        <f t="array" ref="BX38">IF(BX$11&gt;=0,MAX(INDEX(MMULT(inverseG,BW$12:BW$62),$A38+1,1),MAX(strike-$B38,0)),"")</f>
        <v>0.26136269013316477</v>
      </c>
      <c r="BY38" s="9">
        <f t="array" ref="BY38">IF(BY$11&gt;=0,MAX(INDEX(MMULT(inverseG,BX$12:BX$62),$A38+1,1),MAX(strike-$B38,0)),"")</f>
        <v>0.2639044321180265</v>
      </c>
      <c r="BZ38" s="9">
        <f t="array" ref="BZ38">IF(BZ$11&gt;=0,MAX(INDEX(MMULT(inverseG,BY$12:BY$62),$A38+1,1),MAX(strike-$B38,0)),"")</f>
        <v>0.26641501367413972</v>
      </c>
      <c r="CA38" s="9">
        <f t="array" ref="CA38">IF(CA$11&gt;=0,MAX(INDEX(MMULT(inverseG,BZ$12:BZ$62),$A38+1,1),MAX(strike-$B38,0)),"")</f>
        <v>0.2688948874307705</v>
      </c>
      <c r="CB38" s="9">
        <f t="array" ref="CB38">IF(CB$11&gt;=0,MAX(INDEX(MMULT(inverseG,CA$12:CA$62),$A38+1,1),MAX(strike-$B38,0)),"")</f>
        <v>0.27134449461212173</v>
      </c>
      <c r="CC38" s="9">
        <f t="array" ref="CC38">IF(CC$11&gt;=0,MAX(INDEX(MMULT(inverseG,CB$12:CB$62),$A38+1,1),MAX(strike-$B38,0)),"")</f>
        <v>0.27376426559009515</v>
      </c>
      <c r="CD38" s="9">
        <f t="array" ref="CD38">IF(CD$11&gt;=0,MAX(INDEX(MMULT(inverseG,CC$12:CC$62),$A38+1,1),MAX(strike-$B38,0)),"")</f>
        <v>0.2761546204065104</v>
      </c>
      <c r="CE38" s="9">
        <f t="array" ref="CE38">IF(CE$11&gt;=0,MAX(INDEX(MMULT(inverseG,CD$12:CD$62),$A38+1,1),MAX(strike-$B38,0)),"")</f>
        <v>0.27851596926541283</v>
      </c>
      <c r="CF38" s="9">
        <f t="array" ref="CF38">IF(CF$11&gt;=0,MAX(INDEX(MMULT(inverseG,CE$12:CE$62),$A38+1,1),MAX(strike-$B38,0)),"")</f>
        <v>0.28084871299637904</v>
      </c>
      <c r="CG38" s="9">
        <f t="array" ref="CG38">IF(CG$11&gt;=0,MAX(INDEX(MMULT(inverseG,CF$12:CF$62),$A38+1,1),MAX(strike-$B38,0)),"")</f>
        <v>0.283153243489915</v>
      </c>
      <c r="CH38" s="9">
        <f t="array" ref="CH38">IF(CH$11&gt;=0,MAX(INDEX(MMULT(inverseG,CG$12:CG$62),$A38+1,1),MAX(strike-$B38,0)),"")</f>
        <v>0.28542994410617745</v>
      </c>
      <c r="CI38" s="9">
        <f t="array" ref="CI38">IF(CI$11&gt;=0,MAX(INDEX(MMULT(inverseG,CH$12:CH$62),$A38+1,1),MAX(strike-$B38,0)),"")</f>
        <v>0.2876791900583236</v>
      </c>
      <c r="CJ38" s="9">
        <f t="array" ref="CJ38">IF(CJ$11&gt;=0,MAX(INDEX(MMULT(inverseG,CI$12:CI$62),$A38+1,1),MAX(strike-$B38,0)),"")</f>
        <v>0.28990134877183771</v>
      </c>
      <c r="CK38" s="9">
        <f t="array" ref="CK38">IF(CK$11&gt;=0,MAX(INDEX(MMULT(inverseG,CJ$12:CJ$62),$A38+1,1),MAX(strike-$B38,0)),"")</f>
        <v>0.29209678022118418</v>
      </c>
      <c r="CL38" s="9">
        <f t="array" ref="CL38">IF(CL$11&gt;=0,MAX(INDEX(MMULT(inverseG,CK$12:CK$62),$A38+1,1),MAX(strike-$B38,0)),"")</f>
        <v>0.29426583724513616</v>
      </c>
      <c r="CM38" s="9">
        <f t="array" ref="CM38">IF(CM$11&gt;=0,MAX(INDEX(MMULT(inverseG,CL$12:CL$62),$A38+1,1),MAX(strike-$B38,0)),"")</f>
        <v>0.29640886584208836</v>
      </c>
      <c r="CN38" s="9">
        <f t="array" ref="CN38">IF(CN$11&gt;=0,MAX(INDEX(MMULT(inverseG,CM$12:CM$62),$A38+1,1),MAX(strike-$B38,0)),"")</f>
        <v>0.29852620544662706</v>
      </c>
      <c r="CO38" s="9">
        <f t="array" ref="CO38">IF(CO$11&gt;=0,MAX(INDEX(MMULT(inverseG,CN$12:CN$62),$A38+1,1),MAX(strike-$B38,0)),"")</f>
        <v>0.30061818918857786</v>
      </c>
      <c r="CP38" s="9">
        <f t="array" ref="CP38">IF(CP$11&gt;=0,MAX(INDEX(MMULT(inverseG,CO$12:CO$62),$A38+1,1),MAX(strike-$B38,0)),"")</f>
        <v>0.30268514413569653</v>
      </c>
      <c r="CQ38" s="9">
        <f t="array" ref="CQ38">IF(CQ$11&gt;=0,MAX(INDEX(MMULT(inverseG,CP$12:CP$62),$A38+1,1),MAX(strike-$B38,0)),"")</f>
        <v>0.30472739152110845</v>
      </c>
      <c r="CR38" s="9">
        <f t="array" ref="CR38">IF(CR$11&gt;=0,MAX(INDEX(MMULT(inverseG,CQ$12:CQ$62),$A38+1,1),MAX(strike-$B38,0)),"")</f>
        <v>0.30674524695654543</v>
      </c>
      <c r="CS38" s="9">
        <f t="array" ref="CS38">IF(CS$11&gt;=0,MAX(INDEX(MMULT(inverseG,CR$12:CR$62),$A38+1,1),MAX(strike-$B38,0)),"")</f>
        <v>0.30873902065056108</v>
      </c>
      <c r="CT38" s="9">
        <f t="array" ref="CT38">IF(CT$11&gt;=0,MAX(INDEX(MMULT(inverseG,CS$12:CS$62),$A38+1,1),MAX(strike-$B38,0)),"")</f>
        <v>0.31070901768298298</v>
      </c>
      <c r="CU38" s="9">
        <f t="array" ref="CU38">IF(CU$11&gt;=0,MAX(INDEX(MMULT(inverseG,CT$12:CT$62),$A38+1,1),MAX(strike-$B38,0)),"")</f>
        <v>0.31265553839912713</v>
      </c>
      <c r="CV38" s="9">
        <f t="array" ref="CV38">IF(CV$11&gt;=0,MAX(INDEX(MMULT(inverseG,CU$12:CU$62),$A38+1,1),MAX(strike-$B38,0)),"")</f>
        <v>0.31457887896233289</v>
      </c>
      <c r="CW38" s="9">
        <f t="array" ref="CW38">IF(CW$11&gt;=0,MAX(INDEX(MMULT(inverseG,CV$12:CV$62),$A38+1,1),MAX(strike-$B38,0)),"")</f>
        <v>0.3164793320540768</v>
      </c>
      <c r="CX38" s="9">
        <f t="array" ref="CX38">IF(CX$11&gt;=0,MAX(INDEX(MMULT(inverseG,CW$12:CW$62),$A38+1,1),MAX(strike-$B38,0)),"")</f>
        <v>0.31835718766291576</v>
      </c>
      <c r="CY38" s="9">
        <f t="array" ref="CY38">IF(CY$11&gt;=0,MAX(INDEX(MMULT(inverseG,CX$12:CX$62),$A38+1,1),MAX(strike-$B38,0)),"")</f>
        <v>0.3202127338757747</v>
      </c>
      <c r="CZ38" s="9">
        <f t="array" ref="CZ38">IF(CZ$11&gt;=0,MAX(INDEX(MMULT(inverseG,CY$12:CY$62),$A38+1,1),MAX(strike-$B38,0)),"")</f>
        <v>0.32204625758293187</v>
      </c>
      <c r="DA38" s="9" t="str">
        <f t="array" ref="DA38">IF(DA$11&gt;=0,MAX(INDEX(MMULT(inverseG,CZ$12:CZ$62),$A38+1,1),MAX(strike-$B38,0)),"")</f>
        <v/>
      </c>
      <c r="DB38" s="9" t="str">
        <f t="array" ref="DB38">IF(DB$11&gt;=0,MAX(INDEX(MMULT(inverseG,DA$12:DA$62),$A38+1,1),MAX(strike-$B38,0)),"")</f>
        <v/>
      </c>
      <c r="DC38" s="9" t="str">
        <f t="array" ref="DC38">IF(DC$11&gt;=0,MAX(INDEX(MMULT(inverseG,DB$12:DB$62),$A38+1,1),MAX(strike-$B38,0)),"")</f>
        <v/>
      </c>
      <c r="DD38" s="9" t="str">
        <f t="array" ref="DD38">IF(DD$11&gt;=0,MAX(INDEX(MMULT(inverseG,DC$12:DC$62),$A38+1,1),MAX(strike-$B38,0)),"")</f>
        <v/>
      </c>
      <c r="DE38" s="9" t="str">
        <f t="array" ref="DE38">IF(DE$11&gt;=0,MAX(INDEX(MMULT(inverseG,DD$12:DD$62),$A38+1,1),MAX(strike-$B38,0)),"")</f>
        <v/>
      </c>
      <c r="DF38" s="9" t="str">
        <f t="array" ref="DF38">IF(DF$11&gt;=0,MAX(INDEX(MMULT(inverseG,DE$12:DE$62),$A38+1,1),MAX(strike-$B38,0)),"")</f>
        <v/>
      </c>
      <c r="DG38" s="9" t="str">
        <f t="array" ref="DG38">IF(DG$11&gt;=0,MAX(INDEX(MMULT(inverseG,DF$12:DF$62),$A38+1,1),MAX(strike-$B38,0)),"")</f>
        <v/>
      </c>
      <c r="DH38" s="9" t="str">
        <f t="array" ref="DH38">IF(DH$11&gt;=0,MAX(INDEX(MMULT(inverseG,DG$12:DG$62),$A38+1,1),MAX(strike-$B38,0)),"")</f>
        <v/>
      </c>
      <c r="DI38" s="9" t="str">
        <f t="array" ref="DI38">IF(DI$11&gt;=0,MAX(INDEX(MMULT(inverseG,DH$12:DH$62),$A38+1,1),MAX(strike-$B38,0)),"")</f>
        <v/>
      </c>
      <c r="DJ38" s="9" t="str">
        <f t="array" ref="DJ38">IF(DJ$11&gt;=0,MAX(INDEX(MMULT(inverseG,DI$12:DI$62),$A38+1,1),MAX(strike-$B38,0)),"")</f>
        <v/>
      </c>
      <c r="DK38" s="9" t="str">
        <f t="array" ref="DK38">IF(DK$11&gt;=0,MAX(INDEX(MMULT(inverseG,DJ$12:DJ$62),$A38+1,1),MAX(strike-$B38,0)),"")</f>
        <v/>
      </c>
      <c r="DL38" s="9" t="str">
        <f t="array" ref="DL38">IF(DL$11&gt;=0,MAX(INDEX(MMULT(inverseG,DK$12:DK$62),$A38+1,1),MAX(strike-$B38,0)),"")</f>
        <v/>
      </c>
      <c r="DM38" s="9" t="str">
        <f t="array" ref="DM38">IF(DM$11&gt;=0,MAX(INDEX(MMULT(inverseG,DL$12:DL$62),$A38+1,1),MAX(strike-$B38,0)),"")</f>
        <v/>
      </c>
      <c r="DN38" s="9" t="str">
        <f t="array" ref="DN38">IF(DN$11&gt;=0,MAX(INDEX(MMULT(inverseG,DM$12:DM$62),$A38+1,1),MAX(strike-$B38,0)),"")</f>
        <v/>
      </c>
      <c r="DO38" s="9" t="str">
        <f t="array" ref="DO38">IF(DO$11&gt;=0,MAX(INDEX(MMULT(inverseG,DN$12:DN$62),$A38+1,1),MAX(strike-$B38,0)),"")</f>
        <v/>
      </c>
      <c r="DP38" s="9" t="str">
        <f t="array" ref="DP38">IF(DP$11&gt;=0,MAX(INDEX(MMULT(inverseG,DO$12:DO$62),$A38+1,1),MAX(strike-$B38,0)),"")</f>
        <v/>
      </c>
      <c r="DQ38" s="9" t="str">
        <f t="array" ref="DQ38">IF(DQ$11&gt;=0,MAX(INDEX(MMULT(inverseG,DP$12:DP$62),$A38+1,1),MAX(strike-$B38,0)),"")</f>
        <v/>
      </c>
      <c r="DR38" s="9" t="str">
        <f t="array" ref="DR38">IF(DR$11&gt;=0,MAX(INDEX(MMULT(inverseG,DQ$12:DQ$62),$A38+1,1),MAX(strike-$B38,0)),"")</f>
        <v/>
      </c>
      <c r="DS38" s="9" t="str">
        <f t="array" ref="DS38">IF(DS$11&gt;=0,MAX(INDEX(MMULT(inverseG,DR$12:DR$62),$A38+1,1),MAX(strike-$B38,0)),"")</f>
        <v/>
      </c>
      <c r="DT38" s="9" t="str">
        <f t="array" ref="DT38">IF(DT$11&gt;=0,MAX(INDEX(MMULT(inverseG,DS$12:DS$62),$A38+1,1),MAX(strike-$B38,0)),"")</f>
        <v/>
      </c>
      <c r="DU38" s="9" t="str">
        <f t="array" ref="DU38">IF(DU$11&gt;=0,MAX(INDEX(MMULT(inverseG,DT$12:DT$62),$A38+1,1),MAX(strike-$B38,0)),"")</f>
        <v/>
      </c>
      <c r="DV38" s="9" t="str">
        <f t="array" ref="DV38">IF(DV$11&gt;=0,MAX(INDEX(MMULT(inverseG,DU$12:DU$62),$A38+1,1),MAX(strike-$B38,0)),"")</f>
        <v/>
      </c>
      <c r="DW38" s="9" t="str">
        <f t="array" ref="DW38">IF(DW$11&gt;=0,MAX(INDEX(MMULT(inverseG,DV$12:DV$62),$A38+1,1),MAX(strike-$B38,0)),"")</f>
        <v/>
      </c>
      <c r="DX38" s="9" t="str">
        <f t="array" ref="DX38">IF(DX$11&gt;=0,MAX(INDEX(MMULT(inverseG,DW$12:DW$62),$A38+1,1),MAX(strike-$B38,0)),"")</f>
        <v/>
      </c>
      <c r="DY38" s="9" t="str">
        <f t="array" ref="DY38">IF(DY$11&gt;=0,MAX(INDEX(MMULT(inverseG,DX$12:DX$62),$A38+1,1),MAX(strike-$B38,0)),"")</f>
        <v/>
      </c>
      <c r="DZ38" s="9" t="str">
        <f t="array" ref="DZ38">IF(DZ$11&gt;=0,MAX(INDEX(MMULT(inverseG,DY$12:DY$62),$A38+1,1),MAX(strike-$B38,0)),"")</f>
        <v/>
      </c>
      <c r="EA38" s="9" t="str">
        <f t="array" ref="EA38">IF(EA$11&gt;=0,MAX(INDEX(MMULT(inverseG,DZ$12:DZ$62),$A38+1,1),MAX(strike-$B38,0)),"")</f>
        <v/>
      </c>
      <c r="EB38" s="9" t="str">
        <f t="array" ref="EB38">IF(EB$11&gt;=0,MAX(INDEX(MMULT(inverseG,EA$12:EA$62),$A38+1,1),MAX(strike-$B38,0)),"")</f>
        <v/>
      </c>
      <c r="EC38" s="9" t="str">
        <f t="array" ref="EC38">IF(EC$11&gt;=0,MAX(INDEX(MMULT(inverseG,EB$12:EB$62),$A38+1,1),MAX(strike-$B38,0)),"")</f>
        <v/>
      </c>
      <c r="ED38" s="9" t="str">
        <f t="array" ref="ED38">IF(ED$11&gt;=0,MAX(INDEX(MMULT(inverseG,EC$12:EC$62),$A38+1,1),MAX(strike-$B38,0)),"")</f>
        <v/>
      </c>
      <c r="EE38" s="9" t="str">
        <f t="array" ref="EE38">IF(EE$11&gt;=0,MAX(INDEX(MMULT(inverseG,ED$12:ED$62),$A38+1,1),MAX(strike-$B38,0)),"")</f>
        <v/>
      </c>
      <c r="EF38" s="9" t="str">
        <f t="array" ref="EF38">IF(EF$11&gt;=0,MAX(INDEX(MMULT(inverseG,EE$12:EE$62),$A38+1,1),MAX(strike-$B38,0)),"")</f>
        <v/>
      </c>
      <c r="EG38" s="9" t="str">
        <f t="array" ref="EG38">IF(EG$11&gt;=0,MAX(INDEX(MMULT(inverseG,EF$12:EF$62),$A38+1,1),MAX(strike-$B38,0)),"")</f>
        <v/>
      </c>
      <c r="EH38" s="9" t="str">
        <f t="array" ref="EH38">IF(EH$11&gt;=0,MAX(INDEX(MMULT(inverseG,EG$12:EG$62),$A38+1,1),MAX(strike-$B38,0)),"")</f>
        <v/>
      </c>
      <c r="EI38" s="9" t="str">
        <f t="array" ref="EI38">IF(EI$11&gt;=0,MAX(INDEX(MMULT(inverseG,EH$12:EH$62),$A38+1,1),MAX(strike-$B38,0)),"")</f>
        <v/>
      </c>
      <c r="EJ38" s="9" t="str">
        <f t="array" ref="EJ38">IF(EJ$11&gt;=0,MAX(INDEX(MMULT(inverseG,EI$12:EI$62),$A38+1,1),MAX(strike-$B38,0)),"")</f>
        <v/>
      </c>
      <c r="EK38" s="9" t="str">
        <f t="array" ref="EK38">IF(EK$11&gt;=0,MAX(INDEX(MMULT(inverseG,EJ$12:EJ$62),$A38+1,1),MAX(strike-$B38,0)),"")</f>
        <v/>
      </c>
      <c r="EL38" s="9" t="str">
        <f t="array" ref="EL38">IF(EL$11&gt;=0,MAX(INDEX(MMULT(inverseG,EK$12:EK$62),$A38+1,1),MAX(strike-$B38,0)),"")</f>
        <v/>
      </c>
      <c r="EM38" s="9" t="str">
        <f t="array" ref="EM38">IF(EM$11&gt;=0,MAX(INDEX(MMULT(inverseG,EL$12:EL$62),$A38+1,1),MAX(strike-$B38,0)),"")</f>
        <v/>
      </c>
      <c r="EN38" s="9" t="str">
        <f t="array" ref="EN38">IF(EN$11&gt;=0,MAX(INDEX(MMULT(inverseG,EM$12:EM$62),$A38+1,1),MAX(strike-$B38,0)),"")</f>
        <v/>
      </c>
      <c r="EO38" s="9" t="str">
        <f t="array" ref="EO38">IF(EO$11&gt;=0,MAX(INDEX(MMULT(inverseG,EN$12:EN$62),$A38+1,1),MAX(strike-$B38,0)),"")</f>
        <v/>
      </c>
      <c r="EP38" s="9" t="str">
        <f t="array" ref="EP38">IF(EP$11&gt;=0,MAX(INDEX(MMULT(inverseG,EO$12:EO$62),$A38+1,1),MAX(strike-$B38,0)),"")</f>
        <v/>
      </c>
      <c r="EQ38" s="9" t="str">
        <f t="array" ref="EQ38">IF(EQ$11&gt;=0,MAX(INDEX(MMULT(inverseG,EP$12:EP$62),$A38+1,1),MAX(strike-$B38,0)),"")</f>
        <v/>
      </c>
      <c r="ER38" s="9" t="str">
        <f t="array" ref="ER38">IF(ER$11&gt;=0,MAX(INDEX(MMULT(inverseG,EQ$12:EQ$62),$A38+1,1),MAX(strike-$B38,0)),"")</f>
        <v/>
      </c>
      <c r="ES38" s="9" t="str">
        <f t="array" ref="ES38">IF(ES$11&gt;=0,MAX(INDEX(MMULT(inverseG,ER$12:ER$62),$A38+1,1),MAX(strike-$B38,0)),"")</f>
        <v/>
      </c>
      <c r="ET38" s="9" t="str">
        <f t="array" ref="ET38">IF(ET$11&gt;=0,MAX(INDEX(MMULT(inverseG,ES$12:ES$62),$A38+1,1),MAX(strike-$B38,0)),"")</f>
        <v/>
      </c>
      <c r="EU38" s="9" t="str">
        <f t="array" ref="EU38">IF(EU$11&gt;=0,MAX(INDEX(MMULT(inverseG,ET$12:ET$62),$A38+1,1),MAX(strike-$B38,0)),"")</f>
        <v/>
      </c>
      <c r="EV38" s="9" t="str">
        <f t="array" ref="EV38">IF(EV$11&gt;=0,MAX(INDEX(MMULT(inverseG,EU$12:EU$62),$A38+1,1),MAX(strike-$B38,0)),"")</f>
        <v/>
      </c>
      <c r="EW38" s="9" t="str">
        <f t="array" ref="EW38">IF(EW$11&gt;=0,MAX(INDEX(MMULT(inverseG,EV$12:EV$62),$A38+1,1),MAX(strike-$B38,0)),"")</f>
        <v/>
      </c>
      <c r="EX38" s="9" t="str">
        <f t="array" ref="EX38">IF(EX$11&gt;=0,MAX(INDEX(MMULT(inverseG,EW$12:EW$62),$A38+1,1),MAX(strike-$B38,0)),"")</f>
        <v/>
      </c>
      <c r="EY38" s="9" t="str">
        <f t="array" ref="EY38">IF(EY$11&gt;=0,MAX(INDEX(MMULT(inverseG,EX$12:EX$62),$A38+1,1),MAX(strike-$B38,0)),"")</f>
        <v/>
      </c>
      <c r="EZ38" s="9" t="str">
        <f t="array" ref="EZ38">IF(EZ$11&gt;=0,MAX(INDEX(MMULT(inverseG,EY$12:EY$62),$A38+1,1),MAX(strike-$B38,0)),"")</f>
        <v/>
      </c>
      <c r="FA38" s="9" t="str">
        <f t="array" ref="FA38">IF(FA$11&gt;=0,MAX(INDEX(MMULT(inverseG,EZ$12:EZ$62),$A38+1,1),MAX(strike-$B38,0)),"")</f>
        <v/>
      </c>
      <c r="FB38" s="9" t="str">
        <f t="array" ref="FB38">IF(FB$11&gt;=0,MAX(INDEX(MMULT(inverseG,FA$12:FA$62),$A38+1,1),MAX(strike-$B38,0)),"")</f>
        <v/>
      </c>
      <c r="FC38" s="9" t="str">
        <f t="array" ref="FC38">IF(FC$11&gt;=0,MAX(INDEX(MMULT(inverseG,FB$12:FB$62),$A38+1,1),MAX(strike-$B38,0)),"")</f>
        <v/>
      </c>
      <c r="FD38" s="9" t="str">
        <f t="array" ref="FD38">IF(FD$11&gt;=0,MAX(INDEX(MMULT(inverseG,FC$12:FC$62),$A38+1,1),MAX(strike-$B38,0)),"")</f>
        <v/>
      </c>
      <c r="FE38" s="9" t="str">
        <f t="array" ref="FE38">IF(FE$11&gt;=0,MAX(INDEX(MMULT(inverseG,FD$12:FD$62),$A38+1,1),MAX(strike-$B38,0)),"")</f>
        <v/>
      </c>
      <c r="FF38" s="9" t="str">
        <f t="array" ref="FF38">IF(FF$11&gt;=0,MAX(INDEX(MMULT(inverseG,FE$12:FE$62),$A38+1,1),MAX(strike-$B38,0)),"")</f>
        <v/>
      </c>
      <c r="FG38" s="9" t="str">
        <f t="array" ref="FG38">IF(FG$11&gt;=0,MAX(INDEX(MMULT(inverseG,FF$12:FF$62),$A38+1,1),MAX(strike-$B38,0)),"")</f>
        <v/>
      </c>
      <c r="FH38" s="9" t="str">
        <f t="array" ref="FH38">IF(FH$11&gt;=0,MAX(INDEX(MMULT(inverseG,FG$12:FG$62),$A38+1,1),MAX(strike-$B38,0)),"")</f>
        <v/>
      </c>
      <c r="FI38" s="9" t="str">
        <f t="array" ref="FI38">IF(FI$11&gt;=0,MAX(INDEX(MMULT(inverseG,FH$12:FH$62),$A38+1,1),MAX(strike-$B38,0)),"")</f>
        <v/>
      </c>
      <c r="FJ38" s="9" t="str">
        <f t="array" ref="FJ38">IF(FJ$11&gt;=0,MAX(INDEX(MMULT(inverseG,FI$12:FI$62),$A38+1,1),MAX(strike-$B38,0)),"")</f>
        <v/>
      </c>
      <c r="FK38" s="9" t="str">
        <f t="array" ref="FK38">IF(FK$11&gt;=0,MAX(INDEX(MMULT(inverseG,FJ$12:FJ$62),$A38+1,1),MAX(strike-$B38,0)),"")</f>
        <v/>
      </c>
      <c r="FL38" s="9" t="str">
        <f t="array" ref="FL38">IF(FL$11&gt;=0,MAX(INDEX(MMULT(inverseG,FK$12:FK$62),$A38+1,1),MAX(strike-$B38,0)),"")</f>
        <v/>
      </c>
      <c r="FM38" s="9" t="str">
        <f t="array" ref="FM38">IF(FM$11&gt;=0,MAX(INDEX(MMULT(inverseG,FL$12:FL$62),$A38+1,1),MAX(strike-$B38,0)),"")</f>
        <v/>
      </c>
      <c r="FN38" s="9" t="str">
        <f t="array" ref="FN38">IF(FN$11&gt;=0,MAX(INDEX(MMULT(inverseG,FM$12:FM$62),$A38+1,1),MAX(strike-$B38,0)),"")</f>
        <v/>
      </c>
      <c r="FO38" s="9" t="str">
        <f t="array" ref="FO38">IF(FO$11&gt;=0,MAX(INDEX(MMULT(inverseG,FN$12:FN$62),$A38+1,1),MAX(strike-$B38,0)),"")</f>
        <v/>
      </c>
      <c r="FP38" s="9" t="str">
        <f t="array" ref="FP38">IF(FP$11&gt;=0,MAX(INDEX(MMULT(inverseG,FO$12:FO$62),$A38+1,1),MAX(strike-$B38,0)),"")</f>
        <v/>
      </c>
      <c r="FQ38" s="9" t="str">
        <f t="array" ref="FQ38">IF(FQ$11&gt;=0,MAX(INDEX(MMULT(inverseG,FP$12:FP$62),$A38+1,1),MAX(strike-$B38,0)),"")</f>
        <v/>
      </c>
      <c r="FR38" s="9" t="str">
        <f t="array" ref="FR38">IF(FR$11&gt;=0,MAX(INDEX(MMULT(inverseG,FQ$12:FQ$62),$A38+1,1),MAX(strike-$B38,0)),"")</f>
        <v/>
      </c>
      <c r="FS38" s="9" t="str">
        <f t="array" ref="FS38">IF(FS$11&gt;=0,MAX(INDEX(MMULT(inverseG,FR$12:FR$62),$A38+1,1),MAX(strike-$B38,0)),"")</f>
        <v/>
      </c>
      <c r="FT38" s="9" t="str">
        <f t="array" ref="FT38">IF(FT$11&gt;=0,MAX(INDEX(MMULT(inverseG,FS$12:FS$62),$A38+1,1),MAX(strike-$B38,0)),"")</f>
        <v/>
      </c>
      <c r="FU38" s="9" t="str">
        <f t="array" ref="FU38">IF(FU$11&gt;=0,MAX(INDEX(MMULT(inverseG,FT$12:FT$62),$A38+1,1),MAX(strike-$B38,0)),"")</f>
        <v/>
      </c>
      <c r="FV38" s="9" t="str">
        <f t="array" ref="FV38">IF(FV$11&gt;=0,MAX(INDEX(MMULT(inverseG,FU$12:FU$62),$A38+1,1),MAX(strike-$B38,0)),"")</f>
        <v/>
      </c>
      <c r="FW38" s="9" t="str">
        <f t="array" ref="FW38">IF(FW$11&gt;=0,MAX(INDEX(MMULT(inverseG,FV$12:FV$62),$A38+1,1),MAX(strike-$B38,0)),"")</f>
        <v/>
      </c>
      <c r="FX38" s="9" t="str">
        <f t="array" ref="FX38">IF(FX$11&gt;=0,MAX(INDEX(MMULT(inverseG,FW$12:FW$62),$A38+1,1),MAX(strike-$B38,0)),"")</f>
        <v/>
      </c>
      <c r="FY38" s="9" t="str">
        <f t="array" ref="FY38">IF(FY$11&gt;=0,MAX(INDEX(MMULT(inverseG,FX$12:FX$62),$A38+1,1),MAX(strike-$B38,0)),"")</f>
        <v/>
      </c>
      <c r="FZ38" s="9" t="str">
        <f t="array" ref="FZ38">IF(FZ$11&gt;=0,MAX(INDEX(MMULT(inverseG,FY$12:FY$62),$A38+1,1),MAX(strike-$B38,0)),"")</f>
        <v/>
      </c>
      <c r="GA38" s="9" t="str">
        <f t="array" ref="GA38">IF(GA$11&gt;=0,MAX(INDEX(MMULT(inverseG,FZ$12:FZ$62),$A38+1,1),MAX(strike-$B38,0)),"")</f>
        <v/>
      </c>
      <c r="GB38" s="9" t="str">
        <f t="array" ref="GB38">IF(GB$11&gt;=0,MAX(INDEX(MMULT(inverseG,GA$12:GA$62),$A38+1,1),MAX(strike-$B38,0)),"")</f>
        <v/>
      </c>
      <c r="GC38" s="9" t="str">
        <f t="array" ref="GC38">IF(GC$11&gt;=0,MAX(INDEX(MMULT(inverseG,GB$12:GB$62),$A38+1,1),MAX(strike-$B38,0)),"")</f>
        <v/>
      </c>
      <c r="GD38" s="9" t="str">
        <f t="array" ref="GD38">IF(GD$11&gt;=0,MAX(INDEX(MMULT(inverseG,GC$12:GC$62),$A38+1,1),MAX(strike-$B38,0)),"")</f>
        <v/>
      </c>
      <c r="GE38" s="9" t="str">
        <f t="array" ref="GE38">IF(GE$11&gt;=0,MAX(INDEX(MMULT(inverseG,GD$12:GD$62),$A38+1,1),MAX(strike-$B38,0)),"")</f>
        <v/>
      </c>
      <c r="GF38" s="9" t="str">
        <f t="array" ref="GF38">IF(GF$11&gt;=0,MAX(INDEX(MMULT(inverseG,GE$12:GE$62),$A38+1,1),MAX(strike-$B38,0)),"")</f>
        <v/>
      </c>
      <c r="GG38" s="9" t="str">
        <f t="array" ref="GG38">IF(GG$11&gt;=0,MAX(INDEX(MMULT(inverseG,GF$12:GF$62),$A38+1,1),MAX(strike-$B38,0)),"")</f>
        <v/>
      </c>
      <c r="GH38" s="9" t="str">
        <f t="array" ref="GH38">IF(GH$11&gt;=0,MAX(INDEX(MMULT(inverseG,GG$12:GG$62),$A38+1,1),MAX(strike-$B38,0)),"")</f>
        <v/>
      </c>
      <c r="GI38" s="9" t="str">
        <f t="array" ref="GI38">IF(GI$11&gt;=0,MAX(INDEX(MMULT(inverseG,GH$12:GH$62),$A38+1,1),MAX(strike-$B38,0)),"")</f>
        <v/>
      </c>
      <c r="GJ38" s="9" t="str">
        <f t="array" ref="GJ38">IF(GJ$11&gt;=0,MAX(INDEX(MMULT(inverseG,GI$12:GI$62),$A38+1,1),MAX(strike-$B38,0)),"")</f>
        <v/>
      </c>
      <c r="GK38" s="9" t="str">
        <f t="array" ref="GK38">IF(GK$11&gt;=0,MAX(INDEX(MMULT(inverseG,GJ$12:GJ$62),$A38+1,1),MAX(strike-$B38,0)),"")</f>
        <v/>
      </c>
      <c r="GL38" s="9" t="str">
        <f t="array" ref="GL38">IF(GL$11&gt;=0,MAX(INDEX(MMULT(inverseG,GK$12:GK$62),$A38+1,1),MAX(strike-$B38,0)),"")</f>
        <v/>
      </c>
      <c r="GM38" s="9" t="str">
        <f t="array" ref="GM38">IF(GM$11&gt;=0,MAX(INDEX(MMULT(inverseG,GL$12:GL$62),$A38+1,1),MAX(strike-$B38,0)),"")</f>
        <v/>
      </c>
      <c r="GN38" s="9" t="str">
        <f t="array" ref="GN38">IF(GN$11&gt;=0,MAX(INDEX(MMULT(inverseG,GM$12:GM$62),$A38+1,1),MAX(strike-$B38,0)),"")</f>
        <v/>
      </c>
      <c r="GO38" s="9" t="str">
        <f t="array" ref="GO38">IF(GO$11&gt;=0,MAX(INDEX(MMULT(inverseG,GN$12:GN$62),$A38+1,1),MAX(strike-$B38,0)),"")</f>
        <v/>
      </c>
      <c r="GP38" s="9" t="str">
        <f t="array" ref="GP38">IF(GP$11&gt;=0,MAX(INDEX(MMULT(inverseG,GO$12:GO$62),$A38+1,1),MAX(strike-$B38,0)),"")</f>
        <v/>
      </c>
      <c r="GQ38" s="9" t="str">
        <f t="array" ref="GQ38">IF(GQ$11&gt;=0,MAX(INDEX(MMULT(inverseG,GP$12:GP$62),$A38+1,1),MAX(strike-$B38,0)),"")</f>
        <v/>
      </c>
      <c r="GR38" s="9" t="str">
        <f t="array" ref="GR38">IF(GR$11&gt;=0,MAX(INDEX(MMULT(inverseG,GQ$12:GQ$62),$A38+1,1),MAX(strike-$B38,0)),"")</f>
        <v/>
      </c>
      <c r="GS38" s="9" t="str">
        <f t="array" ref="GS38">IF(GS$11&gt;=0,MAX(INDEX(MMULT(inverseG,GR$12:GR$62),$A38+1,1),MAX(strike-$B38,0)),"")</f>
        <v/>
      </c>
      <c r="GT38" s="9" t="str">
        <f t="array" ref="GT38">IF(GT$11&gt;=0,MAX(INDEX(MMULT(inverseG,GS$12:GS$62),$A38+1,1),MAX(strike-$B38,0)),"")</f>
        <v/>
      </c>
      <c r="GU38" s="9" t="str">
        <f t="array" ref="GU38">IF(GU$11&gt;=0,MAX(INDEX(MMULT(inverseG,GT$12:GT$62),$A38+1,1),MAX(strike-$B38,0)),"")</f>
        <v/>
      </c>
      <c r="GV38" s="9" t="str">
        <f t="array" ref="GV38">IF(GV$11&gt;=0,MAX(INDEX(MMULT(inverseG,GU$12:GU$62),$A38+1,1),MAX(strike-$B38,0)),"")</f>
        <v/>
      </c>
      <c r="GW38" s="9" t="str">
        <f t="array" ref="GW38">IF(GW$11&gt;=0,MAX(INDEX(MMULT(inverseG,GV$12:GV$62),$A38+1,1),MAX(strike-$B38,0)),"")</f>
        <v/>
      </c>
      <c r="GX38" s="9" t="str">
        <f t="array" ref="GX38">IF(GX$11&gt;=0,MAX(INDEX(MMULT(inverseG,GW$12:GW$62),$A38+1,1),MAX(strike-$B38,0)),"")</f>
        <v/>
      </c>
      <c r="GY38" s="9" t="str">
        <f t="array" ref="GY38">IF(GY$11&gt;=0,MAX(INDEX(MMULT(inverseG,GX$12:GX$62),$A38+1,1),MAX(strike-$B38,0)),"")</f>
        <v/>
      </c>
      <c r="GZ38" s="9" t="str">
        <f t="array" ref="GZ38">IF(GZ$11&gt;=0,MAX(INDEX(MMULT(inverseG,GY$12:GY$62),$A38+1,1),MAX(strike-$B38,0)),"")</f>
        <v/>
      </c>
      <c r="HA38" s="9" t="str">
        <f t="array" ref="HA38">IF(HA$11&gt;=0,MAX(INDEX(MMULT(inverseG,GZ$12:GZ$62),$A38+1,1),MAX(strike-$B38,0)),"")</f>
        <v/>
      </c>
      <c r="HB38" s="9" t="str">
        <f t="array" ref="HB38">IF(HB$11&gt;=0,MAX(INDEX(MMULT(inverseG,HA$12:HA$62),$A38+1,1),MAX(strike-$B38,0)),"")</f>
        <v/>
      </c>
      <c r="HC38" s="9" t="str">
        <f t="array" ref="HC38">IF(HC$11&gt;=0,MAX(INDEX(MMULT(inverseG,HB$12:HB$62),$A38+1,1),MAX(strike-$B38,0)),"")</f>
        <v/>
      </c>
      <c r="HD38" s="9" t="str">
        <f t="array" ref="HD38">IF(HD$11&gt;=0,MAX(INDEX(MMULT(inverseG,HC$12:HC$62),$A38+1,1),MAX(strike-$B38,0)),"")</f>
        <v/>
      </c>
      <c r="HE38" s="9" t="str">
        <f t="array" ref="HE38">IF(HE$11&gt;=0,MAX(INDEX(MMULT(inverseG,HD$12:HD$62),$A38+1,1),MAX(strike-$B38,0)),"")</f>
        <v/>
      </c>
      <c r="HF38" s="9" t="str">
        <f t="array" ref="HF38">IF(HF$11&gt;=0,MAX(INDEX(MMULT(inverseG,HE$12:HE$62),$A38+1,1),MAX(strike-$B38,0)),"")</f>
        <v/>
      </c>
      <c r="HG38" s="9" t="str">
        <f t="array" ref="HG38">IF(HG$11&gt;=0,MAX(INDEX(MMULT(inverseG,HF$12:HF$62),$A38+1,1),MAX(strike-$B38,0)),"")</f>
        <v/>
      </c>
      <c r="HH38" s="9" t="str">
        <f t="array" ref="HH38">IF(HH$11&gt;=0,MAX(INDEX(MMULT(inverseG,HG$12:HG$62),$A38+1,1),MAX(strike-$B38,0)),"")</f>
        <v/>
      </c>
      <c r="HI38" s="9" t="str">
        <f t="array" ref="HI38">IF(HI$11&gt;=0,MAX(INDEX(MMULT(inverseG,HH$12:HH$62),$A38+1,1),MAX(strike-$B38,0)),"")</f>
        <v/>
      </c>
      <c r="HJ38" s="9" t="str">
        <f t="array" ref="HJ38">IF(HJ$11&gt;=0,MAX(INDEX(MMULT(inverseG,HI$12:HI$62),$A38+1,1),MAX(strike-$B38,0)),"")</f>
        <v/>
      </c>
      <c r="HK38" s="9" t="str">
        <f t="array" ref="HK38">IF(HK$11&gt;=0,MAX(INDEX(MMULT(inverseG,HJ$12:HJ$62),$A38+1,1),MAX(strike-$B38,0)),"")</f>
        <v/>
      </c>
      <c r="HL38" s="9" t="str">
        <f t="array" ref="HL38">IF(HL$11&gt;=0,MAX(INDEX(MMULT(inverseG,HK$12:HK$62),$A38+1,1),MAX(strike-$B38,0)),"")</f>
        <v/>
      </c>
      <c r="HM38" s="9" t="str">
        <f t="array" ref="HM38">IF(HM$11&gt;=0,MAX(INDEX(MMULT(inverseG,HL$12:HL$62),$A38+1,1),MAX(strike-$B38,0)),"")</f>
        <v/>
      </c>
      <c r="HN38" s="9" t="str">
        <f t="array" ref="HN38">IF(HN$11&gt;=0,MAX(INDEX(MMULT(inverseG,HM$12:HM$62),$A38+1,1),MAX(strike-$B38,0)),"")</f>
        <v/>
      </c>
      <c r="HO38" s="9" t="str">
        <f t="array" ref="HO38">IF(HO$11&gt;=0,MAX(INDEX(MMULT(inverseG,HN$12:HN$62),$A38+1,1),MAX(strike-$B38,0)),"")</f>
        <v/>
      </c>
      <c r="HP38" s="9" t="str">
        <f t="array" ref="HP38">IF(HP$11&gt;=0,MAX(INDEX(MMULT(inverseG,HO$12:HO$62),$A38+1,1),MAX(strike-$B38,0)),"")</f>
        <v/>
      </c>
      <c r="HQ38" s="9" t="str">
        <f t="array" ref="HQ38">IF(HQ$11&gt;=0,MAX(INDEX(MMULT(inverseG,HP$12:HP$62),$A38+1,1),MAX(strike-$B38,0)),"")</f>
        <v/>
      </c>
      <c r="HR38" s="9" t="str">
        <f t="array" ref="HR38">IF(HR$11&gt;=0,MAX(INDEX(MMULT(inverseG,HQ$12:HQ$62),$A38+1,1),MAX(strike-$B38,0)),"")</f>
        <v/>
      </c>
      <c r="HS38" s="9" t="str">
        <f t="array" ref="HS38">IF(HS$11&gt;=0,MAX(INDEX(MMULT(inverseG,HR$12:HR$62),$A38+1,1),MAX(strike-$B38,0)),"")</f>
        <v/>
      </c>
      <c r="HT38" s="9" t="str">
        <f t="array" ref="HT38">IF(HT$11&gt;=0,MAX(INDEX(MMULT(inverseG,HS$12:HS$62),$A38+1,1),MAX(strike-$B38,0)),"")</f>
        <v/>
      </c>
      <c r="HU38" s="9" t="str">
        <f t="array" ref="HU38">IF(HU$11&gt;=0,MAX(INDEX(MMULT(inverseG,HT$12:HT$62),$A38+1,1),MAX(strike-$B38,0)),"")</f>
        <v/>
      </c>
      <c r="HV38" s="9" t="str">
        <f t="array" ref="HV38">IF(HV$11&gt;=0,MAX(INDEX(MMULT(inverseG,HU$12:HU$62),$A38+1,1),MAX(strike-$B38,0)),"")</f>
        <v/>
      </c>
      <c r="HW38" s="9" t="str">
        <f t="array" ref="HW38">IF(HW$11&gt;=0,MAX(INDEX(MMULT(inverseG,HV$12:HV$62),$A38+1,1),MAX(strike-$B38,0)),"")</f>
        <v/>
      </c>
      <c r="HX38" s="9" t="str">
        <f t="array" ref="HX38">IF(HX$11&gt;=0,MAX(INDEX(MMULT(inverseG,HW$12:HW$62),$A38+1,1),MAX(strike-$B38,0)),"")</f>
        <v/>
      </c>
      <c r="HY38" s="9" t="str">
        <f t="array" ref="HY38">IF(HY$11&gt;=0,MAX(INDEX(MMULT(inverseG,HX$12:HX$62),$A38+1,1),MAX(strike-$B38,0)),"")</f>
        <v/>
      </c>
      <c r="HZ38" s="9" t="str">
        <f t="array" ref="HZ38">IF(HZ$11&gt;=0,MAX(INDEX(MMULT(inverseG,HY$12:HY$62),$A38+1,1),MAX(strike-$B38,0)),"")</f>
        <v/>
      </c>
      <c r="IA38" s="9" t="str">
        <f t="array" ref="IA38">IF(IA$11&gt;=0,MAX(INDEX(MMULT(inverseG,HZ$12:HZ$62),$A38+1,1),MAX(strike-$B38,0)),"")</f>
        <v/>
      </c>
      <c r="IB38" s="9" t="str">
        <f t="array" ref="IB38">IF(IB$11&gt;=0,MAX(INDEX(MMULT(inverseG,IA$12:IA$62),$A38+1,1),MAX(strike-$B38,0)),"")</f>
        <v/>
      </c>
      <c r="IC38" s="9" t="str">
        <f t="array" ref="IC38">IF(IC$11&gt;=0,MAX(INDEX(MMULT(inverseG,IB$12:IB$62),$A38+1,1),MAX(strike-$B38,0)),"")</f>
        <v/>
      </c>
      <c r="ID38" s="9" t="str">
        <f t="array" ref="ID38">IF(ID$11&gt;=0,MAX(INDEX(MMULT(inverseG,IC$12:IC$62),$A38+1,1),MAX(strike-$B38,0)),"")</f>
        <v/>
      </c>
      <c r="IE38" s="9" t="str">
        <f t="array" ref="IE38">IF(IE$11&gt;=0,MAX(INDEX(MMULT(inverseG,ID$12:ID$62),$A38+1,1),MAX(strike-$B38,0)),"")</f>
        <v/>
      </c>
      <c r="IF38" s="9" t="str">
        <f t="array" ref="IF38">IF(IF$11&gt;=0,MAX(INDEX(MMULT(inverseG,IE$12:IE$62),$A38+1,1),MAX(strike-$B38,0)),"")</f>
        <v/>
      </c>
      <c r="IG38" s="9" t="str">
        <f t="array" ref="IG38">IF(IG$11&gt;=0,MAX(INDEX(MMULT(inverseG,IF$12:IF$62),$A38+1,1),MAX(strike-$B38,0)),"")</f>
        <v/>
      </c>
      <c r="IH38" s="9" t="str">
        <f t="array" ref="IH38">IF(IH$11&gt;=0,MAX(INDEX(MMULT(inverseG,IG$12:IG$62),$A38+1,1),MAX(strike-$B38,0)),"")</f>
        <v/>
      </c>
      <c r="II38" s="9" t="str">
        <f t="array" ref="II38">IF(II$11&gt;=0,MAX(INDEX(MMULT(inverseG,IH$12:IH$62),$A38+1,1),MAX(strike-$B38,0)),"")</f>
        <v/>
      </c>
      <c r="IJ38" s="9" t="str">
        <f t="array" ref="IJ38">IF(IJ$11&gt;=0,MAX(INDEX(MMULT(inverseG,II$12:II$62),$A38+1,1),MAX(strike-$B38,0)),"")</f>
        <v/>
      </c>
      <c r="IK38" s="9" t="str">
        <f t="array" ref="IK38">IF(IK$11&gt;=0,MAX(INDEX(MMULT(inverseG,IJ$12:IJ$62),$A38+1,1),MAX(strike-$B38,0)),"")</f>
        <v/>
      </c>
      <c r="IL38" s="9" t="str">
        <f t="array" ref="IL38">IF(IL$11&gt;=0,MAX(INDEX(MMULT(inverseG,IK$12:IK$62),$A38+1,1),MAX(strike-$B38,0)),"")</f>
        <v/>
      </c>
      <c r="IM38" s="9" t="str">
        <f t="array" ref="IM38">IF(IM$11&gt;=0,MAX(INDEX(MMULT(inverseG,IL$12:IL$62),$A38+1,1),MAX(strike-$B38,0)),"")</f>
        <v/>
      </c>
      <c r="IN38" s="9" t="str">
        <f t="array" ref="IN38">IF(IN$11&gt;=0,MAX(INDEX(MMULT(inverseG,IM$12:IM$62),$A38+1,1),MAX(strike-$B38,0)),"")</f>
        <v/>
      </c>
      <c r="IO38" s="9" t="str">
        <f t="array" ref="IO38">IF(IO$11&gt;=0,MAX(INDEX(MMULT(inverseG,IN$12:IN$62),$A38+1,1),MAX(strike-$B38,0)),"")</f>
        <v/>
      </c>
      <c r="IP38" s="9" t="str">
        <f t="array" ref="IP38">IF(IP$11&gt;=0,MAX(INDEX(MMULT(inverseG,IO$12:IO$62),$A38+1,1),MAX(strike-$B38,0)),"")</f>
        <v/>
      </c>
      <c r="IQ38" s="9" t="str">
        <f t="array" ref="IQ38">IF(IQ$11&gt;=0,MAX(INDEX(MMULT(inverseG,IP$12:IP$62),$A38+1,1),MAX(strike-$B38,0)),"")</f>
        <v/>
      </c>
      <c r="IR38" s="9" t="str">
        <f t="array" ref="IR38">IF(IR$11&gt;=0,MAX(INDEX(MMULT(inverseG,IQ$12:IQ$62),$A38+1,1),MAX(strike-$B38,0)),"")</f>
        <v/>
      </c>
      <c r="IS38" s="9" t="str">
        <f t="array" ref="IS38">IF(IS$11&gt;=0,MAX(INDEX(MMULT(inverseG,IR$12:IR$62),$A38+1,1),MAX(strike-$B38,0)),"")</f>
        <v/>
      </c>
      <c r="IT38" s="9" t="str">
        <f t="array" ref="IT38">IF(IT$11&gt;=0,MAX(INDEX(MMULT(inverseG,IS$12:IS$62),$A38+1,1),MAX(strike-$B38,0)),"")</f>
        <v/>
      </c>
      <c r="IU38" s="9" t="str">
        <f t="array" ref="IU38">IF(IU$11&gt;=0,MAX(INDEX(MMULT(inverseG,IT$12:IT$62),$A38+1,1),MAX(strike-$B38,0)),"")</f>
        <v/>
      </c>
      <c r="IV38" s="9" t="str">
        <f t="array" ref="IV38">IF(IV$11&gt;=0,MAX(INDEX(MMULT(inverseG,IU$12:IU$62),$A38+1,1),MAX(strike-$B38,0)),"")</f>
        <v/>
      </c>
    </row>
    <row r="39" spans="1:256" x14ac:dyDescent="0.2">
      <c r="A39" s="8">
        <f t="shared" si="7"/>
        <v>27</v>
      </c>
      <c r="B39" s="6">
        <f t="shared" si="4"/>
        <v>6.75</v>
      </c>
      <c r="C39" s="30">
        <f t="shared" ca="1" si="6"/>
        <v>0.28644837359051001</v>
      </c>
      <c r="D39" s="9">
        <f t="shared" si="5"/>
        <v>0</v>
      </c>
      <c r="E39" s="9">
        <f t="array" ref="E39">IF(E$11&gt;=0,MAX(INDEX(MMULT(inverseG,D$12:D$62),$A39+1,1),MAX(strike-$B39,0)),"")</f>
        <v>5.1123488824722763E-5</v>
      </c>
      <c r="F39" s="9">
        <f t="array" ref="F39">IF(F$11&gt;=0,MAX(INDEX(MMULT(inverseG,E$12:E$62),$A39+1,1),MAX(strike-$B39,0)),"")</f>
        <v>2.5141888024512662E-4</v>
      </c>
      <c r="G39" s="9">
        <f t="array" ref="G39">IF(G$11&gt;=0,MAX(INDEX(MMULT(inverseG,F$12:F$62),$A39+1,1),MAX(strike-$B39,0)),"")</f>
        <v>7.0841001271288394E-4</v>
      </c>
      <c r="H39" s="9">
        <f t="array" ref="H39">IF(H$11&gt;=0,MAX(INDEX(MMULT(inverseG,G$12:G$62),$A39+1,1),MAX(strike-$B39,0)),"")</f>
        <v>1.5073353475959718E-3</v>
      </c>
      <c r="I39" s="9">
        <f t="array" ref="I39">IF(I$11&gt;=0,MAX(INDEX(MMULT(inverseG,H$12:H$62),$A39+1,1),MAX(strike-$B39,0)),"")</f>
        <v>2.6978861797019114E-3</v>
      </c>
      <c r="J39" s="9">
        <f t="array" ref="J39">IF(J$11&gt;=0,MAX(INDEX(MMULT(inverseG,I$12:I$62),$A39+1,1),MAX(strike-$B39,0)),"")</f>
        <v>4.2953792333535268E-3</v>
      </c>
      <c r="K39" s="9">
        <f t="array" ref="K39">IF(K$11&gt;=0,MAX(INDEX(MMULT(inverseG,J$12:J$62),$A39+1,1),MAX(strike-$B39,0)),"")</f>
        <v>6.2887134653476879E-3</v>
      </c>
      <c r="L39" s="9">
        <f t="array" ref="L39">IF(L$11&gt;=0,MAX(INDEX(MMULT(inverseG,K$12:K$62),$A39+1,1),MAX(strike-$B39,0)),"")</f>
        <v>8.6496168826860655E-3</v>
      </c>
      <c r="M39" s="9">
        <f t="array" ref="M39">IF(M$11&gt;=0,MAX(INDEX(MMULT(inverseG,L$12:L$62),$A39+1,1),MAX(strike-$B39,0)),"")</f>
        <v>1.134052465643836E-2</v>
      </c>
      <c r="N39" s="9">
        <f t="array" ref="N39">IF(N$11&gt;=0,MAX(INDEX(MMULT(inverseG,M$12:M$62),$A39+1,1),MAX(strike-$B39,0)),"")</f>
        <v>1.4320315073426388E-2</v>
      </c>
      <c r="O39" s="9">
        <f t="array" ref="O39">IF(O$11&gt;=0,MAX(INDEX(MMULT(inverseG,N$12:N$62),$A39+1,1),MAX(strike-$B39,0)),"")</f>
        <v>1.7548043217985549E-2</v>
      </c>
      <c r="P39" s="9">
        <f t="array" ref="P39">IF(P$11&gt;=0,MAX(INDEX(MMULT(inverseG,O$12:O$62),$A39+1,1),MAX(strike-$B39,0)),"")</f>
        <v>2.0985122380373828E-2</v>
      </c>
      <c r="Q39" s="9">
        <f t="array" ref="Q39">IF(Q$11&gt;=0,MAX(INDEX(MMULT(inverseG,P$12:P$62),$A39+1,1),MAX(strike-$B39,0)),"")</f>
        <v>2.4596423771159923E-2</v>
      </c>
      <c r="R39" s="9">
        <f t="array" ref="R39">IF(R$11&gt;=0,MAX(INDEX(MMULT(inverseG,Q$12:Q$62),$A39+1,1),MAX(strike-$B39,0)),"")</f>
        <v>2.8350679563127368E-2</v>
      </c>
      <c r="S39" s="9">
        <f t="array" ref="S39">IF(S$11&gt;=0,MAX(INDEX(MMULT(inverseG,R$12:R$62),$A39+1,1),MAX(strike-$B39,0)),"")</f>
        <v>3.2220469444997263E-2</v>
      </c>
      <c r="T39" s="9">
        <f t="array" ref="T39">IF(T$11&gt;=0,MAX(INDEX(MMULT(inverseG,S$12:S$62),$A39+1,1),MAX(strike-$B39,0)),"")</f>
        <v>3.6181980418742675E-2</v>
      </c>
      <c r="U39" s="9">
        <f t="array" ref="U39">IF(U$11&gt;=0,MAX(INDEX(MMULT(inverseG,T$12:T$62),$A39+1,1),MAX(strike-$B39,0)),"")</f>
        <v>4.0214662867295838E-2</v>
      </c>
      <c r="V39" s="9">
        <f t="array" ref="V39">IF(V$11&gt;=0,MAX(INDEX(MMULT(inverseG,U$12:U$62),$A39+1,1),MAX(strike-$B39,0)),"")</f>
        <v>4.4300857974792995E-2</v>
      </c>
      <c r="W39" s="9">
        <f t="array" ref="W39">IF(W$11&gt;=0,MAX(INDEX(MMULT(inverseG,V$12:V$62),$A39+1,1),MAX(strike-$B39,0)),"")</f>
        <v>4.8425437582732017E-2</v>
      </c>
      <c r="X39" s="9">
        <f t="array" ref="X39">IF(X$11&gt;=0,MAX(INDEX(MMULT(inverseG,W$12:W$62),$A39+1,1),MAX(strike-$B39,0)),"")</f>
        <v>5.2575475036222966E-2</v>
      </c>
      <c r="Y39" s="9">
        <f t="array" ref="Y39">IF(Y$11&gt;=0,MAX(INDEX(MMULT(inverseG,X$12:X$62),$A39+1,1),MAX(strike-$B39,0)),"")</f>
        <v>5.6739952364132859E-2</v>
      </c>
      <c r="Z39" s="9">
        <f t="array" ref="Z39">IF(Z$11&gt;=0,MAX(INDEX(MMULT(inverseG,Y$12:Y$62),$A39+1,1),MAX(strike-$B39,0)),"")</f>
        <v>6.0909502647974512E-2</v>
      </c>
      <c r="AA39" s="9">
        <f t="array" ref="AA39">IF(AA$11&gt;=0,MAX(INDEX(MMULT(inverseG,Z$12:Z$62),$A39+1,1),MAX(strike-$B39,0)),"")</f>
        <v>6.5076184068866533E-2</v>
      </c>
      <c r="AB39" s="9">
        <f t="array" ref="AB39">IF(AB$11&gt;=0,MAX(INDEX(MMULT(inverseG,AA$12:AA$62),$A39+1,1),MAX(strike-$B39,0)),"")</f>
        <v>6.9233281833997934E-2</v>
      </c>
      <c r="AC39" s="9">
        <f t="array" ref="AC39">IF(AC$11&gt;=0,MAX(INDEX(MMULT(inverseG,AB$12:AB$62),$A39+1,1),MAX(strike-$B39,0)),"")</f>
        <v>7.3375134672045081E-2</v>
      </c>
      <c r="AD39" s="9">
        <f t="array" ref="AD39">IF(AD$11&gt;=0,MAX(INDEX(MMULT(inverseG,AC$12:AC$62),$A39+1,1),MAX(strike-$B39,0)),"")</f>
        <v>7.7496983184450641E-2</v>
      </c>
      <c r="AE39" s="9">
        <f t="array" ref="AE39">IF(AE$11&gt;=0,MAX(INDEX(MMULT(inverseG,AD$12:AD$62),$A39+1,1),MAX(strike-$B39,0)),"")</f>
        <v>8.1594837796031022E-2</v>
      </c>
      <c r="AF39" s="9">
        <f t="array" ref="AF39">IF(AF$11&gt;=0,MAX(INDEX(MMULT(inverseG,AE$12:AE$62),$A39+1,1),MAX(strike-$B39,0)),"")</f>
        <v>8.5665364330345481E-2</v>
      </c>
      <c r="AG39" s="9">
        <f t="array" ref="AG39">IF(AG$11&gt;=0,MAX(INDEX(MMULT(inverseG,AF$12:AF$62),$A39+1,1),MAX(strike-$B39,0)),"")</f>
        <v>8.9705785392193177E-2</v>
      </c>
      <c r="AH39" s="9">
        <f t="array" ref="AH39">IF(AH$11&gt;=0,MAX(INDEX(MMULT(inverseG,AG$12:AG$62),$A39+1,1),MAX(strike-$B39,0)),"")</f>
        <v>9.3713795833666444E-2</v>
      </c>
      <c r="AI39" s="9">
        <f t="array" ref="AI39">IF(AI$11&gt;=0,MAX(INDEX(MMULT(inverseG,AH$12:AH$62),$A39+1,1),MAX(strike-$B39,0)),"")</f>
        <v>9.768749065797025E-2</v>
      </c>
      <c r="AJ39" s="9">
        <f t="array" ref="AJ39">IF(AJ$11&gt;=0,MAX(INDEX(MMULT(inverseG,AI$12:AI$62),$A39+1,1),MAX(strike-$B39,0)),"")</f>
        <v>0.1016253038024581</v>
      </c>
      <c r="AK39" s="9">
        <f t="array" ref="AK39">IF(AK$11&gt;=0,MAX(INDEX(MMULT(inverseG,AJ$12:AJ$62),$A39+1,1),MAX(strike-$B39,0)),"")</f>
        <v>0.10552595634810635</v>
      </c>
      <c r="AL39" s="9">
        <f t="array" ref="AL39">IF(AL$11&gt;=0,MAX(INDEX(MMULT(inverseG,AK$12:AK$62),$A39+1,1),MAX(strike-$B39,0)),"")</f>
        <v>0.10938841282571979</v>
      </c>
      <c r="AM39" s="9">
        <f t="array" ref="AM39">IF(AM$11&gt;=0,MAX(INDEX(MMULT(inverseG,AL$12:AL$62),$A39+1,1),MAX(strike-$B39,0)),"")</f>
        <v>0.11321184442344834</v>
      </c>
      <c r="AN39" s="9">
        <f t="array" ref="AN39">IF(AN$11&gt;=0,MAX(INDEX(MMULT(inverseG,AM$12:AM$62),$A39+1,1),MAX(strike-$B39,0)),"")</f>
        <v>0.116995598038377</v>
      </c>
      <c r="AO39" s="9">
        <f t="array" ref="AO39">IF(AO$11&gt;=0,MAX(INDEX(MMULT(inverseG,AN$12:AN$62),$A39+1,1),MAX(strike-$B39,0)),"")</f>
        <v>0.12073917043726987</v>
      </c>
      <c r="AP39" s="9">
        <f t="array" ref="AP39">IF(AP$11&gt;=0,MAX(INDEX(MMULT(inverseG,AO$12:AO$62),$A39+1,1),MAX(strike-$B39,0)),"")</f>
        <v>0.12444218708704473</v>
      </c>
      <c r="AQ39" s="9">
        <f t="array" ref="AQ39">IF(AQ$11&gt;=0,MAX(INDEX(MMULT(inverseG,AP$12:AP$62),$A39+1,1),MAX(strike-$B39,0)),"")</f>
        <v>0.12810438526052556</v>
      </c>
      <c r="AR39" s="9">
        <f t="array" ref="AR39">IF(AR$11&gt;=0,MAX(INDEX(MMULT(inverseG,AQ$12:AQ$62),$A39+1,1),MAX(strike-$B39,0)),"")</f>
        <v>0.13172560084901042</v>
      </c>
      <c r="AS39" s="9">
        <f t="array" ref="AS39">IF(AS$11&gt;=0,MAX(INDEX(MMULT(inverseG,AR$12:AR$62),$A39+1,1),MAX(strike-$B39,0)),"")</f>
        <v>0.1353057581009815</v>
      </c>
      <c r="AT39" s="9">
        <f t="array" ref="AT39">IF(AT$11&gt;=0,MAX(INDEX(MMULT(inverseG,AS$12:AS$62),$A39+1,1),MAX(strike-$B39,0)),"")</f>
        <v>0.13884486140602209</v>
      </c>
      <c r="AU39" s="9">
        <f t="array" ref="AU39">IF(AU$11&gt;=0,MAX(INDEX(MMULT(inverseG,AT$12:AT$62),$A39+1,1),MAX(strike-$B39,0)),"")</f>
        <v>0.14234298830004313</v>
      </c>
      <c r="AV39" s="9">
        <f t="array" ref="AV39">IF(AV$11&gt;=0,MAX(INDEX(MMULT(inverseG,AU$12:AU$62),$A39+1,1),MAX(strike-$B39,0)),"")</f>
        <v>0.14580028304436876</v>
      </c>
      <c r="AW39" s="9">
        <f t="array" ref="AW39">IF(AW$11&gt;=0,MAX(INDEX(MMULT(inverseG,AV$12:AV$62),$A39+1,1),MAX(strike-$B39,0)),"")</f>
        <v>0.14921695035779828</v>
      </c>
      <c r="AX39" s="9">
        <f t="array" ref="AX39">IF(AX$11&gt;=0,MAX(INDEX(MMULT(inverseG,AW$12:AW$62),$A39+1,1),MAX(strike-$B39,0)),"")</f>
        <v>0.15259324909630614</v>
      </c>
      <c r="AY39" s="9">
        <f t="array" ref="AY39">IF(AY$11&gt;=0,MAX(INDEX(MMULT(inverseG,AX$12:AX$62),$A39+1,1),MAX(strike-$B39,0)),"")</f>
        <v>0.15592948584312036</v>
      </c>
      <c r="AZ39" s="9">
        <f t="array" ref="AZ39">IF(AZ$11&gt;=0,MAX(INDEX(MMULT(inverseG,AY$12:AY$62),$A39+1,1),MAX(strike-$B39,0)),"")</f>
        <v>0.15922600848055576</v>
      </c>
      <c r="BA39" s="9">
        <f t="array" ref="BA39">IF(BA$11&gt;=0,MAX(INDEX(MMULT(inverseG,AZ$12:AZ$62),$A39+1,1),MAX(strike-$B39,0)),"")</f>
        <v>0.16248319986895235</v>
      </c>
      <c r="BB39" s="9">
        <f t="array" ref="BB39">IF(BB$11&gt;=0,MAX(INDEX(MMULT(inverseG,BA$12:BA$62),$A39+1,1),MAX(strike-$B39,0)),"")</f>
        <v>0.16570147177032404</v>
      </c>
      <c r="BC39" s="9">
        <f t="array" ref="BC39">IF(BC$11&gt;=0,MAX(INDEX(MMULT(inverseG,BB$12:BB$62),$A39+1,1),MAX(strike-$B39,0)),"")</f>
        <v>0.16888125913960086</v>
      </c>
      <c r="BD39" s="9">
        <f t="array" ref="BD39">IF(BD$11&gt;=0,MAX(INDEX(MMULT(inverseG,BC$12:BC$62),$A39+1,1),MAX(strike-$B39,0)),"")</f>
        <v>0.1720230148774935</v>
      </c>
      <c r="BE39" s="9">
        <f t="array" ref="BE39">IF(BE$11&gt;=0,MAX(INDEX(MMULT(inverseG,BD$12:BD$62),$A39+1,1),MAX(strike-$B39,0)),"")</f>
        <v>0.17512720510555332</v>
      </c>
      <c r="BF39" s="9">
        <f t="array" ref="BF39">IF(BF$11&gt;=0,MAX(INDEX(MMULT(inverseG,BE$12:BE$62),$A39+1,1),MAX(strike-$B39,0)),"")</f>
        <v>0.17819430499208472</v>
      </c>
      <c r="BG39" s="9">
        <f t="array" ref="BG39">IF(BG$11&gt;=0,MAX(INDEX(MMULT(inverseG,BF$12:BF$62),$A39+1,1),MAX(strike-$B39,0)),"")</f>
        <v>0.18122479513050629</v>
      </c>
      <c r="BH39" s="9">
        <f t="array" ref="BH39">IF(BH$11&gt;=0,MAX(INDEX(MMULT(inverseG,BG$12:BG$62),$A39+1,1),MAX(strike-$B39,0)),"")</f>
        <v>0.18421915845086351</v>
      </c>
      <c r="BI39" s="9">
        <f t="array" ref="BI39">IF(BI$11&gt;=0,MAX(INDEX(MMULT(inverseG,BH$12:BH$62),$A39+1,1),MAX(strike-$B39,0)),"")</f>
        <v>0.18717787763048169</v>
      </c>
      <c r="BJ39" s="9">
        <f t="array" ref="BJ39">IF(BJ$11&gt;=0,MAX(INDEX(MMULT(inverseG,BI$12:BI$62),$A39+1,1),MAX(strike-$B39,0)),"")</f>
        <v>0.19010143296052284</v>
      </c>
      <c r="BK39" s="9">
        <f t="array" ref="BK39">IF(BK$11&gt;=0,MAX(INDEX(MMULT(inverseG,BJ$12:BJ$62),$A39+1,1),MAX(strike-$B39,0)),"")</f>
        <v>0.19299030062046199</v>
      </c>
      <c r="BL39" s="9">
        <f t="array" ref="BL39">IF(BL$11&gt;=0,MAX(INDEX(MMULT(inverseG,BK$12:BK$62),$A39+1,1),MAX(strike-$B39,0)),"")</f>
        <v>0.19584495131118188</v>
      </c>
      <c r="BM39" s="9">
        <f t="array" ref="BM39">IF(BM$11&gt;=0,MAX(INDEX(MMULT(inverseG,BL$12:BL$62),$A39+1,1),MAX(strike-$B39,0)),"")</f>
        <v>0.19866584919851299</v>
      </c>
      <c r="BN39" s="9">
        <f t="array" ref="BN39">IF(BN$11&gt;=0,MAX(INDEX(MMULT(inverseG,BM$12:BM$62),$A39+1,1),MAX(strike-$B39,0)),"")</f>
        <v>0.20145345112181517</v>
      </c>
      <c r="BO39" s="9">
        <f t="array" ref="BO39">IF(BO$11&gt;=0,MAX(INDEX(MMULT(inverseG,BN$12:BN$62),$A39+1,1),MAX(strike-$B39,0)),"")</f>
        <v>0.20420820602593953</v>
      </c>
      <c r="BP39" s="9">
        <f t="array" ref="BP39">IF(BP$11&gt;=0,MAX(INDEX(MMULT(inverseG,BO$12:BO$62),$A39+1,1),MAX(strike-$B39,0)),"")</f>
        <v>0.20693055457915444</v>
      </c>
      <c r="BQ39" s="9">
        <f t="array" ref="BQ39">IF(BQ$11&gt;=0,MAX(INDEX(MMULT(inverseG,BP$12:BP$62),$A39+1,1),MAX(strike-$B39,0)),"")</f>
        <v>0.20962092894399903</v>
      </c>
      <c r="BR39" s="9">
        <f t="array" ref="BR39">IF(BR$11&gt;=0,MAX(INDEX(MMULT(inverseG,BQ$12:BQ$62),$A39+1,1),MAX(strike-$B39,0)),"")</f>
        <v>0.21227975267231078</v>
      </c>
      <c r="BS39" s="9">
        <f t="array" ref="BS39">IF(BS$11&gt;=0,MAX(INDEX(MMULT(inverseG,BR$12:BR$62),$A39+1,1),MAX(strike-$B39,0)),"")</f>
        <v>0.21490744069970905</v>
      </c>
      <c r="BT39" s="9">
        <f t="array" ref="BT39">IF(BT$11&gt;=0,MAX(INDEX(MMULT(inverseG,BS$12:BS$62),$A39+1,1),MAX(strike-$B39,0)),"")</f>
        <v>0.21750439941850999</v>
      </c>
      <c r="BU39" s="9">
        <f t="array" ref="BU39">IF(BU$11&gt;=0,MAX(INDEX(MMULT(inverseG,BT$12:BT$62),$A39+1,1),MAX(strike-$B39,0)),"")</f>
        <v>0.22007102681136659</v>
      </c>
      <c r="BV39" s="9">
        <f t="array" ref="BV39">IF(BV$11&gt;=0,MAX(INDEX(MMULT(inverseG,BU$12:BU$62),$A39+1,1),MAX(strike-$B39,0)),"")</f>
        <v>0.22260771263085272</v>
      </c>
      <c r="BW39" s="9">
        <f t="array" ref="BW39">IF(BW$11&gt;=0,MAX(INDEX(MMULT(inverseG,BV$12:BV$62),$A39+1,1),MAX(strike-$B39,0)),"")</f>
        <v>0.22511483861276679</v>
      </c>
      <c r="BX39" s="9">
        <f t="array" ref="BX39">IF(BX$11&gt;=0,MAX(INDEX(MMULT(inverseG,BW$12:BW$62),$A39+1,1),MAX(strike-$B39,0)),"")</f>
        <v>0.22759277871312081</v>
      </c>
      <c r="BY39" s="9">
        <f t="array" ref="BY39">IF(BY$11&gt;=0,MAX(INDEX(MMULT(inverseG,BX$12:BX$62),$A39+1,1),MAX(strike-$B39,0)),"")</f>
        <v>0.23004189936066641</v>
      </c>
      <c r="BZ39" s="9">
        <f t="array" ref="BZ39">IF(BZ$11&gt;=0,MAX(INDEX(MMULT(inverseG,BY$12:BY$62),$A39+1,1),MAX(strike-$B39,0)),"")</f>
        <v>0.23246255971839169</v>
      </c>
      <c r="CA39" s="9">
        <f t="array" ref="CA39">IF(CA$11&gt;=0,MAX(INDEX(MMULT(inverseG,BZ$12:BZ$62),$A39+1,1),MAX(strike-$B39,0)),"")</f>
        <v>0.23485511194876271</v>
      </c>
      <c r="CB39" s="9">
        <f t="array" ref="CB39">IF(CB$11&gt;=0,MAX(INDEX(MMULT(inverseG,CA$12:CA$62),$A39+1,1),MAX(strike-$B39,0)),"")</f>
        <v>0.23721990147859562</v>
      </c>
      <c r="CC39" s="9">
        <f t="array" ref="CC39">IF(CC$11&gt;=0,MAX(INDEX(MMULT(inverseG,CB$12:CB$62),$A39+1,1),MAX(strike-$B39,0)),"")</f>
        <v>0.23955726726037471</v>
      </c>
      <c r="CD39" s="9">
        <f t="array" ref="CD39">IF(CD$11&gt;=0,MAX(INDEX(MMULT(inverseG,CC$12:CC$62),$A39+1,1),MAX(strike-$B39,0)),"")</f>
        <v>0.2418675420275905</v>
      </c>
      <c r="CE39" s="9">
        <f t="array" ref="CE39">IF(CE$11&gt;=0,MAX(INDEX(MMULT(inverseG,CD$12:CD$62),$A39+1,1),MAX(strike-$B39,0)),"")</f>
        <v>0.24415105254230132</v>
      </c>
      <c r="CF39" s="9">
        <f t="array" ref="CF39">IF(CF$11&gt;=0,MAX(INDEX(MMULT(inverseG,CE$12:CE$62),$A39+1,1),MAX(strike-$B39,0)),"")</f>
        <v>0.24640811983362718</v>
      </c>
      <c r="CG39" s="9">
        <f t="array" ref="CG39">IF(CG$11&gt;=0,MAX(INDEX(MMULT(inverseG,CF$12:CF$62),$A39+1,1),MAX(strike-$B39,0)),"")</f>
        <v>0.24863905942629949</v>
      </c>
      <c r="CH39" s="9">
        <f t="array" ref="CH39">IF(CH$11&gt;=0,MAX(INDEX(MMULT(inverseG,CG$12:CG$62),$A39+1,1),MAX(strike-$B39,0)),"")</f>
        <v>0.25084418155871968</v>
      </c>
      <c r="CI39" s="9">
        <f t="array" ref="CI39">IF(CI$11&gt;=0,MAX(INDEX(MMULT(inverseG,CH$12:CH$62),$A39+1,1),MAX(strike-$B39,0)),"")</f>
        <v>0.25302379139024106</v>
      </c>
      <c r="CJ39" s="9">
        <f t="array" ref="CJ39">IF(CJ$11&gt;=0,MAX(INDEX(MMULT(inverseG,CI$12:CI$62),$A39+1,1),MAX(strike-$B39,0)),"")</f>
        <v>0.25517818919759738</v>
      </c>
      <c r="CK39" s="9">
        <f t="array" ref="CK39">IF(CK$11&gt;=0,MAX(INDEX(MMULT(inverseG,CJ$12:CJ$62),$A39+1,1),MAX(strike-$B39,0)),"")</f>
        <v>0.25730767056056192</v>
      </c>
      <c r="CL39" s="9">
        <f t="array" ref="CL39">IF(CL$11&gt;=0,MAX(INDEX(MMULT(inverseG,CK$12:CK$62),$A39+1,1),MAX(strike-$B39,0)),"")</f>
        <v>0.25941252653704289</v>
      </c>
      <c r="CM39" s="9">
        <f t="array" ref="CM39">IF(CM$11&gt;=0,MAX(INDEX(MMULT(inverseG,CL$12:CL$62),$A39+1,1),MAX(strike-$B39,0)),"")</f>
        <v>0.26149304382791339</v>
      </c>
      <c r="CN39" s="9">
        <f t="array" ref="CN39">IF(CN$11&gt;=0,MAX(INDEX(MMULT(inverseG,CM$12:CM$62),$A39+1,1),MAX(strike-$B39,0)),"")</f>
        <v>0.26354950493194484</v>
      </c>
      <c r="CO39" s="9">
        <f t="array" ref="CO39">IF(CO$11&gt;=0,MAX(INDEX(MMULT(inverseG,CN$12:CN$62),$A39+1,1),MAX(strike-$B39,0)),"")</f>
        <v>0.26558218829125607</v>
      </c>
      <c r="CP39" s="9">
        <f t="array" ref="CP39">IF(CP$11&gt;=0,MAX(INDEX(MMULT(inverseG,CO$12:CO$62),$A39+1,1),MAX(strike-$B39,0)),"")</f>
        <v>0.26759136842772147</v>
      </c>
      <c r="CQ39" s="9">
        <f t="array" ref="CQ39">IF(CQ$11&gt;=0,MAX(INDEX(MMULT(inverseG,CP$12:CP$62),$A39+1,1),MAX(strike-$B39,0)),"")</f>
        <v>0.26957731607080293</v>
      </c>
      <c r="CR39" s="9">
        <f t="array" ref="CR39">IF(CR$11&gt;=0,MAX(INDEX(MMULT(inverseG,CQ$12:CQ$62),$A39+1,1),MAX(strike-$B39,0)),"")</f>
        <v>0.27154029827727433</v>
      </c>
      <c r="CS39" s="9">
        <f t="array" ref="CS39">IF(CS$11&gt;=0,MAX(INDEX(MMULT(inverseG,CR$12:CR$62),$A39+1,1),MAX(strike-$B39,0)),"")</f>
        <v>0.2734805785504883</v>
      </c>
      <c r="CT39" s="9">
        <f t="array" ref="CT39">IF(CT$11&gt;=0,MAX(INDEX(MMULT(inverseG,CS$12:CS$62),$A39+1,1),MAX(strike-$B39,0)),"")</f>
        <v>0.27539841698255457</v>
      </c>
      <c r="CU39" s="9">
        <f t="array" ref="CU39">IF(CU$11&gt;=0,MAX(INDEX(MMULT(inverseG,CT$12:CT$62),$A39+1,1),MAX(strike-$B39,0)),"")</f>
        <v>0.27729407045463833</v>
      </c>
      <c r="CV39" s="9">
        <f t="array" ref="CV39">IF(CV$11&gt;=0,MAX(INDEX(MMULT(inverseG,CU$12:CU$62),$A39+1,1),MAX(strike-$B39,0)),"")</f>
        <v>0.27916779292650479</v>
      </c>
      <c r="CW39" s="9">
        <f t="array" ref="CW39">IF(CW$11&gt;=0,MAX(INDEX(MMULT(inverseG,CV$12:CV$62),$A39+1,1),MAX(strike-$B39,0)),"")</f>
        <v>0.28101983582611667</v>
      </c>
      <c r="CX39" s="9">
        <f t="array" ref="CX39">IF(CX$11&gt;=0,MAX(INDEX(MMULT(inverseG,CW$12:CW$62),$A39+1,1),MAX(strike-$B39,0)),"")</f>
        <v>0.28285044852287539</v>
      </c>
      <c r="CY39" s="9">
        <f t="array" ref="CY39">IF(CY$11&gt;=0,MAX(INDEX(MMULT(inverseG,CX$12:CX$62),$A39+1,1),MAX(strike-$B39,0)),"")</f>
        <v>0.28465987884509975</v>
      </c>
      <c r="CZ39" s="9">
        <f t="array" ref="CZ39">IF(CZ$11&gt;=0,MAX(INDEX(MMULT(inverseG,CY$12:CY$62),$A39+1,1),MAX(strike-$B39,0)),"")</f>
        <v>0.28644837359051001</v>
      </c>
      <c r="DA39" s="9" t="str">
        <f t="array" ref="DA39">IF(DA$11&gt;=0,MAX(INDEX(MMULT(inverseG,CZ$12:CZ$62),$A39+1,1),MAX(strike-$B39,0)),"")</f>
        <v/>
      </c>
      <c r="DB39" s="9" t="str">
        <f t="array" ref="DB39">IF(DB$11&gt;=0,MAX(INDEX(MMULT(inverseG,DA$12:DA$62),$A39+1,1),MAX(strike-$B39,0)),"")</f>
        <v/>
      </c>
      <c r="DC39" s="9" t="str">
        <f t="array" ref="DC39">IF(DC$11&gt;=0,MAX(INDEX(MMULT(inverseG,DB$12:DB$62),$A39+1,1),MAX(strike-$B39,0)),"")</f>
        <v/>
      </c>
      <c r="DD39" s="9" t="str">
        <f t="array" ref="DD39">IF(DD$11&gt;=0,MAX(INDEX(MMULT(inverseG,DC$12:DC$62),$A39+1,1),MAX(strike-$B39,0)),"")</f>
        <v/>
      </c>
      <c r="DE39" s="9" t="str">
        <f t="array" ref="DE39">IF(DE$11&gt;=0,MAX(INDEX(MMULT(inverseG,DD$12:DD$62),$A39+1,1),MAX(strike-$B39,0)),"")</f>
        <v/>
      </c>
      <c r="DF39" s="9" t="str">
        <f t="array" ref="DF39">IF(DF$11&gt;=0,MAX(INDEX(MMULT(inverseG,DE$12:DE$62),$A39+1,1),MAX(strike-$B39,0)),"")</f>
        <v/>
      </c>
      <c r="DG39" s="9" t="str">
        <f t="array" ref="DG39">IF(DG$11&gt;=0,MAX(INDEX(MMULT(inverseG,DF$12:DF$62),$A39+1,1),MAX(strike-$B39,0)),"")</f>
        <v/>
      </c>
      <c r="DH39" s="9" t="str">
        <f t="array" ref="DH39">IF(DH$11&gt;=0,MAX(INDEX(MMULT(inverseG,DG$12:DG$62),$A39+1,1),MAX(strike-$B39,0)),"")</f>
        <v/>
      </c>
      <c r="DI39" s="9" t="str">
        <f t="array" ref="DI39">IF(DI$11&gt;=0,MAX(INDEX(MMULT(inverseG,DH$12:DH$62),$A39+1,1),MAX(strike-$B39,0)),"")</f>
        <v/>
      </c>
      <c r="DJ39" s="9" t="str">
        <f t="array" ref="DJ39">IF(DJ$11&gt;=0,MAX(INDEX(MMULT(inverseG,DI$12:DI$62),$A39+1,1),MAX(strike-$B39,0)),"")</f>
        <v/>
      </c>
      <c r="DK39" s="9" t="str">
        <f t="array" ref="DK39">IF(DK$11&gt;=0,MAX(INDEX(MMULT(inverseG,DJ$12:DJ$62),$A39+1,1),MAX(strike-$B39,0)),"")</f>
        <v/>
      </c>
      <c r="DL39" s="9" t="str">
        <f t="array" ref="DL39">IF(DL$11&gt;=0,MAX(INDEX(MMULT(inverseG,DK$12:DK$62),$A39+1,1),MAX(strike-$B39,0)),"")</f>
        <v/>
      </c>
      <c r="DM39" s="9" t="str">
        <f t="array" ref="DM39">IF(DM$11&gt;=0,MAX(INDEX(MMULT(inverseG,DL$12:DL$62),$A39+1,1),MAX(strike-$B39,0)),"")</f>
        <v/>
      </c>
      <c r="DN39" s="9" t="str">
        <f t="array" ref="DN39">IF(DN$11&gt;=0,MAX(INDEX(MMULT(inverseG,DM$12:DM$62),$A39+1,1),MAX(strike-$B39,0)),"")</f>
        <v/>
      </c>
      <c r="DO39" s="9" t="str">
        <f t="array" ref="DO39">IF(DO$11&gt;=0,MAX(INDEX(MMULT(inverseG,DN$12:DN$62),$A39+1,1),MAX(strike-$B39,0)),"")</f>
        <v/>
      </c>
      <c r="DP39" s="9" t="str">
        <f t="array" ref="DP39">IF(DP$11&gt;=0,MAX(INDEX(MMULT(inverseG,DO$12:DO$62),$A39+1,1),MAX(strike-$B39,0)),"")</f>
        <v/>
      </c>
      <c r="DQ39" s="9" t="str">
        <f t="array" ref="DQ39">IF(DQ$11&gt;=0,MAX(INDEX(MMULT(inverseG,DP$12:DP$62),$A39+1,1),MAX(strike-$B39,0)),"")</f>
        <v/>
      </c>
      <c r="DR39" s="9" t="str">
        <f t="array" ref="DR39">IF(DR$11&gt;=0,MAX(INDEX(MMULT(inverseG,DQ$12:DQ$62),$A39+1,1),MAX(strike-$B39,0)),"")</f>
        <v/>
      </c>
      <c r="DS39" s="9" t="str">
        <f t="array" ref="DS39">IF(DS$11&gt;=0,MAX(INDEX(MMULT(inverseG,DR$12:DR$62),$A39+1,1),MAX(strike-$B39,0)),"")</f>
        <v/>
      </c>
      <c r="DT39" s="9" t="str">
        <f t="array" ref="DT39">IF(DT$11&gt;=0,MAX(INDEX(MMULT(inverseG,DS$12:DS$62),$A39+1,1),MAX(strike-$B39,0)),"")</f>
        <v/>
      </c>
      <c r="DU39" s="9" t="str">
        <f t="array" ref="DU39">IF(DU$11&gt;=0,MAX(INDEX(MMULT(inverseG,DT$12:DT$62),$A39+1,1),MAX(strike-$B39,0)),"")</f>
        <v/>
      </c>
      <c r="DV39" s="9" t="str">
        <f t="array" ref="DV39">IF(DV$11&gt;=0,MAX(INDEX(MMULT(inverseG,DU$12:DU$62),$A39+1,1),MAX(strike-$B39,0)),"")</f>
        <v/>
      </c>
      <c r="DW39" s="9" t="str">
        <f t="array" ref="DW39">IF(DW$11&gt;=0,MAX(INDEX(MMULT(inverseG,DV$12:DV$62),$A39+1,1),MAX(strike-$B39,0)),"")</f>
        <v/>
      </c>
      <c r="DX39" s="9" t="str">
        <f t="array" ref="DX39">IF(DX$11&gt;=0,MAX(INDEX(MMULT(inverseG,DW$12:DW$62),$A39+1,1),MAX(strike-$B39,0)),"")</f>
        <v/>
      </c>
      <c r="DY39" s="9" t="str">
        <f t="array" ref="DY39">IF(DY$11&gt;=0,MAX(INDEX(MMULT(inverseG,DX$12:DX$62),$A39+1,1),MAX(strike-$B39,0)),"")</f>
        <v/>
      </c>
      <c r="DZ39" s="9" t="str">
        <f t="array" ref="DZ39">IF(DZ$11&gt;=0,MAX(INDEX(MMULT(inverseG,DY$12:DY$62),$A39+1,1),MAX(strike-$B39,0)),"")</f>
        <v/>
      </c>
      <c r="EA39" s="9" t="str">
        <f t="array" ref="EA39">IF(EA$11&gt;=0,MAX(INDEX(MMULT(inverseG,DZ$12:DZ$62),$A39+1,1),MAX(strike-$B39,0)),"")</f>
        <v/>
      </c>
      <c r="EB39" s="9" t="str">
        <f t="array" ref="EB39">IF(EB$11&gt;=0,MAX(INDEX(MMULT(inverseG,EA$12:EA$62),$A39+1,1),MAX(strike-$B39,0)),"")</f>
        <v/>
      </c>
      <c r="EC39" s="9" t="str">
        <f t="array" ref="EC39">IF(EC$11&gt;=0,MAX(INDEX(MMULT(inverseG,EB$12:EB$62),$A39+1,1),MAX(strike-$B39,0)),"")</f>
        <v/>
      </c>
      <c r="ED39" s="9" t="str">
        <f t="array" ref="ED39">IF(ED$11&gt;=0,MAX(INDEX(MMULT(inverseG,EC$12:EC$62),$A39+1,1),MAX(strike-$B39,0)),"")</f>
        <v/>
      </c>
      <c r="EE39" s="9" t="str">
        <f t="array" ref="EE39">IF(EE$11&gt;=0,MAX(INDEX(MMULT(inverseG,ED$12:ED$62),$A39+1,1),MAX(strike-$B39,0)),"")</f>
        <v/>
      </c>
      <c r="EF39" s="9" t="str">
        <f t="array" ref="EF39">IF(EF$11&gt;=0,MAX(INDEX(MMULT(inverseG,EE$12:EE$62),$A39+1,1),MAX(strike-$B39,0)),"")</f>
        <v/>
      </c>
      <c r="EG39" s="9" t="str">
        <f t="array" ref="EG39">IF(EG$11&gt;=0,MAX(INDEX(MMULT(inverseG,EF$12:EF$62),$A39+1,1),MAX(strike-$B39,0)),"")</f>
        <v/>
      </c>
      <c r="EH39" s="9" t="str">
        <f t="array" ref="EH39">IF(EH$11&gt;=0,MAX(INDEX(MMULT(inverseG,EG$12:EG$62),$A39+1,1),MAX(strike-$B39,0)),"")</f>
        <v/>
      </c>
      <c r="EI39" s="9" t="str">
        <f t="array" ref="EI39">IF(EI$11&gt;=0,MAX(INDEX(MMULT(inverseG,EH$12:EH$62),$A39+1,1),MAX(strike-$B39,0)),"")</f>
        <v/>
      </c>
      <c r="EJ39" s="9" t="str">
        <f t="array" ref="EJ39">IF(EJ$11&gt;=0,MAX(INDEX(MMULT(inverseG,EI$12:EI$62),$A39+1,1),MAX(strike-$B39,0)),"")</f>
        <v/>
      </c>
      <c r="EK39" s="9" t="str">
        <f t="array" ref="EK39">IF(EK$11&gt;=0,MAX(INDEX(MMULT(inverseG,EJ$12:EJ$62),$A39+1,1),MAX(strike-$B39,0)),"")</f>
        <v/>
      </c>
      <c r="EL39" s="9" t="str">
        <f t="array" ref="EL39">IF(EL$11&gt;=0,MAX(INDEX(MMULT(inverseG,EK$12:EK$62),$A39+1,1),MAX(strike-$B39,0)),"")</f>
        <v/>
      </c>
      <c r="EM39" s="9" t="str">
        <f t="array" ref="EM39">IF(EM$11&gt;=0,MAX(INDEX(MMULT(inverseG,EL$12:EL$62),$A39+1,1),MAX(strike-$B39,0)),"")</f>
        <v/>
      </c>
      <c r="EN39" s="9" t="str">
        <f t="array" ref="EN39">IF(EN$11&gt;=0,MAX(INDEX(MMULT(inverseG,EM$12:EM$62),$A39+1,1),MAX(strike-$B39,0)),"")</f>
        <v/>
      </c>
      <c r="EO39" s="9" t="str">
        <f t="array" ref="EO39">IF(EO$11&gt;=0,MAX(INDEX(MMULT(inverseG,EN$12:EN$62),$A39+1,1),MAX(strike-$B39,0)),"")</f>
        <v/>
      </c>
      <c r="EP39" s="9" t="str">
        <f t="array" ref="EP39">IF(EP$11&gt;=0,MAX(INDEX(MMULT(inverseG,EO$12:EO$62),$A39+1,1),MAX(strike-$B39,0)),"")</f>
        <v/>
      </c>
      <c r="EQ39" s="9" t="str">
        <f t="array" ref="EQ39">IF(EQ$11&gt;=0,MAX(INDEX(MMULT(inverseG,EP$12:EP$62),$A39+1,1),MAX(strike-$B39,0)),"")</f>
        <v/>
      </c>
      <c r="ER39" s="9" t="str">
        <f t="array" ref="ER39">IF(ER$11&gt;=0,MAX(INDEX(MMULT(inverseG,EQ$12:EQ$62),$A39+1,1),MAX(strike-$B39,0)),"")</f>
        <v/>
      </c>
      <c r="ES39" s="9" t="str">
        <f t="array" ref="ES39">IF(ES$11&gt;=0,MAX(INDEX(MMULT(inverseG,ER$12:ER$62),$A39+1,1),MAX(strike-$B39,0)),"")</f>
        <v/>
      </c>
      <c r="ET39" s="9" t="str">
        <f t="array" ref="ET39">IF(ET$11&gt;=0,MAX(INDEX(MMULT(inverseG,ES$12:ES$62),$A39+1,1),MAX(strike-$B39,0)),"")</f>
        <v/>
      </c>
      <c r="EU39" s="9" t="str">
        <f t="array" ref="EU39">IF(EU$11&gt;=0,MAX(INDEX(MMULT(inverseG,ET$12:ET$62),$A39+1,1),MAX(strike-$B39,0)),"")</f>
        <v/>
      </c>
      <c r="EV39" s="9" t="str">
        <f t="array" ref="EV39">IF(EV$11&gt;=0,MAX(INDEX(MMULT(inverseG,EU$12:EU$62),$A39+1,1),MAX(strike-$B39,0)),"")</f>
        <v/>
      </c>
      <c r="EW39" s="9" t="str">
        <f t="array" ref="EW39">IF(EW$11&gt;=0,MAX(INDEX(MMULT(inverseG,EV$12:EV$62),$A39+1,1),MAX(strike-$B39,0)),"")</f>
        <v/>
      </c>
      <c r="EX39" s="9" t="str">
        <f t="array" ref="EX39">IF(EX$11&gt;=0,MAX(INDEX(MMULT(inverseG,EW$12:EW$62),$A39+1,1),MAX(strike-$B39,0)),"")</f>
        <v/>
      </c>
      <c r="EY39" s="9" t="str">
        <f t="array" ref="EY39">IF(EY$11&gt;=0,MAX(INDEX(MMULT(inverseG,EX$12:EX$62),$A39+1,1),MAX(strike-$B39,0)),"")</f>
        <v/>
      </c>
      <c r="EZ39" s="9" t="str">
        <f t="array" ref="EZ39">IF(EZ$11&gt;=0,MAX(INDEX(MMULT(inverseG,EY$12:EY$62),$A39+1,1),MAX(strike-$B39,0)),"")</f>
        <v/>
      </c>
      <c r="FA39" s="9" t="str">
        <f t="array" ref="FA39">IF(FA$11&gt;=0,MAX(INDEX(MMULT(inverseG,EZ$12:EZ$62),$A39+1,1),MAX(strike-$B39,0)),"")</f>
        <v/>
      </c>
      <c r="FB39" s="9" t="str">
        <f t="array" ref="FB39">IF(FB$11&gt;=0,MAX(INDEX(MMULT(inverseG,FA$12:FA$62),$A39+1,1),MAX(strike-$B39,0)),"")</f>
        <v/>
      </c>
      <c r="FC39" s="9" t="str">
        <f t="array" ref="FC39">IF(FC$11&gt;=0,MAX(INDEX(MMULT(inverseG,FB$12:FB$62),$A39+1,1),MAX(strike-$B39,0)),"")</f>
        <v/>
      </c>
      <c r="FD39" s="9" t="str">
        <f t="array" ref="FD39">IF(FD$11&gt;=0,MAX(INDEX(MMULT(inverseG,FC$12:FC$62),$A39+1,1),MAX(strike-$B39,0)),"")</f>
        <v/>
      </c>
      <c r="FE39" s="9" t="str">
        <f t="array" ref="FE39">IF(FE$11&gt;=0,MAX(INDEX(MMULT(inverseG,FD$12:FD$62),$A39+1,1),MAX(strike-$B39,0)),"")</f>
        <v/>
      </c>
      <c r="FF39" s="9" t="str">
        <f t="array" ref="FF39">IF(FF$11&gt;=0,MAX(INDEX(MMULT(inverseG,FE$12:FE$62),$A39+1,1),MAX(strike-$B39,0)),"")</f>
        <v/>
      </c>
      <c r="FG39" s="9" t="str">
        <f t="array" ref="FG39">IF(FG$11&gt;=0,MAX(INDEX(MMULT(inverseG,FF$12:FF$62),$A39+1,1),MAX(strike-$B39,0)),"")</f>
        <v/>
      </c>
      <c r="FH39" s="9" t="str">
        <f t="array" ref="FH39">IF(FH$11&gt;=0,MAX(INDEX(MMULT(inverseG,FG$12:FG$62),$A39+1,1),MAX(strike-$B39,0)),"")</f>
        <v/>
      </c>
      <c r="FI39" s="9" t="str">
        <f t="array" ref="FI39">IF(FI$11&gt;=0,MAX(INDEX(MMULT(inverseG,FH$12:FH$62),$A39+1,1),MAX(strike-$B39,0)),"")</f>
        <v/>
      </c>
      <c r="FJ39" s="9" t="str">
        <f t="array" ref="FJ39">IF(FJ$11&gt;=0,MAX(INDEX(MMULT(inverseG,FI$12:FI$62),$A39+1,1),MAX(strike-$B39,0)),"")</f>
        <v/>
      </c>
      <c r="FK39" s="9" t="str">
        <f t="array" ref="FK39">IF(FK$11&gt;=0,MAX(INDEX(MMULT(inverseG,FJ$12:FJ$62),$A39+1,1),MAX(strike-$B39,0)),"")</f>
        <v/>
      </c>
      <c r="FL39" s="9" t="str">
        <f t="array" ref="FL39">IF(FL$11&gt;=0,MAX(INDEX(MMULT(inverseG,FK$12:FK$62),$A39+1,1),MAX(strike-$B39,0)),"")</f>
        <v/>
      </c>
      <c r="FM39" s="9" t="str">
        <f t="array" ref="FM39">IF(FM$11&gt;=0,MAX(INDEX(MMULT(inverseG,FL$12:FL$62),$A39+1,1),MAX(strike-$B39,0)),"")</f>
        <v/>
      </c>
      <c r="FN39" s="9" t="str">
        <f t="array" ref="FN39">IF(FN$11&gt;=0,MAX(INDEX(MMULT(inverseG,FM$12:FM$62),$A39+1,1),MAX(strike-$B39,0)),"")</f>
        <v/>
      </c>
      <c r="FO39" s="9" t="str">
        <f t="array" ref="FO39">IF(FO$11&gt;=0,MAX(INDEX(MMULT(inverseG,FN$12:FN$62),$A39+1,1),MAX(strike-$B39,0)),"")</f>
        <v/>
      </c>
      <c r="FP39" s="9" t="str">
        <f t="array" ref="FP39">IF(FP$11&gt;=0,MAX(INDEX(MMULT(inverseG,FO$12:FO$62),$A39+1,1),MAX(strike-$B39,0)),"")</f>
        <v/>
      </c>
      <c r="FQ39" s="9" t="str">
        <f t="array" ref="FQ39">IF(FQ$11&gt;=0,MAX(INDEX(MMULT(inverseG,FP$12:FP$62),$A39+1,1),MAX(strike-$B39,0)),"")</f>
        <v/>
      </c>
      <c r="FR39" s="9" t="str">
        <f t="array" ref="FR39">IF(FR$11&gt;=0,MAX(INDEX(MMULT(inverseG,FQ$12:FQ$62),$A39+1,1),MAX(strike-$B39,0)),"")</f>
        <v/>
      </c>
      <c r="FS39" s="9" t="str">
        <f t="array" ref="FS39">IF(FS$11&gt;=0,MAX(INDEX(MMULT(inverseG,FR$12:FR$62),$A39+1,1),MAX(strike-$B39,0)),"")</f>
        <v/>
      </c>
      <c r="FT39" s="9" t="str">
        <f t="array" ref="FT39">IF(FT$11&gt;=0,MAX(INDEX(MMULT(inverseG,FS$12:FS$62),$A39+1,1),MAX(strike-$B39,0)),"")</f>
        <v/>
      </c>
      <c r="FU39" s="9" t="str">
        <f t="array" ref="FU39">IF(FU$11&gt;=0,MAX(INDEX(MMULT(inverseG,FT$12:FT$62),$A39+1,1),MAX(strike-$B39,0)),"")</f>
        <v/>
      </c>
      <c r="FV39" s="9" t="str">
        <f t="array" ref="FV39">IF(FV$11&gt;=0,MAX(INDEX(MMULT(inverseG,FU$12:FU$62),$A39+1,1),MAX(strike-$B39,0)),"")</f>
        <v/>
      </c>
      <c r="FW39" s="9" t="str">
        <f t="array" ref="FW39">IF(FW$11&gt;=0,MAX(INDEX(MMULT(inverseG,FV$12:FV$62),$A39+1,1),MAX(strike-$B39,0)),"")</f>
        <v/>
      </c>
      <c r="FX39" s="9" t="str">
        <f t="array" ref="FX39">IF(FX$11&gt;=0,MAX(INDEX(MMULT(inverseG,FW$12:FW$62),$A39+1,1),MAX(strike-$B39,0)),"")</f>
        <v/>
      </c>
      <c r="FY39" s="9" t="str">
        <f t="array" ref="FY39">IF(FY$11&gt;=0,MAX(INDEX(MMULT(inverseG,FX$12:FX$62),$A39+1,1),MAX(strike-$B39,0)),"")</f>
        <v/>
      </c>
      <c r="FZ39" s="9" t="str">
        <f t="array" ref="FZ39">IF(FZ$11&gt;=0,MAX(INDEX(MMULT(inverseG,FY$12:FY$62),$A39+1,1),MAX(strike-$B39,0)),"")</f>
        <v/>
      </c>
      <c r="GA39" s="9" t="str">
        <f t="array" ref="GA39">IF(GA$11&gt;=0,MAX(INDEX(MMULT(inverseG,FZ$12:FZ$62),$A39+1,1),MAX(strike-$B39,0)),"")</f>
        <v/>
      </c>
      <c r="GB39" s="9" t="str">
        <f t="array" ref="GB39">IF(GB$11&gt;=0,MAX(INDEX(MMULT(inverseG,GA$12:GA$62),$A39+1,1),MAX(strike-$B39,0)),"")</f>
        <v/>
      </c>
      <c r="GC39" s="9" t="str">
        <f t="array" ref="GC39">IF(GC$11&gt;=0,MAX(INDEX(MMULT(inverseG,GB$12:GB$62),$A39+1,1),MAX(strike-$B39,0)),"")</f>
        <v/>
      </c>
      <c r="GD39" s="9" t="str">
        <f t="array" ref="GD39">IF(GD$11&gt;=0,MAX(INDEX(MMULT(inverseG,GC$12:GC$62),$A39+1,1),MAX(strike-$B39,0)),"")</f>
        <v/>
      </c>
      <c r="GE39" s="9" t="str">
        <f t="array" ref="GE39">IF(GE$11&gt;=0,MAX(INDEX(MMULT(inverseG,GD$12:GD$62),$A39+1,1),MAX(strike-$B39,0)),"")</f>
        <v/>
      </c>
      <c r="GF39" s="9" t="str">
        <f t="array" ref="GF39">IF(GF$11&gt;=0,MAX(INDEX(MMULT(inverseG,GE$12:GE$62),$A39+1,1),MAX(strike-$B39,0)),"")</f>
        <v/>
      </c>
      <c r="GG39" s="9" t="str">
        <f t="array" ref="GG39">IF(GG$11&gt;=0,MAX(INDEX(MMULT(inverseG,GF$12:GF$62),$A39+1,1),MAX(strike-$B39,0)),"")</f>
        <v/>
      </c>
      <c r="GH39" s="9" t="str">
        <f t="array" ref="GH39">IF(GH$11&gt;=0,MAX(INDEX(MMULT(inverseG,GG$12:GG$62),$A39+1,1),MAX(strike-$B39,0)),"")</f>
        <v/>
      </c>
      <c r="GI39" s="9" t="str">
        <f t="array" ref="GI39">IF(GI$11&gt;=0,MAX(INDEX(MMULT(inverseG,GH$12:GH$62),$A39+1,1),MAX(strike-$B39,0)),"")</f>
        <v/>
      </c>
      <c r="GJ39" s="9" t="str">
        <f t="array" ref="GJ39">IF(GJ$11&gt;=0,MAX(INDEX(MMULT(inverseG,GI$12:GI$62),$A39+1,1),MAX(strike-$B39,0)),"")</f>
        <v/>
      </c>
      <c r="GK39" s="9" t="str">
        <f t="array" ref="GK39">IF(GK$11&gt;=0,MAX(INDEX(MMULT(inverseG,GJ$12:GJ$62),$A39+1,1),MAX(strike-$B39,0)),"")</f>
        <v/>
      </c>
      <c r="GL39" s="9" t="str">
        <f t="array" ref="GL39">IF(GL$11&gt;=0,MAX(INDEX(MMULT(inverseG,GK$12:GK$62),$A39+1,1),MAX(strike-$B39,0)),"")</f>
        <v/>
      </c>
      <c r="GM39" s="9" t="str">
        <f t="array" ref="GM39">IF(GM$11&gt;=0,MAX(INDEX(MMULT(inverseG,GL$12:GL$62),$A39+1,1),MAX(strike-$B39,0)),"")</f>
        <v/>
      </c>
      <c r="GN39" s="9" t="str">
        <f t="array" ref="GN39">IF(GN$11&gt;=0,MAX(INDEX(MMULT(inverseG,GM$12:GM$62),$A39+1,1),MAX(strike-$B39,0)),"")</f>
        <v/>
      </c>
      <c r="GO39" s="9" t="str">
        <f t="array" ref="GO39">IF(GO$11&gt;=0,MAX(INDEX(MMULT(inverseG,GN$12:GN$62),$A39+1,1),MAX(strike-$B39,0)),"")</f>
        <v/>
      </c>
      <c r="GP39" s="9" t="str">
        <f t="array" ref="GP39">IF(GP$11&gt;=0,MAX(INDEX(MMULT(inverseG,GO$12:GO$62),$A39+1,1),MAX(strike-$B39,0)),"")</f>
        <v/>
      </c>
      <c r="GQ39" s="9" t="str">
        <f t="array" ref="GQ39">IF(GQ$11&gt;=0,MAX(INDEX(MMULT(inverseG,GP$12:GP$62),$A39+1,1),MAX(strike-$B39,0)),"")</f>
        <v/>
      </c>
      <c r="GR39" s="9" t="str">
        <f t="array" ref="GR39">IF(GR$11&gt;=0,MAX(INDEX(MMULT(inverseG,GQ$12:GQ$62),$A39+1,1),MAX(strike-$B39,0)),"")</f>
        <v/>
      </c>
      <c r="GS39" s="9" t="str">
        <f t="array" ref="GS39">IF(GS$11&gt;=0,MAX(INDEX(MMULT(inverseG,GR$12:GR$62),$A39+1,1),MAX(strike-$B39,0)),"")</f>
        <v/>
      </c>
      <c r="GT39" s="9" t="str">
        <f t="array" ref="GT39">IF(GT$11&gt;=0,MAX(INDEX(MMULT(inverseG,GS$12:GS$62),$A39+1,1),MAX(strike-$B39,0)),"")</f>
        <v/>
      </c>
      <c r="GU39" s="9" t="str">
        <f t="array" ref="GU39">IF(GU$11&gt;=0,MAX(INDEX(MMULT(inverseG,GT$12:GT$62),$A39+1,1),MAX(strike-$B39,0)),"")</f>
        <v/>
      </c>
      <c r="GV39" s="9" t="str">
        <f t="array" ref="GV39">IF(GV$11&gt;=0,MAX(INDEX(MMULT(inverseG,GU$12:GU$62),$A39+1,1),MAX(strike-$B39,0)),"")</f>
        <v/>
      </c>
      <c r="GW39" s="9" t="str">
        <f t="array" ref="GW39">IF(GW$11&gt;=0,MAX(INDEX(MMULT(inverseG,GV$12:GV$62),$A39+1,1),MAX(strike-$B39,0)),"")</f>
        <v/>
      </c>
      <c r="GX39" s="9" t="str">
        <f t="array" ref="GX39">IF(GX$11&gt;=0,MAX(INDEX(MMULT(inverseG,GW$12:GW$62),$A39+1,1),MAX(strike-$B39,0)),"")</f>
        <v/>
      </c>
      <c r="GY39" s="9" t="str">
        <f t="array" ref="GY39">IF(GY$11&gt;=0,MAX(INDEX(MMULT(inverseG,GX$12:GX$62),$A39+1,1),MAX(strike-$B39,0)),"")</f>
        <v/>
      </c>
      <c r="GZ39" s="9" t="str">
        <f t="array" ref="GZ39">IF(GZ$11&gt;=0,MAX(INDEX(MMULT(inverseG,GY$12:GY$62),$A39+1,1),MAX(strike-$B39,0)),"")</f>
        <v/>
      </c>
      <c r="HA39" s="9" t="str">
        <f t="array" ref="HA39">IF(HA$11&gt;=0,MAX(INDEX(MMULT(inverseG,GZ$12:GZ$62),$A39+1,1),MAX(strike-$B39,0)),"")</f>
        <v/>
      </c>
      <c r="HB39" s="9" t="str">
        <f t="array" ref="HB39">IF(HB$11&gt;=0,MAX(INDEX(MMULT(inverseG,HA$12:HA$62),$A39+1,1),MAX(strike-$B39,0)),"")</f>
        <v/>
      </c>
      <c r="HC39" s="9" t="str">
        <f t="array" ref="HC39">IF(HC$11&gt;=0,MAX(INDEX(MMULT(inverseG,HB$12:HB$62),$A39+1,1),MAX(strike-$B39,0)),"")</f>
        <v/>
      </c>
      <c r="HD39" s="9" t="str">
        <f t="array" ref="HD39">IF(HD$11&gt;=0,MAX(INDEX(MMULT(inverseG,HC$12:HC$62),$A39+1,1),MAX(strike-$B39,0)),"")</f>
        <v/>
      </c>
      <c r="HE39" s="9" t="str">
        <f t="array" ref="HE39">IF(HE$11&gt;=0,MAX(INDEX(MMULT(inverseG,HD$12:HD$62),$A39+1,1),MAX(strike-$B39,0)),"")</f>
        <v/>
      </c>
      <c r="HF39" s="9" t="str">
        <f t="array" ref="HF39">IF(HF$11&gt;=0,MAX(INDEX(MMULT(inverseG,HE$12:HE$62),$A39+1,1),MAX(strike-$B39,0)),"")</f>
        <v/>
      </c>
      <c r="HG39" s="9" t="str">
        <f t="array" ref="HG39">IF(HG$11&gt;=0,MAX(INDEX(MMULT(inverseG,HF$12:HF$62),$A39+1,1),MAX(strike-$B39,0)),"")</f>
        <v/>
      </c>
      <c r="HH39" s="9" t="str">
        <f t="array" ref="HH39">IF(HH$11&gt;=0,MAX(INDEX(MMULT(inverseG,HG$12:HG$62),$A39+1,1),MAX(strike-$B39,0)),"")</f>
        <v/>
      </c>
      <c r="HI39" s="9" t="str">
        <f t="array" ref="HI39">IF(HI$11&gt;=0,MAX(INDEX(MMULT(inverseG,HH$12:HH$62),$A39+1,1),MAX(strike-$B39,0)),"")</f>
        <v/>
      </c>
      <c r="HJ39" s="9" t="str">
        <f t="array" ref="HJ39">IF(HJ$11&gt;=0,MAX(INDEX(MMULT(inverseG,HI$12:HI$62),$A39+1,1),MAX(strike-$B39,0)),"")</f>
        <v/>
      </c>
      <c r="HK39" s="9" t="str">
        <f t="array" ref="HK39">IF(HK$11&gt;=0,MAX(INDEX(MMULT(inverseG,HJ$12:HJ$62),$A39+1,1),MAX(strike-$B39,0)),"")</f>
        <v/>
      </c>
      <c r="HL39" s="9" t="str">
        <f t="array" ref="HL39">IF(HL$11&gt;=0,MAX(INDEX(MMULT(inverseG,HK$12:HK$62),$A39+1,1),MAX(strike-$B39,0)),"")</f>
        <v/>
      </c>
      <c r="HM39" s="9" t="str">
        <f t="array" ref="HM39">IF(HM$11&gt;=0,MAX(INDEX(MMULT(inverseG,HL$12:HL$62),$A39+1,1),MAX(strike-$B39,0)),"")</f>
        <v/>
      </c>
      <c r="HN39" s="9" t="str">
        <f t="array" ref="HN39">IF(HN$11&gt;=0,MAX(INDEX(MMULT(inverseG,HM$12:HM$62),$A39+1,1),MAX(strike-$B39,0)),"")</f>
        <v/>
      </c>
      <c r="HO39" s="9" t="str">
        <f t="array" ref="HO39">IF(HO$11&gt;=0,MAX(INDEX(MMULT(inverseG,HN$12:HN$62),$A39+1,1),MAX(strike-$B39,0)),"")</f>
        <v/>
      </c>
      <c r="HP39" s="9" t="str">
        <f t="array" ref="HP39">IF(HP$11&gt;=0,MAX(INDEX(MMULT(inverseG,HO$12:HO$62),$A39+1,1),MAX(strike-$B39,0)),"")</f>
        <v/>
      </c>
      <c r="HQ39" s="9" t="str">
        <f t="array" ref="HQ39">IF(HQ$11&gt;=0,MAX(INDEX(MMULT(inverseG,HP$12:HP$62),$A39+1,1),MAX(strike-$B39,0)),"")</f>
        <v/>
      </c>
      <c r="HR39" s="9" t="str">
        <f t="array" ref="HR39">IF(HR$11&gt;=0,MAX(INDEX(MMULT(inverseG,HQ$12:HQ$62),$A39+1,1),MAX(strike-$B39,0)),"")</f>
        <v/>
      </c>
      <c r="HS39" s="9" t="str">
        <f t="array" ref="HS39">IF(HS$11&gt;=0,MAX(INDEX(MMULT(inverseG,HR$12:HR$62),$A39+1,1),MAX(strike-$B39,0)),"")</f>
        <v/>
      </c>
      <c r="HT39" s="9" t="str">
        <f t="array" ref="HT39">IF(HT$11&gt;=0,MAX(INDEX(MMULT(inverseG,HS$12:HS$62),$A39+1,1),MAX(strike-$B39,0)),"")</f>
        <v/>
      </c>
      <c r="HU39" s="9" t="str">
        <f t="array" ref="HU39">IF(HU$11&gt;=0,MAX(INDEX(MMULT(inverseG,HT$12:HT$62),$A39+1,1),MAX(strike-$B39,0)),"")</f>
        <v/>
      </c>
      <c r="HV39" s="9" t="str">
        <f t="array" ref="HV39">IF(HV$11&gt;=0,MAX(INDEX(MMULT(inverseG,HU$12:HU$62),$A39+1,1),MAX(strike-$B39,0)),"")</f>
        <v/>
      </c>
      <c r="HW39" s="9" t="str">
        <f t="array" ref="HW39">IF(HW$11&gt;=0,MAX(INDEX(MMULT(inverseG,HV$12:HV$62),$A39+1,1),MAX(strike-$B39,0)),"")</f>
        <v/>
      </c>
      <c r="HX39" s="9" t="str">
        <f t="array" ref="HX39">IF(HX$11&gt;=0,MAX(INDEX(MMULT(inverseG,HW$12:HW$62),$A39+1,1),MAX(strike-$B39,0)),"")</f>
        <v/>
      </c>
      <c r="HY39" s="9" t="str">
        <f t="array" ref="HY39">IF(HY$11&gt;=0,MAX(INDEX(MMULT(inverseG,HX$12:HX$62),$A39+1,1),MAX(strike-$B39,0)),"")</f>
        <v/>
      </c>
      <c r="HZ39" s="9" t="str">
        <f t="array" ref="HZ39">IF(HZ$11&gt;=0,MAX(INDEX(MMULT(inverseG,HY$12:HY$62),$A39+1,1),MAX(strike-$B39,0)),"")</f>
        <v/>
      </c>
      <c r="IA39" s="9" t="str">
        <f t="array" ref="IA39">IF(IA$11&gt;=0,MAX(INDEX(MMULT(inverseG,HZ$12:HZ$62),$A39+1,1),MAX(strike-$B39,0)),"")</f>
        <v/>
      </c>
      <c r="IB39" s="9" t="str">
        <f t="array" ref="IB39">IF(IB$11&gt;=0,MAX(INDEX(MMULT(inverseG,IA$12:IA$62),$A39+1,1),MAX(strike-$B39,0)),"")</f>
        <v/>
      </c>
      <c r="IC39" s="9" t="str">
        <f t="array" ref="IC39">IF(IC$11&gt;=0,MAX(INDEX(MMULT(inverseG,IB$12:IB$62),$A39+1,1),MAX(strike-$B39,0)),"")</f>
        <v/>
      </c>
      <c r="ID39" s="9" t="str">
        <f t="array" ref="ID39">IF(ID$11&gt;=0,MAX(INDEX(MMULT(inverseG,IC$12:IC$62),$A39+1,1),MAX(strike-$B39,0)),"")</f>
        <v/>
      </c>
      <c r="IE39" s="9" t="str">
        <f t="array" ref="IE39">IF(IE$11&gt;=0,MAX(INDEX(MMULT(inverseG,ID$12:ID$62),$A39+1,1),MAX(strike-$B39,0)),"")</f>
        <v/>
      </c>
      <c r="IF39" s="9" t="str">
        <f t="array" ref="IF39">IF(IF$11&gt;=0,MAX(INDEX(MMULT(inverseG,IE$12:IE$62),$A39+1,1),MAX(strike-$B39,0)),"")</f>
        <v/>
      </c>
      <c r="IG39" s="9" t="str">
        <f t="array" ref="IG39">IF(IG$11&gt;=0,MAX(INDEX(MMULT(inverseG,IF$12:IF$62),$A39+1,1),MAX(strike-$B39,0)),"")</f>
        <v/>
      </c>
      <c r="IH39" s="9" t="str">
        <f t="array" ref="IH39">IF(IH$11&gt;=0,MAX(INDEX(MMULT(inverseG,IG$12:IG$62),$A39+1,1),MAX(strike-$B39,0)),"")</f>
        <v/>
      </c>
      <c r="II39" s="9" t="str">
        <f t="array" ref="II39">IF(II$11&gt;=0,MAX(INDEX(MMULT(inverseG,IH$12:IH$62),$A39+1,1),MAX(strike-$B39,0)),"")</f>
        <v/>
      </c>
      <c r="IJ39" s="9" t="str">
        <f t="array" ref="IJ39">IF(IJ$11&gt;=0,MAX(INDEX(MMULT(inverseG,II$12:II$62),$A39+1,1),MAX(strike-$B39,0)),"")</f>
        <v/>
      </c>
      <c r="IK39" s="9" t="str">
        <f t="array" ref="IK39">IF(IK$11&gt;=0,MAX(INDEX(MMULT(inverseG,IJ$12:IJ$62),$A39+1,1),MAX(strike-$B39,0)),"")</f>
        <v/>
      </c>
      <c r="IL39" s="9" t="str">
        <f t="array" ref="IL39">IF(IL$11&gt;=0,MAX(INDEX(MMULT(inverseG,IK$12:IK$62),$A39+1,1),MAX(strike-$B39,0)),"")</f>
        <v/>
      </c>
      <c r="IM39" s="9" t="str">
        <f t="array" ref="IM39">IF(IM$11&gt;=0,MAX(INDEX(MMULT(inverseG,IL$12:IL$62),$A39+1,1),MAX(strike-$B39,0)),"")</f>
        <v/>
      </c>
      <c r="IN39" s="9" t="str">
        <f t="array" ref="IN39">IF(IN$11&gt;=0,MAX(INDEX(MMULT(inverseG,IM$12:IM$62),$A39+1,1),MAX(strike-$B39,0)),"")</f>
        <v/>
      </c>
      <c r="IO39" s="9" t="str">
        <f t="array" ref="IO39">IF(IO$11&gt;=0,MAX(INDEX(MMULT(inverseG,IN$12:IN$62),$A39+1,1),MAX(strike-$B39,0)),"")</f>
        <v/>
      </c>
      <c r="IP39" s="9" t="str">
        <f t="array" ref="IP39">IF(IP$11&gt;=0,MAX(INDEX(MMULT(inverseG,IO$12:IO$62),$A39+1,1),MAX(strike-$B39,0)),"")</f>
        <v/>
      </c>
      <c r="IQ39" s="9" t="str">
        <f t="array" ref="IQ39">IF(IQ$11&gt;=0,MAX(INDEX(MMULT(inverseG,IP$12:IP$62),$A39+1,1),MAX(strike-$B39,0)),"")</f>
        <v/>
      </c>
      <c r="IR39" s="9" t="str">
        <f t="array" ref="IR39">IF(IR$11&gt;=0,MAX(INDEX(MMULT(inverseG,IQ$12:IQ$62),$A39+1,1),MAX(strike-$B39,0)),"")</f>
        <v/>
      </c>
      <c r="IS39" s="9" t="str">
        <f t="array" ref="IS39">IF(IS$11&gt;=0,MAX(INDEX(MMULT(inverseG,IR$12:IR$62),$A39+1,1),MAX(strike-$B39,0)),"")</f>
        <v/>
      </c>
      <c r="IT39" s="9" t="str">
        <f t="array" ref="IT39">IF(IT$11&gt;=0,MAX(INDEX(MMULT(inverseG,IS$12:IS$62),$A39+1,1),MAX(strike-$B39,0)),"")</f>
        <v/>
      </c>
      <c r="IU39" s="9" t="str">
        <f t="array" ref="IU39">IF(IU$11&gt;=0,MAX(INDEX(MMULT(inverseG,IT$12:IT$62),$A39+1,1),MAX(strike-$B39,0)),"")</f>
        <v/>
      </c>
      <c r="IV39" s="9" t="str">
        <f t="array" ref="IV39">IF(IV$11&gt;=0,MAX(INDEX(MMULT(inverseG,IU$12:IU$62),$A39+1,1),MAX(strike-$B39,0)),"")</f>
        <v/>
      </c>
    </row>
    <row r="40" spans="1:256" x14ac:dyDescent="0.2">
      <c r="A40" s="8">
        <f t="shared" si="7"/>
        <v>28</v>
      </c>
      <c r="B40" s="6">
        <f t="shared" si="4"/>
        <v>7</v>
      </c>
      <c r="C40" s="30">
        <f t="shared" ca="1" si="6"/>
        <v>0.25503485227232181</v>
      </c>
      <c r="D40" s="9">
        <f t="shared" si="5"/>
        <v>0</v>
      </c>
      <c r="E40" s="9">
        <f t="array" ref="E40">IF(E$11&gt;=0,MAX(INDEX(MMULT(inverseG,D$12:D$62),$A40+1,1),MAX(strike-$B40,0)),"")</f>
        <v>2.0803197164586162E-5</v>
      </c>
      <c r="F40" s="9">
        <f t="array" ref="F40">IF(F$11&gt;=0,MAX(INDEX(MMULT(inverseG,E$12:E$62),$A40+1,1),MAX(strike-$B40,0)),"")</f>
        <v>1.1093390502963362E-4</v>
      </c>
      <c r="G40" s="9">
        <f t="array" ref="G40">IF(G$11&gt;=0,MAX(INDEX(MMULT(inverseG,F$12:F$62),$A40+1,1),MAX(strike-$B40,0)),"")</f>
        <v>3.3501230687167172E-4</v>
      </c>
      <c r="H40" s="9">
        <f t="array" ref="H40">IF(H$11&gt;=0,MAX(INDEX(MMULT(inverseG,G$12:G$62),$A40+1,1),MAX(strike-$B40,0)),"")</f>
        <v>7.5669067496148836E-4</v>
      </c>
      <c r="I40" s="9">
        <f t="array" ref="I40">IF(I$11&gt;=0,MAX(INDEX(MMULT(inverseG,H$12:H$62),$A40+1,1),MAX(strike-$B40,0)),"")</f>
        <v>1.4261929854378263E-3</v>
      </c>
      <c r="J40" s="9">
        <f t="array" ref="J40">IF(J$11&gt;=0,MAX(INDEX(MMULT(inverseG,I$12:I$62),$A40+1,1),MAX(strike-$B40,0)),"")</f>
        <v>2.3750692798867124E-3</v>
      </c>
      <c r="K40" s="9">
        <f t="array" ref="K40">IF(K$11&gt;=0,MAX(INDEX(MMULT(inverseG,J$12:J$62),$A40+1,1),MAX(strike-$B40,0)),"")</f>
        <v>3.6165187629056605E-3</v>
      </c>
      <c r="L40" s="9">
        <f t="array" ref="L40">IF(L$11&gt;=0,MAX(INDEX(MMULT(inverseG,K$12:K$62),$A40+1,1),MAX(strike-$B40,0)),"")</f>
        <v>5.1486648412519733E-3</v>
      </c>
      <c r="M40" s="9">
        <f t="array" ref="M40">IF(M$11&gt;=0,MAX(INDEX(MMULT(inverseG,L$12:L$62),$A40+1,1),MAX(strike-$B40,0)),"")</f>
        <v>6.9587377967091791E-3</v>
      </c>
      <c r="N40" s="9">
        <f t="array" ref="N40">IF(N$11&gt;=0,MAX(INDEX(MMULT(inverseG,M$12:M$62),$A40+1,1),MAX(strike-$B40,0)),"")</f>
        <v>9.026995607735849E-3</v>
      </c>
      <c r="O40" s="9">
        <f t="array" ref="O40">IF(O$11&gt;=0,MAX(INDEX(MMULT(inverseG,N$12:N$62),$A40+1,1),MAX(strike-$B40,0)),"")</f>
        <v>1.132989123241605E-2</v>
      </c>
      <c r="P40" s="9">
        <f t="array" ref="P40">IF(P$11&gt;=0,MAX(INDEX(MMULT(inverseG,O$12:O$62),$A40+1,1),MAX(strike-$B40,0)),"")</f>
        <v>1.3842394536387189E-2</v>
      </c>
      <c r="Q40" s="9">
        <f t="array" ref="Q40">IF(Q$11&gt;=0,MAX(INDEX(MMULT(inverseG,P$12:P$62),$A40+1,1),MAX(strike-$B40,0)),"")</f>
        <v>1.6539565828509312E-2</v>
      </c>
      <c r="R40" s="9">
        <f t="array" ref="R40">IF(R$11&gt;=0,MAX(INDEX(MMULT(inverseG,Q$12:Q$62),$A40+1,1),MAX(strike-$B40,0)),"")</f>
        <v>1.9397540815084907E-2</v>
      </c>
      <c r="S40" s="9">
        <f t="array" ref="S40">IF(S$11&gt;=0,MAX(INDEX(MMULT(inverseG,R$12:R$62),$A40+1,1),MAX(strike-$B40,0)),"")</f>
        <v>2.2394086683405579E-2</v>
      </c>
      <c r="T40" s="9">
        <f t="array" ref="T40">IF(T$11&gt;=0,MAX(INDEX(MMULT(inverseG,S$12:S$62),$A40+1,1),MAX(strike-$B40,0)),"")</f>
        <v>2.5508863744661457E-2</v>
      </c>
      <c r="U40" s="9">
        <f t="array" ref="U40">IF(U$11&gt;=0,MAX(INDEX(MMULT(inverseG,T$12:T$62),$A40+1,1),MAX(strike-$B40,0)),"")</f>
        <v>2.8723496525746666E-2</v>
      </c>
      <c r="V40" s="9">
        <f t="array" ref="V40">IF(V$11&gt;=0,MAX(INDEX(MMULT(inverseG,U$12:U$62),$A40+1,1),MAX(strike-$B40,0)),"")</f>
        <v>3.2021529826870669E-2</v>
      </c>
      <c r="W40" s="9">
        <f t="array" ref="W40">IF(W$11&gt;=0,MAX(INDEX(MMULT(inverseG,V$12:V$62),$A40+1,1),MAX(strike-$B40,0)),"")</f>
        <v>3.5388321359474416E-2</v>
      </c>
      <c r="X40" s="9">
        <f t="array" ref="X40">IF(X$11&gt;=0,MAX(INDEX(MMULT(inverseG,W$12:W$62),$A40+1,1),MAX(strike-$B40,0)),"")</f>
        <v>3.8810903949965968E-2</v>
      </c>
      <c r="Y40" s="9">
        <f t="array" ref="Y40">IF(Y$11&gt;=0,MAX(INDEX(MMULT(inverseG,X$12:X$62),$A40+1,1),MAX(strike-$B40,0)),"")</f>
        <v>4.227783695538747E-2</v>
      </c>
      <c r="Z40" s="9">
        <f t="array" ref="Z40">IF(Z$11&gt;=0,MAX(INDEX(MMULT(inverseG,Y$12:Y$62),$A40+1,1),MAX(strike-$B40,0)),"")</f>
        <v>4.5779057801591881E-2</v>
      </c>
      <c r="AA40" s="9">
        <f t="array" ref="AA40">IF(AA$11&gt;=0,MAX(INDEX(MMULT(inverseG,Z$12:Z$62),$A40+1,1),MAX(strike-$B40,0)),"")</f>
        <v>4.9305739315873752E-2</v>
      </c>
      <c r="AB40" s="9">
        <f t="array" ref="AB40">IF(AB$11&gt;=0,MAX(INDEX(MMULT(inverseG,AA$12:AA$62),$A40+1,1),MAX(strike-$B40,0)),"")</f>
        <v>5.2850155628189392E-2</v>
      </c>
      <c r="AC40" s="9">
        <f t="array" ref="AC40">IF(AC$11&gt;=0,MAX(INDEX(MMULT(inverseG,AB$12:AB$62),$A40+1,1),MAX(strike-$B40,0)),"")</f>
        <v>5.6405557909558833E-2</v>
      </c>
      <c r="AD40" s="9">
        <f t="array" ref="AD40">IF(AD$11&gt;=0,MAX(INDEX(MMULT(inverseG,AC$12:AC$62),$A40+1,1),MAX(strike-$B40,0)),"")</f>
        <v>5.9966060449629398E-2</v>
      </c>
      <c r="AE40" s="9">
        <f t="array" ref="AE40">IF(AE$11&gt;=0,MAX(INDEX(MMULT(inverseG,AD$12:AD$62),$A40+1,1),MAX(strike-$B40,0)),"")</f>
        <v>6.3526537160224578E-2</v>
      </c>
      <c r="AF40" s="9">
        <f t="array" ref="AF40">IF(AF$11&gt;=0,MAX(INDEX(MMULT(inverseG,AE$12:AE$62),$A40+1,1),MAX(strike-$B40,0)),"")</f>
        <v>6.7082528330100047E-2</v>
      </c>
      <c r="AG40" s="9">
        <f t="array" ref="AG40">IF(AG$11&gt;=0,MAX(INDEX(MMULT(inverseG,AF$12:AF$62),$A40+1,1),MAX(strike-$B40,0)),"")</f>
        <v>7.0630157263559756E-2</v>
      </c>
      <c r="AH40" s="9">
        <f t="array" ref="AH40">IF(AH$11&gt;=0,MAX(INDEX(MMULT(inverseG,AG$12:AG$62),$A40+1,1),MAX(strike-$B40,0)),"")</f>
        <v>7.416605628456438E-2</v>
      </c>
      <c r="AI40" s="9">
        <f t="array" ref="AI40">IF(AI$11&gt;=0,MAX(INDEX(MMULT(inverseG,AH$12:AH$62),$A40+1,1),MAX(strike-$B40,0)),"")</f>
        <v>7.7687301473754244E-2</v>
      </c>
      <c r="AJ40" s="9">
        <f t="array" ref="AJ40">IF(AJ$11&gt;=0,MAX(INDEX(MMULT(inverseG,AI$12:AI$62),$A40+1,1),MAX(strike-$B40,0)),"")</f>
        <v>8.119135542903852E-2</v>
      </c>
      <c r="AK40" s="9">
        <f t="array" ref="AK40">IF(AK$11&gt;=0,MAX(INDEX(MMULT(inverseG,AJ$12:AJ$62),$A40+1,1),MAX(strike-$B40,0)),"")</f>
        <v>8.4676017300189491E-2</v>
      </c>
      <c r="AL40" s="9">
        <f t="array" ref="AL40">IF(AL$11&gt;=0,MAX(INDEX(MMULT(inverseG,AK$12:AK$62),$A40+1,1),MAX(strike-$B40,0)),"")</f>
        <v>8.8139379340380339E-2</v>
      </c>
      <c r="AM40" s="9">
        <f t="array" ref="AM40">IF(AM$11&gt;=0,MAX(INDEX(MMULT(inverseG,AL$12:AL$62),$A40+1,1),MAX(strike-$B40,0)),"")</f>
        <v>9.1579789236797909E-2</v>
      </c>
      <c r="AN40" s="9">
        <f t="array" ref="AN40">IF(AN$11&gt;=0,MAX(INDEX(MMULT(inverseG,AM$12:AM$62),$A40+1,1),MAX(strike-$B40,0)),"")</f>
        <v>9.4995817521445924E-2</v>
      </c>
      <c r="AO40" s="9">
        <f t="array" ref="AO40">IF(AO$11&gt;=0,MAX(INDEX(MMULT(inverseG,AN$12:AN$62),$A40+1,1),MAX(strike-$B40,0)),"")</f>
        <v>9.8386229491346941E-2</v>
      </c>
      <c r="AP40" s="9">
        <f t="array" ref="AP40">IF(AP$11&gt;=0,MAX(INDEX(MMULT(inverseG,AO$12:AO$62),$A40+1,1),MAX(strike-$B40,0)),"")</f>
        <v>0.10174996122643978</v>
      </c>
      <c r="AQ40" s="9">
        <f t="array" ref="AQ40">IF(AQ$11&gt;=0,MAX(INDEX(MMULT(inverseG,AP$12:AP$62),$A40+1,1),MAX(strike-$B40,0)),"")</f>
        <v>0.10508609937022535</v>
      </c>
      <c r="AR40" s="9">
        <f t="array" ref="AR40">IF(AR$11&gt;=0,MAX(INDEX(MMULT(inverseG,AQ$12:AQ$62),$A40+1,1),MAX(strike-$B40,0)),"")</f>
        <v>0.10839386429739098</v>
      </c>
      <c r="AS40" s="9">
        <f t="array" ref="AS40">IF(AS$11&gt;=0,MAX(INDEX(MMULT(inverseG,AR$12:AR$62),$A40+1,1),MAX(strike-$B40,0)),"")</f>
        <v>0.11167259618852565</v>
      </c>
      <c r="AT40" s="9">
        <f t="array" ref="AT40">IF(AT$11&gt;=0,MAX(INDEX(MMULT(inverseG,AS$12:AS$62),$A40+1,1),MAX(strike-$B40,0)),"")</f>
        <v>0.1149217434442561</v>
      </c>
      <c r="AU40" s="9">
        <f t="array" ref="AU40">IF(AU$11&gt;=0,MAX(INDEX(MMULT(inverseG,AT$12:AT$62),$A40+1,1),MAX(strike-$B40,0)),"")</f>
        <v>0.11814085285059987</v>
      </c>
      <c r="AV40" s="9">
        <f t="array" ref="AV40">IF(AV$11&gt;=0,MAX(INDEX(MMULT(inverseG,AU$12:AU$62),$A40+1,1),MAX(strike-$B40,0)),"")</f>
        <v>0.12132956096196845</v>
      </c>
      <c r="AW40" s="9">
        <f t="array" ref="AW40">IF(AW$11&gt;=0,MAX(INDEX(MMULT(inverseG,AV$12:AV$62),$A40+1,1),MAX(strike-$B40,0)),"")</f>
        <v>0.12448758627609689</v>
      </c>
      <c r="AX40" s="9">
        <f t="array" ref="AX40">IF(AX$11&gt;=0,MAX(INDEX(MMULT(inverseG,AW$12:AW$62),$A40+1,1),MAX(strike-$B40,0)),"")</f>
        <v>0.12761472190420478</v>
      </c>
      <c r="AY40" s="9">
        <f t="array" ref="AY40">IF(AY$11&gt;=0,MAX(INDEX(MMULT(inverseG,AX$12:AX$62),$A40+1,1),MAX(strike-$B40,0)),"")</f>
        <v>0.13071082856225152</v>
      </c>
      <c r="AZ40" s="9">
        <f t="array" ref="AZ40">IF(AZ$11&gt;=0,MAX(INDEX(MMULT(inverseG,AY$12:AY$62),$A40+1,1),MAX(strike-$B40,0)),"")</f>
        <v>0.13377582780816122</v>
      </c>
      <c r="BA40" s="9">
        <f t="array" ref="BA40">IF(BA$11&gt;=0,MAX(INDEX(MMULT(inverseG,AZ$12:AZ$62),$A40+1,1),MAX(strike-$B40,0)),"")</f>
        <v>0.13680969551888189</v>
      </c>
      <c r="BB40" s="9">
        <f t="array" ref="BB40">IF(BB$11&gt;=0,MAX(INDEX(MMULT(inverseG,BA$12:BA$62),$A40+1,1),MAX(strike-$B40,0)),"")</f>
        <v>0.13981245564136349</v>
      </c>
      <c r="BC40" s="9">
        <f t="array" ref="BC40">IF(BC$11&gt;=0,MAX(INDEX(MMULT(inverseG,BB$12:BB$62),$A40+1,1),MAX(strike-$B40,0)),"")</f>
        <v>0.1427841742684314</v>
      </c>
      <c r="BD40" s="9">
        <f t="array" ref="BD40">IF(BD$11&gt;=0,MAX(INDEX(MMULT(inverseG,BC$12:BC$62),$A40+1,1),MAX(strike-$B40,0)),"")</f>
        <v>0.14572495409095995</v>
      </c>
      <c r="BE40" s="9">
        <f t="array" ref="BE40">IF(BE$11&gt;=0,MAX(INDEX(MMULT(inverseG,BD$12:BD$62),$A40+1,1),MAX(strike-$B40,0)),"")</f>
        <v>0.14863492926817745</v>
      </c>
      <c r="BF40" s="9">
        <f t="array" ref="BF40">IF(BF$11&gt;=0,MAX(INDEX(MMULT(inverseG,BE$12:BE$62),$A40+1,1),MAX(strike-$B40,0)),"")</f>
        <v>0.15151426074354743</v>
      </c>
      <c r="BG40" s="9">
        <f t="array" ref="BG40">IF(BG$11&gt;=0,MAX(INDEX(MMULT(inverseG,BF$12:BF$62),$A40+1,1),MAX(strike-$B40,0)),"")</f>
        <v>0.15436313201815882</v>
      </c>
      <c r="BH40" s="9">
        <f t="array" ref="BH40">IF(BH$11&gt;=0,MAX(INDEX(MMULT(inverseG,BG$12:BG$62),$A40+1,1),MAX(strike-$B40,0)),"")</f>
        <v>0.15718174537924037</v>
      </c>
      <c r="BI40" s="9">
        <f t="array" ref="BI40">IF(BI$11&gt;=0,MAX(INDEX(MMULT(inverseG,BH$12:BH$62),$A40+1,1),MAX(strike-$B40,0)),"")</f>
        <v>0.15997031856950636</v>
      </c>
      <c r="BJ40" s="9">
        <f t="array" ref="BJ40">IF(BJ$11&gt;=0,MAX(INDEX(MMULT(inverseG,BI$12:BI$62),$A40+1,1),MAX(strike-$B40,0)),"")</f>
        <v>0.16272908187400237</v>
      </c>
      <c r="BK40" s="9">
        <f t="array" ref="BK40">IF(BK$11&gt;=0,MAX(INDEX(MMULT(inverseG,BJ$12:BJ$62),$A40+1,1),MAX(strike-$B40,0)),"")</f>
        <v>0.16545827559490908</v>
      </c>
      <c r="BL40" s="9">
        <f t="array" ref="BL40">IF(BL$11&gt;=0,MAX(INDEX(MMULT(inverseG,BK$12:BK$62),$A40+1,1),MAX(strike-$B40,0)),"")</f>
        <v>0.16815814788105873</v>
      </c>
      <c r="BM40" s="9">
        <f t="array" ref="BM40">IF(BM$11&gt;=0,MAX(INDEX(MMULT(inverseG,BL$12:BL$62),$A40+1,1),MAX(strike-$B40,0)),"")</f>
        <v>0.17082895287728872</v>
      </c>
      <c r="BN40" s="9">
        <f t="array" ref="BN40">IF(BN$11&gt;=0,MAX(INDEX(MMULT(inverseG,BM$12:BM$62),$A40+1,1),MAX(strike-$B40,0)),"")</f>
        <v>0.17347094915872968</v>
      </c>
      <c r="BO40" s="9">
        <f t="array" ref="BO40">IF(BO$11&gt;=0,MAX(INDEX(MMULT(inverseG,BN$12:BN$62),$A40+1,1),MAX(strike-$B40,0)),"")</f>
        <v>0.17608439841626833</v>
      </c>
      <c r="BP40" s="9">
        <f t="array" ref="BP40">IF(BP$11&gt;=0,MAX(INDEX(MMULT(inverseG,BO$12:BO$62),$A40+1,1),MAX(strike-$B40,0)),"")</f>
        <v>0.17866956436136136</v>
      </c>
      <c r="BQ40" s="9">
        <f t="array" ref="BQ40">IF(BQ$11&gt;=0,MAX(INDEX(MMULT(inverseG,BP$12:BP$62),$A40+1,1),MAX(strike-$B40,0)),"")</f>
        <v>0.18122671182081052</v>
      </c>
      <c r="BR40" s="9">
        <f t="array" ref="BR40">IF(BR$11&gt;=0,MAX(INDEX(MMULT(inverseG,BQ$12:BQ$62),$A40+1,1),MAX(strike-$B40,0)),"")</f>
        <v>0.18375610599479011</v>
      </c>
      <c r="BS40" s="9">
        <f t="array" ref="BS40">IF(BS$11&gt;=0,MAX(INDEX(MMULT(inverseG,BR$12:BR$62),$A40+1,1),MAX(strike-$B40,0)),"")</f>
        <v>0.18625801185418325</v>
      </c>
      <c r="BT40" s="9">
        <f t="array" ref="BT40">IF(BT$11&gt;=0,MAX(INDEX(MMULT(inverseG,BS$12:BS$62),$A40+1,1),MAX(strike-$B40,0)),"")</f>
        <v>0.1887326936560009</v>
      </c>
      <c r="BU40" s="9">
        <f t="array" ref="BU40">IF(BU$11&gt;=0,MAX(INDEX(MMULT(inverseG,BT$12:BT$62),$A40+1,1),MAX(strike-$B40,0)),"")</f>
        <v>0.19118041455824925</v>
      </c>
      <c r="BV40" s="9">
        <f t="array" ref="BV40">IF(BV$11&gt;=0,MAX(INDEX(MMULT(inverseG,BU$12:BU$62),$A40+1,1),MAX(strike-$B40,0)),"")</f>
        <v>0.19360143631801724</v>
      </c>
      <c r="BW40" s="9">
        <f t="array" ref="BW40">IF(BW$11&gt;=0,MAX(INDEX(MMULT(inverseG,BV$12:BV$62),$A40+1,1),MAX(strike-$B40,0)),"")</f>
        <v>0.19599601905875794</v>
      </c>
      <c r="BX40" s="9">
        <f t="array" ref="BX40">IF(BX$11&gt;=0,MAX(INDEX(MMULT(inverseG,BW$12:BW$62),$A40+1,1),MAX(strike-$B40,0)),"")</f>
        <v>0.19836442109472016</v>
      </c>
      <c r="BY40" s="9">
        <f t="array" ref="BY40">IF(BY$11&gt;=0,MAX(INDEX(MMULT(inverseG,BX$12:BX$62),$A40+1,1),MAX(strike-$B40,0)),"")</f>
        <v>0.2007068988022459</v>
      </c>
      <c r="BZ40" s="9">
        <f t="array" ref="BZ40">IF(BZ$11&gt;=0,MAX(INDEX(MMULT(inverseG,BY$12:BY$62),$A40+1,1),MAX(strike-$B40,0)),"")</f>
        <v>0.2030237065292064</v>
      </c>
      <c r="CA40" s="9">
        <f t="array" ref="CA40">IF(CA$11&gt;=0,MAX(INDEX(MMULT(inverseG,BZ$12:BZ$62),$A40+1,1),MAX(strike-$B40,0)),"")</f>
        <v>0.20531509653520444</v>
      </c>
      <c r="CB40" s="9">
        <f t="array" ref="CB40">IF(CB$11&gt;=0,MAX(INDEX(MMULT(inverseG,CA$12:CA$62),$A40+1,1),MAX(strike-$B40,0)),"")</f>
        <v>0.20758131895634999</v>
      </c>
      <c r="CC40" s="9">
        <f t="array" ref="CC40">IF(CC$11&gt;=0,MAX(INDEX(MMULT(inverseG,CB$12:CB$62),$A40+1,1),MAX(strike-$B40,0)),"")</f>
        <v>0.20982262178943259</v>
      </c>
      <c r="CD40" s="9">
        <f t="array" ref="CD40">IF(CD$11&gt;=0,MAX(INDEX(MMULT(inverseG,CC$12:CC$62),$A40+1,1),MAX(strike-$B40,0)),"")</f>
        <v>0.2120392508911855</v>
      </c>
      <c r="CE40" s="9">
        <f t="array" ref="CE40">IF(CE$11&gt;=0,MAX(INDEX(MMULT(inverseG,CD$12:CD$62),$A40+1,1),MAX(strike-$B40,0)),"")</f>
        <v>0.21423144998908203</v>
      </c>
      <c r="CF40" s="9">
        <f t="array" ref="CF40">IF(CF$11&gt;=0,MAX(INDEX(MMULT(inverseG,CE$12:CE$62),$A40+1,1),MAX(strike-$B40,0)),"")</f>
        <v>0.2163994607007356</v>
      </c>
      <c r="CG40" s="9">
        <f t="array" ref="CG40">IF(CG$11&gt;=0,MAX(INDEX(MMULT(inverseG,CF$12:CF$62),$A40+1,1),MAX(strike-$B40,0)),"")</f>
        <v>0.21854352255951387</v>
      </c>
      <c r="CH40" s="9">
        <f t="array" ref="CH40">IF(CH$11&gt;=0,MAX(INDEX(MMULT(inverseG,CG$12:CG$62),$A40+1,1),MAX(strike-$B40,0)),"")</f>
        <v>0.22066387304442622</v>
      </c>
      <c r="CI40" s="9">
        <f t="array" ref="CI40">IF(CI$11&gt;=0,MAX(INDEX(MMULT(inverseG,CH$12:CH$62),$A40+1,1),MAX(strike-$B40,0)),"")</f>
        <v>0.22276074761272491</v>
      </c>
      <c r="CJ40" s="9">
        <f t="array" ref="CJ40">IF(CJ$11&gt;=0,MAX(INDEX(MMULT(inverseG,CI$12:CI$62),$A40+1,1),MAX(strike-$B40,0)),"")</f>
        <v>0.22483437973397721</v>
      </c>
      <c r="CK40" s="9">
        <f t="array" ref="CK40">IF(CK$11&gt;=0,MAX(INDEX(MMULT(inverseG,CJ$12:CJ$62),$A40+1,1),MAX(strike-$B40,0)),"")</f>
        <v>0.22688500092463124</v>
      </c>
      <c r="CL40" s="9">
        <f t="array" ref="CL40">IF(CL$11&gt;=0,MAX(INDEX(MMULT(inverseG,CK$12:CK$62),$A40+1,1),MAX(strike-$B40,0)),"")</f>
        <v>0.22891284078231605</v>
      </c>
      <c r="CM40" s="9">
        <f t="array" ref="CM40">IF(CM$11&gt;=0,MAX(INDEX(MMULT(inverseG,CL$12:CL$62),$A40+1,1),MAX(strike-$B40,0)),"")</f>
        <v>0.23091812701929926</v>
      </c>
      <c r="CN40" s="9">
        <f t="array" ref="CN40">IF(CN$11&gt;=0,MAX(INDEX(MMULT(inverseG,CM$12:CM$62),$A40+1,1),MAX(strike-$B40,0)),"")</f>
        <v>0.2329010854946747</v>
      </c>
      <c r="CO40" s="9">
        <f t="array" ref="CO40">IF(CO$11&gt;=0,MAX(INDEX(MMULT(inverseG,CN$12:CN$62),$A40+1,1),MAX(strike-$B40,0)),"")</f>
        <v>0.23486194024497287</v>
      </c>
      <c r="CP40" s="9">
        <f t="array" ref="CP40">IF(CP$11&gt;=0,MAX(INDEX(MMULT(inverseG,CO$12:CO$62),$A40+1,1),MAX(strike-$B40,0)),"")</f>
        <v>0.23680091351298785</v>
      </c>
      <c r="CQ40" s="9">
        <f t="array" ref="CQ40">IF(CQ$11&gt;=0,MAX(INDEX(MMULT(inverseG,CP$12:CP$62),$A40+1,1),MAX(strike-$B40,0)),"")</f>
        <v>0.23871822577469215</v>
      </c>
      <c r="CR40" s="9">
        <f t="array" ref="CR40">IF(CR$11&gt;=0,MAX(INDEX(MMULT(inverseG,CQ$12:CQ$62),$A40+1,1),MAX(strike-$B40,0)),"")</f>
        <v>0.24061409576417711</v>
      </c>
      <c r="CS40" s="9">
        <f t="array" ref="CS40">IF(CS$11&gt;=0,MAX(INDEX(MMULT(inverseG,CR$12:CR$62),$A40+1,1),MAX(strike-$B40,0)),"")</f>
        <v>0.24248874049952396</v>
      </c>
      <c r="CT40" s="9">
        <f t="array" ref="CT40">IF(CT$11&gt;=0,MAX(INDEX(MMULT(inverseG,CS$12:CS$62),$A40+1,1),MAX(strike-$B40,0)),"")</f>
        <v>0.24434237532016626</v>
      </c>
      <c r="CU40" s="9">
        <f t="array" ref="CU40">IF(CU$11&gt;=0,MAX(INDEX(MMULT(inverseG,CT$12:CT$62),$A40+1,1),MAX(strike-$B40,0)),"")</f>
        <v>0.24617521395441128</v>
      </c>
      <c r="CV40" s="9">
        <f t="array" ref="CV40">IF(CV$11&gt;=0,MAX(INDEX(MMULT(inverseG,CU$12:CU$62),$A40+1,1),MAX(strike-$B40,0)),"")</f>
        <v>0.24798746863784496</v>
      </c>
      <c r="CW40" s="9">
        <f t="array" ref="CW40">IF(CW$11&gt;=0,MAX(INDEX(MMULT(inverseG,CV$12:CV$62),$A40+1,1),MAX(strike-$B40,0)),"")</f>
        <v>0.24977935029642642</v>
      </c>
      <c r="CX40" s="9">
        <f t="array" ref="CX40">IF(CX$11&gt;=0,MAX(INDEX(MMULT(inverseG,CW$12:CW$62),$A40+1,1),MAX(strike-$B40,0)),"")</f>
        <v>0.25155106879452149</v>
      </c>
      <c r="CY40" s="9">
        <f t="array" ref="CY40">IF(CY$11&gt;=0,MAX(INDEX(MMULT(inverseG,CX$12:CX$62),$A40+1,1),MAX(strike-$B40,0)),"")</f>
        <v>0.25330283323315816</v>
      </c>
      <c r="CZ40" s="9">
        <f t="array" ref="CZ40">IF(CZ$11&gt;=0,MAX(INDEX(MMULT(inverseG,CY$12:CY$62),$A40+1,1),MAX(strike-$B40,0)),"")</f>
        <v>0.25503485227232181</v>
      </c>
      <c r="DA40" s="9" t="str">
        <f t="array" ref="DA40">IF(DA$11&gt;=0,MAX(INDEX(MMULT(inverseG,CZ$12:CZ$62),$A40+1,1),MAX(strike-$B40,0)),"")</f>
        <v/>
      </c>
      <c r="DB40" s="9" t="str">
        <f t="array" ref="DB40">IF(DB$11&gt;=0,MAX(INDEX(MMULT(inverseG,DA$12:DA$62),$A40+1,1),MAX(strike-$B40,0)),"")</f>
        <v/>
      </c>
      <c r="DC40" s="9" t="str">
        <f t="array" ref="DC40">IF(DC$11&gt;=0,MAX(INDEX(MMULT(inverseG,DB$12:DB$62),$A40+1,1),MAX(strike-$B40,0)),"")</f>
        <v/>
      </c>
      <c r="DD40" s="9" t="str">
        <f t="array" ref="DD40">IF(DD$11&gt;=0,MAX(INDEX(MMULT(inverseG,DC$12:DC$62),$A40+1,1),MAX(strike-$B40,0)),"")</f>
        <v/>
      </c>
      <c r="DE40" s="9" t="str">
        <f t="array" ref="DE40">IF(DE$11&gt;=0,MAX(INDEX(MMULT(inverseG,DD$12:DD$62),$A40+1,1),MAX(strike-$B40,0)),"")</f>
        <v/>
      </c>
      <c r="DF40" s="9" t="str">
        <f t="array" ref="DF40">IF(DF$11&gt;=0,MAX(INDEX(MMULT(inverseG,DE$12:DE$62),$A40+1,1),MAX(strike-$B40,0)),"")</f>
        <v/>
      </c>
      <c r="DG40" s="9" t="str">
        <f t="array" ref="DG40">IF(DG$11&gt;=0,MAX(INDEX(MMULT(inverseG,DF$12:DF$62),$A40+1,1),MAX(strike-$B40,0)),"")</f>
        <v/>
      </c>
      <c r="DH40" s="9" t="str">
        <f t="array" ref="DH40">IF(DH$11&gt;=0,MAX(INDEX(MMULT(inverseG,DG$12:DG$62),$A40+1,1),MAX(strike-$B40,0)),"")</f>
        <v/>
      </c>
      <c r="DI40" s="9" t="str">
        <f t="array" ref="DI40">IF(DI$11&gt;=0,MAX(INDEX(MMULT(inverseG,DH$12:DH$62),$A40+1,1),MAX(strike-$B40,0)),"")</f>
        <v/>
      </c>
      <c r="DJ40" s="9" t="str">
        <f t="array" ref="DJ40">IF(DJ$11&gt;=0,MAX(INDEX(MMULT(inverseG,DI$12:DI$62),$A40+1,1),MAX(strike-$B40,0)),"")</f>
        <v/>
      </c>
      <c r="DK40" s="9" t="str">
        <f t="array" ref="DK40">IF(DK$11&gt;=0,MAX(INDEX(MMULT(inverseG,DJ$12:DJ$62),$A40+1,1),MAX(strike-$B40,0)),"")</f>
        <v/>
      </c>
      <c r="DL40" s="9" t="str">
        <f t="array" ref="DL40">IF(DL$11&gt;=0,MAX(INDEX(MMULT(inverseG,DK$12:DK$62),$A40+1,1),MAX(strike-$B40,0)),"")</f>
        <v/>
      </c>
      <c r="DM40" s="9" t="str">
        <f t="array" ref="DM40">IF(DM$11&gt;=0,MAX(INDEX(MMULT(inverseG,DL$12:DL$62),$A40+1,1),MAX(strike-$B40,0)),"")</f>
        <v/>
      </c>
      <c r="DN40" s="9" t="str">
        <f t="array" ref="DN40">IF(DN$11&gt;=0,MAX(INDEX(MMULT(inverseG,DM$12:DM$62),$A40+1,1),MAX(strike-$B40,0)),"")</f>
        <v/>
      </c>
      <c r="DO40" s="9" t="str">
        <f t="array" ref="DO40">IF(DO$11&gt;=0,MAX(INDEX(MMULT(inverseG,DN$12:DN$62),$A40+1,1),MAX(strike-$B40,0)),"")</f>
        <v/>
      </c>
      <c r="DP40" s="9" t="str">
        <f t="array" ref="DP40">IF(DP$11&gt;=0,MAX(INDEX(MMULT(inverseG,DO$12:DO$62),$A40+1,1),MAX(strike-$B40,0)),"")</f>
        <v/>
      </c>
      <c r="DQ40" s="9" t="str">
        <f t="array" ref="DQ40">IF(DQ$11&gt;=0,MAX(INDEX(MMULT(inverseG,DP$12:DP$62),$A40+1,1),MAX(strike-$B40,0)),"")</f>
        <v/>
      </c>
      <c r="DR40" s="9" t="str">
        <f t="array" ref="DR40">IF(DR$11&gt;=0,MAX(INDEX(MMULT(inverseG,DQ$12:DQ$62),$A40+1,1),MAX(strike-$B40,0)),"")</f>
        <v/>
      </c>
      <c r="DS40" s="9" t="str">
        <f t="array" ref="DS40">IF(DS$11&gt;=0,MAX(INDEX(MMULT(inverseG,DR$12:DR$62),$A40+1,1),MAX(strike-$B40,0)),"")</f>
        <v/>
      </c>
      <c r="DT40" s="9" t="str">
        <f t="array" ref="DT40">IF(DT$11&gt;=0,MAX(INDEX(MMULT(inverseG,DS$12:DS$62),$A40+1,1),MAX(strike-$B40,0)),"")</f>
        <v/>
      </c>
      <c r="DU40" s="9" t="str">
        <f t="array" ref="DU40">IF(DU$11&gt;=0,MAX(INDEX(MMULT(inverseG,DT$12:DT$62),$A40+1,1),MAX(strike-$B40,0)),"")</f>
        <v/>
      </c>
      <c r="DV40" s="9" t="str">
        <f t="array" ref="DV40">IF(DV$11&gt;=0,MAX(INDEX(MMULT(inverseG,DU$12:DU$62),$A40+1,1),MAX(strike-$B40,0)),"")</f>
        <v/>
      </c>
      <c r="DW40" s="9" t="str">
        <f t="array" ref="DW40">IF(DW$11&gt;=0,MAX(INDEX(MMULT(inverseG,DV$12:DV$62),$A40+1,1),MAX(strike-$B40,0)),"")</f>
        <v/>
      </c>
      <c r="DX40" s="9" t="str">
        <f t="array" ref="DX40">IF(DX$11&gt;=0,MAX(INDEX(MMULT(inverseG,DW$12:DW$62),$A40+1,1),MAX(strike-$B40,0)),"")</f>
        <v/>
      </c>
      <c r="DY40" s="9" t="str">
        <f t="array" ref="DY40">IF(DY$11&gt;=0,MAX(INDEX(MMULT(inverseG,DX$12:DX$62),$A40+1,1),MAX(strike-$B40,0)),"")</f>
        <v/>
      </c>
      <c r="DZ40" s="9" t="str">
        <f t="array" ref="DZ40">IF(DZ$11&gt;=0,MAX(INDEX(MMULT(inverseG,DY$12:DY$62),$A40+1,1),MAX(strike-$B40,0)),"")</f>
        <v/>
      </c>
      <c r="EA40" s="9" t="str">
        <f t="array" ref="EA40">IF(EA$11&gt;=0,MAX(INDEX(MMULT(inverseG,DZ$12:DZ$62),$A40+1,1),MAX(strike-$B40,0)),"")</f>
        <v/>
      </c>
      <c r="EB40" s="9" t="str">
        <f t="array" ref="EB40">IF(EB$11&gt;=0,MAX(INDEX(MMULT(inverseG,EA$12:EA$62),$A40+1,1),MAX(strike-$B40,0)),"")</f>
        <v/>
      </c>
      <c r="EC40" s="9" t="str">
        <f t="array" ref="EC40">IF(EC$11&gt;=0,MAX(INDEX(MMULT(inverseG,EB$12:EB$62),$A40+1,1),MAX(strike-$B40,0)),"")</f>
        <v/>
      </c>
      <c r="ED40" s="9" t="str">
        <f t="array" ref="ED40">IF(ED$11&gt;=0,MAX(INDEX(MMULT(inverseG,EC$12:EC$62),$A40+1,1),MAX(strike-$B40,0)),"")</f>
        <v/>
      </c>
      <c r="EE40" s="9" t="str">
        <f t="array" ref="EE40">IF(EE$11&gt;=0,MAX(INDEX(MMULT(inverseG,ED$12:ED$62),$A40+1,1),MAX(strike-$B40,0)),"")</f>
        <v/>
      </c>
      <c r="EF40" s="9" t="str">
        <f t="array" ref="EF40">IF(EF$11&gt;=0,MAX(INDEX(MMULT(inverseG,EE$12:EE$62),$A40+1,1),MAX(strike-$B40,0)),"")</f>
        <v/>
      </c>
      <c r="EG40" s="9" t="str">
        <f t="array" ref="EG40">IF(EG$11&gt;=0,MAX(INDEX(MMULT(inverseG,EF$12:EF$62),$A40+1,1),MAX(strike-$B40,0)),"")</f>
        <v/>
      </c>
      <c r="EH40" s="9" t="str">
        <f t="array" ref="EH40">IF(EH$11&gt;=0,MAX(INDEX(MMULT(inverseG,EG$12:EG$62),$A40+1,1),MAX(strike-$B40,0)),"")</f>
        <v/>
      </c>
      <c r="EI40" s="9" t="str">
        <f t="array" ref="EI40">IF(EI$11&gt;=0,MAX(INDEX(MMULT(inverseG,EH$12:EH$62),$A40+1,1),MAX(strike-$B40,0)),"")</f>
        <v/>
      </c>
      <c r="EJ40" s="9" t="str">
        <f t="array" ref="EJ40">IF(EJ$11&gt;=0,MAX(INDEX(MMULT(inverseG,EI$12:EI$62),$A40+1,1),MAX(strike-$B40,0)),"")</f>
        <v/>
      </c>
      <c r="EK40" s="9" t="str">
        <f t="array" ref="EK40">IF(EK$11&gt;=0,MAX(INDEX(MMULT(inverseG,EJ$12:EJ$62),$A40+1,1),MAX(strike-$B40,0)),"")</f>
        <v/>
      </c>
      <c r="EL40" s="9" t="str">
        <f t="array" ref="EL40">IF(EL$11&gt;=0,MAX(INDEX(MMULT(inverseG,EK$12:EK$62),$A40+1,1),MAX(strike-$B40,0)),"")</f>
        <v/>
      </c>
      <c r="EM40" s="9" t="str">
        <f t="array" ref="EM40">IF(EM$11&gt;=0,MAX(INDEX(MMULT(inverseG,EL$12:EL$62),$A40+1,1),MAX(strike-$B40,0)),"")</f>
        <v/>
      </c>
      <c r="EN40" s="9" t="str">
        <f t="array" ref="EN40">IF(EN$11&gt;=0,MAX(INDEX(MMULT(inverseG,EM$12:EM$62),$A40+1,1),MAX(strike-$B40,0)),"")</f>
        <v/>
      </c>
      <c r="EO40" s="9" t="str">
        <f t="array" ref="EO40">IF(EO$11&gt;=0,MAX(INDEX(MMULT(inverseG,EN$12:EN$62),$A40+1,1),MAX(strike-$B40,0)),"")</f>
        <v/>
      </c>
      <c r="EP40" s="9" t="str">
        <f t="array" ref="EP40">IF(EP$11&gt;=0,MAX(INDEX(MMULT(inverseG,EO$12:EO$62),$A40+1,1),MAX(strike-$B40,0)),"")</f>
        <v/>
      </c>
      <c r="EQ40" s="9" t="str">
        <f t="array" ref="EQ40">IF(EQ$11&gt;=0,MAX(INDEX(MMULT(inverseG,EP$12:EP$62),$A40+1,1),MAX(strike-$B40,0)),"")</f>
        <v/>
      </c>
      <c r="ER40" s="9" t="str">
        <f t="array" ref="ER40">IF(ER$11&gt;=0,MAX(INDEX(MMULT(inverseG,EQ$12:EQ$62),$A40+1,1),MAX(strike-$B40,0)),"")</f>
        <v/>
      </c>
      <c r="ES40" s="9" t="str">
        <f t="array" ref="ES40">IF(ES$11&gt;=0,MAX(INDEX(MMULT(inverseG,ER$12:ER$62),$A40+1,1),MAX(strike-$B40,0)),"")</f>
        <v/>
      </c>
      <c r="ET40" s="9" t="str">
        <f t="array" ref="ET40">IF(ET$11&gt;=0,MAX(INDEX(MMULT(inverseG,ES$12:ES$62),$A40+1,1),MAX(strike-$B40,0)),"")</f>
        <v/>
      </c>
      <c r="EU40" s="9" t="str">
        <f t="array" ref="EU40">IF(EU$11&gt;=0,MAX(INDEX(MMULT(inverseG,ET$12:ET$62),$A40+1,1),MAX(strike-$B40,0)),"")</f>
        <v/>
      </c>
      <c r="EV40" s="9" t="str">
        <f t="array" ref="EV40">IF(EV$11&gt;=0,MAX(INDEX(MMULT(inverseG,EU$12:EU$62),$A40+1,1),MAX(strike-$B40,0)),"")</f>
        <v/>
      </c>
      <c r="EW40" s="9" t="str">
        <f t="array" ref="EW40">IF(EW$11&gt;=0,MAX(INDEX(MMULT(inverseG,EV$12:EV$62),$A40+1,1),MAX(strike-$B40,0)),"")</f>
        <v/>
      </c>
      <c r="EX40" s="9" t="str">
        <f t="array" ref="EX40">IF(EX$11&gt;=0,MAX(INDEX(MMULT(inverseG,EW$12:EW$62),$A40+1,1),MAX(strike-$B40,0)),"")</f>
        <v/>
      </c>
      <c r="EY40" s="9" t="str">
        <f t="array" ref="EY40">IF(EY$11&gt;=0,MAX(INDEX(MMULT(inverseG,EX$12:EX$62),$A40+1,1),MAX(strike-$B40,0)),"")</f>
        <v/>
      </c>
      <c r="EZ40" s="9" t="str">
        <f t="array" ref="EZ40">IF(EZ$11&gt;=0,MAX(INDEX(MMULT(inverseG,EY$12:EY$62),$A40+1,1),MAX(strike-$B40,0)),"")</f>
        <v/>
      </c>
      <c r="FA40" s="9" t="str">
        <f t="array" ref="FA40">IF(FA$11&gt;=0,MAX(INDEX(MMULT(inverseG,EZ$12:EZ$62),$A40+1,1),MAX(strike-$B40,0)),"")</f>
        <v/>
      </c>
      <c r="FB40" s="9" t="str">
        <f t="array" ref="FB40">IF(FB$11&gt;=0,MAX(INDEX(MMULT(inverseG,FA$12:FA$62),$A40+1,1),MAX(strike-$B40,0)),"")</f>
        <v/>
      </c>
      <c r="FC40" s="9" t="str">
        <f t="array" ref="FC40">IF(FC$11&gt;=0,MAX(INDEX(MMULT(inverseG,FB$12:FB$62),$A40+1,1),MAX(strike-$B40,0)),"")</f>
        <v/>
      </c>
      <c r="FD40" s="9" t="str">
        <f t="array" ref="FD40">IF(FD$11&gt;=0,MAX(INDEX(MMULT(inverseG,FC$12:FC$62),$A40+1,1),MAX(strike-$B40,0)),"")</f>
        <v/>
      </c>
      <c r="FE40" s="9" t="str">
        <f t="array" ref="FE40">IF(FE$11&gt;=0,MAX(INDEX(MMULT(inverseG,FD$12:FD$62),$A40+1,1),MAX(strike-$B40,0)),"")</f>
        <v/>
      </c>
      <c r="FF40" s="9" t="str">
        <f t="array" ref="FF40">IF(FF$11&gt;=0,MAX(INDEX(MMULT(inverseG,FE$12:FE$62),$A40+1,1),MAX(strike-$B40,0)),"")</f>
        <v/>
      </c>
      <c r="FG40" s="9" t="str">
        <f t="array" ref="FG40">IF(FG$11&gt;=0,MAX(INDEX(MMULT(inverseG,FF$12:FF$62),$A40+1,1),MAX(strike-$B40,0)),"")</f>
        <v/>
      </c>
      <c r="FH40" s="9" t="str">
        <f t="array" ref="FH40">IF(FH$11&gt;=0,MAX(INDEX(MMULT(inverseG,FG$12:FG$62),$A40+1,1),MAX(strike-$B40,0)),"")</f>
        <v/>
      </c>
      <c r="FI40" s="9" t="str">
        <f t="array" ref="FI40">IF(FI$11&gt;=0,MAX(INDEX(MMULT(inverseG,FH$12:FH$62),$A40+1,1),MAX(strike-$B40,0)),"")</f>
        <v/>
      </c>
      <c r="FJ40" s="9" t="str">
        <f t="array" ref="FJ40">IF(FJ$11&gt;=0,MAX(INDEX(MMULT(inverseG,FI$12:FI$62),$A40+1,1),MAX(strike-$B40,0)),"")</f>
        <v/>
      </c>
      <c r="FK40" s="9" t="str">
        <f t="array" ref="FK40">IF(FK$11&gt;=0,MAX(INDEX(MMULT(inverseG,FJ$12:FJ$62),$A40+1,1),MAX(strike-$B40,0)),"")</f>
        <v/>
      </c>
      <c r="FL40" s="9" t="str">
        <f t="array" ref="FL40">IF(FL$11&gt;=0,MAX(INDEX(MMULT(inverseG,FK$12:FK$62),$A40+1,1),MAX(strike-$B40,0)),"")</f>
        <v/>
      </c>
      <c r="FM40" s="9" t="str">
        <f t="array" ref="FM40">IF(FM$11&gt;=0,MAX(INDEX(MMULT(inverseG,FL$12:FL$62),$A40+1,1),MAX(strike-$B40,0)),"")</f>
        <v/>
      </c>
      <c r="FN40" s="9" t="str">
        <f t="array" ref="FN40">IF(FN$11&gt;=0,MAX(INDEX(MMULT(inverseG,FM$12:FM$62),$A40+1,1),MAX(strike-$B40,0)),"")</f>
        <v/>
      </c>
      <c r="FO40" s="9" t="str">
        <f t="array" ref="FO40">IF(FO$11&gt;=0,MAX(INDEX(MMULT(inverseG,FN$12:FN$62),$A40+1,1),MAX(strike-$B40,0)),"")</f>
        <v/>
      </c>
      <c r="FP40" s="9" t="str">
        <f t="array" ref="FP40">IF(FP$11&gt;=0,MAX(INDEX(MMULT(inverseG,FO$12:FO$62),$A40+1,1),MAX(strike-$B40,0)),"")</f>
        <v/>
      </c>
      <c r="FQ40" s="9" t="str">
        <f t="array" ref="FQ40">IF(FQ$11&gt;=0,MAX(INDEX(MMULT(inverseG,FP$12:FP$62),$A40+1,1),MAX(strike-$B40,0)),"")</f>
        <v/>
      </c>
      <c r="FR40" s="9" t="str">
        <f t="array" ref="FR40">IF(FR$11&gt;=0,MAX(INDEX(MMULT(inverseG,FQ$12:FQ$62),$A40+1,1),MAX(strike-$B40,0)),"")</f>
        <v/>
      </c>
      <c r="FS40" s="9" t="str">
        <f t="array" ref="FS40">IF(FS$11&gt;=0,MAX(INDEX(MMULT(inverseG,FR$12:FR$62),$A40+1,1),MAX(strike-$B40,0)),"")</f>
        <v/>
      </c>
      <c r="FT40" s="9" t="str">
        <f t="array" ref="FT40">IF(FT$11&gt;=0,MAX(INDEX(MMULT(inverseG,FS$12:FS$62),$A40+1,1),MAX(strike-$B40,0)),"")</f>
        <v/>
      </c>
      <c r="FU40" s="9" t="str">
        <f t="array" ref="FU40">IF(FU$11&gt;=0,MAX(INDEX(MMULT(inverseG,FT$12:FT$62),$A40+1,1),MAX(strike-$B40,0)),"")</f>
        <v/>
      </c>
      <c r="FV40" s="9" t="str">
        <f t="array" ref="FV40">IF(FV$11&gt;=0,MAX(INDEX(MMULT(inverseG,FU$12:FU$62),$A40+1,1),MAX(strike-$B40,0)),"")</f>
        <v/>
      </c>
      <c r="FW40" s="9" t="str">
        <f t="array" ref="FW40">IF(FW$11&gt;=0,MAX(INDEX(MMULT(inverseG,FV$12:FV$62),$A40+1,1),MAX(strike-$B40,0)),"")</f>
        <v/>
      </c>
      <c r="FX40" s="9" t="str">
        <f t="array" ref="FX40">IF(FX$11&gt;=0,MAX(INDEX(MMULT(inverseG,FW$12:FW$62),$A40+1,1),MAX(strike-$B40,0)),"")</f>
        <v/>
      </c>
      <c r="FY40" s="9" t="str">
        <f t="array" ref="FY40">IF(FY$11&gt;=0,MAX(INDEX(MMULT(inverseG,FX$12:FX$62),$A40+1,1),MAX(strike-$B40,0)),"")</f>
        <v/>
      </c>
      <c r="FZ40" s="9" t="str">
        <f t="array" ref="FZ40">IF(FZ$11&gt;=0,MAX(INDEX(MMULT(inverseG,FY$12:FY$62),$A40+1,1),MAX(strike-$B40,0)),"")</f>
        <v/>
      </c>
      <c r="GA40" s="9" t="str">
        <f t="array" ref="GA40">IF(GA$11&gt;=0,MAX(INDEX(MMULT(inverseG,FZ$12:FZ$62),$A40+1,1),MAX(strike-$B40,0)),"")</f>
        <v/>
      </c>
      <c r="GB40" s="9" t="str">
        <f t="array" ref="GB40">IF(GB$11&gt;=0,MAX(INDEX(MMULT(inverseG,GA$12:GA$62),$A40+1,1),MAX(strike-$B40,0)),"")</f>
        <v/>
      </c>
      <c r="GC40" s="9" t="str">
        <f t="array" ref="GC40">IF(GC$11&gt;=0,MAX(INDEX(MMULT(inverseG,GB$12:GB$62),$A40+1,1),MAX(strike-$B40,0)),"")</f>
        <v/>
      </c>
      <c r="GD40" s="9" t="str">
        <f t="array" ref="GD40">IF(GD$11&gt;=0,MAX(INDEX(MMULT(inverseG,GC$12:GC$62),$A40+1,1),MAX(strike-$B40,0)),"")</f>
        <v/>
      </c>
      <c r="GE40" s="9" t="str">
        <f t="array" ref="GE40">IF(GE$11&gt;=0,MAX(INDEX(MMULT(inverseG,GD$12:GD$62),$A40+1,1),MAX(strike-$B40,0)),"")</f>
        <v/>
      </c>
      <c r="GF40" s="9" t="str">
        <f t="array" ref="GF40">IF(GF$11&gt;=0,MAX(INDEX(MMULT(inverseG,GE$12:GE$62),$A40+1,1),MAX(strike-$B40,0)),"")</f>
        <v/>
      </c>
      <c r="GG40" s="9" t="str">
        <f t="array" ref="GG40">IF(GG$11&gt;=0,MAX(INDEX(MMULT(inverseG,GF$12:GF$62),$A40+1,1),MAX(strike-$B40,0)),"")</f>
        <v/>
      </c>
      <c r="GH40" s="9" t="str">
        <f t="array" ref="GH40">IF(GH$11&gt;=0,MAX(INDEX(MMULT(inverseG,GG$12:GG$62),$A40+1,1),MAX(strike-$B40,0)),"")</f>
        <v/>
      </c>
      <c r="GI40" s="9" t="str">
        <f t="array" ref="GI40">IF(GI$11&gt;=0,MAX(INDEX(MMULT(inverseG,GH$12:GH$62),$A40+1,1),MAX(strike-$B40,0)),"")</f>
        <v/>
      </c>
      <c r="GJ40" s="9" t="str">
        <f t="array" ref="GJ40">IF(GJ$11&gt;=0,MAX(INDEX(MMULT(inverseG,GI$12:GI$62),$A40+1,1),MAX(strike-$B40,0)),"")</f>
        <v/>
      </c>
      <c r="GK40" s="9" t="str">
        <f t="array" ref="GK40">IF(GK$11&gt;=0,MAX(INDEX(MMULT(inverseG,GJ$12:GJ$62),$A40+1,1),MAX(strike-$B40,0)),"")</f>
        <v/>
      </c>
      <c r="GL40" s="9" t="str">
        <f t="array" ref="GL40">IF(GL$11&gt;=0,MAX(INDEX(MMULT(inverseG,GK$12:GK$62),$A40+1,1),MAX(strike-$B40,0)),"")</f>
        <v/>
      </c>
      <c r="GM40" s="9" t="str">
        <f t="array" ref="GM40">IF(GM$11&gt;=0,MAX(INDEX(MMULT(inverseG,GL$12:GL$62),$A40+1,1),MAX(strike-$B40,0)),"")</f>
        <v/>
      </c>
      <c r="GN40" s="9" t="str">
        <f t="array" ref="GN40">IF(GN$11&gt;=0,MAX(INDEX(MMULT(inverseG,GM$12:GM$62),$A40+1,1),MAX(strike-$B40,0)),"")</f>
        <v/>
      </c>
      <c r="GO40" s="9" t="str">
        <f t="array" ref="GO40">IF(GO$11&gt;=0,MAX(INDEX(MMULT(inverseG,GN$12:GN$62),$A40+1,1),MAX(strike-$B40,0)),"")</f>
        <v/>
      </c>
      <c r="GP40" s="9" t="str">
        <f t="array" ref="GP40">IF(GP$11&gt;=0,MAX(INDEX(MMULT(inverseG,GO$12:GO$62),$A40+1,1),MAX(strike-$B40,0)),"")</f>
        <v/>
      </c>
      <c r="GQ40" s="9" t="str">
        <f t="array" ref="GQ40">IF(GQ$11&gt;=0,MAX(INDEX(MMULT(inverseG,GP$12:GP$62),$A40+1,1),MAX(strike-$B40,0)),"")</f>
        <v/>
      </c>
      <c r="GR40" s="9" t="str">
        <f t="array" ref="GR40">IF(GR$11&gt;=0,MAX(INDEX(MMULT(inverseG,GQ$12:GQ$62),$A40+1,1),MAX(strike-$B40,0)),"")</f>
        <v/>
      </c>
      <c r="GS40" s="9" t="str">
        <f t="array" ref="GS40">IF(GS$11&gt;=0,MAX(INDEX(MMULT(inverseG,GR$12:GR$62),$A40+1,1),MAX(strike-$B40,0)),"")</f>
        <v/>
      </c>
      <c r="GT40" s="9" t="str">
        <f t="array" ref="GT40">IF(GT$11&gt;=0,MAX(INDEX(MMULT(inverseG,GS$12:GS$62),$A40+1,1),MAX(strike-$B40,0)),"")</f>
        <v/>
      </c>
      <c r="GU40" s="9" t="str">
        <f t="array" ref="GU40">IF(GU$11&gt;=0,MAX(INDEX(MMULT(inverseG,GT$12:GT$62),$A40+1,1),MAX(strike-$B40,0)),"")</f>
        <v/>
      </c>
      <c r="GV40" s="9" t="str">
        <f t="array" ref="GV40">IF(GV$11&gt;=0,MAX(INDEX(MMULT(inverseG,GU$12:GU$62),$A40+1,1),MAX(strike-$B40,0)),"")</f>
        <v/>
      </c>
      <c r="GW40" s="9" t="str">
        <f t="array" ref="GW40">IF(GW$11&gt;=0,MAX(INDEX(MMULT(inverseG,GV$12:GV$62),$A40+1,1),MAX(strike-$B40,0)),"")</f>
        <v/>
      </c>
      <c r="GX40" s="9" t="str">
        <f t="array" ref="GX40">IF(GX$11&gt;=0,MAX(INDEX(MMULT(inverseG,GW$12:GW$62),$A40+1,1),MAX(strike-$B40,0)),"")</f>
        <v/>
      </c>
      <c r="GY40" s="9" t="str">
        <f t="array" ref="GY40">IF(GY$11&gt;=0,MAX(INDEX(MMULT(inverseG,GX$12:GX$62),$A40+1,1),MAX(strike-$B40,0)),"")</f>
        <v/>
      </c>
      <c r="GZ40" s="9" t="str">
        <f t="array" ref="GZ40">IF(GZ$11&gt;=0,MAX(INDEX(MMULT(inverseG,GY$12:GY$62),$A40+1,1),MAX(strike-$B40,0)),"")</f>
        <v/>
      </c>
      <c r="HA40" s="9" t="str">
        <f t="array" ref="HA40">IF(HA$11&gt;=0,MAX(INDEX(MMULT(inverseG,GZ$12:GZ$62),$A40+1,1),MAX(strike-$B40,0)),"")</f>
        <v/>
      </c>
      <c r="HB40" s="9" t="str">
        <f t="array" ref="HB40">IF(HB$11&gt;=0,MAX(INDEX(MMULT(inverseG,HA$12:HA$62),$A40+1,1),MAX(strike-$B40,0)),"")</f>
        <v/>
      </c>
      <c r="HC40" s="9" t="str">
        <f t="array" ref="HC40">IF(HC$11&gt;=0,MAX(INDEX(MMULT(inverseG,HB$12:HB$62),$A40+1,1),MAX(strike-$B40,0)),"")</f>
        <v/>
      </c>
      <c r="HD40" s="9" t="str">
        <f t="array" ref="HD40">IF(HD$11&gt;=0,MAX(INDEX(MMULT(inverseG,HC$12:HC$62),$A40+1,1),MAX(strike-$B40,0)),"")</f>
        <v/>
      </c>
      <c r="HE40" s="9" t="str">
        <f t="array" ref="HE40">IF(HE$11&gt;=0,MAX(INDEX(MMULT(inverseG,HD$12:HD$62),$A40+1,1),MAX(strike-$B40,0)),"")</f>
        <v/>
      </c>
      <c r="HF40" s="9" t="str">
        <f t="array" ref="HF40">IF(HF$11&gt;=0,MAX(INDEX(MMULT(inverseG,HE$12:HE$62),$A40+1,1),MAX(strike-$B40,0)),"")</f>
        <v/>
      </c>
      <c r="HG40" s="9" t="str">
        <f t="array" ref="HG40">IF(HG$11&gt;=0,MAX(INDEX(MMULT(inverseG,HF$12:HF$62),$A40+1,1),MAX(strike-$B40,0)),"")</f>
        <v/>
      </c>
      <c r="HH40" s="9" t="str">
        <f t="array" ref="HH40">IF(HH$11&gt;=0,MAX(INDEX(MMULT(inverseG,HG$12:HG$62),$A40+1,1),MAX(strike-$B40,0)),"")</f>
        <v/>
      </c>
      <c r="HI40" s="9" t="str">
        <f t="array" ref="HI40">IF(HI$11&gt;=0,MAX(INDEX(MMULT(inverseG,HH$12:HH$62),$A40+1,1),MAX(strike-$B40,0)),"")</f>
        <v/>
      </c>
      <c r="HJ40" s="9" t="str">
        <f t="array" ref="HJ40">IF(HJ$11&gt;=0,MAX(INDEX(MMULT(inverseG,HI$12:HI$62),$A40+1,1),MAX(strike-$B40,0)),"")</f>
        <v/>
      </c>
      <c r="HK40" s="9" t="str">
        <f t="array" ref="HK40">IF(HK$11&gt;=0,MAX(INDEX(MMULT(inverseG,HJ$12:HJ$62),$A40+1,1),MAX(strike-$B40,0)),"")</f>
        <v/>
      </c>
      <c r="HL40" s="9" t="str">
        <f t="array" ref="HL40">IF(HL$11&gt;=0,MAX(INDEX(MMULT(inverseG,HK$12:HK$62),$A40+1,1),MAX(strike-$B40,0)),"")</f>
        <v/>
      </c>
      <c r="HM40" s="9" t="str">
        <f t="array" ref="HM40">IF(HM$11&gt;=0,MAX(INDEX(MMULT(inverseG,HL$12:HL$62),$A40+1,1),MAX(strike-$B40,0)),"")</f>
        <v/>
      </c>
      <c r="HN40" s="9" t="str">
        <f t="array" ref="HN40">IF(HN$11&gt;=0,MAX(INDEX(MMULT(inverseG,HM$12:HM$62),$A40+1,1),MAX(strike-$B40,0)),"")</f>
        <v/>
      </c>
      <c r="HO40" s="9" t="str">
        <f t="array" ref="HO40">IF(HO$11&gt;=0,MAX(INDEX(MMULT(inverseG,HN$12:HN$62),$A40+1,1),MAX(strike-$B40,0)),"")</f>
        <v/>
      </c>
      <c r="HP40" s="9" t="str">
        <f t="array" ref="HP40">IF(HP$11&gt;=0,MAX(INDEX(MMULT(inverseG,HO$12:HO$62),$A40+1,1),MAX(strike-$B40,0)),"")</f>
        <v/>
      </c>
      <c r="HQ40" s="9" t="str">
        <f t="array" ref="HQ40">IF(HQ$11&gt;=0,MAX(INDEX(MMULT(inverseG,HP$12:HP$62),$A40+1,1),MAX(strike-$B40,0)),"")</f>
        <v/>
      </c>
      <c r="HR40" s="9" t="str">
        <f t="array" ref="HR40">IF(HR$11&gt;=0,MAX(INDEX(MMULT(inverseG,HQ$12:HQ$62),$A40+1,1),MAX(strike-$B40,0)),"")</f>
        <v/>
      </c>
      <c r="HS40" s="9" t="str">
        <f t="array" ref="HS40">IF(HS$11&gt;=0,MAX(INDEX(MMULT(inverseG,HR$12:HR$62),$A40+1,1),MAX(strike-$B40,0)),"")</f>
        <v/>
      </c>
      <c r="HT40" s="9" t="str">
        <f t="array" ref="HT40">IF(HT$11&gt;=0,MAX(INDEX(MMULT(inverseG,HS$12:HS$62),$A40+1,1),MAX(strike-$B40,0)),"")</f>
        <v/>
      </c>
      <c r="HU40" s="9" t="str">
        <f t="array" ref="HU40">IF(HU$11&gt;=0,MAX(INDEX(MMULT(inverseG,HT$12:HT$62),$A40+1,1),MAX(strike-$B40,0)),"")</f>
        <v/>
      </c>
      <c r="HV40" s="9" t="str">
        <f t="array" ref="HV40">IF(HV$11&gt;=0,MAX(INDEX(MMULT(inverseG,HU$12:HU$62),$A40+1,1),MAX(strike-$B40,0)),"")</f>
        <v/>
      </c>
      <c r="HW40" s="9" t="str">
        <f t="array" ref="HW40">IF(HW$11&gt;=0,MAX(INDEX(MMULT(inverseG,HV$12:HV$62),$A40+1,1),MAX(strike-$B40,0)),"")</f>
        <v/>
      </c>
      <c r="HX40" s="9" t="str">
        <f t="array" ref="HX40">IF(HX$11&gt;=0,MAX(INDEX(MMULT(inverseG,HW$12:HW$62),$A40+1,1),MAX(strike-$B40,0)),"")</f>
        <v/>
      </c>
      <c r="HY40" s="9" t="str">
        <f t="array" ref="HY40">IF(HY$11&gt;=0,MAX(INDEX(MMULT(inverseG,HX$12:HX$62),$A40+1,1),MAX(strike-$B40,0)),"")</f>
        <v/>
      </c>
      <c r="HZ40" s="9" t="str">
        <f t="array" ref="HZ40">IF(HZ$11&gt;=0,MAX(INDEX(MMULT(inverseG,HY$12:HY$62),$A40+1,1),MAX(strike-$B40,0)),"")</f>
        <v/>
      </c>
      <c r="IA40" s="9" t="str">
        <f t="array" ref="IA40">IF(IA$11&gt;=0,MAX(INDEX(MMULT(inverseG,HZ$12:HZ$62),$A40+1,1),MAX(strike-$B40,0)),"")</f>
        <v/>
      </c>
      <c r="IB40" s="9" t="str">
        <f t="array" ref="IB40">IF(IB$11&gt;=0,MAX(INDEX(MMULT(inverseG,IA$12:IA$62),$A40+1,1),MAX(strike-$B40,0)),"")</f>
        <v/>
      </c>
      <c r="IC40" s="9" t="str">
        <f t="array" ref="IC40">IF(IC$11&gt;=0,MAX(INDEX(MMULT(inverseG,IB$12:IB$62),$A40+1,1),MAX(strike-$B40,0)),"")</f>
        <v/>
      </c>
      <c r="ID40" s="9" t="str">
        <f t="array" ref="ID40">IF(ID$11&gt;=0,MAX(INDEX(MMULT(inverseG,IC$12:IC$62),$A40+1,1),MAX(strike-$B40,0)),"")</f>
        <v/>
      </c>
      <c r="IE40" s="9" t="str">
        <f t="array" ref="IE40">IF(IE$11&gt;=0,MAX(INDEX(MMULT(inverseG,ID$12:ID$62),$A40+1,1),MAX(strike-$B40,0)),"")</f>
        <v/>
      </c>
      <c r="IF40" s="9" t="str">
        <f t="array" ref="IF40">IF(IF$11&gt;=0,MAX(INDEX(MMULT(inverseG,IE$12:IE$62),$A40+1,1),MAX(strike-$B40,0)),"")</f>
        <v/>
      </c>
      <c r="IG40" s="9" t="str">
        <f t="array" ref="IG40">IF(IG$11&gt;=0,MAX(INDEX(MMULT(inverseG,IF$12:IF$62),$A40+1,1),MAX(strike-$B40,0)),"")</f>
        <v/>
      </c>
      <c r="IH40" s="9" t="str">
        <f t="array" ref="IH40">IF(IH$11&gt;=0,MAX(INDEX(MMULT(inverseG,IG$12:IG$62),$A40+1,1),MAX(strike-$B40,0)),"")</f>
        <v/>
      </c>
      <c r="II40" s="9" t="str">
        <f t="array" ref="II40">IF(II$11&gt;=0,MAX(INDEX(MMULT(inverseG,IH$12:IH$62),$A40+1,1),MAX(strike-$B40,0)),"")</f>
        <v/>
      </c>
      <c r="IJ40" s="9" t="str">
        <f t="array" ref="IJ40">IF(IJ$11&gt;=0,MAX(INDEX(MMULT(inverseG,II$12:II$62),$A40+1,1),MAX(strike-$B40,0)),"")</f>
        <v/>
      </c>
      <c r="IK40" s="9" t="str">
        <f t="array" ref="IK40">IF(IK$11&gt;=0,MAX(INDEX(MMULT(inverseG,IJ$12:IJ$62),$A40+1,1),MAX(strike-$B40,0)),"")</f>
        <v/>
      </c>
      <c r="IL40" s="9" t="str">
        <f t="array" ref="IL40">IF(IL$11&gt;=0,MAX(INDEX(MMULT(inverseG,IK$12:IK$62),$A40+1,1),MAX(strike-$B40,0)),"")</f>
        <v/>
      </c>
      <c r="IM40" s="9" t="str">
        <f t="array" ref="IM40">IF(IM$11&gt;=0,MAX(INDEX(MMULT(inverseG,IL$12:IL$62),$A40+1,1),MAX(strike-$B40,0)),"")</f>
        <v/>
      </c>
      <c r="IN40" s="9" t="str">
        <f t="array" ref="IN40">IF(IN$11&gt;=0,MAX(INDEX(MMULT(inverseG,IM$12:IM$62),$A40+1,1),MAX(strike-$B40,0)),"")</f>
        <v/>
      </c>
      <c r="IO40" s="9" t="str">
        <f t="array" ref="IO40">IF(IO$11&gt;=0,MAX(INDEX(MMULT(inverseG,IN$12:IN$62),$A40+1,1),MAX(strike-$B40,0)),"")</f>
        <v/>
      </c>
      <c r="IP40" s="9" t="str">
        <f t="array" ref="IP40">IF(IP$11&gt;=0,MAX(INDEX(MMULT(inverseG,IO$12:IO$62),$A40+1,1),MAX(strike-$B40,0)),"")</f>
        <v/>
      </c>
      <c r="IQ40" s="9" t="str">
        <f t="array" ref="IQ40">IF(IQ$11&gt;=0,MAX(INDEX(MMULT(inverseG,IP$12:IP$62),$A40+1,1),MAX(strike-$B40,0)),"")</f>
        <v/>
      </c>
      <c r="IR40" s="9" t="str">
        <f t="array" ref="IR40">IF(IR$11&gt;=0,MAX(INDEX(MMULT(inverseG,IQ$12:IQ$62),$A40+1,1),MAX(strike-$B40,0)),"")</f>
        <v/>
      </c>
      <c r="IS40" s="9" t="str">
        <f t="array" ref="IS40">IF(IS$11&gt;=0,MAX(INDEX(MMULT(inverseG,IR$12:IR$62),$A40+1,1),MAX(strike-$B40,0)),"")</f>
        <v/>
      </c>
      <c r="IT40" s="9" t="str">
        <f t="array" ref="IT40">IF(IT$11&gt;=0,MAX(INDEX(MMULT(inverseG,IS$12:IS$62),$A40+1,1),MAX(strike-$B40,0)),"")</f>
        <v/>
      </c>
      <c r="IU40" s="9" t="str">
        <f t="array" ref="IU40">IF(IU$11&gt;=0,MAX(INDEX(MMULT(inverseG,IT$12:IT$62),$A40+1,1),MAX(strike-$B40,0)),"")</f>
        <v/>
      </c>
      <c r="IV40" s="9" t="str">
        <f t="array" ref="IV40">IF(IV$11&gt;=0,MAX(INDEX(MMULT(inverseG,IU$12:IU$62),$A40+1,1),MAX(strike-$B40,0)),"")</f>
        <v/>
      </c>
    </row>
    <row r="41" spans="1:256" x14ac:dyDescent="0.2">
      <c r="A41" s="8">
        <f t="shared" si="7"/>
        <v>29</v>
      </c>
      <c r="B41" s="6">
        <f t="shared" si="4"/>
        <v>7.25</v>
      </c>
      <c r="C41" s="30">
        <f t="shared" ca="1" si="6"/>
        <v>0.22724716640025872</v>
      </c>
      <c r="D41" s="9">
        <f t="shared" si="5"/>
        <v>0</v>
      </c>
      <c r="E41" s="9">
        <f t="array" ref="E41">IF(E$11&gt;=0,MAX(INDEX(MMULT(inverseG,D$12:D$62),$A41+1,1),MAX(strike-$B41,0)),"")</f>
        <v>8.7191162772330465E-6</v>
      </c>
      <c r="F41" s="9">
        <f t="array" ref="F41">IF(F$11&gt;=0,MAX(INDEX(MMULT(inverseG,E$12:E$62),$A41+1,1),MAX(strike-$B41,0)),"")</f>
        <v>5.0006065443272297E-5</v>
      </c>
      <c r="G41" s="9">
        <f t="array" ref="G41">IF(G$11&gt;=0,MAX(INDEX(MMULT(inverseG,F$12:F$62),$A41+1,1),MAX(strike-$B41,0)),"")</f>
        <v>1.6086362644165148E-4</v>
      </c>
      <c r="H41" s="9">
        <f t="array" ref="H41">IF(H$11&gt;=0,MAX(INDEX(MMULT(inverseG,G$12:G$62),$A41+1,1),MAX(strike-$B41,0)),"")</f>
        <v>3.8391522602671435E-4</v>
      </c>
      <c r="I41" s="9">
        <f t="array" ref="I41">IF(I$11&gt;=0,MAX(INDEX(MMULT(inverseG,H$12:H$62),$A41+1,1),MAX(strike-$B41,0)),"")</f>
        <v>7.5933020112486536E-4</v>
      </c>
      <c r="J41" s="9">
        <f t="array" ref="J41">IF(J$11&gt;=0,MAX(INDEX(MMULT(inverseG,I$12:I$62),$A41+1,1),MAX(strike-$B41,0)),"")</f>
        <v>1.3192320759367842E-3</v>
      </c>
      <c r="K41" s="9">
        <f t="array" ref="K41">IF(K$11&gt;=0,MAX(INDEX(MMULT(inverseG,J$12:J$62),$A41+1,1),MAX(strike-$B41,0)),"")</f>
        <v>2.0852323216518477E-3</v>
      </c>
      <c r="L41" s="9">
        <f t="array" ref="L41">IF(L$11&gt;=0,MAX(INDEX(MMULT(inverseG,K$12:K$62),$A41+1,1),MAX(strike-$B41,0)),"")</f>
        <v>3.068414691365361E-3</v>
      </c>
      <c r="M41" s="9">
        <f t="array" ref="M41">IF(M$11&gt;=0,MAX(INDEX(MMULT(inverseG,L$12:L$62),$A41+1,1),MAX(strike-$B41,0)),"")</f>
        <v>4.2707563974006511E-3</v>
      </c>
      <c r="N41" s="9">
        <f t="array" ref="N41">IF(N$11&gt;=0,MAX(INDEX(MMULT(inverseG,M$12:M$62),$A41+1,1),MAX(strike-$B41,0)),"")</f>
        <v>5.6871346044614548E-3</v>
      </c>
      <c r="O41" s="9">
        <f t="array" ref="O41">IF(O$11&gt;=0,MAX(INDEX(MMULT(inverseG,N$12:N$62),$A41+1,1),MAX(strike-$B41,0)),"")</f>
        <v>7.3073670180775806E-3</v>
      </c>
      <c r="P41" s="9">
        <f t="array" ref="P41">IF(P$11&gt;=0,MAX(INDEX(MMULT(inverseG,O$12:O$62),$A41+1,1),MAX(strike-$B41,0)),"")</f>
        <v>9.1180002157268594E-3</v>
      </c>
      <c r="Q41" s="9">
        <f t="array" ref="Q41">IF(Q$11&gt;=0,MAX(INDEX(MMULT(inverseG,P$12:P$62),$A41+1,1),MAX(strike-$B41,0)),"")</f>
        <v>1.1103739840365818E-2</v>
      </c>
      <c r="R41" s="9">
        <f t="array" ref="R41">IF(R$11&gt;=0,MAX(INDEX(MMULT(inverseG,Q$12:Q$62),$A41+1,1),MAX(strike-$B41,0)),"")</f>
        <v>1.3248519964642665E-2</v>
      </c>
      <c r="S41" s="9">
        <f t="array" ref="S41">IF(S$11&gt;=0,MAX(INDEX(MMULT(inverseG,R$12:R$62),$A41+1,1),MAX(strike-$B41,0)),"")</f>
        <v>1.5536257793512812E-2</v>
      </c>
      <c r="T41" s="9">
        <f t="array" ref="T41">IF(T$11&gt;=0,MAX(INDEX(MMULT(inverseG,S$12:S$62),$A41+1,1),MAX(strike-$B41,0)),"")</f>
        <v>1.7951356108519275E-2</v>
      </c>
      <c r="U41" s="9">
        <f t="array" ref="U41">IF(U$11&gt;=0,MAX(INDEX(MMULT(inverseG,T$12:T$62),$A41+1,1),MAX(strike-$B41,0)),"")</f>
        <v>2.0479015236822898E-2</v>
      </c>
      <c r="V41" s="9">
        <f t="array" ref="V41">IF(V$11&gt;=0,MAX(INDEX(MMULT(inverseG,U$12:U$62),$A41+1,1),MAX(strike-$B41,0)),"")</f>
        <v>2.3105408104381452E-2</v>
      </c>
      <c r="W41" s="9">
        <f t="array" ref="W41">IF(W$11&gt;=0,MAX(INDEX(MMULT(inverseG,V$12:V$62),$A41+1,1),MAX(strike-$B41,0)),"")</f>
        <v>2.58177610660822E-2</v>
      </c>
      <c r="X41" s="9">
        <f t="array" ref="X41">IF(X$11&gt;=0,MAX(INDEX(MMULT(inverseG,W$12:W$62),$A41+1,1),MAX(strike-$B41,0)),"")</f>
        <v>2.8604372408474445E-2</v>
      </c>
      <c r="Y41" s="9">
        <f t="array" ref="Y41">IF(Y$11&gt;=0,MAX(INDEX(MMULT(inverseG,X$12:X$62),$A41+1,1),MAX(strike-$B41,0)),"")</f>
        <v>3.1454591131104111E-2</v>
      </c>
      <c r="Z41" s="9">
        <f t="array" ref="Z41">IF(Z$11&gt;=0,MAX(INDEX(MMULT(inverseG,Y$12:Y$62),$A41+1,1),MAX(strike-$B41,0)),"")</f>
        <v>3.4358771391681586E-2</v>
      </c>
      <c r="AA41" s="9">
        <f t="array" ref="AA41">IF(AA$11&gt;=0,MAX(INDEX(MMULT(inverseG,Z$12:Z$62),$A41+1,1),MAX(strike-$B41,0)),"")</f>
        <v>3.7308212813103973E-2</v>
      </c>
      <c r="AB41" s="9">
        <f t="array" ref="AB41">IF(AB$11&gt;=0,MAX(INDEX(MMULT(inverseG,AA$12:AA$62),$A41+1,1),MAX(strike-$B41,0)),"")</f>
        <v>4.0295093339676583E-2</v>
      </c>
      <c r="AC41" s="9">
        <f t="array" ref="AC41">IF(AC$11&gt;=0,MAX(INDEX(MMULT(inverseG,AB$12:AB$62),$A41+1,1),MAX(strike-$B41,0)),"")</f>
        <v>4.3312399043514929E-2</v>
      </c>
      <c r="AD41" s="9">
        <f t="array" ref="AD41">IF(AD$11&gt;=0,MAX(INDEX(MMULT(inverseG,AC$12:AC$62),$A41+1,1),MAX(strike-$B41,0)),"")</f>
        <v>4.6353853812135283E-2</v>
      </c>
      <c r="AE41" s="9">
        <f t="array" ref="AE41">IF(AE$11&gt;=0,MAX(INDEX(MMULT(inverseG,AD$12:AD$62),$A41+1,1),MAX(strike-$B41,0)),"")</f>
        <v>4.9413850887911948E-2</v>
      </c>
      <c r="AF41" s="9">
        <f t="array" ref="AF41">IF(AF$11&gt;=0,MAX(INDEX(MMULT(inverseG,AE$12:AE$62),$A41+1,1),MAX(strike-$B41,0)),"")</f>
        <v>5.2487387576456102E-2</v>
      </c>
      <c r="AG41" s="9">
        <f t="array" ref="AG41">IF(AG$11&gt;=0,MAX(INDEX(MMULT(inverseG,AF$12:AF$62),$A41+1,1),MAX(strike-$B41,0)),"")</f>
        <v>5.5570003972722326E-2</v>
      </c>
      <c r="AH41" s="9">
        <f t="array" ref="AH41">IF(AH$11&gt;=0,MAX(INDEX(MMULT(inverseG,AG$12:AG$62),$A41+1,1),MAX(strike-$B41,0)),"")</f>
        <v>5.8657726203837884E-2</v>
      </c>
      <c r="AI41" s="9">
        <f t="array" ref="AI41">IF(AI$11&gt;=0,MAX(INDEX(MMULT(inverseG,AH$12:AH$62),$A41+1,1),MAX(strike-$B41,0)),"")</f>
        <v>6.1747014421101247E-2</v>
      </c>
      <c r="AJ41" s="9">
        <f t="array" ref="AJ41">IF(AJ$11&gt;=0,MAX(INDEX(MMULT(inverseG,AI$12:AI$62),$A41+1,1),MAX(strike-$B41,0)),"")</f>
        <v>6.4834715571489024E-2</v>
      </c>
      <c r="AK41" s="9">
        <f t="array" ref="AK41">IF(AK$11&gt;=0,MAX(INDEX(MMULT(inverseG,AJ$12:AJ$62),$A41+1,1),MAX(strike-$B41,0)),"")</f>
        <v>6.7918020829856471E-2</v>
      </c>
      <c r="AL41" s="9">
        <f t="array" ref="AL41">IF(AL$11&gt;=0,MAX(INDEX(MMULT(inverseG,AK$12:AK$62),$A41+1,1),MAX(strike-$B41,0)),"")</f>
        <v>7.0994427468148463E-2</v>
      </c>
      <c r="AM41" s="9">
        <f t="array" ref="AM41">IF(AM$11&gt;=0,MAX(INDEX(MMULT(inverseG,AL$12:AL$62),$A41+1,1),MAX(strike-$B41,0)),"")</f>
        <v>7.4061704869651648E-2</v>
      </c>
      <c r="AN41" s="9">
        <f t="array" ref="AN41">IF(AN$11&gt;=0,MAX(INDEX(MMULT(inverseG,AM$12:AM$62),$A41+1,1),MAX(strike-$B41,0)),"")</f>
        <v>7.7117864357401256E-2</v>
      </c>
      <c r="AO41" s="9">
        <f t="array" ref="AO41">IF(AO$11&gt;=0,MAX(INDEX(MMULT(inverseG,AN$12:AN$62),$A41+1,1),MAX(strike-$B41,0)),"")</f>
        <v>8.0161132521490736E-2</v>
      </c>
      <c r="AP41" s="9">
        <f t="array" ref="AP41">IF(AP$11&gt;=0,MAX(INDEX(MMULT(inverseG,AO$12:AO$62),$A41+1,1),MAX(strike-$B41,0)),"")</f>
        <v>8.3189927785200984E-2</v>
      </c>
      <c r="AQ41" s="9">
        <f t="array" ref="AQ41">IF(AQ$11&gt;=0,MAX(INDEX(MMULT(inverseG,AP$12:AP$62),$A41+1,1),MAX(strike-$B41,0)),"")</f>
        <v>8.6202839991458419E-2</v>
      </c>
      <c r="AR41" s="9">
        <f t="array" ref="AR41">IF(AR$11&gt;=0,MAX(INDEX(MMULT(inverseG,AQ$12:AQ$62),$A41+1,1),MAX(strike-$B41,0)),"")</f>
        <v>8.9198612782694087E-2</v>
      </c>
      <c r="AS41" s="9">
        <f t="array" ref="AS41">IF(AS$11&gt;=0,MAX(INDEX(MMULT(inverseG,AR$12:AR$62),$A41+1,1),MAX(strike-$B41,0)),"")</f>
        <v>9.2176128494703011E-2</v>
      </c>
      <c r="AT41" s="9">
        <f t="array" ref="AT41">IF(AT$11&gt;=0,MAX(INDEX(MMULT(inverseG,AS$12:AS$62),$A41+1,1),MAX(strike-$B41,0)),"")</f>
        <v>9.513439522190649E-2</v>
      </c>
      <c r="AU41" s="9">
        <f t="array" ref="AU41">IF(AU$11&gt;=0,MAX(INDEX(MMULT(inverseG,AT$12:AT$62),$A41+1,1),MAX(strike-$B41,0)),"")</f>
        <v>9.80725356709434E-2</v>
      </c>
      <c r="AV41" s="9">
        <f t="array" ref="AV41">IF(AV$11&gt;=0,MAX(INDEX(MMULT(inverseG,AU$12:AU$62),$A41+1,1),MAX(strike-$B41,0)),"")</f>
        <v>0.10098977741888686</v>
      </c>
      <c r="AW41" s="9">
        <f t="array" ref="AW41">IF(AW$11&gt;=0,MAX(INDEX(MMULT(inverseG,AV$12:AV$62),$A41+1,1),MAX(strike-$B41,0)),"")</f>
        <v>0.10388544423053667</v>
      </c>
      <c r="AX41" s="9">
        <f t="array" ref="AX41">IF(AX$11&gt;=0,MAX(INDEX(MMULT(inverseG,AW$12:AW$62),$A41+1,1),MAX(strike-$B41,0)),"")</f>
        <v>0.10675894815362347</v>
      </c>
      <c r="AY41" s="9">
        <f t="array" ref="AY41">IF(AY$11&gt;=0,MAX(INDEX(MMULT(inverseG,AX$12:AX$62),$A41+1,1),MAX(strike-$B41,0)),"")</f>
        <v>0.10960978218544085</v>
      </c>
      <c r="AZ41" s="9">
        <f t="array" ref="AZ41">IF(AZ$11&gt;=0,MAX(INDEX(MMULT(inverseG,AY$12:AY$62),$A41+1,1),MAX(strike-$B41,0)),"")</f>
        <v>0.11243751337584428</v>
      </c>
      <c r="BA41" s="9">
        <f t="array" ref="BA41">IF(BA$11&gt;=0,MAX(INDEX(MMULT(inverseG,AZ$12:AZ$62),$A41+1,1),MAX(strike-$B41,0)),"")</f>
        <v>0.11524177629105158</v>
      </c>
      <c r="BB41" s="9">
        <f t="array" ref="BB41">IF(BB$11&gt;=0,MAX(INDEX(MMULT(inverseG,BA$12:BA$62),$A41+1,1),MAX(strike-$B41,0)),"")</f>
        <v>0.11802226680653968</v>
      </c>
      <c r="BC41" s="9">
        <f t="array" ref="BC41">IF(BC$11&gt;=0,MAX(INDEX(MMULT(inverseG,BB$12:BB$62),$A41+1,1),MAX(strike-$B41,0)),"")</f>
        <v>0.12077873622561183</v>
      </c>
      <c r="BD41" s="9">
        <f t="array" ref="BD41">IF(BD$11&gt;=0,MAX(INDEX(MMULT(inverseG,BC$12:BC$62),$A41+1,1),MAX(strike-$B41,0)),"")</f>
        <v>0.12351098573523039</v>
      </c>
      <c r="BE41" s="9">
        <f t="array" ref="BE41">IF(BE$11&gt;=0,MAX(INDEX(MMULT(inverseG,BD$12:BD$62),$A41+1,1),MAX(strike-$B41,0)),"")</f>
        <v>0.12621886121572551</v>
      </c>
      <c r="BF41" s="9">
        <f t="array" ref="BF41">IF(BF$11&gt;=0,MAX(INDEX(MMULT(inverseG,BE$12:BE$62),$A41+1,1),MAX(strike-$B41,0)),"")</f>
        <v>0.12890224841931677</v>
      </c>
      <c r="BG41" s="9">
        <f t="array" ref="BG41">IF(BG$11&gt;=0,MAX(INDEX(MMULT(inverseG,BF$12:BF$62),$A41+1,1),MAX(strike-$B41,0)),"")</f>
        <v>0.13156106852685989</v>
      </c>
      <c r="BH41" s="9">
        <f t="array" ref="BH41">IF(BH$11&gt;=0,MAX(INDEX(MMULT(inverseG,BG$12:BG$62),$A41+1,1),MAX(strike-$B41,0)),"")</f>
        <v>0.13419527408503276</v>
      </c>
      <c r="BI41" s="9">
        <f t="array" ref="BI41">IF(BI$11&gt;=0,MAX(INDEX(MMULT(inverseG,BH$12:BH$62),$A41+1,1),MAX(strike-$B41,0)),"")</f>
        <v>0.13680484531881515</v>
      </c>
      <c r="BJ41" s="9">
        <f t="array" ref="BJ41">IF(BJ$11&gt;=0,MAX(INDEX(MMULT(inverseG,BI$12:BI$62),$A41+1,1),MAX(strike-$B41,0)),"")</f>
        <v>0.13938978680751157</v>
      </c>
      <c r="BK41" s="9">
        <f t="array" ref="BK41">IF(BK$11&gt;=0,MAX(INDEX(MMULT(inverseG,BJ$12:BJ$62),$A41+1,1),MAX(strike-$B41,0)),"")</f>
        <v>0.14195012450719965</v>
      </c>
      <c r="BL41" s="9">
        <f t="array" ref="BL41">IF(BL$11&gt;=0,MAX(INDEX(MMULT(inverseG,BK$12:BK$62),$A41+1,1),MAX(strike-$B41,0)),"")</f>
        <v>0.14448590309852374</v>
      </c>
      <c r="BM41" s="9">
        <f t="array" ref="BM41">IF(BM$11&gt;=0,MAX(INDEX(MMULT(inverseG,BL$12:BL$62),$A41+1,1),MAX(strike-$B41,0)),"")</f>
        <v>0.14699718363615091</v>
      </c>
      <c r="BN41" s="9">
        <f t="array" ref="BN41">IF(BN$11&gt;=0,MAX(INDEX(MMULT(inverseG,BM$12:BM$62),$A41+1,1),MAX(strike-$B41,0)),"")</f>
        <v>0.14948404147481403</v>
      </c>
      <c r="BO41" s="9">
        <f t="array" ref="BO41">IF(BO$11&gt;=0,MAX(INDEX(MMULT(inverseG,BN$12:BN$62),$A41+1,1),MAX(strike-$B41,0)),"")</f>
        <v>0.15194656444648313</v>
      </c>
      <c r="BP41" s="9">
        <f t="array" ref="BP41">IF(BP$11&gt;=0,MAX(INDEX(MMULT(inverseG,BO$12:BO$62),$A41+1,1),MAX(strike-$B41,0)),"")</f>
        <v>0.15438485126360141</v>
      </c>
      <c r="BQ41" s="9">
        <f t="array" ref="BQ41">IF(BQ$11&gt;=0,MAX(INDEX(MMULT(inverseG,BP$12:BP$62),$A41+1,1),MAX(strike-$B41,0)),"")</f>
        <v>0.15679901012430789</v>
      </c>
      <c r="BR41" s="9">
        <f t="array" ref="BR41">IF(BR$11&gt;=0,MAX(INDEX(MMULT(inverseG,BQ$12:BQ$62),$A41+1,1),MAX(strike-$B41,0)),"")</f>
        <v>0.15918915749694651</v>
      </c>
      <c r="BS41" s="9">
        <f t="array" ref="BS41">IF(BS$11&gt;=0,MAX(INDEX(MMULT(inverseG,BR$12:BR$62),$A41+1,1),MAX(strike-$B41,0)),"")</f>
        <v>0.16155541706279664</v>
      </c>
      <c r="BT41" s="9">
        <f t="array" ref="BT41">IF(BT$11&gt;=0,MAX(INDEX(MMULT(inverseG,BS$12:BS$62),$A41+1,1),MAX(strike-$B41,0)),"")</f>
        <v>0.16389791879772445</v>
      </c>
      <c r="BU41" s="9">
        <f t="array" ref="BU41">IF(BU$11&gt;=0,MAX(INDEX(MMULT(inverseG,BT$12:BT$62),$A41+1,1),MAX(strike-$B41,0)),"")</f>
        <v>0.16621679817526069</v>
      </c>
      <c r="BV41" s="9">
        <f t="array" ref="BV41">IF(BV$11&gt;=0,MAX(INDEX(MMULT(inverseG,BU$12:BU$62),$A41+1,1),MAX(strike-$B41,0)),"")</f>
        <v>0.16851219547538906</v>
      </c>
      <c r="BW41" s="9">
        <f t="array" ref="BW41">IF(BW$11&gt;=0,MAX(INDEX(MMULT(inverseG,BV$12:BV$62),$A41+1,1),MAX(strike-$B41,0)),"")</f>
        <v>0.17078425518504123</v>
      </c>
      <c r="BX41" s="9">
        <f t="array" ref="BX41">IF(BX$11&gt;=0,MAX(INDEX(MMULT(inverseG,BW$12:BW$62),$A41+1,1),MAX(strike-$B41,0)),"")</f>
        <v>0.17303312547789651</v>
      </c>
      <c r="BY41" s="9">
        <f t="array" ref="BY41">IF(BY$11&gt;=0,MAX(INDEX(MMULT(inverseG,BX$12:BX$62),$A41+1,1),MAX(strike-$B41,0)),"")</f>
        <v>0.17525895776257214</v>
      </c>
      <c r="BZ41" s="9">
        <f t="array" ref="BZ41">IF(BZ$11&gt;=0,MAX(INDEX(MMULT(inverseG,BY$12:BY$62),$A41+1,1),MAX(strike-$B41,0)),"")</f>
        <v>0.17746190628964539</v>
      </c>
      <c r="CA41" s="9">
        <f t="array" ref="CA41">IF(CA$11&gt;=0,MAX(INDEX(MMULT(inverseG,BZ$12:BZ$62),$A41+1,1),MAX(strike-$B41,0)),"")</f>
        <v>0.17964212780917407</v>
      </c>
      <c r="CB41" s="9">
        <f t="array" ref="CB41">IF(CB$11&gt;=0,MAX(INDEX(MMULT(inverseG,CA$12:CA$62),$A41+1,1),MAX(strike-$B41,0)),"")</f>
        <v>0.18179978127148014</v>
      </c>
      <c r="CC41" s="9">
        <f t="array" ref="CC41">IF(CC$11&gt;=0,MAX(INDEX(MMULT(inverseG,CB$12:CB$62),$A41+1,1),MAX(strike-$B41,0)),"")</f>
        <v>0.18393502756493646</v>
      </c>
      <c r="CD41" s="9">
        <f t="array" ref="CD41">IF(CD$11&gt;=0,MAX(INDEX(MMULT(inverseG,CC$12:CC$62),$A41+1,1),MAX(strike-$B41,0)),"")</f>
        <v>0.18604802928535918</v>
      </c>
      <c r="CE41" s="9">
        <f t="array" ref="CE41">IF(CE$11&gt;=0,MAX(INDEX(MMULT(inverseG,CD$12:CD$62),$A41+1,1),MAX(strike-$B41,0)),"")</f>
        <v>0.18813895053236621</v>
      </c>
      <c r="CF41" s="9">
        <f t="array" ref="CF41">IF(CF$11&gt;=0,MAX(INDEX(MMULT(inverseG,CE$12:CE$62),$A41+1,1),MAX(strike-$B41,0)),"")</f>
        <v>0.1902079567287232</v>
      </c>
      <c r="CG41" s="9">
        <f t="array" ref="CG41">IF(CG$11&gt;=0,MAX(INDEX(MMULT(inverseG,CF$12:CF$62),$A41+1,1),MAX(strike-$B41,0)),"")</f>
        <v>0.19225521445927762</v>
      </c>
      <c r="CH41" s="9">
        <f t="array" ref="CH41">IF(CH$11&gt;=0,MAX(INDEX(MMULT(inverseG,CG$12:CG$62),$A41+1,1),MAX(strike-$B41,0)),"")</f>
        <v>0.1942808913265805</v>
      </c>
      <c r="CI41" s="9">
        <f t="array" ref="CI41">IF(CI$11&gt;=0,MAX(INDEX(MMULT(inverseG,CH$12:CH$62),$A41+1,1),MAX(strike-$B41,0)),"")</f>
        <v>0.19628515582072992</v>
      </c>
      <c r="CJ41" s="9">
        <f t="array" ref="CJ41">IF(CJ$11&gt;=0,MAX(INDEX(MMULT(inverseG,CI$12:CI$62),$A41+1,1),MAX(strike-$B41,0)),"")</f>
        <v>0.1982681772013416</v>
      </c>
      <c r="CK41" s="9">
        <f t="array" ref="CK41">IF(CK$11&gt;=0,MAX(INDEX(MMULT(inverseG,CJ$12:CJ$62),$A41+1,1),MAX(strike-$B41,0)),"")</f>
        <v>0.20023012538987553</v>
      </c>
      <c r="CL41" s="9">
        <f t="array" ref="CL41">IF(CL$11&gt;=0,MAX(INDEX(MMULT(inverseG,CK$12:CK$62),$A41+1,1),MAX(strike-$B41,0)),"")</f>
        <v>0.20217117087082029</v>
      </c>
      <c r="CM41" s="9">
        <f t="array" ref="CM41">IF(CM$11&gt;=0,MAX(INDEX(MMULT(inverseG,CL$12:CL$62),$A41+1,1),MAX(strike-$B41,0)),"")</f>
        <v>0.20409148460047444</v>
      </c>
      <c r="CN41" s="9">
        <f t="array" ref="CN41">IF(CN$11&gt;=0,MAX(INDEX(MMULT(inverseG,CM$12:CM$62),$A41+1,1),MAX(strike-$B41,0)),"")</f>
        <v>0.20599123792226257</v>
      </c>
      <c r="CO41" s="9">
        <f t="array" ref="CO41">IF(CO$11&gt;=0,MAX(INDEX(MMULT(inverseG,CN$12:CN$62),$A41+1,1),MAX(strike-$B41,0)),"")</f>
        <v>0.20787060248769801</v>
      </c>
      <c r="CP41" s="9">
        <f t="array" ref="CP41">IF(CP$11&gt;=0,MAX(INDEX(MMULT(inverseG,CO$12:CO$62),$A41+1,1),MAX(strike-$B41,0)),"")</f>
        <v>0.20972975018224518</v>
      </c>
      <c r="CQ41" s="9">
        <f t="array" ref="CQ41">IF(CQ$11&gt;=0,MAX(INDEX(MMULT(inverseG,CP$12:CP$62),$A41+1,1),MAX(strike-$B41,0)),"")</f>
        <v>0.21156885305546116</v>
      </c>
      <c r="CR41" s="9">
        <f t="array" ref="CR41">IF(CR$11&gt;=0,MAX(INDEX(MMULT(inverseG,CQ$12:CQ$62),$A41+1,1),MAX(strike-$B41,0)),"")</f>
        <v>0.21338808325489864</v>
      </c>
      <c r="CS41" s="9">
        <f t="array" ref="CS41">IF(CS$11&gt;=0,MAX(INDEX(MMULT(inverseG,CR$12:CR$62),$A41+1,1),MAX(strike-$B41,0)),"")</f>
        <v>0.21518761296456193</v>
      </c>
      <c r="CT41" s="9">
        <f t="array" ref="CT41">IF(CT$11&gt;=0,MAX(INDEX(MMULT(inverseG,CS$12:CS$62),$A41+1,1),MAX(strike-$B41,0)),"")</f>
        <v>0.21696761435246822</v>
      </c>
      <c r="CU41" s="9">
        <f t="array" ref="CU41">IF(CU$11&gt;=0,MAX(INDEX(MMULT(inverseG,CT$12:CT$62),$A41+1,1),MAX(strike-$B41,0)),"")</f>
        <v>0.21872825953684047</v>
      </c>
      <c r="CV41" s="9">
        <f t="array" ref="CV41">IF(CV$11&gt;=0,MAX(INDEX(MMULT(inverseG,CU$12:CU$62),$A41+1,1),MAX(strike-$B41,0)),"")</f>
        <v>0.2204697205834984</v>
      </c>
      <c r="CW41" s="9">
        <f t="array" ref="CW41">IF(CW$11&gt;=0,MAX(INDEX(MMULT(inverseG,CV$12:CV$62),$A41+1,1),MAX(strike-$B41,0)),"")</f>
        <v>0.22219216954562576</v>
      </c>
      <c r="CX41" s="9">
        <f t="array" ref="CX41">IF(CX$11&gt;=0,MAX(INDEX(MMULT(inverseG,CW$12:CW$62),$A41+1,1),MAX(strike-$B41,0)),"")</f>
        <v>0.22389577855114079</v>
      </c>
      <c r="CY41" s="9">
        <f t="array" ref="CY41">IF(CY$11&gt;=0,MAX(INDEX(MMULT(inverseG,CX$12:CX$62),$A41+1,1),MAX(strike-$B41,0)),"")</f>
        <v>0.22558071993435561</v>
      </c>
      <c r="CZ41" s="9">
        <f t="array" ref="CZ41">IF(CZ$11&gt;=0,MAX(INDEX(MMULT(inverseG,CY$12:CY$62),$A41+1,1),MAX(strike-$B41,0)),"")</f>
        <v>0.22724716640025872</v>
      </c>
      <c r="DA41" s="9" t="str">
        <f t="array" ref="DA41">IF(DA$11&gt;=0,MAX(INDEX(MMULT(inverseG,CZ$12:CZ$62),$A41+1,1),MAX(strike-$B41,0)),"")</f>
        <v/>
      </c>
      <c r="DB41" s="9" t="str">
        <f t="array" ref="DB41">IF(DB$11&gt;=0,MAX(INDEX(MMULT(inverseG,DA$12:DA$62),$A41+1,1),MAX(strike-$B41,0)),"")</f>
        <v/>
      </c>
      <c r="DC41" s="9" t="str">
        <f t="array" ref="DC41">IF(DC$11&gt;=0,MAX(INDEX(MMULT(inverseG,DB$12:DB$62),$A41+1,1),MAX(strike-$B41,0)),"")</f>
        <v/>
      </c>
      <c r="DD41" s="9" t="str">
        <f t="array" ref="DD41">IF(DD$11&gt;=0,MAX(INDEX(MMULT(inverseG,DC$12:DC$62),$A41+1,1),MAX(strike-$B41,0)),"")</f>
        <v/>
      </c>
      <c r="DE41" s="9" t="str">
        <f t="array" ref="DE41">IF(DE$11&gt;=0,MAX(INDEX(MMULT(inverseG,DD$12:DD$62),$A41+1,1),MAX(strike-$B41,0)),"")</f>
        <v/>
      </c>
      <c r="DF41" s="9" t="str">
        <f t="array" ref="DF41">IF(DF$11&gt;=0,MAX(INDEX(MMULT(inverseG,DE$12:DE$62),$A41+1,1),MAX(strike-$B41,0)),"")</f>
        <v/>
      </c>
      <c r="DG41" s="9" t="str">
        <f t="array" ref="DG41">IF(DG$11&gt;=0,MAX(INDEX(MMULT(inverseG,DF$12:DF$62),$A41+1,1),MAX(strike-$B41,0)),"")</f>
        <v/>
      </c>
      <c r="DH41" s="9" t="str">
        <f t="array" ref="DH41">IF(DH$11&gt;=0,MAX(INDEX(MMULT(inverseG,DG$12:DG$62),$A41+1,1),MAX(strike-$B41,0)),"")</f>
        <v/>
      </c>
      <c r="DI41" s="9" t="str">
        <f t="array" ref="DI41">IF(DI$11&gt;=0,MAX(INDEX(MMULT(inverseG,DH$12:DH$62),$A41+1,1),MAX(strike-$B41,0)),"")</f>
        <v/>
      </c>
      <c r="DJ41" s="9" t="str">
        <f t="array" ref="DJ41">IF(DJ$11&gt;=0,MAX(INDEX(MMULT(inverseG,DI$12:DI$62),$A41+1,1),MAX(strike-$B41,0)),"")</f>
        <v/>
      </c>
      <c r="DK41" s="9" t="str">
        <f t="array" ref="DK41">IF(DK$11&gt;=0,MAX(INDEX(MMULT(inverseG,DJ$12:DJ$62),$A41+1,1),MAX(strike-$B41,0)),"")</f>
        <v/>
      </c>
      <c r="DL41" s="9" t="str">
        <f t="array" ref="DL41">IF(DL$11&gt;=0,MAX(INDEX(MMULT(inverseG,DK$12:DK$62),$A41+1,1),MAX(strike-$B41,0)),"")</f>
        <v/>
      </c>
      <c r="DM41" s="9" t="str">
        <f t="array" ref="DM41">IF(DM$11&gt;=0,MAX(INDEX(MMULT(inverseG,DL$12:DL$62),$A41+1,1),MAX(strike-$B41,0)),"")</f>
        <v/>
      </c>
      <c r="DN41" s="9" t="str">
        <f t="array" ref="DN41">IF(DN$11&gt;=0,MAX(INDEX(MMULT(inverseG,DM$12:DM$62),$A41+1,1),MAX(strike-$B41,0)),"")</f>
        <v/>
      </c>
      <c r="DO41" s="9" t="str">
        <f t="array" ref="DO41">IF(DO$11&gt;=0,MAX(INDEX(MMULT(inverseG,DN$12:DN$62),$A41+1,1),MAX(strike-$B41,0)),"")</f>
        <v/>
      </c>
      <c r="DP41" s="9" t="str">
        <f t="array" ref="DP41">IF(DP$11&gt;=0,MAX(INDEX(MMULT(inverseG,DO$12:DO$62),$A41+1,1),MAX(strike-$B41,0)),"")</f>
        <v/>
      </c>
      <c r="DQ41" s="9" t="str">
        <f t="array" ref="DQ41">IF(DQ$11&gt;=0,MAX(INDEX(MMULT(inverseG,DP$12:DP$62),$A41+1,1),MAX(strike-$B41,0)),"")</f>
        <v/>
      </c>
      <c r="DR41" s="9" t="str">
        <f t="array" ref="DR41">IF(DR$11&gt;=0,MAX(INDEX(MMULT(inverseG,DQ$12:DQ$62),$A41+1,1),MAX(strike-$B41,0)),"")</f>
        <v/>
      </c>
      <c r="DS41" s="9" t="str">
        <f t="array" ref="DS41">IF(DS$11&gt;=0,MAX(INDEX(MMULT(inverseG,DR$12:DR$62),$A41+1,1),MAX(strike-$B41,0)),"")</f>
        <v/>
      </c>
      <c r="DT41" s="9" t="str">
        <f t="array" ref="DT41">IF(DT$11&gt;=0,MAX(INDEX(MMULT(inverseG,DS$12:DS$62),$A41+1,1),MAX(strike-$B41,0)),"")</f>
        <v/>
      </c>
      <c r="DU41" s="9" t="str">
        <f t="array" ref="DU41">IF(DU$11&gt;=0,MAX(INDEX(MMULT(inverseG,DT$12:DT$62),$A41+1,1),MAX(strike-$B41,0)),"")</f>
        <v/>
      </c>
      <c r="DV41" s="9" t="str">
        <f t="array" ref="DV41">IF(DV$11&gt;=0,MAX(INDEX(MMULT(inverseG,DU$12:DU$62),$A41+1,1),MAX(strike-$B41,0)),"")</f>
        <v/>
      </c>
      <c r="DW41" s="9" t="str">
        <f t="array" ref="DW41">IF(DW$11&gt;=0,MAX(INDEX(MMULT(inverseG,DV$12:DV$62),$A41+1,1),MAX(strike-$B41,0)),"")</f>
        <v/>
      </c>
      <c r="DX41" s="9" t="str">
        <f t="array" ref="DX41">IF(DX$11&gt;=0,MAX(INDEX(MMULT(inverseG,DW$12:DW$62),$A41+1,1),MAX(strike-$B41,0)),"")</f>
        <v/>
      </c>
      <c r="DY41" s="9" t="str">
        <f t="array" ref="DY41">IF(DY$11&gt;=0,MAX(INDEX(MMULT(inverseG,DX$12:DX$62),$A41+1,1),MAX(strike-$B41,0)),"")</f>
        <v/>
      </c>
      <c r="DZ41" s="9" t="str">
        <f t="array" ref="DZ41">IF(DZ$11&gt;=0,MAX(INDEX(MMULT(inverseG,DY$12:DY$62),$A41+1,1),MAX(strike-$B41,0)),"")</f>
        <v/>
      </c>
      <c r="EA41" s="9" t="str">
        <f t="array" ref="EA41">IF(EA$11&gt;=0,MAX(INDEX(MMULT(inverseG,DZ$12:DZ$62),$A41+1,1),MAX(strike-$B41,0)),"")</f>
        <v/>
      </c>
      <c r="EB41" s="9" t="str">
        <f t="array" ref="EB41">IF(EB$11&gt;=0,MAX(INDEX(MMULT(inverseG,EA$12:EA$62),$A41+1,1),MAX(strike-$B41,0)),"")</f>
        <v/>
      </c>
      <c r="EC41" s="9" t="str">
        <f t="array" ref="EC41">IF(EC$11&gt;=0,MAX(INDEX(MMULT(inverseG,EB$12:EB$62),$A41+1,1),MAX(strike-$B41,0)),"")</f>
        <v/>
      </c>
      <c r="ED41" s="9" t="str">
        <f t="array" ref="ED41">IF(ED$11&gt;=0,MAX(INDEX(MMULT(inverseG,EC$12:EC$62),$A41+1,1),MAX(strike-$B41,0)),"")</f>
        <v/>
      </c>
      <c r="EE41" s="9" t="str">
        <f t="array" ref="EE41">IF(EE$11&gt;=0,MAX(INDEX(MMULT(inverseG,ED$12:ED$62),$A41+1,1),MAX(strike-$B41,0)),"")</f>
        <v/>
      </c>
      <c r="EF41" s="9" t="str">
        <f t="array" ref="EF41">IF(EF$11&gt;=0,MAX(INDEX(MMULT(inverseG,EE$12:EE$62),$A41+1,1),MAX(strike-$B41,0)),"")</f>
        <v/>
      </c>
      <c r="EG41" s="9" t="str">
        <f t="array" ref="EG41">IF(EG$11&gt;=0,MAX(INDEX(MMULT(inverseG,EF$12:EF$62),$A41+1,1),MAX(strike-$B41,0)),"")</f>
        <v/>
      </c>
      <c r="EH41" s="9" t="str">
        <f t="array" ref="EH41">IF(EH$11&gt;=0,MAX(INDEX(MMULT(inverseG,EG$12:EG$62),$A41+1,1),MAX(strike-$B41,0)),"")</f>
        <v/>
      </c>
      <c r="EI41" s="9" t="str">
        <f t="array" ref="EI41">IF(EI$11&gt;=0,MAX(INDEX(MMULT(inverseG,EH$12:EH$62),$A41+1,1),MAX(strike-$B41,0)),"")</f>
        <v/>
      </c>
      <c r="EJ41" s="9" t="str">
        <f t="array" ref="EJ41">IF(EJ$11&gt;=0,MAX(INDEX(MMULT(inverseG,EI$12:EI$62),$A41+1,1),MAX(strike-$B41,0)),"")</f>
        <v/>
      </c>
      <c r="EK41" s="9" t="str">
        <f t="array" ref="EK41">IF(EK$11&gt;=0,MAX(INDEX(MMULT(inverseG,EJ$12:EJ$62),$A41+1,1),MAX(strike-$B41,0)),"")</f>
        <v/>
      </c>
      <c r="EL41" s="9" t="str">
        <f t="array" ref="EL41">IF(EL$11&gt;=0,MAX(INDEX(MMULT(inverseG,EK$12:EK$62),$A41+1,1),MAX(strike-$B41,0)),"")</f>
        <v/>
      </c>
      <c r="EM41" s="9" t="str">
        <f t="array" ref="EM41">IF(EM$11&gt;=0,MAX(INDEX(MMULT(inverseG,EL$12:EL$62),$A41+1,1),MAX(strike-$B41,0)),"")</f>
        <v/>
      </c>
      <c r="EN41" s="9" t="str">
        <f t="array" ref="EN41">IF(EN$11&gt;=0,MAX(INDEX(MMULT(inverseG,EM$12:EM$62),$A41+1,1),MAX(strike-$B41,0)),"")</f>
        <v/>
      </c>
      <c r="EO41" s="9" t="str">
        <f t="array" ref="EO41">IF(EO$11&gt;=0,MAX(INDEX(MMULT(inverseG,EN$12:EN$62),$A41+1,1),MAX(strike-$B41,0)),"")</f>
        <v/>
      </c>
      <c r="EP41" s="9" t="str">
        <f t="array" ref="EP41">IF(EP$11&gt;=0,MAX(INDEX(MMULT(inverseG,EO$12:EO$62),$A41+1,1),MAX(strike-$B41,0)),"")</f>
        <v/>
      </c>
      <c r="EQ41" s="9" t="str">
        <f t="array" ref="EQ41">IF(EQ$11&gt;=0,MAX(INDEX(MMULT(inverseG,EP$12:EP$62),$A41+1,1),MAX(strike-$B41,0)),"")</f>
        <v/>
      </c>
      <c r="ER41" s="9" t="str">
        <f t="array" ref="ER41">IF(ER$11&gt;=0,MAX(INDEX(MMULT(inverseG,EQ$12:EQ$62),$A41+1,1),MAX(strike-$B41,0)),"")</f>
        <v/>
      </c>
      <c r="ES41" s="9" t="str">
        <f t="array" ref="ES41">IF(ES$11&gt;=0,MAX(INDEX(MMULT(inverseG,ER$12:ER$62),$A41+1,1),MAX(strike-$B41,0)),"")</f>
        <v/>
      </c>
      <c r="ET41" s="9" t="str">
        <f t="array" ref="ET41">IF(ET$11&gt;=0,MAX(INDEX(MMULT(inverseG,ES$12:ES$62),$A41+1,1),MAX(strike-$B41,0)),"")</f>
        <v/>
      </c>
      <c r="EU41" s="9" t="str">
        <f t="array" ref="EU41">IF(EU$11&gt;=0,MAX(INDEX(MMULT(inverseG,ET$12:ET$62),$A41+1,1),MAX(strike-$B41,0)),"")</f>
        <v/>
      </c>
      <c r="EV41" s="9" t="str">
        <f t="array" ref="EV41">IF(EV$11&gt;=0,MAX(INDEX(MMULT(inverseG,EU$12:EU$62),$A41+1,1),MAX(strike-$B41,0)),"")</f>
        <v/>
      </c>
      <c r="EW41" s="9" t="str">
        <f t="array" ref="EW41">IF(EW$11&gt;=0,MAX(INDEX(MMULT(inverseG,EV$12:EV$62),$A41+1,1),MAX(strike-$B41,0)),"")</f>
        <v/>
      </c>
      <c r="EX41" s="9" t="str">
        <f t="array" ref="EX41">IF(EX$11&gt;=0,MAX(INDEX(MMULT(inverseG,EW$12:EW$62),$A41+1,1),MAX(strike-$B41,0)),"")</f>
        <v/>
      </c>
      <c r="EY41" s="9" t="str">
        <f t="array" ref="EY41">IF(EY$11&gt;=0,MAX(INDEX(MMULT(inverseG,EX$12:EX$62),$A41+1,1),MAX(strike-$B41,0)),"")</f>
        <v/>
      </c>
      <c r="EZ41" s="9" t="str">
        <f t="array" ref="EZ41">IF(EZ$11&gt;=0,MAX(INDEX(MMULT(inverseG,EY$12:EY$62),$A41+1,1),MAX(strike-$B41,0)),"")</f>
        <v/>
      </c>
      <c r="FA41" s="9" t="str">
        <f t="array" ref="FA41">IF(FA$11&gt;=0,MAX(INDEX(MMULT(inverseG,EZ$12:EZ$62),$A41+1,1),MAX(strike-$B41,0)),"")</f>
        <v/>
      </c>
      <c r="FB41" s="9" t="str">
        <f t="array" ref="FB41">IF(FB$11&gt;=0,MAX(INDEX(MMULT(inverseG,FA$12:FA$62),$A41+1,1),MAX(strike-$B41,0)),"")</f>
        <v/>
      </c>
      <c r="FC41" s="9" t="str">
        <f t="array" ref="FC41">IF(FC$11&gt;=0,MAX(INDEX(MMULT(inverseG,FB$12:FB$62),$A41+1,1),MAX(strike-$B41,0)),"")</f>
        <v/>
      </c>
      <c r="FD41" s="9" t="str">
        <f t="array" ref="FD41">IF(FD$11&gt;=0,MAX(INDEX(MMULT(inverseG,FC$12:FC$62),$A41+1,1),MAX(strike-$B41,0)),"")</f>
        <v/>
      </c>
      <c r="FE41" s="9" t="str">
        <f t="array" ref="FE41">IF(FE$11&gt;=0,MAX(INDEX(MMULT(inverseG,FD$12:FD$62),$A41+1,1),MAX(strike-$B41,0)),"")</f>
        <v/>
      </c>
      <c r="FF41" s="9" t="str">
        <f t="array" ref="FF41">IF(FF$11&gt;=0,MAX(INDEX(MMULT(inverseG,FE$12:FE$62),$A41+1,1),MAX(strike-$B41,0)),"")</f>
        <v/>
      </c>
      <c r="FG41" s="9" t="str">
        <f t="array" ref="FG41">IF(FG$11&gt;=0,MAX(INDEX(MMULT(inverseG,FF$12:FF$62),$A41+1,1),MAX(strike-$B41,0)),"")</f>
        <v/>
      </c>
      <c r="FH41" s="9" t="str">
        <f t="array" ref="FH41">IF(FH$11&gt;=0,MAX(INDEX(MMULT(inverseG,FG$12:FG$62),$A41+1,1),MAX(strike-$B41,0)),"")</f>
        <v/>
      </c>
      <c r="FI41" s="9" t="str">
        <f t="array" ref="FI41">IF(FI$11&gt;=0,MAX(INDEX(MMULT(inverseG,FH$12:FH$62),$A41+1,1),MAX(strike-$B41,0)),"")</f>
        <v/>
      </c>
      <c r="FJ41" s="9" t="str">
        <f t="array" ref="FJ41">IF(FJ$11&gt;=0,MAX(INDEX(MMULT(inverseG,FI$12:FI$62),$A41+1,1),MAX(strike-$B41,0)),"")</f>
        <v/>
      </c>
      <c r="FK41" s="9" t="str">
        <f t="array" ref="FK41">IF(FK$11&gt;=0,MAX(INDEX(MMULT(inverseG,FJ$12:FJ$62),$A41+1,1),MAX(strike-$B41,0)),"")</f>
        <v/>
      </c>
      <c r="FL41" s="9" t="str">
        <f t="array" ref="FL41">IF(FL$11&gt;=0,MAX(INDEX(MMULT(inverseG,FK$12:FK$62),$A41+1,1),MAX(strike-$B41,0)),"")</f>
        <v/>
      </c>
      <c r="FM41" s="9" t="str">
        <f t="array" ref="FM41">IF(FM$11&gt;=0,MAX(INDEX(MMULT(inverseG,FL$12:FL$62),$A41+1,1),MAX(strike-$B41,0)),"")</f>
        <v/>
      </c>
      <c r="FN41" s="9" t="str">
        <f t="array" ref="FN41">IF(FN$11&gt;=0,MAX(INDEX(MMULT(inverseG,FM$12:FM$62),$A41+1,1),MAX(strike-$B41,0)),"")</f>
        <v/>
      </c>
      <c r="FO41" s="9" t="str">
        <f t="array" ref="FO41">IF(FO$11&gt;=0,MAX(INDEX(MMULT(inverseG,FN$12:FN$62),$A41+1,1),MAX(strike-$B41,0)),"")</f>
        <v/>
      </c>
      <c r="FP41" s="9" t="str">
        <f t="array" ref="FP41">IF(FP$11&gt;=0,MAX(INDEX(MMULT(inverseG,FO$12:FO$62),$A41+1,1),MAX(strike-$B41,0)),"")</f>
        <v/>
      </c>
      <c r="FQ41" s="9" t="str">
        <f t="array" ref="FQ41">IF(FQ$11&gt;=0,MAX(INDEX(MMULT(inverseG,FP$12:FP$62),$A41+1,1),MAX(strike-$B41,0)),"")</f>
        <v/>
      </c>
      <c r="FR41" s="9" t="str">
        <f t="array" ref="FR41">IF(FR$11&gt;=0,MAX(INDEX(MMULT(inverseG,FQ$12:FQ$62),$A41+1,1),MAX(strike-$B41,0)),"")</f>
        <v/>
      </c>
      <c r="FS41" s="9" t="str">
        <f t="array" ref="FS41">IF(FS$11&gt;=0,MAX(INDEX(MMULT(inverseG,FR$12:FR$62),$A41+1,1),MAX(strike-$B41,0)),"")</f>
        <v/>
      </c>
      <c r="FT41" s="9" t="str">
        <f t="array" ref="FT41">IF(FT$11&gt;=0,MAX(INDEX(MMULT(inverseG,FS$12:FS$62),$A41+1,1),MAX(strike-$B41,0)),"")</f>
        <v/>
      </c>
      <c r="FU41" s="9" t="str">
        <f t="array" ref="FU41">IF(FU$11&gt;=0,MAX(INDEX(MMULT(inverseG,FT$12:FT$62),$A41+1,1),MAX(strike-$B41,0)),"")</f>
        <v/>
      </c>
      <c r="FV41" s="9" t="str">
        <f t="array" ref="FV41">IF(FV$11&gt;=0,MAX(INDEX(MMULT(inverseG,FU$12:FU$62),$A41+1,1),MAX(strike-$B41,0)),"")</f>
        <v/>
      </c>
      <c r="FW41" s="9" t="str">
        <f t="array" ref="FW41">IF(FW$11&gt;=0,MAX(INDEX(MMULT(inverseG,FV$12:FV$62),$A41+1,1),MAX(strike-$B41,0)),"")</f>
        <v/>
      </c>
      <c r="FX41" s="9" t="str">
        <f t="array" ref="FX41">IF(FX$11&gt;=0,MAX(INDEX(MMULT(inverseG,FW$12:FW$62),$A41+1,1),MAX(strike-$B41,0)),"")</f>
        <v/>
      </c>
      <c r="FY41" s="9" t="str">
        <f t="array" ref="FY41">IF(FY$11&gt;=0,MAX(INDEX(MMULT(inverseG,FX$12:FX$62),$A41+1,1),MAX(strike-$B41,0)),"")</f>
        <v/>
      </c>
      <c r="FZ41" s="9" t="str">
        <f t="array" ref="FZ41">IF(FZ$11&gt;=0,MAX(INDEX(MMULT(inverseG,FY$12:FY$62),$A41+1,1),MAX(strike-$B41,0)),"")</f>
        <v/>
      </c>
      <c r="GA41" s="9" t="str">
        <f t="array" ref="GA41">IF(GA$11&gt;=0,MAX(INDEX(MMULT(inverseG,FZ$12:FZ$62),$A41+1,1),MAX(strike-$B41,0)),"")</f>
        <v/>
      </c>
      <c r="GB41" s="9" t="str">
        <f t="array" ref="GB41">IF(GB$11&gt;=0,MAX(INDEX(MMULT(inverseG,GA$12:GA$62),$A41+1,1),MAX(strike-$B41,0)),"")</f>
        <v/>
      </c>
      <c r="GC41" s="9" t="str">
        <f t="array" ref="GC41">IF(GC$11&gt;=0,MAX(INDEX(MMULT(inverseG,GB$12:GB$62),$A41+1,1),MAX(strike-$B41,0)),"")</f>
        <v/>
      </c>
      <c r="GD41" s="9" t="str">
        <f t="array" ref="GD41">IF(GD$11&gt;=0,MAX(INDEX(MMULT(inverseG,GC$12:GC$62),$A41+1,1),MAX(strike-$B41,0)),"")</f>
        <v/>
      </c>
      <c r="GE41" s="9" t="str">
        <f t="array" ref="GE41">IF(GE$11&gt;=0,MAX(INDEX(MMULT(inverseG,GD$12:GD$62),$A41+1,1),MAX(strike-$B41,0)),"")</f>
        <v/>
      </c>
      <c r="GF41" s="9" t="str">
        <f t="array" ref="GF41">IF(GF$11&gt;=0,MAX(INDEX(MMULT(inverseG,GE$12:GE$62),$A41+1,1),MAX(strike-$B41,0)),"")</f>
        <v/>
      </c>
      <c r="GG41" s="9" t="str">
        <f t="array" ref="GG41">IF(GG$11&gt;=0,MAX(INDEX(MMULT(inverseG,GF$12:GF$62),$A41+1,1),MAX(strike-$B41,0)),"")</f>
        <v/>
      </c>
      <c r="GH41" s="9" t="str">
        <f t="array" ref="GH41">IF(GH$11&gt;=0,MAX(INDEX(MMULT(inverseG,GG$12:GG$62),$A41+1,1),MAX(strike-$B41,0)),"")</f>
        <v/>
      </c>
      <c r="GI41" s="9" t="str">
        <f t="array" ref="GI41">IF(GI$11&gt;=0,MAX(INDEX(MMULT(inverseG,GH$12:GH$62),$A41+1,1),MAX(strike-$B41,0)),"")</f>
        <v/>
      </c>
      <c r="GJ41" s="9" t="str">
        <f t="array" ref="GJ41">IF(GJ$11&gt;=0,MAX(INDEX(MMULT(inverseG,GI$12:GI$62),$A41+1,1),MAX(strike-$B41,0)),"")</f>
        <v/>
      </c>
      <c r="GK41" s="9" t="str">
        <f t="array" ref="GK41">IF(GK$11&gt;=0,MAX(INDEX(MMULT(inverseG,GJ$12:GJ$62),$A41+1,1),MAX(strike-$B41,0)),"")</f>
        <v/>
      </c>
      <c r="GL41" s="9" t="str">
        <f t="array" ref="GL41">IF(GL$11&gt;=0,MAX(INDEX(MMULT(inverseG,GK$12:GK$62),$A41+1,1),MAX(strike-$B41,0)),"")</f>
        <v/>
      </c>
      <c r="GM41" s="9" t="str">
        <f t="array" ref="GM41">IF(GM$11&gt;=0,MAX(INDEX(MMULT(inverseG,GL$12:GL$62),$A41+1,1),MAX(strike-$B41,0)),"")</f>
        <v/>
      </c>
      <c r="GN41" s="9" t="str">
        <f t="array" ref="GN41">IF(GN$11&gt;=0,MAX(INDEX(MMULT(inverseG,GM$12:GM$62),$A41+1,1),MAX(strike-$B41,0)),"")</f>
        <v/>
      </c>
      <c r="GO41" s="9" t="str">
        <f t="array" ref="GO41">IF(GO$11&gt;=0,MAX(INDEX(MMULT(inverseG,GN$12:GN$62),$A41+1,1),MAX(strike-$B41,0)),"")</f>
        <v/>
      </c>
      <c r="GP41" s="9" t="str">
        <f t="array" ref="GP41">IF(GP$11&gt;=0,MAX(INDEX(MMULT(inverseG,GO$12:GO$62),$A41+1,1),MAX(strike-$B41,0)),"")</f>
        <v/>
      </c>
      <c r="GQ41" s="9" t="str">
        <f t="array" ref="GQ41">IF(GQ$11&gt;=0,MAX(INDEX(MMULT(inverseG,GP$12:GP$62),$A41+1,1),MAX(strike-$B41,0)),"")</f>
        <v/>
      </c>
      <c r="GR41" s="9" t="str">
        <f t="array" ref="GR41">IF(GR$11&gt;=0,MAX(INDEX(MMULT(inverseG,GQ$12:GQ$62),$A41+1,1),MAX(strike-$B41,0)),"")</f>
        <v/>
      </c>
      <c r="GS41" s="9" t="str">
        <f t="array" ref="GS41">IF(GS$11&gt;=0,MAX(INDEX(MMULT(inverseG,GR$12:GR$62),$A41+1,1),MAX(strike-$B41,0)),"")</f>
        <v/>
      </c>
      <c r="GT41" s="9" t="str">
        <f t="array" ref="GT41">IF(GT$11&gt;=0,MAX(INDEX(MMULT(inverseG,GS$12:GS$62),$A41+1,1),MAX(strike-$B41,0)),"")</f>
        <v/>
      </c>
      <c r="GU41" s="9" t="str">
        <f t="array" ref="GU41">IF(GU$11&gt;=0,MAX(INDEX(MMULT(inverseG,GT$12:GT$62),$A41+1,1),MAX(strike-$B41,0)),"")</f>
        <v/>
      </c>
      <c r="GV41" s="9" t="str">
        <f t="array" ref="GV41">IF(GV$11&gt;=0,MAX(INDEX(MMULT(inverseG,GU$12:GU$62),$A41+1,1),MAX(strike-$B41,0)),"")</f>
        <v/>
      </c>
      <c r="GW41" s="9" t="str">
        <f t="array" ref="GW41">IF(GW$11&gt;=0,MAX(INDEX(MMULT(inverseG,GV$12:GV$62),$A41+1,1),MAX(strike-$B41,0)),"")</f>
        <v/>
      </c>
      <c r="GX41" s="9" t="str">
        <f t="array" ref="GX41">IF(GX$11&gt;=0,MAX(INDEX(MMULT(inverseG,GW$12:GW$62),$A41+1,1),MAX(strike-$B41,0)),"")</f>
        <v/>
      </c>
      <c r="GY41" s="9" t="str">
        <f t="array" ref="GY41">IF(GY$11&gt;=0,MAX(INDEX(MMULT(inverseG,GX$12:GX$62),$A41+1,1),MAX(strike-$B41,0)),"")</f>
        <v/>
      </c>
      <c r="GZ41" s="9" t="str">
        <f t="array" ref="GZ41">IF(GZ$11&gt;=0,MAX(INDEX(MMULT(inverseG,GY$12:GY$62),$A41+1,1),MAX(strike-$B41,0)),"")</f>
        <v/>
      </c>
      <c r="HA41" s="9" t="str">
        <f t="array" ref="HA41">IF(HA$11&gt;=0,MAX(INDEX(MMULT(inverseG,GZ$12:GZ$62),$A41+1,1),MAX(strike-$B41,0)),"")</f>
        <v/>
      </c>
      <c r="HB41" s="9" t="str">
        <f t="array" ref="HB41">IF(HB$11&gt;=0,MAX(INDEX(MMULT(inverseG,HA$12:HA$62),$A41+1,1),MAX(strike-$B41,0)),"")</f>
        <v/>
      </c>
      <c r="HC41" s="9" t="str">
        <f t="array" ref="HC41">IF(HC$11&gt;=0,MAX(INDEX(MMULT(inverseG,HB$12:HB$62),$A41+1,1),MAX(strike-$B41,0)),"")</f>
        <v/>
      </c>
      <c r="HD41" s="9" t="str">
        <f t="array" ref="HD41">IF(HD$11&gt;=0,MAX(INDEX(MMULT(inverseG,HC$12:HC$62),$A41+1,1),MAX(strike-$B41,0)),"")</f>
        <v/>
      </c>
      <c r="HE41" s="9" t="str">
        <f t="array" ref="HE41">IF(HE$11&gt;=0,MAX(INDEX(MMULT(inverseG,HD$12:HD$62),$A41+1,1),MAX(strike-$B41,0)),"")</f>
        <v/>
      </c>
      <c r="HF41" s="9" t="str">
        <f t="array" ref="HF41">IF(HF$11&gt;=0,MAX(INDEX(MMULT(inverseG,HE$12:HE$62),$A41+1,1),MAX(strike-$B41,0)),"")</f>
        <v/>
      </c>
      <c r="HG41" s="9" t="str">
        <f t="array" ref="HG41">IF(HG$11&gt;=0,MAX(INDEX(MMULT(inverseG,HF$12:HF$62),$A41+1,1),MAX(strike-$B41,0)),"")</f>
        <v/>
      </c>
      <c r="HH41" s="9" t="str">
        <f t="array" ref="HH41">IF(HH$11&gt;=0,MAX(INDEX(MMULT(inverseG,HG$12:HG$62),$A41+1,1),MAX(strike-$B41,0)),"")</f>
        <v/>
      </c>
      <c r="HI41" s="9" t="str">
        <f t="array" ref="HI41">IF(HI$11&gt;=0,MAX(INDEX(MMULT(inverseG,HH$12:HH$62),$A41+1,1),MAX(strike-$B41,0)),"")</f>
        <v/>
      </c>
      <c r="HJ41" s="9" t="str">
        <f t="array" ref="HJ41">IF(HJ$11&gt;=0,MAX(INDEX(MMULT(inverseG,HI$12:HI$62),$A41+1,1),MAX(strike-$B41,0)),"")</f>
        <v/>
      </c>
      <c r="HK41" s="9" t="str">
        <f t="array" ref="HK41">IF(HK$11&gt;=0,MAX(INDEX(MMULT(inverseG,HJ$12:HJ$62),$A41+1,1),MAX(strike-$B41,0)),"")</f>
        <v/>
      </c>
      <c r="HL41" s="9" t="str">
        <f t="array" ref="HL41">IF(HL$11&gt;=0,MAX(INDEX(MMULT(inverseG,HK$12:HK$62),$A41+1,1),MAX(strike-$B41,0)),"")</f>
        <v/>
      </c>
      <c r="HM41" s="9" t="str">
        <f t="array" ref="HM41">IF(HM$11&gt;=0,MAX(INDEX(MMULT(inverseG,HL$12:HL$62),$A41+1,1),MAX(strike-$B41,0)),"")</f>
        <v/>
      </c>
      <c r="HN41" s="9" t="str">
        <f t="array" ref="HN41">IF(HN$11&gt;=0,MAX(INDEX(MMULT(inverseG,HM$12:HM$62),$A41+1,1),MAX(strike-$B41,0)),"")</f>
        <v/>
      </c>
      <c r="HO41" s="9" t="str">
        <f t="array" ref="HO41">IF(HO$11&gt;=0,MAX(INDEX(MMULT(inverseG,HN$12:HN$62),$A41+1,1),MAX(strike-$B41,0)),"")</f>
        <v/>
      </c>
      <c r="HP41" s="9" t="str">
        <f t="array" ref="HP41">IF(HP$11&gt;=0,MAX(INDEX(MMULT(inverseG,HO$12:HO$62),$A41+1,1),MAX(strike-$B41,0)),"")</f>
        <v/>
      </c>
      <c r="HQ41" s="9" t="str">
        <f t="array" ref="HQ41">IF(HQ$11&gt;=0,MAX(INDEX(MMULT(inverseG,HP$12:HP$62),$A41+1,1),MAX(strike-$B41,0)),"")</f>
        <v/>
      </c>
      <c r="HR41" s="9" t="str">
        <f t="array" ref="HR41">IF(HR$11&gt;=0,MAX(INDEX(MMULT(inverseG,HQ$12:HQ$62),$A41+1,1),MAX(strike-$B41,0)),"")</f>
        <v/>
      </c>
      <c r="HS41" s="9" t="str">
        <f t="array" ref="HS41">IF(HS$11&gt;=0,MAX(INDEX(MMULT(inverseG,HR$12:HR$62),$A41+1,1),MAX(strike-$B41,0)),"")</f>
        <v/>
      </c>
      <c r="HT41" s="9" t="str">
        <f t="array" ref="HT41">IF(HT$11&gt;=0,MAX(INDEX(MMULT(inverseG,HS$12:HS$62),$A41+1,1),MAX(strike-$B41,0)),"")</f>
        <v/>
      </c>
      <c r="HU41" s="9" t="str">
        <f t="array" ref="HU41">IF(HU$11&gt;=0,MAX(INDEX(MMULT(inverseG,HT$12:HT$62),$A41+1,1),MAX(strike-$B41,0)),"")</f>
        <v/>
      </c>
      <c r="HV41" s="9" t="str">
        <f t="array" ref="HV41">IF(HV$11&gt;=0,MAX(INDEX(MMULT(inverseG,HU$12:HU$62),$A41+1,1),MAX(strike-$B41,0)),"")</f>
        <v/>
      </c>
      <c r="HW41" s="9" t="str">
        <f t="array" ref="HW41">IF(HW$11&gt;=0,MAX(INDEX(MMULT(inverseG,HV$12:HV$62),$A41+1,1),MAX(strike-$B41,0)),"")</f>
        <v/>
      </c>
      <c r="HX41" s="9" t="str">
        <f t="array" ref="HX41">IF(HX$11&gt;=0,MAX(INDEX(MMULT(inverseG,HW$12:HW$62),$A41+1,1),MAX(strike-$B41,0)),"")</f>
        <v/>
      </c>
      <c r="HY41" s="9" t="str">
        <f t="array" ref="HY41">IF(HY$11&gt;=0,MAX(INDEX(MMULT(inverseG,HX$12:HX$62),$A41+1,1),MAX(strike-$B41,0)),"")</f>
        <v/>
      </c>
      <c r="HZ41" s="9" t="str">
        <f t="array" ref="HZ41">IF(HZ$11&gt;=0,MAX(INDEX(MMULT(inverseG,HY$12:HY$62),$A41+1,1),MAX(strike-$B41,0)),"")</f>
        <v/>
      </c>
      <c r="IA41" s="9" t="str">
        <f t="array" ref="IA41">IF(IA$11&gt;=0,MAX(INDEX(MMULT(inverseG,HZ$12:HZ$62),$A41+1,1),MAX(strike-$B41,0)),"")</f>
        <v/>
      </c>
      <c r="IB41" s="9" t="str">
        <f t="array" ref="IB41">IF(IB$11&gt;=0,MAX(INDEX(MMULT(inverseG,IA$12:IA$62),$A41+1,1),MAX(strike-$B41,0)),"")</f>
        <v/>
      </c>
      <c r="IC41" s="9" t="str">
        <f t="array" ref="IC41">IF(IC$11&gt;=0,MAX(INDEX(MMULT(inverseG,IB$12:IB$62),$A41+1,1),MAX(strike-$B41,0)),"")</f>
        <v/>
      </c>
      <c r="ID41" s="9" t="str">
        <f t="array" ref="ID41">IF(ID$11&gt;=0,MAX(INDEX(MMULT(inverseG,IC$12:IC$62),$A41+1,1),MAX(strike-$B41,0)),"")</f>
        <v/>
      </c>
      <c r="IE41" s="9" t="str">
        <f t="array" ref="IE41">IF(IE$11&gt;=0,MAX(INDEX(MMULT(inverseG,ID$12:ID$62),$A41+1,1),MAX(strike-$B41,0)),"")</f>
        <v/>
      </c>
      <c r="IF41" s="9" t="str">
        <f t="array" ref="IF41">IF(IF$11&gt;=0,MAX(INDEX(MMULT(inverseG,IE$12:IE$62),$A41+1,1),MAX(strike-$B41,0)),"")</f>
        <v/>
      </c>
      <c r="IG41" s="9" t="str">
        <f t="array" ref="IG41">IF(IG$11&gt;=0,MAX(INDEX(MMULT(inverseG,IF$12:IF$62),$A41+1,1),MAX(strike-$B41,0)),"")</f>
        <v/>
      </c>
      <c r="IH41" s="9" t="str">
        <f t="array" ref="IH41">IF(IH$11&gt;=0,MAX(INDEX(MMULT(inverseG,IG$12:IG$62),$A41+1,1),MAX(strike-$B41,0)),"")</f>
        <v/>
      </c>
      <c r="II41" s="9" t="str">
        <f t="array" ref="II41">IF(II$11&gt;=0,MAX(INDEX(MMULT(inverseG,IH$12:IH$62),$A41+1,1),MAX(strike-$B41,0)),"")</f>
        <v/>
      </c>
      <c r="IJ41" s="9" t="str">
        <f t="array" ref="IJ41">IF(IJ$11&gt;=0,MAX(INDEX(MMULT(inverseG,II$12:II$62),$A41+1,1),MAX(strike-$B41,0)),"")</f>
        <v/>
      </c>
      <c r="IK41" s="9" t="str">
        <f t="array" ref="IK41">IF(IK$11&gt;=0,MAX(INDEX(MMULT(inverseG,IJ$12:IJ$62),$A41+1,1),MAX(strike-$B41,0)),"")</f>
        <v/>
      </c>
      <c r="IL41" s="9" t="str">
        <f t="array" ref="IL41">IF(IL$11&gt;=0,MAX(INDEX(MMULT(inverseG,IK$12:IK$62),$A41+1,1),MAX(strike-$B41,0)),"")</f>
        <v/>
      </c>
      <c r="IM41" s="9" t="str">
        <f t="array" ref="IM41">IF(IM$11&gt;=0,MAX(INDEX(MMULT(inverseG,IL$12:IL$62),$A41+1,1),MAX(strike-$B41,0)),"")</f>
        <v/>
      </c>
      <c r="IN41" s="9" t="str">
        <f t="array" ref="IN41">IF(IN$11&gt;=0,MAX(INDEX(MMULT(inverseG,IM$12:IM$62),$A41+1,1),MAX(strike-$B41,0)),"")</f>
        <v/>
      </c>
      <c r="IO41" s="9" t="str">
        <f t="array" ref="IO41">IF(IO$11&gt;=0,MAX(INDEX(MMULT(inverseG,IN$12:IN$62),$A41+1,1),MAX(strike-$B41,0)),"")</f>
        <v/>
      </c>
      <c r="IP41" s="9" t="str">
        <f t="array" ref="IP41">IF(IP$11&gt;=0,MAX(INDEX(MMULT(inverseG,IO$12:IO$62),$A41+1,1),MAX(strike-$B41,0)),"")</f>
        <v/>
      </c>
      <c r="IQ41" s="9" t="str">
        <f t="array" ref="IQ41">IF(IQ$11&gt;=0,MAX(INDEX(MMULT(inverseG,IP$12:IP$62),$A41+1,1),MAX(strike-$B41,0)),"")</f>
        <v/>
      </c>
      <c r="IR41" s="9" t="str">
        <f t="array" ref="IR41">IF(IR$11&gt;=0,MAX(INDEX(MMULT(inverseG,IQ$12:IQ$62),$A41+1,1),MAX(strike-$B41,0)),"")</f>
        <v/>
      </c>
      <c r="IS41" s="9" t="str">
        <f t="array" ref="IS41">IF(IS$11&gt;=0,MAX(INDEX(MMULT(inverseG,IR$12:IR$62),$A41+1,1),MAX(strike-$B41,0)),"")</f>
        <v/>
      </c>
      <c r="IT41" s="9" t="str">
        <f t="array" ref="IT41">IF(IT$11&gt;=0,MAX(INDEX(MMULT(inverseG,IS$12:IS$62),$A41+1,1),MAX(strike-$B41,0)),"")</f>
        <v/>
      </c>
      <c r="IU41" s="9" t="str">
        <f t="array" ref="IU41">IF(IU$11&gt;=0,MAX(INDEX(MMULT(inverseG,IT$12:IT$62),$A41+1,1),MAX(strike-$B41,0)),"")</f>
        <v/>
      </c>
      <c r="IV41" s="9" t="str">
        <f t="array" ref="IV41">IF(IV$11&gt;=0,MAX(INDEX(MMULT(inverseG,IU$12:IU$62),$A41+1,1),MAX(strike-$B41,0)),"")</f>
        <v/>
      </c>
    </row>
    <row r="42" spans="1:256" x14ac:dyDescent="0.2">
      <c r="A42" s="8">
        <f t="shared" si="7"/>
        <v>30</v>
      </c>
      <c r="B42" s="6">
        <f t="shared" si="4"/>
        <v>7.5</v>
      </c>
      <c r="C42" s="30">
        <f t="shared" ca="1" si="6"/>
        <v>0.20260628662502744</v>
      </c>
      <c r="D42" s="9">
        <f t="shared" si="5"/>
        <v>0</v>
      </c>
      <c r="E42" s="9">
        <f t="array" ref="E42">IF(E$11&gt;=0,MAX(INDEX(MMULT(inverseG,D$12:D$62),$A42+1,1),MAX(strike-$B42,0)),"")</f>
        <v>3.7570978252489477E-6</v>
      </c>
      <c r="F42" s="9">
        <f t="array" ref="F42">IF(F$11&gt;=0,MAX(INDEX(MMULT(inverseG,E$12:E$62),$A42+1,1),MAX(strike-$B42,0)),"")</f>
        <v>2.3017949216991436E-5</v>
      </c>
      <c r="G42" s="9">
        <f t="array" ref="G42">IF(G$11&gt;=0,MAX(INDEX(MMULT(inverseG,F$12:F$62),$A42+1,1),MAX(strike-$B42,0)),"")</f>
        <v>7.8460745147505213E-5</v>
      </c>
      <c r="H42" s="9">
        <f t="array" ref="H42">IF(H$11&gt;=0,MAX(INDEX(MMULT(inverseG,G$12:G$62),$A42+1,1),MAX(strike-$B42,0)),"")</f>
        <v>1.9705052567636099E-4</v>
      </c>
      <c r="I42" s="9">
        <f t="array" ref="I42">IF(I$11&gt;=0,MAX(INDEX(MMULT(inverseG,H$12:H$62),$A42+1,1),MAX(strike-$B42,0)),"")</f>
        <v>4.0769878174680104E-4</v>
      </c>
      <c r="J42" s="9">
        <f t="array" ref="J42">IF(J$11&gt;=0,MAX(INDEX(MMULT(inverseG,I$12:I$62),$A42+1,1),MAX(strike-$B42,0)),"")</f>
        <v>7.3717272140181038E-4</v>
      </c>
      <c r="K42" s="9">
        <f t="array" ref="K42">IF(K$11&gt;=0,MAX(INDEX(MMULT(inverseG,J$12:J$62),$A42+1,1),MAX(strike-$B42,0)),"")</f>
        <v>1.2072995252099563E-3</v>
      </c>
      <c r="L42" s="9">
        <f t="array" ref="L42">IF(L$11&gt;=0,MAX(INDEX(MMULT(inverseG,K$12:K$62),$A42+1,1),MAX(strike-$B42,0)),"")</f>
        <v>1.8336514508487738E-3</v>
      </c>
      <c r="M42" s="9">
        <f t="array" ref="M42">IF(M$11&gt;=0,MAX(INDEX(MMULT(inverseG,L$12:L$62),$A42+1,1),MAX(strike-$B42,0)),"")</f>
        <v>2.6254204956926109E-3</v>
      </c>
      <c r="N42" s="9">
        <f t="array" ref="N42">IF(N$11&gt;=0,MAX(INDEX(MMULT(inverseG,M$12:M$62),$A42+1,1),MAX(strike-$B42,0)),"")</f>
        <v>3.5860505260169426E-3</v>
      </c>
      <c r="O42" s="9">
        <f t="array" ref="O42">IF(O$11&gt;=0,MAX(INDEX(MMULT(inverseG,N$12:N$62),$A42+1,1),MAX(strike-$B42,0)),"")</f>
        <v>4.7142406925247517E-3</v>
      </c>
      <c r="P42" s="9">
        <f t="array" ref="P42">IF(P$11&gt;=0,MAX(INDEX(MMULT(inverseG,O$12:O$62),$A42+1,1),MAX(strike-$B42,0)),"")</f>
        <v>6.0050453110805846E-3</v>
      </c>
      <c r="Q42" s="9">
        <f t="array" ref="Q42">IF(Q$11&gt;=0,MAX(INDEX(MMULT(inverseG,P$12:P$62),$A42+1,1),MAX(strike-$B42,0)),"")</f>
        <v>7.4509058325085576E-3</v>
      </c>
      <c r="R42" s="9">
        <f t="array" ref="R42">IF(R$11&gt;=0,MAX(INDEX(MMULT(inverseG,Q$12:Q$62),$A42+1,1),MAX(strike-$B42,0)),"")</f>
        <v>9.042534845444497E-3</v>
      </c>
      <c r="S42" s="9">
        <f t="array" ref="S42">IF(S$11&gt;=0,MAX(INDEX(MMULT(inverseG,R$12:R$62),$A42+1,1),MAX(strike-$B42,0)),"")</f>
        <v>1.0769627102460041E-2</v>
      </c>
      <c r="T42" s="9">
        <f t="array" ref="T42">IF(T$11&gt;=0,MAX(INDEX(MMULT(inverseG,S$12:S$62),$A42+1,1),MAX(strike-$B42,0)),"")</f>
        <v>1.2621403952236819E-2</v>
      </c>
      <c r="U42" s="9">
        <f t="array" ref="U42">IF(U$11&gt;=0,MAX(INDEX(MMULT(inverseG,T$12:T$62),$A42+1,1),MAX(strike-$B42,0)),"")</f>
        <v>1.4587012770277389E-2</v>
      </c>
      <c r="V42" s="9">
        <f t="array" ref="V42">IF(V$11&gt;=0,MAX(INDEX(MMULT(inverseG,U$12:U$62),$A42+1,1),MAX(strike-$B42,0)),"")</f>
        <v>1.6655808177920922E-2</v>
      </c>
      <c r="W42" s="9">
        <f t="array" ref="W42">IF(W$11&gt;=0,MAX(INDEX(MMULT(inverseG,V$12:V$62),$A42+1,1),MAX(strike-$B42,0)),"")</f>
        <v>1.8817541331365789E-2</v>
      </c>
      <c r="X42" s="9">
        <f t="array" ref="X42">IF(X$11&gt;=0,MAX(INDEX(MMULT(inverseG,W$12:W$62),$A42+1,1),MAX(strike-$B42,0)),"")</f>
        <v>2.1062480208003255E-2</v>
      </c>
      <c r="Y42" s="9">
        <f t="array" ref="Y42">IF(Y$11&gt;=0,MAX(INDEX(MMULT(inverseG,X$12:X$62),$A42+1,1),MAX(strike-$B42,0)),"")</f>
        <v>2.3381479459261702E-2</v>
      </c>
      <c r="Z42" s="9">
        <f t="array" ref="Z42">IF(Z$11&gt;=0,MAX(INDEX(MMULT(inverseG,Y$12:Y$62),$A42+1,1),MAX(strike-$B42,0)),"")</f>
        <v>2.5766014130598095E-2</v>
      </c>
      <c r="AA42" s="9">
        <f t="array" ref="AA42">IF(AA$11&gt;=0,MAX(INDEX(MMULT(inverseG,Z$12:Z$62),$A42+1,1),MAX(strike-$B42,0)),"")</f>
        <v>2.8208187907117165E-2</v>
      </c>
      <c r="AB42" s="9">
        <f t="array" ref="AB42">IF(AB$11&gt;=0,MAX(INDEX(MMULT(inverseG,AA$12:AA$62),$A42+1,1),MAX(strike-$B42,0)),"")</f>
        <v>3.0700723687749034E-2</v>
      </c>
      <c r="AC42" s="9">
        <f t="array" ref="AC42">IF(AC$11&gt;=0,MAX(INDEX(MMULT(inverseG,AB$12:AB$62),$A42+1,1),MAX(strike-$B42,0)),"")</f>
        <v>3.3236942168110468E-2</v>
      </c>
      <c r="AD42" s="9">
        <f t="array" ref="AD42">IF(AD$11&gt;=0,MAX(INDEX(MMULT(inverseG,AC$12:AC$62),$A42+1,1),MAX(strike-$B42,0)),"")</f>
        <v>3.5810732578478388E-2</v>
      </c>
      <c r="AE42" s="9">
        <f t="array" ref="AE42">IF(AE$11&gt;=0,MAX(INDEX(MMULT(inverseG,AD$12:AD$62),$A42+1,1),MAX(strike-$B42,0)),"")</f>
        <v>3.8416518622719213E-2</v>
      </c>
      <c r="AF42" s="9">
        <f t="array" ref="AF42">IF(AF$11&gt;=0,MAX(INDEX(MMULT(inverseG,AE$12:AE$62),$A42+1,1),MAX(strike-$B42,0)),"")</f>
        <v>4.1049221865348234E-2</v>
      </c>
      <c r="AG42" s="9">
        <f t="array" ref="AG42">IF(AG$11&gt;=0,MAX(INDEX(MMULT(inverseG,AF$12:AF$62),$A42+1,1),MAX(strike-$B42,0)),"")</f>
        <v>4.3704224221183217E-2</v>
      </c>
      <c r="AH42" s="9">
        <f t="array" ref="AH42">IF(AH$11&gt;=0,MAX(INDEX(MMULT(inverseG,AG$12:AG$62),$A42+1,1),MAX(strike-$B42,0)),"")</f>
        <v>4.6377330751190278E-2</v>
      </c>
      <c r="AI42" s="9">
        <f t="array" ref="AI42">IF(AI$11&gt;=0,MAX(INDEX(MMULT(inverseG,AH$12:AH$62),$A42+1,1),MAX(strike-$B42,0)),"")</f>
        <v>4.9064733618581782E-2</v>
      </c>
      <c r="AJ42" s="9">
        <f t="array" ref="AJ42">IF(AJ$11&gt;=0,MAX(INDEX(MMULT(inverseG,AI$12:AI$62),$A42+1,1),MAX(strike-$B42,0)),"")</f>
        <v>5.1762977785858977E-2</v>
      </c>
      <c r="AK42" s="9">
        <f t="array" ref="AK42">IF(AK$11&gt;=0,MAX(INDEX(MMULT(inverseG,AJ$12:AJ$62),$A42+1,1),MAX(strike-$B42,0)),"")</f>
        <v>5.4468928820188077E-2</v>
      </c>
      <c r="AL42" s="9">
        <f t="array" ref="AL42">IF(AL$11&gt;=0,MAX(INDEX(MMULT(inverseG,AK$12:AK$62),$A42+1,1),MAX(strike-$B42,0)),"")</f>
        <v>5.7179743010088602E-2</v>
      </c>
      <c r="AM42" s="9">
        <f t="array" ref="AM42">IF(AM$11&gt;=0,MAX(INDEX(MMULT(inverseG,AL$12:AL$62),$A42+1,1),MAX(strike-$B42,0)),"")</f>
        <v>5.9892839872314509E-2</v>
      </c>
      <c r="AN42" s="9">
        <f t="array" ref="AN42">IF(AN$11&gt;=0,MAX(INDEX(MMULT(inverseG,AM$12:AM$62),$A42+1,1),MAX(strike-$B42,0)),"")</f>
        <v>6.2605877036845559E-2</v>
      </c>
      <c r="AO42" s="9">
        <f t="array" ref="AO42">IF(AO$11&gt;=0,MAX(INDEX(MMULT(inverseG,AN$12:AN$62),$A42+1,1),MAX(strike-$B42,0)),"")</f>
        <v>6.5316727447553305E-2</v>
      </c>
      <c r="AP42" s="9">
        <f t="array" ref="AP42">IF(AP$11&gt;=0,MAX(INDEX(MMULT(inverseG,AO$12:AO$62),$A42+1,1),MAX(strike-$B42,0)),"")</f>
        <v>6.8023458802310172E-2</v>
      </c>
      <c r="AQ42" s="9">
        <f t="array" ref="AQ42">IF(AQ$11&gt;=0,MAX(INDEX(MMULT(inverseG,AP$12:AP$62),$A42+1,1),MAX(strike-$B42,0)),"")</f>
        <v>7.072431515465627E-2</v>
      </c>
      <c r="AR42" s="9">
        <f t="array" ref="AR42">IF(AR$11&gt;=0,MAX(INDEX(MMULT(inverseG,AQ$12:AQ$62),$A42+1,1),MAX(strike-$B42,0)),"")</f>
        <v>7.3417700584272438E-2</v>
      </c>
      <c r="AS42" s="9">
        <f t="array" ref="AS42">IF(AS$11&gt;=0,MAX(INDEX(MMULT(inverseG,AR$12:AR$62),$A42+1,1),MAX(strike-$B42,0)),"")</f>
        <v>7.6102164807210659E-2</v>
      </c>
      <c r="AT42" s="9">
        <f t="array" ref="AT42">IF(AT$11&gt;=0,MAX(INDEX(MMULT(inverseG,AS$12:AS$62),$A42+1,1),MAX(strike-$B42,0)),"")</f>
        <v>7.8776390548830483E-2</v>
      </c>
      <c r="AU42" s="9">
        <f t="array" ref="AU42">IF(AU$11&gt;=0,MAX(INDEX(MMULT(inverseG,AT$12:AT$62),$A42+1,1),MAX(strike-$B42,0)),"")</f>
        <v>8.1439182459804818E-2</v>
      </c>
      <c r="AV42" s="9">
        <f t="array" ref="AV42">IF(AV$11&gt;=0,MAX(INDEX(MMULT(inverseG,AU$12:AU$62),$A42+1,1),MAX(strike-$B42,0)),"")</f>
        <v>8.4089457332126721E-2</v>
      </c>
      <c r="AW42" s="9">
        <f t="array" ref="AW42">IF(AW$11&gt;=0,MAX(INDEX(MMULT(inverseG,AV$12:AV$62),$A42+1,1),MAX(strike-$B42,0)),"")</f>
        <v>8.6726235373056376E-2</v>
      </c>
      <c r="AX42" s="9">
        <f t="array" ref="AX42">IF(AX$11&gt;=0,MAX(INDEX(MMULT(inverseG,AW$12:AW$62),$A42+1,1),MAX(strike-$B42,0)),"")</f>
        <v>8.9348632317701154E-2</v>
      </c>
      <c r="AY42" s="9">
        <f t="array" ref="AY42">IF(AY$11&gt;=0,MAX(INDEX(MMULT(inverseG,AX$12:AX$62),$A42+1,1),MAX(strike-$B42,0)),"")</f>
        <v>9.1955852198058338E-2</v>
      </c>
      <c r="AZ42" s="9">
        <f t="array" ref="AZ42">IF(AZ$11&gt;=0,MAX(INDEX(MMULT(inverseG,AY$12:AY$62),$A42+1,1),MAX(strike-$B42,0)),"")</f>
        <v>9.4547180629385885E-2</v>
      </c>
      <c r="BA42" s="9">
        <f t="array" ref="BA42">IF(BA$11&gt;=0,MAX(INDEX(MMULT(inverseG,AZ$12:AZ$62),$A42+1,1),MAX(strike-$B42,0)),"")</f>
        <v>9.7121978516553506E-2</v>
      </c>
      <c r="BB42" s="9">
        <f t="array" ref="BB42">IF(BB$11&gt;=0,MAX(INDEX(MMULT(inverseG,BA$12:BA$62),$A42+1,1),MAX(strike-$B42,0)),"")</f>
        <v>9.9679676118832966E-2</v>
      </c>
      <c r="BC42" s="9">
        <f t="array" ref="BC42">IF(BC$11&gt;=0,MAX(INDEX(MMULT(inverseG,BB$12:BB$62),$A42+1,1),MAX(strike-$B42,0)),"")</f>
        <v>0.10221976743916113</v>
      </c>
      <c r="BD42" s="9">
        <f t="array" ref="BD42">IF(BD$11&gt;=0,MAX(INDEX(MMULT(inverseG,BC$12:BC$62),$A42+1,1),MAX(strike-$B42,0)),"")</f>
        <v>0.10474180492293772</v>
      </c>
      <c r="BE42" s="9">
        <f t="array" ref="BE42">IF(BE$11&gt;=0,MAX(INDEX(MMULT(inverseG,BD$12:BD$62),$A42+1,1),MAX(strike-$B42,0)),"")</f>
        <v>0.10724539446285215</v>
      </c>
      <c r="BF42" s="9">
        <f t="array" ref="BF42">IF(BF$11&gt;=0,MAX(INDEX(MMULT(inverseG,BE$12:BE$62),$A42+1,1),MAX(strike-$B42,0)),"")</f>
        <v>0.10973019071162594</v>
      </c>
      <c r="BG42" s="9">
        <f t="array" ref="BG42">IF(BG$11&gt;=0,MAX(INDEX(MMULT(inverseG,BF$12:BF$62),$A42+1,1),MAX(strike-$B42,0)),"")</f>
        <v>0.11219589270562209</v>
      </c>
      <c r="BH42" s="9">
        <f t="array" ref="BH42">IF(BH$11&gt;=0,MAX(INDEX(MMULT(inverseG,BG$12:BG$62),$A42+1,1),MAX(strike-$B42,0)),"")</f>
        <v>0.11464223980056566</v>
      </c>
      <c r="BI42" s="9">
        <f t="array" ref="BI42">IF(BI$11&gt;=0,MAX(INDEX(MMULT(inverseG,BH$12:BH$62),$A42+1,1),MAX(strike-$B42,0)),"")</f>
        <v>0.11706900791742143</v>
      </c>
      <c r="BJ42" s="9">
        <f t="array" ref="BJ42">IF(BJ$11&gt;=0,MAX(INDEX(MMULT(inverseG,BI$12:BI$62),$A42+1,1),MAX(strike-$B42,0)),"")</f>
        <v>0.11947600609272514</v>
      </c>
      <c r="BK42" s="9">
        <f t="array" ref="BK42">IF(BK$11&gt;=0,MAX(INDEX(MMULT(inverseG,BJ$12:BJ$62),$A42+1,1),MAX(strike-$B42,0)),"")</f>
        <v>0.1218630733240048</v>
      </c>
      <c r="BL42" s="9">
        <f t="array" ref="BL42">IF(BL$11&gt;=0,MAX(INDEX(MMULT(inverseG,BK$12:BK$62),$A42+1,1),MAX(strike-$B42,0)),"")</f>
        <v>0.12423007569774601</v>
      </c>
      <c r="BM42" s="9">
        <f t="array" ref="BM42">IF(BM$11&gt;=0,MAX(INDEX(MMULT(inverseG,BL$12:BL$62),$A42+1,1),MAX(strike-$B42,0)),"")</f>
        <v>0.12657690378483935</v>
      </c>
      <c r="BN42" s="9">
        <f t="array" ref="BN42">IF(BN$11&gt;=0,MAX(INDEX(MMULT(inverseG,BM$12:BM$62),$A42+1,1),MAX(strike-$B42,0)),"")</f>
        <v>0.12890347028666055</v>
      </c>
      <c r="BO42" s="9">
        <f t="array" ref="BO42">IF(BO$11&gt;=0,MAX(INDEX(MMULT(inverseG,BN$12:BN$62),$A42+1,1),MAX(strike-$B42,0)),"")</f>
        <v>0.1312097079138427</v>
      </c>
      <c r="BP42" s="9">
        <f t="array" ref="BP42">IF(BP$11&gt;=0,MAX(INDEX(MMULT(inverseG,BO$12:BO$62),$A42+1,1),MAX(strike-$B42,0)),"")</f>
        <v>0.13349556747932634</v>
      </c>
      <c r="BQ42" s="9">
        <f t="array" ref="BQ42">IF(BQ$11&gt;=0,MAX(INDEX(MMULT(inverseG,BP$12:BP$62),$A42+1,1),MAX(strike-$B42,0)),"")</f>
        <v>0.13576101618731562</v>
      </c>
      <c r="BR42" s="9">
        <f t="array" ref="BR42">IF(BR$11&gt;=0,MAX(INDEX(MMULT(inverseG,BQ$12:BQ$62),$A42+1,1),MAX(strike-$B42,0)),"")</f>
        <v>0.13800603610021805</v>
      </c>
      <c r="BS42" s="9">
        <f t="array" ref="BS42">IF(BS$11&gt;=0,MAX(INDEX(MMULT(inverseG,BR$12:BR$62),$A42+1,1),MAX(strike-$B42,0)),"")</f>
        <v>0.14023062276639356</v>
      </c>
      <c r="BT42" s="9">
        <f t="array" ref="BT42">IF(BT$11&gt;=0,MAX(INDEX(MMULT(inverseG,BS$12:BS$62),$A42+1,1),MAX(strike-$B42,0)),"")</f>
        <v>0.14243478399250778</v>
      </c>
      <c r="BU42" s="9">
        <f t="array" ref="BU42">IF(BU$11&gt;=0,MAX(INDEX(MMULT(inverseG,BT$12:BT$62),$A42+1,1),MAX(strike-$B42,0)),"")</f>
        <v>0.14461853874537817</v>
      </c>
      <c r="BV42" s="9">
        <f t="array" ref="BV42">IF(BV$11&gt;=0,MAX(INDEX(MMULT(inverseG,BU$12:BU$62),$A42+1,1),MAX(strike-$B42,0)),"")</f>
        <v>0.14678191616937369</v>
      </c>
      <c r="BW42" s="9">
        <f t="array" ref="BW42">IF(BW$11&gt;=0,MAX(INDEX(MMULT(inverseG,BV$12:BV$62),$A42+1,1),MAX(strike-$B42,0)),"")</f>
        <v>0.14892495470661946</v>
      </c>
      <c r="BX42" s="9">
        <f t="array" ref="BX42">IF(BX$11&gt;=0,MAX(INDEX(MMULT(inverseG,BW$12:BW$62),$A42+1,1),MAX(strike-$B42,0)),"")</f>
        <v>0.15104770130843756</v>
      </c>
      <c r="BY42" s="9">
        <f t="array" ref="BY42">IF(BY$11&gt;=0,MAX(INDEX(MMULT(inverseG,BX$12:BX$62),$A42+1,1),MAX(strike-$B42,0)),"")</f>
        <v>0.15315021072758866</v>
      </c>
      <c r="BZ42" s="9">
        <f t="array" ref="BZ42">IF(BZ$11&gt;=0,MAX(INDEX(MMULT(inverseG,BY$12:BY$62),$A42+1,1),MAX(strike-$B42,0)),"")</f>
        <v>0.15523254488195881</v>
      </c>
      <c r="CA42" s="9">
        <f t="array" ref="CA42">IF(CA$11&gt;=0,MAX(INDEX(MMULT(inverseG,BZ$12:BZ$62),$A42+1,1),MAX(strike-$B42,0)),"")</f>
        <v>0.15729477228133956</v>
      </c>
      <c r="CB42" s="9">
        <f t="array" ref="CB42">IF(CB$11&gt;=0,MAX(INDEX(MMULT(inverseG,CA$12:CA$62),$A42+1,1),MAX(strike-$B42,0)),"")</f>
        <v>0.15933696750987833</v>
      </c>
      <c r="CC42" s="9">
        <f t="array" ref="CC42">IF(CC$11&gt;=0,MAX(INDEX(MMULT(inverseG,CB$12:CB$62),$A42+1,1),MAX(strike-$B42,0)),"")</f>
        <v>0.1613592107576268</v>
      </c>
      <c r="CD42" s="9">
        <f t="array" ref="CD42">IF(CD$11&gt;=0,MAX(INDEX(MMULT(inverseG,CC$12:CC$62),$A42+1,1),MAX(strike-$B42,0)),"")</f>
        <v>0.1633615873953829</v>
      </c>
      <c r="CE42" s="9">
        <f t="array" ref="CE42">IF(CE$11&gt;=0,MAX(INDEX(MMULT(inverseG,CD$12:CD$62),$A42+1,1),MAX(strike-$B42,0)),"")</f>
        <v>0.16534418758771705</v>
      </c>
      <c r="CF42" s="9">
        <f t="array" ref="CF42">IF(CF$11&gt;=0,MAX(INDEX(MMULT(inverseG,CE$12:CE$62),$A42+1,1),MAX(strike-$B42,0)),"")</f>
        <v>0.16730710593969611</v>
      </c>
      <c r="CG42" s="9">
        <f t="array" ref="CG42">IF(CG$11&gt;=0,MAX(INDEX(MMULT(inverseG,CF$12:CF$62),$A42+1,1),MAX(strike-$B42,0)),"")</f>
        <v>0.16925044117336738</v>
      </c>
      <c r="CH42" s="9">
        <f t="array" ref="CH42">IF(CH$11&gt;=0,MAX(INDEX(MMULT(inverseG,CG$12:CG$62),$A42+1,1),MAX(strike-$B42,0)),"")</f>
        <v>0.17117429583056337</v>
      </c>
      <c r="CI42" s="9">
        <f t="array" ref="CI42">IF(CI$11&gt;=0,MAX(INDEX(MMULT(inverseG,CH$12:CH$62),$A42+1,1),MAX(strike-$B42,0)),"")</f>
        <v>0.17307877599901636</v>
      </c>
      <c r="CJ42" s="9">
        <f t="array" ref="CJ42">IF(CJ$11&gt;=0,MAX(INDEX(MMULT(inverseG,CI$12:CI$62),$A42+1,1),MAX(strike-$B42,0)),"")</f>
        <v>0.17496399105915714</v>
      </c>
      <c r="CK42" s="9">
        <f t="array" ref="CK42">IF(CK$11&gt;=0,MAX(INDEX(MMULT(inverseG,CJ$12:CJ$62),$A42+1,1),MAX(strike-$B42,0)),"")</f>
        <v>0.17683005344930883</v>
      </c>
      <c r="CL42" s="9">
        <f t="array" ref="CL42">IF(CL$11&gt;=0,MAX(INDEX(MMULT(inverseG,CK$12:CK$62),$A42+1,1),MAX(strike-$B42,0)),"")</f>
        <v>0.17867707844728037</v>
      </c>
      <c r="CM42" s="9">
        <f t="array" ref="CM42">IF(CM$11&gt;=0,MAX(INDEX(MMULT(inverseG,CL$12:CL$62),$A42+1,1),MAX(strike-$B42,0)),"")</f>
        <v>0.18050518396662169</v>
      </c>
      <c r="CN42" s="9">
        <f t="array" ref="CN42">IF(CN$11&gt;=0,MAX(INDEX(MMULT(inverseG,CM$12:CM$62),$A42+1,1),MAX(strike-$B42,0)),"")</f>
        <v>0.1823144903660272</v>
      </c>
      <c r="CO42" s="9">
        <f t="array" ref="CO42">IF(CO$11&gt;=0,MAX(INDEX(MMULT(inverseG,CN$12:CN$62),$A42+1,1),MAX(strike-$B42,0)),"")</f>
        <v>0.18410512027057169</v>
      </c>
      <c r="CP42" s="9">
        <f t="array" ref="CP42">IF(CP$11&gt;=0,MAX(INDEX(MMULT(inverseG,CO$12:CO$62),$A42+1,1),MAX(strike-$B42,0)),"")</f>
        <v>0.1858771984036294</v>
      </c>
      <c r="CQ42" s="9">
        <f t="array" ref="CQ42">IF(CQ$11&gt;=0,MAX(INDEX(MMULT(inverseG,CP$12:CP$62),$A42+1,1),MAX(strike-$B42,0)),"")</f>
        <v>0.18763085142847674</v>
      </c>
      <c r="CR42" s="9">
        <f t="array" ref="CR42">IF(CR$11&gt;=0,MAX(INDEX(MMULT(inverseG,CQ$12:CQ$62),$A42+1,1),MAX(strike-$B42,0)),"")</f>
        <v>0.18936620779870814</v>
      </c>
      <c r="CS42" s="9">
        <f t="array" ref="CS42">IF(CS$11&gt;=0,MAX(INDEX(MMULT(inverseG,CR$12:CR$62),$A42+1,1),MAX(strike-$B42,0)),"")</f>
        <v>0.19108339761723014</v>
      </c>
      <c r="CT42" s="9">
        <f t="array" ref="CT42">IF(CT$11&gt;=0,MAX(INDEX(MMULT(inverseG,CS$12:CS$62),$A42+1,1),MAX(strike-$B42,0)),"")</f>
        <v>0.19278255250548881</v>
      </c>
      <c r="CU42" s="9">
        <f t="array" ref="CU42">IF(CU$11&gt;=0,MAX(INDEX(MMULT(inverseG,CT$12:CT$62),$A42+1,1),MAX(strike-$B42,0)),"")</f>
        <v>0.19446380548750911</v>
      </c>
      <c r="CV42" s="9">
        <f t="array" ref="CV42">IF(CV$11&gt;=0,MAX(INDEX(MMULT(inverseG,CU$12:CU$62),$A42+1,1),MAX(strike-$B42,0)),"")</f>
        <v>0.19612729089586808</v>
      </c>
      <c r="CW42" s="9">
        <f t="array" ref="CW42">IF(CW$11&gt;=0,MAX(INDEX(MMULT(inverseG,CV$12:CV$62),$A42+1,1),MAX(strike-$B42,0)),"")</f>
        <v>0.19777314430728915</v>
      </c>
      <c r="CX42" s="9">
        <f t="array" ref="CX42">IF(CX$11&gt;=0,MAX(INDEX(MMULT(inverseG,CW$12:CW$62),$A42+1,1),MAX(strike-$B42,0)),"")</f>
        <v>0.19940150251338856</v>
      </c>
      <c r="CY42" s="9">
        <f t="array" ref="CY42">IF(CY$11&gt;=0,MAX(INDEX(MMULT(inverseG,CX$12:CX$62),$A42+1,1),MAX(strike-$B42,0)),"")</f>
        <v>0.20101250352772726</v>
      </c>
      <c r="CZ42" s="9">
        <f t="array" ref="CZ42">IF(CZ$11&gt;=0,MAX(INDEX(MMULT(inverseG,CY$12:CY$62),$A42+1,1),MAX(strike-$B42,0)),"")</f>
        <v>0.20260628662502744</v>
      </c>
      <c r="DA42" s="9" t="str">
        <f t="array" ref="DA42">IF(DA$11&gt;=0,MAX(INDEX(MMULT(inverseG,CZ$12:CZ$62),$A42+1,1),MAX(strike-$B42,0)),"")</f>
        <v/>
      </c>
      <c r="DB42" s="9" t="str">
        <f t="array" ref="DB42">IF(DB$11&gt;=0,MAX(INDEX(MMULT(inverseG,DA$12:DA$62),$A42+1,1),MAX(strike-$B42,0)),"")</f>
        <v/>
      </c>
      <c r="DC42" s="9" t="str">
        <f t="array" ref="DC42">IF(DC$11&gt;=0,MAX(INDEX(MMULT(inverseG,DB$12:DB$62),$A42+1,1),MAX(strike-$B42,0)),"")</f>
        <v/>
      </c>
      <c r="DD42" s="9" t="str">
        <f t="array" ref="DD42">IF(DD$11&gt;=0,MAX(INDEX(MMULT(inverseG,DC$12:DC$62),$A42+1,1),MAX(strike-$B42,0)),"")</f>
        <v/>
      </c>
      <c r="DE42" s="9" t="str">
        <f t="array" ref="DE42">IF(DE$11&gt;=0,MAX(INDEX(MMULT(inverseG,DD$12:DD$62),$A42+1,1),MAX(strike-$B42,0)),"")</f>
        <v/>
      </c>
      <c r="DF42" s="9" t="str">
        <f t="array" ref="DF42">IF(DF$11&gt;=0,MAX(INDEX(MMULT(inverseG,DE$12:DE$62),$A42+1,1),MAX(strike-$B42,0)),"")</f>
        <v/>
      </c>
      <c r="DG42" s="9" t="str">
        <f t="array" ref="DG42">IF(DG$11&gt;=0,MAX(INDEX(MMULT(inverseG,DF$12:DF$62),$A42+1,1),MAX(strike-$B42,0)),"")</f>
        <v/>
      </c>
      <c r="DH42" s="9" t="str">
        <f t="array" ref="DH42">IF(DH$11&gt;=0,MAX(INDEX(MMULT(inverseG,DG$12:DG$62),$A42+1,1),MAX(strike-$B42,0)),"")</f>
        <v/>
      </c>
      <c r="DI42" s="9" t="str">
        <f t="array" ref="DI42">IF(DI$11&gt;=0,MAX(INDEX(MMULT(inverseG,DH$12:DH$62),$A42+1,1),MAX(strike-$B42,0)),"")</f>
        <v/>
      </c>
      <c r="DJ42" s="9" t="str">
        <f t="array" ref="DJ42">IF(DJ$11&gt;=0,MAX(INDEX(MMULT(inverseG,DI$12:DI$62),$A42+1,1),MAX(strike-$B42,0)),"")</f>
        <v/>
      </c>
      <c r="DK42" s="9" t="str">
        <f t="array" ref="DK42">IF(DK$11&gt;=0,MAX(INDEX(MMULT(inverseG,DJ$12:DJ$62),$A42+1,1),MAX(strike-$B42,0)),"")</f>
        <v/>
      </c>
      <c r="DL42" s="9" t="str">
        <f t="array" ref="DL42">IF(DL$11&gt;=0,MAX(INDEX(MMULT(inverseG,DK$12:DK$62),$A42+1,1),MAX(strike-$B42,0)),"")</f>
        <v/>
      </c>
      <c r="DM42" s="9" t="str">
        <f t="array" ref="DM42">IF(DM$11&gt;=0,MAX(INDEX(MMULT(inverseG,DL$12:DL$62),$A42+1,1),MAX(strike-$B42,0)),"")</f>
        <v/>
      </c>
      <c r="DN42" s="9" t="str">
        <f t="array" ref="DN42">IF(DN$11&gt;=0,MAX(INDEX(MMULT(inverseG,DM$12:DM$62),$A42+1,1),MAX(strike-$B42,0)),"")</f>
        <v/>
      </c>
      <c r="DO42" s="9" t="str">
        <f t="array" ref="DO42">IF(DO$11&gt;=0,MAX(INDEX(MMULT(inverseG,DN$12:DN$62),$A42+1,1),MAX(strike-$B42,0)),"")</f>
        <v/>
      </c>
      <c r="DP42" s="9" t="str">
        <f t="array" ref="DP42">IF(DP$11&gt;=0,MAX(INDEX(MMULT(inverseG,DO$12:DO$62),$A42+1,1),MAX(strike-$B42,0)),"")</f>
        <v/>
      </c>
      <c r="DQ42" s="9" t="str">
        <f t="array" ref="DQ42">IF(DQ$11&gt;=0,MAX(INDEX(MMULT(inverseG,DP$12:DP$62),$A42+1,1),MAX(strike-$B42,0)),"")</f>
        <v/>
      </c>
      <c r="DR42" s="9" t="str">
        <f t="array" ref="DR42">IF(DR$11&gt;=0,MAX(INDEX(MMULT(inverseG,DQ$12:DQ$62),$A42+1,1),MAX(strike-$B42,0)),"")</f>
        <v/>
      </c>
      <c r="DS42" s="9" t="str">
        <f t="array" ref="DS42">IF(DS$11&gt;=0,MAX(INDEX(MMULT(inverseG,DR$12:DR$62),$A42+1,1),MAX(strike-$B42,0)),"")</f>
        <v/>
      </c>
      <c r="DT42" s="9" t="str">
        <f t="array" ref="DT42">IF(DT$11&gt;=0,MAX(INDEX(MMULT(inverseG,DS$12:DS$62),$A42+1,1),MAX(strike-$B42,0)),"")</f>
        <v/>
      </c>
      <c r="DU42" s="9" t="str">
        <f t="array" ref="DU42">IF(DU$11&gt;=0,MAX(INDEX(MMULT(inverseG,DT$12:DT$62),$A42+1,1),MAX(strike-$B42,0)),"")</f>
        <v/>
      </c>
      <c r="DV42" s="9" t="str">
        <f t="array" ref="DV42">IF(DV$11&gt;=0,MAX(INDEX(MMULT(inverseG,DU$12:DU$62),$A42+1,1),MAX(strike-$B42,0)),"")</f>
        <v/>
      </c>
      <c r="DW42" s="9" t="str">
        <f t="array" ref="DW42">IF(DW$11&gt;=0,MAX(INDEX(MMULT(inverseG,DV$12:DV$62),$A42+1,1),MAX(strike-$B42,0)),"")</f>
        <v/>
      </c>
      <c r="DX42" s="9" t="str">
        <f t="array" ref="DX42">IF(DX$11&gt;=0,MAX(INDEX(MMULT(inverseG,DW$12:DW$62),$A42+1,1),MAX(strike-$B42,0)),"")</f>
        <v/>
      </c>
      <c r="DY42" s="9" t="str">
        <f t="array" ref="DY42">IF(DY$11&gt;=0,MAX(INDEX(MMULT(inverseG,DX$12:DX$62),$A42+1,1),MAX(strike-$B42,0)),"")</f>
        <v/>
      </c>
      <c r="DZ42" s="9" t="str">
        <f t="array" ref="DZ42">IF(DZ$11&gt;=0,MAX(INDEX(MMULT(inverseG,DY$12:DY$62),$A42+1,1),MAX(strike-$B42,0)),"")</f>
        <v/>
      </c>
      <c r="EA42" s="9" t="str">
        <f t="array" ref="EA42">IF(EA$11&gt;=0,MAX(INDEX(MMULT(inverseG,DZ$12:DZ$62),$A42+1,1),MAX(strike-$B42,0)),"")</f>
        <v/>
      </c>
      <c r="EB42" s="9" t="str">
        <f t="array" ref="EB42">IF(EB$11&gt;=0,MAX(INDEX(MMULT(inverseG,EA$12:EA$62),$A42+1,1),MAX(strike-$B42,0)),"")</f>
        <v/>
      </c>
      <c r="EC42" s="9" t="str">
        <f t="array" ref="EC42">IF(EC$11&gt;=0,MAX(INDEX(MMULT(inverseG,EB$12:EB$62),$A42+1,1),MAX(strike-$B42,0)),"")</f>
        <v/>
      </c>
      <c r="ED42" s="9" t="str">
        <f t="array" ref="ED42">IF(ED$11&gt;=0,MAX(INDEX(MMULT(inverseG,EC$12:EC$62),$A42+1,1),MAX(strike-$B42,0)),"")</f>
        <v/>
      </c>
      <c r="EE42" s="9" t="str">
        <f t="array" ref="EE42">IF(EE$11&gt;=0,MAX(INDEX(MMULT(inverseG,ED$12:ED$62),$A42+1,1),MAX(strike-$B42,0)),"")</f>
        <v/>
      </c>
      <c r="EF42" s="9" t="str">
        <f t="array" ref="EF42">IF(EF$11&gt;=0,MAX(INDEX(MMULT(inverseG,EE$12:EE$62),$A42+1,1),MAX(strike-$B42,0)),"")</f>
        <v/>
      </c>
      <c r="EG42" s="9" t="str">
        <f t="array" ref="EG42">IF(EG$11&gt;=0,MAX(INDEX(MMULT(inverseG,EF$12:EF$62),$A42+1,1),MAX(strike-$B42,0)),"")</f>
        <v/>
      </c>
      <c r="EH42" s="9" t="str">
        <f t="array" ref="EH42">IF(EH$11&gt;=0,MAX(INDEX(MMULT(inverseG,EG$12:EG$62),$A42+1,1),MAX(strike-$B42,0)),"")</f>
        <v/>
      </c>
      <c r="EI42" s="9" t="str">
        <f t="array" ref="EI42">IF(EI$11&gt;=0,MAX(INDEX(MMULT(inverseG,EH$12:EH$62),$A42+1,1),MAX(strike-$B42,0)),"")</f>
        <v/>
      </c>
      <c r="EJ42" s="9" t="str">
        <f t="array" ref="EJ42">IF(EJ$11&gt;=0,MAX(INDEX(MMULT(inverseG,EI$12:EI$62),$A42+1,1),MAX(strike-$B42,0)),"")</f>
        <v/>
      </c>
      <c r="EK42" s="9" t="str">
        <f t="array" ref="EK42">IF(EK$11&gt;=0,MAX(INDEX(MMULT(inverseG,EJ$12:EJ$62),$A42+1,1),MAX(strike-$B42,0)),"")</f>
        <v/>
      </c>
      <c r="EL42" s="9" t="str">
        <f t="array" ref="EL42">IF(EL$11&gt;=0,MAX(INDEX(MMULT(inverseG,EK$12:EK$62),$A42+1,1),MAX(strike-$B42,0)),"")</f>
        <v/>
      </c>
      <c r="EM42" s="9" t="str">
        <f t="array" ref="EM42">IF(EM$11&gt;=0,MAX(INDEX(MMULT(inverseG,EL$12:EL$62),$A42+1,1),MAX(strike-$B42,0)),"")</f>
        <v/>
      </c>
      <c r="EN42" s="9" t="str">
        <f t="array" ref="EN42">IF(EN$11&gt;=0,MAX(INDEX(MMULT(inverseG,EM$12:EM$62),$A42+1,1),MAX(strike-$B42,0)),"")</f>
        <v/>
      </c>
      <c r="EO42" s="9" t="str">
        <f t="array" ref="EO42">IF(EO$11&gt;=0,MAX(INDEX(MMULT(inverseG,EN$12:EN$62),$A42+1,1),MAX(strike-$B42,0)),"")</f>
        <v/>
      </c>
      <c r="EP42" s="9" t="str">
        <f t="array" ref="EP42">IF(EP$11&gt;=0,MAX(INDEX(MMULT(inverseG,EO$12:EO$62),$A42+1,1),MAX(strike-$B42,0)),"")</f>
        <v/>
      </c>
      <c r="EQ42" s="9" t="str">
        <f t="array" ref="EQ42">IF(EQ$11&gt;=0,MAX(INDEX(MMULT(inverseG,EP$12:EP$62),$A42+1,1),MAX(strike-$B42,0)),"")</f>
        <v/>
      </c>
      <c r="ER42" s="9" t="str">
        <f t="array" ref="ER42">IF(ER$11&gt;=0,MAX(INDEX(MMULT(inverseG,EQ$12:EQ$62),$A42+1,1),MAX(strike-$B42,0)),"")</f>
        <v/>
      </c>
      <c r="ES42" s="9" t="str">
        <f t="array" ref="ES42">IF(ES$11&gt;=0,MAX(INDEX(MMULT(inverseG,ER$12:ER$62),$A42+1,1),MAX(strike-$B42,0)),"")</f>
        <v/>
      </c>
      <c r="ET42" s="9" t="str">
        <f t="array" ref="ET42">IF(ET$11&gt;=0,MAX(INDEX(MMULT(inverseG,ES$12:ES$62),$A42+1,1),MAX(strike-$B42,0)),"")</f>
        <v/>
      </c>
      <c r="EU42" s="9" t="str">
        <f t="array" ref="EU42">IF(EU$11&gt;=0,MAX(INDEX(MMULT(inverseG,ET$12:ET$62),$A42+1,1),MAX(strike-$B42,0)),"")</f>
        <v/>
      </c>
      <c r="EV42" s="9" t="str">
        <f t="array" ref="EV42">IF(EV$11&gt;=0,MAX(INDEX(MMULT(inverseG,EU$12:EU$62),$A42+1,1),MAX(strike-$B42,0)),"")</f>
        <v/>
      </c>
      <c r="EW42" s="9" t="str">
        <f t="array" ref="EW42">IF(EW$11&gt;=0,MAX(INDEX(MMULT(inverseG,EV$12:EV$62),$A42+1,1),MAX(strike-$B42,0)),"")</f>
        <v/>
      </c>
      <c r="EX42" s="9" t="str">
        <f t="array" ref="EX42">IF(EX$11&gt;=0,MAX(INDEX(MMULT(inverseG,EW$12:EW$62),$A42+1,1),MAX(strike-$B42,0)),"")</f>
        <v/>
      </c>
      <c r="EY42" s="9" t="str">
        <f t="array" ref="EY42">IF(EY$11&gt;=0,MAX(INDEX(MMULT(inverseG,EX$12:EX$62),$A42+1,1),MAX(strike-$B42,0)),"")</f>
        <v/>
      </c>
      <c r="EZ42" s="9" t="str">
        <f t="array" ref="EZ42">IF(EZ$11&gt;=0,MAX(INDEX(MMULT(inverseG,EY$12:EY$62),$A42+1,1),MAX(strike-$B42,0)),"")</f>
        <v/>
      </c>
      <c r="FA42" s="9" t="str">
        <f t="array" ref="FA42">IF(FA$11&gt;=0,MAX(INDEX(MMULT(inverseG,EZ$12:EZ$62),$A42+1,1),MAX(strike-$B42,0)),"")</f>
        <v/>
      </c>
      <c r="FB42" s="9" t="str">
        <f t="array" ref="FB42">IF(FB$11&gt;=0,MAX(INDEX(MMULT(inverseG,FA$12:FA$62),$A42+1,1),MAX(strike-$B42,0)),"")</f>
        <v/>
      </c>
      <c r="FC42" s="9" t="str">
        <f t="array" ref="FC42">IF(FC$11&gt;=0,MAX(INDEX(MMULT(inverseG,FB$12:FB$62),$A42+1,1),MAX(strike-$B42,0)),"")</f>
        <v/>
      </c>
      <c r="FD42" s="9" t="str">
        <f t="array" ref="FD42">IF(FD$11&gt;=0,MAX(INDEX(MMULT(inverseG,FC$12:FC$62),$A42+1,1),MAX(strike-$B42,0)),"")</f>
        <v/>
      </c>
      <c r="FE42" s="9" t="str">
        <f t="array" ref="FE42">IF(FE$11&gt;=0,MAX(INDEX(MMULT(inverseG,FD$12:FD$62),$A42+1,1),MAX(strike-$B42,0)),"")</f>
        <v/>
      </c>
      <c r="FF42" s="9" t="str">
        <f t="array" ref="FF42">IF(FF$11&gt;=0,MAX(INDEX(MMULT(inverseG,FE$12:FE$62),$A42+1,1),MAX(strike-$B42,0)),"")</f>
        <v/>
      </c>
      <c r="FG42" s="9" t="str">
        <f t="array" ref="FG42">IF(FG$11&gt;=0,MAX(INDEX(MMULT(inverseG,FF$12:FF$62),$A42+1,1),MAX(strike-$B42,0)),"")</f>
        <v/>
      </c>
      <c r="FH42" s="9" t="str">
        <f t="array" ref="FH42">IF(FH$11&gt;=0,MAX(INDEX(MMULT(inverseG,FG$12:FG$62),$A42+1,1),MAX(strike-$B42,0)),"")</f>
        <v/>
      </c>
      <c r="FI42" s="9" t="str">
        <f t="array" ref="FI42">IF(FI$11&gt;=0,MAX(INDEX(MMULT(inverseG,FH$12:FH$62),$A42+1,1),MAX(strike-$B42,0)),"")</f>
        <v/>
      </c>
      <c r="FJ42" s="9" t="str">
        <f t="array" ref="FJ42">IF(FJ$11&gt;=0,MAX(INDEX(MMULT(inverseG,FI$12:FI$62),$A42+1,1),MAX(strike-$B42,0)),"")</f>
        <v/>
      </c>
      <c r="FK42" s="9" t="str">
        <f t="array" ref="FK42">IF(FK$11&gt;=0,MAX(INDEX(MMULT(inverseG,FJ$12:FJ$62),$A42+1,1),MAX(strike-$B42,0)),"")</f>
        <v/>
      </c>
      <c r="FL42" s="9" t="str">
        <f t="array" ref="FL42">IF(FL$11&gt;=0,MAX(INDEX(MMULT(inverseG,FK$12:FK$62),$A42+1,1),MAX(strike-$B42,0)),"")</f>
        <v/>
      </c>
      <c r="FM42" s="9" t="str">
        <f t="array" ref="FM42">IF(FM$11&gt;=0,MAX(INDEX(MMULT(inverseG,FL$12:FL$62),$A42+1,1),MAX(strike-$B42,0)),"")</f>
        <v/>
      </c>
      <c r="FN42" s="9" t="str">
        <f t="array" ref="FN42">IF(FN$11&gt;=0,MAX(INDEX(MMULT(inverseG,FM$12:FM$62),$A42+1,1),MAX(strike-$B42,0)),"")</f>
        <v/>
      </c>
      <c r="FO42" s="9" t="str">
        <f t="array" ref="FO42">IF(FO$11&gt;=0,MAX(INDEX(MMULT(inverseG,FN$12:FN$62),$A42+1,1),MAX(strike-$B42,0)),"")</f>
        <v/>
      </c>
      <c r="FP42" s="9" t="str">
        <f t="array" ref="FP42">IF(FP$11&gt;=0,MAX(INDEX(MMULT(inverseG,FO$12:FO$62),$A42+1,1),MAX(strike-$B42,0)),"")</f>
        <v/>
      </c>
      <c r="FQ42" s="9" t="str">
        <f t="array" ref="FQ42">IF(FQ$11&gt;=0,MAX(INDEX(MMULT(inverseG,FP$12:FP$62),$A42+1,1),MAX(strike-$B42,0)),"")</f>
        <v/>
      </c>
      <c r="FR42" s="9" t="str">
        <f t="array" ref="FR42">IF(FR$11&gt;=0,MAX(INDEX(MMULT(inverseG,FQ$12:FQ$62),$A42+1,1),MAX(strike-$B42,0)),"")</f>
        <v/>
      </c>
      <c r="FS42" s="9" t="str">
        <f t="array" ref="FS42">IF(FS$11&gt;=0,MAX(INDEX(MMULT(inverseG,FR$12:FR$62),$A42+1,1),MAX(strike-$B42,0)),"")</f>
        <v/>
      </c>
      <c r="FT42" s="9" t="str">
        <f t="array" ref="FT42">IF(FT$11&gt;=0,MAX(INDEX(MMULT(inverseG,FS$12:FS$62),$A42+1,1),MAX(strike-$B42,0)),"")</f>
        <v/>
      </c>
      <c r="FU42" s="9" t="str">
        <f t="array" ref="FU42">IF(FU$11&gt;=0,MAX(INDEX(MMULT(inverseG,FT$12:FT$62),$A42+1,1),MAX(strike-$B42,0)),"")</f>
        <v/>
      </c>
      <c r="FV42" s="9" t="str">
        <f t="array" ref="FV42">IF(FV$11&gt;=0,MAX(INDEX(MMULT(inverseG,FU$12:FU$62),$A42+1,1),MAX(strike-$B42,0)),"")</f>
        <v/>
      </c>
      <c r="FW42" s="9" t="str">
        <f t="array" ref="FW42">IF(FW$11&gt;=0,MAX(INDEX(MMULT(inverseG,FV$12:FV$62),$A42+1,1),MAX(strike-$B42,0)),"")</f>
        <v/>
      </c>
      <c r="FX42" s="9" t="str">
        <f t="array" ref="FX42">IF(FX$11&gt;=0,MAX(INDEX(MMULT(inverseG,FW$12:FW$62),$A42+1,1),MAX(strike-$B42,0)),"")</f>
        <v/>
      </c>
      <c r="FY42" s="9" t="str">
        <f t="array" ref="FY42">IF(FY$11&gt;=0,MAX(INDEX(MMULT(inverseG,FX$12:FX$62),$A42+1,1),MAX(strike-$B42,0)),"")</f>
        <v/>
      </c>
      <c r="FZ42" s="9" t="str">
        <f t="array" ref="FZ42">IF(FZ$11&gt;=0,MAX(INDEX(MMULT(inverseG,FY$12:FY$62),$A42+1,1),MAX(strike-$B42,0)),"")</f>
        <v/>
      </c>
      <c r="GA42" s="9" t="str">
        <f t="array" ref="GA42">IF(GA$11&gt;=0,MAX(INDEX(MMULT(inverseG,FZ$12:FZ$62),$A42+1,1),MAX(strike-$B42,0)),"")</f>
        <v/>
      </c>
      <c r="GB42" s="9" t="str">
        <f t="array" ref="GB42">IF(GB$11&gt;=0,MAX(INDEX(MMULT(inverseG,GA$12:GA$62),$A42+1,1),MAX(strike-$B42,0)),"")</f>
        <v/>
      </c>
      <c r="GC42" s="9" t="str">
        <f t="array" ref="GC42">IF(GC$11&gt;=0,MAX(INDEX(MMULT(inverseG,GB$12:GB$62),$A42+1,1),MAX(strike-$B42,0)),"")</f>
        <v/>
      </c>
      <c r="GD42" s="9" t="str">
        <f t="array" ref="GD42">IF(GD$11&gt;=0,MAX(INDEX(MMULT(inverseG,GC$12:GC$62),$A42+1,1),MAX(strike-$B42,0)),"")</f>
        <v/>
      </c>
      <c r="GE42" s="9" t="str">
        <f t="array" ref="GE42">IF(GE$11&gt;=0,MAX(INDEX(MMULT(inverseG,GD$12:GD$62),$A42+1,1),MAX(strike-$B42,0)),"")</f>
        <v/>
      </c>
      <c r="GF42" s="9" t="str">
        <f t="array" ref="GF42">IF(GF$11&gt;=0,MAX(INDEX(MMULT(inverseG,GE$12:GE$62),$A42+1,1),MAX(strike-$B42,0)),"")</f>
        <v/>
      </c>
      <c r="GG42" s="9" t="str">
        <f t="array" ref="GG42">IF(GG$11&gt;=0,MAX(INDEX(MMULT(inverseG,GF$12:GF$62),$A42+1,1),MAX(strike-$B42,0)),"")</f>
        <v/>
      </c>
      <c r="GH42" s="9" t="str">
        <f t="array" ref="GH42">IF(GH$11&gt;=0,MAX(INDEX(MMULT(inverseG,GG$12:GG$62),$A42+1,1),MAX(strike-$B42,0)),"")</f>
        <v/>
      </c>
      <c r="GI42" s="9" t="str">
        <f t="array" ref="GI42">IF(GI$11&gt;=0,MAX(INDEX(MMULT(inverseG,GH$12:GH$62),$A42+1,1),MAX(strike-$B42,0)),"")</f>
        <v/>
      </c>
      <c r="GJ42" s="9" t="str">
        <f t="array" ref="GJ42">IF(GJ$11&gt;=0,MAX(INDEX(MMULT(inverseG,GI$12:GI$62),$A42+1,1),MAX(strike-$B42,0)),"")</f>
        <v/>
      </c>
      <c r="GK42" s="9" t="str">
        <f t="array" ref="GK42">IF(GK$11&gt;=0,MAX(INDEX(MMULT(inverseG,GJ$12:GJ$62),$A42+1,1),MAX(strike-$B42,0)),"")</f>
        <v/>
      </c>
      <c r="GL42" s="9" t="str">
        <f t="array" ref="GL42">IF(GL$11&gt;=0,MAX(INDEX(MMULT(inverseG,GK$12:GK$62),$A42+1,1),MAX(strike-$B42,0)),"")</f>
        <v/>
      </c>
      <c r="GM42" s="9" t="str">
        <f t="array" ref="GM42">IF(GM$11&gt;=0,MAX(INDEX(MMULT(inverseG,GL$12:GL$62),$A42+1,1),MAX(strike-$B42,0)),"")</f>
        <v/>
      </c>
      <c r="GN42" s="9" t="str">
        <f t="array" ref="GN42">IF(GN$11&gt;=0,MAX(INDEX(MMULT(inverseG,GM$12:GM$62),$A42+1,1),MAX(strike-$B42,0)),"")</f>
        <v/>
      </c>
      <c r="GO42" s="9" t="str">
        <f t="array" ref="GO42">IF(GO$11&gt;=0,MAX(INDEX(MMULT(inverseG,GN$12:GN$62),$A42+1,1),MAX(strike-$B42,0)),"")</f>
        <v/>
      </c>
      <c r="GP42" s="9" t="str">
        <f t="array" ref="GP42">IF(GP$11&gt;=0,MAX(INDEX(MMULT(inverseG,GO$12:GO$62),$A42+1,1),MAX(strike-$B42,0)),"")</f>
        <v/>
      </c>
      <c r="GQ42" s="9" t="str">
        <f t="array" ref="GQ42">IF(GQ$11&gt;=0,MAX(INDEX(MMULT(inverseG,GP$12:GP$62),$A42+1,1),MAX(strike-$B42,0)),"")</f>
        <v/>
      </c>
      <c r="GR42" s="9" t="str">
        <f t="array" ref="GR42">IF(GR$11&gt;=0,MAX(INDEX(MMULT(inverseG,GQ$12:GQ$62),$A42+1,1),MAX(strike-$B42,0)),"")</f>
        <v/>
      </c>
      <c r="GS42" s="9" t="str">
        <f t="array" ref="GS42">IF(GS$11&gt;=0,MAX(INDEX(MMULT(inverseG,GR$12:GR$62),$A42+1,1),MAX(strike-$B42,0)),"")</f>
        <v/>
      </c>
      <c r="GT42" s="9" t="str">
        <f t="array" ref="GT42">IF(GT$11&gt;=0,MAX(INDEX(MMULT(inverseG,GS$12:GS$62),$A42+1,1),MAX(strike-$B42,0)),"")</f>
        <v/>
      </c>
      <c r="GU42" s="9" t="str">
        <f t="array" ref="GU42">IF(GU$11&gt;=0,MAX(INDEX(MMULT(inverseG,GT$12:GT$62),$A42+1,1),MAX(strike-$B42,0)),"")</f>
        <v/>
      </c>
      <c r="GV42" s="9" t="str">
        <f t="array" ref="GV42">IF(GV$11&gt;=0,MAX(INDEX(MMULT(inverseG,GU$12:GU$62),$A42+1,1),MAX(strike-$B42,0)),"")</f>
        <v/>
      </c>
      <c r="GW42" s="9" t="str">
        <f t="array" ref="GW42">IF(GW$11&gt;=0,MAX(INDEX(MMULT(inverseG,GV$12:GV$62),$A42+1,1),MAX(strike-$B42,0)),"")</f>
        <v/>
      </c>
      <c r="GX42" s="9" t="str">
        <f t="array" ref="GX42">IF(GX$11&gt;=0,MAX(INDEX(MMULT(inverseG,GW$12:GW$62),$A42+1,1),MAX(strike-$B42,0)),"")</f>
        <v/>
      </c>
      <c r="GY42" s="9" t="str">
        <f t="array" ref="GY42">IF(GY$11&gt;=0,MAX(INDEX(MMULT(inverseG,GX$12:GX$62),$A42+1,1),MAX(strike-$B42,0)),"")</f>
        <v/>
      </c>
      <c r="GZ42" s="9" t="str">
        <f t="array" ref="GZ42">IF(GZ$11&gt;=0,MAX(INDEX(MMULT(inverseG,GY$12:GY$62),$A42+1,1),MAX(strike-$B42,0)),"")</f>
        <v/>
      </c>
      <c r="HA42" s="9" t="str">
        <f t="array" ref="HA42">IF(HA$11&gt;=0,MAX(INDEX(MMULT(inverseG,GZ$12:GZ$62),$A42+1,1),MAX(strike-$B42,0)),"")</f>
        <v/>
      </c>
      <c r="HB42" s="9" t="str">
        <f t="array" ref="HB42">IF(HB$11&gt;=0,MAX(INDEX(MMULT(inverseG,HA$12:HA$62),$A42+1,1),MAX(strike-$B42,0)),"")</f>
        <v/>
      </c>
      <c r="HC42" s="9" t="str">
        <f t="array" ref="HC42">IF(HC$11&gt;=0,MAX(INDEX(MMULT(inverseG,HB$12:HB$62),$A42+1,1),MAX(strike-$B42,0)),"")</f>
        <v/>
      </c>
      <c r="HD42" s="9" t="str">
        <f t="array" ref="HD42">IF(HD$11&gt;=0,MAX(INDEX(MMULT(inverseG,HC$12:HC$62),$A42+1,1),MAX(strike-$B42,0)),"")</f>
        <v/>
      </c>
      <c r="HE42" s="9" t="str">
        <f t="array" ref="HE42">IF(HE$11&gt;=0,MAX(INDEX(MMULT(inverseG,HD$12:HD$62),$A42+1,1),MAX(strike-$B42,0)),"")</f>
        <v/>
      </c>
      <c r="HF42" s="9" t="str">
        <f t="array" ref="HF42">IF(HF$11&gt;=0,MAX(INDEX(MMULT(inverseG,HE$12:HE$62),$A42+1,1),MAX(strike-$B42,0)),"")</f>
        <v/>
      </c>
      <c r="HG42" s="9" t="str">
        <f t="array" ref="HG42">IF(HG$11&gt;=0,MAX(INDEX(MMULT(inverseG,HF$12:HF$62),$A42+1,1),MAX(strike-$B42,0)),"")</f>
        <v/>
      </c>
      <c r="HH42" s="9" t="str">
        <f t="array" ref="HH42">IF(HH$11&gt;=0,MAX(INDEX(MMULT(inverseG,HG$12:HG$62),$A42+1,1),MAX(strike-$B42,0)),"")</f>
        <v/>
      </c>
      <c r="HI42" s="9" t="str">
        <f t="array" ref="HI42">IF(HI$11&gt;=0,MAX(INDEX(MMULT(inverseG,HH$12:HH$62),$A42+1,1),MAX(strike-$B42,0)),"")</f>
        <v/>
      </c>
      <c r="HJ42" s="9" t="str">
        <f t="array" ref="HJ42">IF(HJ$11&gt;=0,MAX(INDEX(MMULT(inverseG,HI$12:HI$62),$A42+1,1),MAX(strike-$B42,0)),"")</f>
        <v/>
      </c>
      <c r="HK42" s="9" t="str">
        <f t="array" ref="HK42">IF(HK$11&gt;=0,MAX(INDEX(MMULT(inverseG,HJ$12:HJ$62),$A42+1,1),MAX(strike-$B42,0)),"")</f>
        <v/>
      </c>
      <c r="HL42" s="9" t="str">
        <f t="array" ref="HL42">IF(HL$11&gt;=0,MAX(INDEX(MMULT(inverseG,HK$12:HK$62),$A42+1,1),MAX(strike-$B42,0)),"")</f>
        <v/>
      </c>
      <c r="HM42" s="9" t="str">
        <f t="array" ref="HM42">IF(HM$11&gt;=0,MAX(INDEX(MMULT(inverseG,HL$12:HL$62),$A42+1,1),MAX(strike-$B42,0)),"")</f>
        <v/>
      </c>
      <c r="HN42" s="9" t="str">
        <f t="array" ref="HN42">IF(HN$11&gt;=0,MAX(INDEX(MMULT(inverseG,HM$12:HM$62),$A42+1,1),MAX(strike-$B42,0)),"")</f>
        <v/>
      </c>
      <c r="HO42" s="9" t="str">
        <f t="array" ref="HO42">IF(HO$11&gt;=0,MAX(INDEX(MMULT(inverseG,HN$12:HN$62),$A42+1,1),MAX(strike-$B42,0)),"")</f>
        <v/>
      </c>
      <c r="HP42" s="9" t="str">
        <f t="array" ref="HP42">IF(HP$11&gt;=0,MAX(INDEX(MMULT(inverseG,HO$12:HO$62),$A42+1,1),MAX(strike-$B42,0)),"")</f>
        <v/>
      </c>
      <c r="HQ42" s="9" t="str">
        <f t="array" ref="HQ42">IF(HQ$11&gt;=0,MAX(INDEX(MMULT(inverseG,HP$12:HP$62),$A42+1,1),MAX(strike-$B42,0)),"")</f>
        <v/>
      </c>
      <c r="HR42" s="9" t="str">
        <f t="array" ref="HR42">IF(HR$11&gt;=0,MAX(INDEX(MMULT(inverseG,HQ$12:HQ$62),$A42+1,1),MAX(strike-$B42,0)),"")</f>
        <v/>
      </c>
      <c r="HS42" s="9" t="str">
        <f t="array" ref="HS42">IF(HS$11&gt;=0,MAX(INDEX(MMULT(inverseG,HR$12:HR$62),$A42+1,1),MAX(strike-$B42,0)),"")</f>
        <v/>
      </c>
      <c r="HT42" s="9" t="str">
        <f t="array" ref="HT42">IF(HT$11&gt;=0,MAX(INDEX(MMULT(inverseG,HS$12:HS$62),$A42+1,1),MAX(strike-$B42,0)),"")</f>
        <v/>
      </c>
      <c r="HU42" s="9" t="str">
        <f t="array" ref="HU42">IF(HU$11&gt;=0,MAX(INDEX(MMULT(inverseG,HT$12:HT$62),$A42+1,1),MAX(strike-$B42,0)),"")</f>
        <v/>
      </c>
      <c r="HV42" s="9" t="str">
        <f t="array" ref="HV42">IF(HV$11&gt;=0,MAX(INDEX(MMULT(inverseG,HU$12:HU$62),$A42+1,1),MAX(strike-$B42,0)),"")</f>
        <v/>
      </c>
      <c r="HW42" s="9" t="str">
        <f t="array" ref="HW42">IF(HW$11&gt;=0,MAX(INDEX(MMULT(inverseG,HV$12:HV$62),$A42+1,1),MAX(strike-$B42,0)),"")</f>
        <v/>
      </c>
      <c r="HX42" s="9" t="str">
        <f t="array" ref="HX42">IF(HX$11&gt;=0,MAX(INDEX(MMULT(inverseG,HW$12:HW$62),$A42+1,1),MAX(strike-$B42,0)),"")</f>
        <v/>
      </c>
      <c r="HY42" s="9" t="str">
        <f t="array" ref="HY42">IF(HY$11&gt;=0,MAX(INDEX(MMULT(inverseG,HX$12:HX$62),$A42+1,1),MAX(strike-$B42,0)),"")</f>
        <v/>
      </c>
      <c r="HZ42" s="9" t="str">
        <f t="array" ref="HZ42">IF(HZ$11&gt;=0,MAX(INDEX(MMULT(inverseG,HY$12:HY$62),$A42+1,1),MAX(strike-$B42,0)),"")</f>
        <v/>
      </c>
      <c r="IA42" s="9" t="str">
        <f t="array" ref="IA42">IF(IA$11&gt;=0,MAX(INDEX(MMULT(inverseG,HZ$12:HZ$62),$A42+1,1),MAX(strike-$B42,0)),"")</f>
        <v/>
      </c>
      <c r="IB42" s="9" t="str">
        <f t="array" ref="IB42">IF(IB$11&gt;=0,MAX(INDEX(MMULT(inverseG,IA$12:IA$62),$A42+1,1),MAX(strike-$B42,0)),"")</f>
        <v/>
      </c>
      <c r="IC42" s="9" t="str">
        <f t="array" ref="IC42">IF(IC$11&gt;=0,MAX(INDEX(MMULT(inverseG,IB$12:IB$62),$A42+1,1),MAX(strike-$B42,0)),"")</f>
        <v/>
      </c>
      <c r="ID42" s="9" t="str">
        <f t="array" ref="ID42">IF(ID$11&gt;=0,MAX(INDEX(MMULT(inverseG,IC$12:IC$62),$A42+1,1),MAX(strike-$B42,0)),"")</f>
        <v/>
      </c>
      <c r="IE42" s="9" t="str">
        <f t="array" ref="IE42">IF(IE$11&gt;=0,MAX(INDEX(MMULT(inverseG,ID$12:ID$62),$A42+1,1),MAX(strike-$B42,0)),"")</f>
        <v/>
      </c>
      <c r="IF42" s="9" t="str">
        <f t="array" ref="IF42">IF(IF$11&gt;=0,MAX(INDEX(MMULT(inverseG,IE$12:IE$62),$A42+1,1),MAX(strike-$B42,0)),"")</f>
        <v/>
      </c>
      <c r="IG42" s="9" t="str">
        <f t="array" ref="IG42">IF(IG$11&gt;=0,MAX(INDEX(MMULT(inverseG,IF$12:IF$62),$A42+1,1),MAX(strike-$B42,0)),"")</f>
        <v/>
      </c>
      <c r="IH42" s="9" t="str">
        <f t="array" ref="IH42">IF(IH$11&gt;=0,MAX(INDEX(MMULT(inverseG,IG$12:IG$62),$A42+1,1),MAX(strike-$B42,0)),"")</f>
        <v/>
      </c>
      <c r="II42" s="9" t="str">
        <f t="array" ref="II42">IF(II$11&gt;=0,MAX(INDEX(MMULT(inverseG,IH$12:IH$62),$A42+1,1),MAX(strike-$B42,0)),"")</f>
        <v/>
      </c>
      <c r="IJ42" s="9" t="str">
        <f t="array" ref="IJ42">IF(IJ$11&gt;=0,MAX(INDEX(MMULT(inverseG,II$12:II$62),$A42+1,1),MAX(strike-$B42,0)),"")</f>
        <v/>
      </c>
      <c r="IK42" s="9" t="str">
        <f t="array" ref="IK42">IF(IK$11&gt;=0,MAX(INDEX(MMULT(inverseG,IJ$12:IJ$62),$A42+1,1),MAX(strike-$B42,0)),"")</f>
        <v/>
      </c>
      <c r="IL42" s="9" t="str">
        <f t="array" ref="IL42">IF(IL$11&gt;=0,MAX(INDEX(MMULT(inverseG,IK$12:IK$62),$A42+1,1),MAX(strike-$B42,0)),"")</f>
        <v/>
      </c>
      <c r="IM42" s="9" t="str">
        <f t="array" ref="IM42">IF(IM$11&gt;=0,MAX(INDEX(MMULT(inverseG,IL$12:IL$62),$A42+1,1),MAX(strike-$B42,0)),"")</f>
        <v/>
      </c>
      <c r="IN42" s="9" t="str">
        <f t="array" ref="IN42">IF(IN$11&gt;=0,MAX(INDEX(MMULT(inverseG,IM$12:IM$62),$A42+1,1),MAX(strike-$B42,0)),"")</f>
        <v/>
      </c>
      <c r="IO42" s="9" t="str">
        <f t="array" ref="IO42">IF(IO$11&gt;=0,MAX(INDEX(MMULT(inverseG,IN$12:IN$62),$A42+1,1),MAX(strike-$B42,0)),"")</f>
        <v/>
      </c>
      <c r="IP42" s="9" t="str">
        <f t="array" ref="IP42">IF(IP$11&gt;=0,MAX(INDEX(MMULT(inverseG,IO$12:IO$62),$A42+1,1),MAX(strike-$B42,0)),"")</f>
        <v/>
      </c>
      <c r="IQ42" s="9" t="str">
        <f t="array" ref="IQ42">IF(IQ$11&gt;=0,MAX(INDEX(MMULT(inverseG,IP$12:IP$62),$A42+1,1),MAX(strike-$B42,0)),"")</f>
        <v/>
      </c>
      <c r="IR42" s="9" t="str">
        <f t="array" ref="IR42">IF(IR$11&gt;=0,MAX(INDEX(MMULT(inverseG,IQ$12:IQ$62),$A42+1,1),MAX(strike-$B42,0)),"")</f>
        <v/>
      </c>
      <c r="IS42" s="9" t="str">
        <f t="array" ref="IS42">IF(IS$11&gt;=0,MAX(INDEX(MMULT(inverseG,IR$12:IR$62),$A42+1,1),MAX(strike-$B42,0)),"")</f>
        <v/>
      </c>
      <c r="IT42" s="9" t="str">
        <f t="array" ref="IT42">IF(IT$11&gt;=0,MAX(INDEX(MMULT(inverseG,IS$12:IS$62),$A42+1,1),MAX(strike-$B42,0)),"")</f>
        <v/>
      </c>
      <c r="IU42" s="9" t="str">
        <f t="array" ref="IU42">IF(IU$11&gt;=0,MAX(INDEX(MMULT(inverseG,IT$12:IT$62),$A42+1,1),MAX(strike-$B42,0)),"")</f>
        <v/>
      </c>
      <c r="IV42" s="9" t="str">
        <f t="array" ref="IV42">IF(IV$11&gt;=0,MAX(INDEX(MMULT(inverseG,IU$12:IU$62),$A42+1,1),MAX(strike-$B42,0)),"")</f>
        <v/>
      </c>
    </row>
    <row r="43" spans="1:256" x14ac:dyDescent="0.2">
      <c r="A43" s="8">
        <f t="shared" si="7"/>
        <v>31</v>
      </c>
      <c r="B43" s="6">
        <f t="shared" si="4"/>
        <v>7.75</v>
      </c>
      <c r="C43" s="30">
        <f t="shared" ca="1" si="6"/>
        <v>0.1807002049775922</v>
      </c>
      <c r="D43" s="9">
        <f t="shared" si="5"/>
        <v>0</v>
      </c>
      <c r="E43" s="9">
        <f t="array" ref="E43">IF(E$11&gt;=0,MAX(INDEX(MMULT(inverseG,D$12:D$62),$A43+1,1),MAX(strike-$B43,0)),"")</f>
        <v>1.6616712026749824E-6</v>
      </c>
      <c r="F43" s="9">
        <f t="array" ref="F43">IF(F$11&gt;=0,MAX(INDEX(MMULT(inverseG,E$12:E$62),$A43+1,1),MAX(strike-$B43,0)),"")</f>
        <v>1.0812520423961517E-5</v>
      </c>
      <c r="G43" s="9">
        <f t="array" ref="G43">IF(G$11&gt;=0,MAX(INDEX(MMULT(inverseG,F$12:F$62),$A43+1,1),MAX(strike-$B43,0)),"")</f>
        <v>3.8876332348904242E-5</v>
      </c>
      <c r="H43" s="9">
        <f t="array" ref="H43">IF(H$11&gt;=0,MAX(INDEX(MMULT(inverseG,G$12:G$62),$A43+1,1),MAX(strike-$B43,0)),"")</f>
        <v>1.0237440324415361E-4</v>
      </c>
      <c r="I43" s="9">
        <f t="array" ref="I43">IF(I$11&gt;=0,MAX(INDEX(MMULT(inverseG,H$12:H$62),$A43+1,1),MAX(strike-$B43,0)),"")</f>
        <v>2.2094345551378414E-4</v>
      </c>
      <c r="J43" s="9">
        <f t="array" ref="J43">IF(J$11&gt;=0,MAX(INDEX(MMULT(inverseG,I$12:I$62),$A43+1,1),MAX(strike-$B43,0)),"")</f>
        <v>4.1483376378364232E-4</v>
      </c>
      <c r="K43" s="9">
        <f t="array" ref="K43">IF(K$11&gt;=0,MAX(INDEX(MMULT(inverseG,J$12:J$62),$A43+1,1),MAX(strike-$B43,0)),"")</f>
        <v>7.0269314425157141E-4</v>
      </c>
      <c r="L43" s="9">
        <f t="array" ref="L43">IF(L$11&gt;=0,MAX(INDEX(MMULT(inverseG,K$12:K$62),$A43+1,1),MAX(strike-$B43,0)),"")</f>
        <v>1.1000437409328307E-3</v>
      </c>
      <c r="M43" s="9">
        <f t="array" ref="M43">IF(M$11&gt;=0,MAX(INDEX(MMULT(inverseG,L$12:L$62),$A43+1,1),MAX(strike-$B43,0)),"")</f>
        <v>1.6185142311871152E-3</v>
      </c>
      <c r="N43" s="9">
        <f t="array" ref="N43">IF(N$11&gt;=0,MAX(INDEX(MMULT(inverseG,M$12:M$62),$A43+1,1),MAX(strike-$B43,0)),"")</f>
        <v>2.2656947333024491E-3</v>
      </c>
      <c r="O43" s="9">
        <f t="array" ref="O43">IF(O$11&gt;=0,MAX(INDEX(MMULT(inverseG,N$12:N$62),$A43+1,1),MAX(strike-$B43,0)),"")</f>
        <v>3.0454158337463568E-3</v>
      </c>
      <c r="P43" s="9">
        <f t="array" ref="P43">IF(P$11&gt;=0,MAX(INDEX(MMULT(inverseG,O$12:O$62),$A43+1,1),MAX(strike-$B43,0)),"")</f>
        <v>3.9582645014521458E-3</v>
      </c>
      <c r="Q43" s="9">
        <f t="array" ref="Q43">IF(Q$11&gt;=0,MAX(INDEX(MMULT(inverseG,P$12:P$62),$A43+1,1),MAX(strike-$B43,0)),"")</f>
        <v>5.0021932699143594E-3</v>
      </c>
      <c r="R43" s="9">
        <f t="array" ref="R43">IF(R$11&gt;=0,MAX(INDEX(MMULT(inverseG,Q$12:Q$62),$A43+1,1),MAX(strike-$B43,0)),"")</f>
        <v>6.1731275506545823E-3</v>
      </c>
      <c r="S43" s="9">
        <f t="array" ref="S43">IF(S$11&gt;=0,MAX(INDEX(MMULT(inverseG,R$12:R$62),$A43+1,1),MAX(strike-$B43,0)),"")</f>
        <v>7.4655166722562179E-3</v>
      </c>
      <c r="T43" s="9">
        <f t="array" ref="T43">IF(T$11&gt;=0,MAX(INDEX(MMULT(inverseG,S$12:S$62),$A43+1,1),MAX(strike-$B43,0)),"")</f>
        <v>8.872803672233873E-3</v>
      </c>
      <c r="U43" s="9">
        <f t="array" ref="U43">IF(U$11&gt;=0,MAX(INDEX(MMULT(inverseG,T$12:T$62),$A43+1,1),MAX(strike-$B43,0)),"")</f>
        <v>1.0387807903702221E-2</v>
      </c>
      <c r="V43" s="9">
        <f t="array" ref="V43">IF(V$11&gt;=0,MAX(INDEX(MMULT(inverseG,U$12:U$62),$A43+1,1),MAX(strike-$B43,0)),"")</f>
        <v>1.2003025513848528E-2</v>
      </c>
      <c r="W43" s="9">
        <f t="array" ref="W43">IF(W$11&gt;=0,MAX(INDEX(MMULT(inverseG,V$12:V$62),$A43+1,1),MAX(strike-$B43,0)),"")</f>
        <v>1.3710858210936478E-2</v>
      </c>
      <c r="X43" s="9">
        <f t="array" ref="X43">IF(X$11&gt;=0,MAX(INDEX(MMULT(inverseG,W$12:W$62),$A43+1,1),MAX(strike-$B43,0)),"")</f>
        <v>1.550378246099896E-2</v>
      </c>
      <c r="Y43" s="9">
        <f t="array" ref="Y43">IF(Y$11&gt;=0,MAX(INDEX(MMULT(inverseG,X$12:X$62),$A43+1,1),MAX(strike-$B43,0)),"")</f>
        <v>1.7374470869874554E-2</v>
      </c>
      <c r="Z43" s="9">
        <f t="array" ref="Z43">IF(Z$11&gt;=0,MAX(INDEX(MMULT(inverseG,Y$12:Y$62),$A43+1,1),MAX(strike-$B43,0)),"")</f>
        <v>1.9315876091155586E-2</v>
      </c>
      <c r="AA43" s="9">
        <f t="array" ref="AA43">IF(AA$11&gt;=0,MAX(INDEX(MMULT(inverseG,Z$12:Z$62),$A43+1,1),MAX(strike-$B43,0)),"")</f>
        <v>2.1321285850817544E-2</v>
      </c>
      <c r="AB43" s="9">
        <f t="array" ref="AB43">IF(AB$11&gt;=0,MAX(INDEX(MMULT(inverseG,AA$12:AA$62),$A43+1,1),MAX(strike-$B43,0)),"")</f>
        <v>2.3384355984736305E-2</v>
      </c>
      <c r="AC43" s="9">
        <f t="array" ref="AC43">IF(AC$11&gt;=0,MAX(INDEX(MMULT(inverseG,AB$12:AB$62),$A43+1,1),MAX(strike-$B43,0)),"")</f>
        <v>2.5499126921406969E-2</v>
      </c>
      <c r="AD43" s="9">
        <f t="array" ref="AD43">IF(AD$11&gt;=0,MAX(INDEX(MMULT(inverseG,AC$12:AC$62),$A43+1,1),MAX(strike-$B43,0)),"")</f>
        <v>2.766002785345421E-2</v>
      </c>
      <c r="AE43" s="9">
        <f t="array" ref="AE43">IF(AE$11&gt;=0,MAX(INDEX(MMULT(inverseG,AD$12:AD$62),$A43+1,1),MAX(strike-$B43,0)),"")</f>
        <v>2.9861871906054351E-2</v>
      </c>
      <c r="AF43" s="9">
        <f t="array" ref="AF43">IF(AF$11&gt;=0,MAX(INDEX(MMULT(inverseG,AE$12:AE$62),$A43+1,1),MAX(strike-$B43,0)),"")</f>
        <v>3.2099844881946275E-2</v>
      </c>
      <c r="AG43" s="9">
        <f t="array" ref="AG43">IF(AG$11&gt;=0,MAX(INDEX(MMULT(inverseG,AF$12:AF$62),$A43+1,1),MAX(strike-$B43,0)),"")</f>
        <v>3.43694895936291E-2</v>
      </c>
      <c r="AH43" s="9">
        <f t="array" ref="AH43">IF(AH$11&gt;=0,MAX(INDEX(MMULT(inverseG,AG$12:AG$62),$A43+1,1),MAX(strike-$B43,0)),"")</f>
        <v>3.6666687344141712E-2</v>
      </c>
      <c r="AI43" s="9">
        <f t="array" ref="AI43">IF(AI$11&gt;=0,MAX(INDEX(MMULT(inverseG,AH$12:AH$62),$A43+1,1),MAX(strike-$B43,0)),"")</f>
        <v>3.8987637759180502E-2</v>
      </c>
      <c r="AJ43" s="9">
        <f t="array" ref="AJ43">IF(AJ$11&gt;=0,MAX(INDEX(MMULT(inverseG,AI$12:AI$62),$A43+1,1),MAX(strike-$B43,0)),"")</f>
        <v>4.1328837884671628E-2</v>
      </c>
      <c r="AK43" s="9">
        <f t="array" ref="AK43">IF(AK$11&gt;=0,MAX(INDEX(MMULT(inverseG,AJ$12:AJ$62),$A43+1,1),MAX(strike-$B43,0)),"")</f>
        <v>4.3687061231025108E-2</v>
      </c>
      <c r="AL43" s="9">
        <f t="array" ref="AL43">IF(AL$11&gt;=0,MAX(INDEX(MMULT(inverseG,AK$12:AK$62),$A43+1,1),MAX(strike-$B43,0)),"")</f>
        <v>4.6059337258023733E-2</v>
      </c>
      <c r="AM43" s="9">
        <f t="array" ref="AM43">IF(AM$11&gt;=0,MAX(INDEX(MMULT(inverseG,AL$12:AL$62),$A43+1,1),MAX(strike-$B43,0)),"")</f>
        <v>4.8442931644990861E-2</v>
      </c>
      <c r="AN43" s="9">
        <f t="array" ref="AN43">IF(AN$11&gt;=0,MAX(INDEX(MMULT(inverseG,AM$12:AM$62),$A43+1,1),MAX(strike-$B43,0)),"")</f>
        <v>5.0835327573373806E-2</v>
      </c>
      <c r="AO43" s="9">
        <f t="array" ref="AO43">IF(AO$11&gt;=0,MAX(INDEX(MMULT(inverseG,AN$12:AN$62),$A43+1,1),MAX(strike-$B43,0)),"")</f>
        <v>5.3234208164003344E-2</v>
      </c>
      <c r="AP43" s="9">
        <f t="array" ref="AP43">IF(AP$11&gt;=0,MAX(INDEX(MMULT(inverseG,AO$12:AO$62),$A43+1,1),MAX(strike-$B43,0)),"")</f>
        <v>5.5637440157413828E-2</v>
      </c>
      <c r="AQ43" s="9">
        <f t="array" ref="AQ43">IF(AQ$11&gt;=0,MAX(INDEX(MMULT(inverseG,AP$12:AP$62),$A43+1,1),MAX(strike-$B43,0)),"")</f>
        <v>5.8043058891355706E-2</v>
      </c>
      <c r="AR43" s="9">
        <f t="array" ref="AR43">IF(AR$11&gt;=0,MAX(INDEX(MMULT(inverseG,AQ$12:AQ$62),$A43+1,1),MAX(strike-$B43,0)),"")</f>
        <v>6.0449254599501713E-2</v>
      </c>
      <c r="AS43" s="9">
        <f t="array" ref="AS43">IF(AS$11&gt;=0,MAX(INDEX(MMULT(inverseG,AR$12:AR$62),$A43+1,1),MAX(strike-$B43,0)),"")</f>
        <v>6.2854360019471145E-2</v>
      </c>
      <c r="AT43" s="9">
        <f t="array" ref="AT43">IF(AT$11&gt;=0,MAX(INDEX(MMULT(inverseG,AS$12:AS$62),$A43+1,1),MAX(strike-$B43,0)),"")</f>
        <v>6.5256839256514695E-2</v>
      </c>
      <c r="AU43" s="9">
        <f t="array" ref="AU43">IF(AU$11&gt;=0,MAX(INDEX(MMULT(inverseG,AT$12:AT$62),$A43+1,1),MAX(strike-$B43,0)),"")</f>
        <v>6.7655277808291697E-2</v>
      </c>
      <c r="AV43" s="9">
        <f t="array" ref="AV43">IF(AV$11&gt;=0,MAX(INDEX(MMULT(inverseG,AU$12:AU$62),$A43+1,1),MAX(strike-$B43,0)),"")</f>
        <v>7.0048373624351387E-2</v>
      </c>
      <c r="AW43" s="9">
        <f t="array" ref="AW43">IF(AW$11&gt;=0,MAX(INDEX(MMULT(inverseG,AV$12:AV$62),$A43+1,1),MAX(strike-$B43,0)),"")</f>
        <v>7.2434929056648598E-2</v>
      </c>
      <c r="AX43" s="9">
        <f t="array" ref="AX43">IF(AX$11&gt;=0,MAX(INDEX(MMULT(inverseG,AW$12:AW$62),$A43+1,1),MAX(strike-$B43,0)),"")</f>
        <v>7.4813843555810625E-2</v>
      </c>
      <c r="AY43" s="9">
        <f t="array" ref="AY43">IF(AY$11&gt;=0,MAX(INDEX(MMULT(inverseG,AX$12:AX$62),$A43+1,1),MAX(strike-$B43,0)),"")</f>
        <v>7.718410697944196E-2</v>
      </c>
      <c r="AZ43" s="9">
        <f t="array" ref="AZ43">IF(AZ$11&gt;=0,MAX(INDEX(MMULT(inverseG,AY$12:AY$62),$A43+1,1),MAX(strike-$B43,0)),"")</f>
        <v>7.9544793399038694E-2</v>
      </c>
      <c r="BA43" s="9">
        <f t="array" ref="BA43">IF(BA$11&gt;=0,MAX(INDEX(MMULT(inverseG,AZ$12:AZ$62),$A43+1,1),MAX(strike-$B43,0)),"")</f>
        <v>8.1895055316286658E-2</v>
      </c>
      <c r="BB43" s="9">
        <f t="array" ref="BB43">IF(BB$11&gt;=0,MAX(INDEX(MMULT(inverseG,BA$12:BA$62),$A43+1,1),MAX(strike-$B43,0)),"")</f>
        <v>8.4234118223614263E-2</v>
      </c>
      <c r="BC43" s="9">
        <f t="array" ref="BC43">IF(BC$11&gt;=0,MAX(INDEX(MMULT(inverseG,BB$12:BB$62),$A43+1,1),MAX(strike-$B43,0)),"")</f>
        <v>8.6561275465115509E-2</v>
      </c>
      <c r="BD43" s="9">
        <f t="array" ref="BD43">IF(BD$11&gt;=0,MAX(INDEX(MMULT(inverseG,BC$12:BC$62),$A43+1,1),MAX(strike-$B43,0)),"")</f>
        <v>8.8875883370908904E-2</v>
      </c>
      <c r="BE43" s="9">
        <f t="array" ref="BE43">IF(BE$11&gt;=0,MAX(INDEX(MMULT(inverseG,BD$12:BD$62),$A43+1,1),MAX(strike-$B43,0)),"")</f>
        <v>9.1177356650264149E-2</v>
      </c>
      <c r="BF43" s="9">
        <f t="array" ref="BF43">IF(BF$11&gt;=0,MAX(INDEX(MMULT(inverseG,BE$12:BE$62),$A43+1,1),MAX(strike-$B43,0)),"")</f>
        <v>9.3465164036752132E-2</v>
      </c>
      <c r="BG43" s="9">
        <f t="array" ref="BG43">IF(BG$11&gt;=0,MAX(INDEX(MMULT(inverseG,BF$12:BF$62),$A43+1,1),MAX(strike-$B43,0)),"")</f>
        <v>9.5738824182983809E-2</v>
      </c>
      <c r="BH43" s="9">
        <f t="array" ref="BH43">IF(BH$11&gt;=0,MAX(INDEX(MMULT(inverseG,BG$12:BG$62),$A43+1,1),MAX(strike-$B43,0)),"")</f>
        <v>9.7997901804084797E-2</v>
      </c>
      <c r="BI43" s="9">
        <f t="array" ref="BI43">IF(BI$11&gt;=0,MAX(INDEX(MMULT(inverseG,BH$12:BH$62),$A43+1,1),MAX(strike-$B43,0)),"")</f>
        <v>0.1002420040687577</v>
      </c>
      <c r="BJ43" s="9">
        <f t="array" ref="BJ43">IF(BJ$11&gt;=0,MAX(INDEX(MMULT(inverseG,BI$12:BI$62),$A43+1,1),MAX(strike-$B43,0)),"")</f>
        <v>0.10247077723535478</v>
      </c>
      <c r="BK43" s="9">
        <f t="array" ref="BK43">IF(BK$11&gt;=0,MAX(INDEX(MMULT(inverseG,BJ$12:BJ$62),$A43+1,1),MAX(strike-$B43,0)),"")</f>
        <v>0.10468390352839736</v>
      </c>
      <c r="BL43" s="9">
        <f t="array" ref="BL43">IF(BL$11&gt;=0,MAX(INDEX(MMULT(inverseG,BK$12:BK$62),$A43+1,1),MAX(strike-$B43,0)),"")</f>
        <v>0.10688109824886016</v>
      </c>
      <c r="BM43" s="9">
        <f t="array" ref="BM43">IF(BM$11&gt;=0,MAX(INDEX(MMULT(inverseG,BL$12:BL$62),$A43+1,1),MAX(strike-$B43,0)),"")</f>
        <v>0.10906210710956511</v>
      </c>
      <c r="BN43" s="9">
        <f t="array" ref="BN43">IF(BN$11&gt;=0,MAX(INDEX(MMULT(inverseG,BM$12:BM$62),$A43+1,1),MAX(strike-$B43,0)),"")</f>
        <v>0.11122670378536391</v>
      </c>
      <c r="BO43" s="9">
        <f t="array" ref="BO43">IF(BO$11&gt;=0,MAX(INDEX(MMULT(inverseG,BN$12:BN$62),$A43+1,1),MAX(strike-$B43,0)),"")</f>
        <v>0.11337468766651136</v>
      </c>
      <c r="BP43" s="9">
        <f t="array" ref="BP43">IF(BP$11&gt;=0,MAX(INDEX(MMULT(inverseG,BO$12:BO$62),$A43+1,1),MAX(strike-$B43,0)),"")</f>
        <v>0.11550588180275861</v>
      </c>
      <c r="BQ43" s="9">
        <f t="array" ref="BQ43">IF(BQ$11&gt;=0,MAX(INDEX(MMULT(inverseG,BP$12:BP$62),$A43+1,1),MAX(strike-$B43,0)),"")</f>
        <v>0.11762013102520283</v>
      </c>
      <c r="BR43" s="9">
        <f t="array" ref="BR43">IF(BR$11&gt;=0,MAX(INDEX(MMULT(inverseG,BQ$12:BQ$62),$A43+1,1),MAX(strike-$B43,0)),"")</f>
        <v>0.11971730023277631</v>
      </c>
      <c r="BS43" s="9">
        <f t="array" ref="BS43">IF(BS$11&gt;=0,MAX(INDEX(MMULT(inverseG,BR$12:BR$62),$A43+1,1),MAX(strike-$B43,0)),"")</f>
        <v>0.12179727283038648</v>
      </c>
      <c r="BT43" s="9">
        <f t="array" ref="BT43">IF(BT$11&gt;=0,MAX(INDEX(MMULT(inverseG,BS$12:BS$62),$A43+1,1),MAX(strike-$B43,0)),"")</f>
        <v>0.12385994930606974</v>
      </c>
      <c r="BU43" s="9">
        <f t="array" ref="BU43">IF(BU$11&gt;=0,MAX(INDEX(MMULT(inverseG,BT$12:BT$62),$A43+1,1),MAX(strike-$B43,0)),"")</f>
        <v>0.12590524593504554</v>
      </c>
      <c r="BV43" s="9">
        <f t="array" ref="BV43">IF(BV$11&gt;=0,MAX(INDEX(MMULT(inverseG,BU$12:BU$62),$A43+1,1),MAX(strike-$B43,0)),"")</f>
        <v>0.12793309359919913</v>
      </c>
      <c r="BW43" s="9">
        <f t="array" ref="BW43">IF(BW$11&gt;=0,MAX(INDEX(MMULT(inverseG,BV$12:BV$62),$A43+1,1),MAX(strike-$B43,0)),"")</f>
        <v>0.12994343671124134</v>
      </c>
      <c r="BX43" s="9">
        <f t="array" ref="BX43">IF(BX$11&gt;=0,MAX(INDEX(MMULT(inverseG,BW$12:BW$62),$A43+1,1),MAX(strike-$B43,0)),"")</f>
        <v>0.13193623223355777</v>
      </c>
      <c r="BY43" s="9">
        <f t="array" ref="BY43">IF(BY$11&gt;=0,MAX(INDEX(MMULT(inverseG,BX$12:BX$62),$A43+1,1),MAX(strike-$B43,0)),"")</f>
        <v>0.13391144878254022</v>
      </c>
      <c r="BZ43" s="9">
        <f t="array" ref="BZ43">IF(BZ$11&gt;=0,MAX(INDEX(MMULT(inverseG,BY$12:BY$62),$A43+1,1),MAX(strike-$B43,0)),"")</f>
        <v>0.13586906580996164</v>
      </c>
      <c r="CA43" s="9">
        <f t="array" ref="CA43">IF(CA$11&gt;=0,MAX(INDEX(MMULT(inverseG,BZ$12:BZ$62),$A43+1,1),MAX(strike-$B43,0)),"")</f>
        <v>0.1378090728537105</v>
      </c>
      <c r="CB43" s="9">
        <f t="array" ref="CB43">IF(CB$11&gt;=0,MAX(INDEX(MMULT(inverseG,CA$12:CA$62),$A43+1,1),MAX(strike-$B43,0)),"")</f>
        <v>0.1397314688509145</v>
      </c>
      <c r="CC43" s="9">
        <f t="array" ref="CC43">IF(CC$11&gt;=0,MAX(INDEX(MMULT(inverseG,CB$12:CB$62),$A43+1,1),MAX(strike-$B43,0)),"")</f>
        <v>0.14163626150715924</v>
      </c>
      <c r="CD43" s="9">
        <f t="array" ref="CD43">IF(CD$11&gt;=0,MAX(INDEX(MMULT(inverseG,CC$12:CC$62),$A43+1,1),MAX(strike-$B43,0)),"")</f>
        <v>0.14352346671613725</v>
      </c>
      <c r="CE43" s="9">
        <f t="array" ref="CE43">IF(CE$11&gt;=0,MAX(INDEX(MMULT(inverseG,CD$12:CD$62),$A43+1,1),MAX(strike-$B43,0)),"")</f>
        <v>0.14539310802464517</v>
      </c>
      <c r="CF43" s="9">
        <f t="array" ref="CF43">IF(CF$11&gt;=0,MAX(INDEX(MMULT(inverseG,CE$12:CE$62),$A43+1,1),MAX(strike-$B43,0)),"")</f>
        <v>0.14724521613837815</v>
      </c>
      <c r="CG43" s="9">
        <f t="array" ref="CG43">IF(CG$11&gt;=0,MAX(INDEX(MMULT(inverseG,CF$12:CF$62),$A43+1,1),MAX(strike-$B43,0)),"")</f>
        <v>0.14907982846446002</v>
      </c>
      <c r="CH43" s="9">
        <f t="array" ref="CH43">IF(CH$11&gt;=0,MAX(INDEX(MMULT(inverseG,CG$12:CG$62),$A43+1,1),MAX(strike-$B43,0)),"")</f>
        <v>0.15089698868708229</v>
      </c>
      <c r="CI43" s="9">
        <f t="array" ref="CI43">IF(CI$11&gt;=0,MAX(INDEX(MMULT(inverseG,CH$12:CH$62),$A43+1,1),MAX(strike-$B43,0)),"")</f>
        <v>0.15269674637302877</v>
      </c>
      <c r="CJ43" s="9">
        <f t="array" ref="CJ43">IF(CJ$11&gt;=0,MAX(INDEX(MMULT(inverseG,CI$12:CI$62),$A43+1,1),MAX(strike-$B43,0)),"")</f>
        <v>0.1544791566042126</v>
      </c>
      <c r="CK43" s="9">
        <f t="array" ref="CK43">IF(CK$11&gt;=0,MAX(INDEX(MMULT(inverseG,CJ$12:CJ$62),$A43+1,1),MAX(strike-$B43,0)),"")</f>
        <v>0.15624427963467633</v>
      </c>
      <c r="CL43" s="9">
        <f t="array" ref="CL43">IF(CL$11&gt;=0,MAX(INDEX(MMULT(inverseG,CK$12:CK$62),$A43+1,1),MAX(strike-$B43,0)),"")</f>
        <v>0.15799218056978745</v>
      </c>
      <c r="CM43" s="9">
        <f t="array" ref="CM43">IF(CM$11&gt;=0,MAX(INDEX(MMULT(inverseG,CL$12:CL$62),$A43+1,1),MAX(strike-$B43,0)),"")</f>
        <v>0.15972292906561508</v>
      </c>
      <c r="CN43" s="9">
        <f t="array" ref="CN43">IF(CN$11&gt;=0,MAX(INDEX(MMULT(inverseG,CM$12:CM$62),$A43+1,1),MAX(strike-$B43,0)),"")</f>
        <v>0.16143659904670143</v>
      </c>
      <c r="CO43" s="9">
        <f t="array" ref="CO43">IF(CO$11&gt;=0,MAX(INDEX(MMULT(inverseG,CN$12:CN$62),$A43+1,1),MAX(strike-$B43,0)),"")</f>
        <v>0.16313326844063555</v>
      </c>
      <c r="CP43" s="9">
        <f t="array" ref="CP43">IF(CP$11&gt;=0,MAX(INDEX(MMULT(inverseG,CO$12:CO$62),$A43+1,1),MAX(strike-$B43,0)),"")</f>
        <v>0.16481301892801833</v>
      </c>
      <c r="CQ43" s="9">
        <f t="array" ref="CQ43">IF(CQ$11&gt;=0,MAX(INDEX(MMULT(inverseG,CP$12:CP$62),$A43+1,1),MAX(strike-$B43,0)),"")</f>
        <v>0.1664759357065605</v>
      </c>
      <c r="CR43" s="9">
        <f t="array" ref="CR43">IF(CR$11&gt;=0,MAX(INDEX(MMULT(inverseG,CQ$12:CQ$62),$A43+1,1),MAX(strike-$B43,0)),"")</f>
        <v>0.16812210726819207</v>
      </c>
      <c r="CS43" s="9">
        <f t="array" ref="CS43">IF(CS$11&gt;=0,MAX(INDEX(MMULT(inverseG,CR$12:CR$62),$A43+1,1),MAX(strike-$B43,0)),"")</f>
        <v>0.1697516251884196</v>
      </c>
      <c r="CT43" s="9">
        <f t="array" ref="CT43">IF(CT$11&gt;=0,MAX(INDEX(MMULT(inverseG,CS$12:CS$62),$A43+1,1),MAX(strike-$B43,0)),"")</f>
        <v>0.17136458392815176</v>
      </c>
      <c r="CU43" s="9">
        <f t="array" ref="CU43">IF(CU$11&gt;=0,MAX(INDEX(MMULT(inverseG,CT$12:CT$62),$A43+1,1),MAX(strike-$B43,0)),"")</f>
        <v>0.17296108064991034</v>
      </c>
      <c r="CV43" s="9">
        <f t="array" ref="CV43">IF(CV$11&gt;=0,MAX(INDEX(MMULT(inverseG,CU$12:CU$62),$A43+1,1),MAX(strike-$B43,0)),"")</f>
        <v>0.17454121505216574</v>
      </c>
      <c r="CW43" s="9">
        <f t="array" ref="CW43">IF(CW$11&gt;=0,MAX(INDEX(MMULT(inverseG,CV$12:CV$62),$A43+1,1),MAX(strike-$B43,0)),"")</f>
        <v>0.17610508922657325</v>
      </c>
      <c r="CX43" s="9">
        <f t="array" ref="CX43">IF(CX$11&gt;=0,MAX(INDEX(MMULT(inverseG,CW$12:CW$62),$A43+1,1),MAX(strike-$B43,0)),"")</f>
        <v>0.17765280754245152</v>
      </c>
      <c r="CY43" s="9">
        <f t="array" ref="CY43">IF(CY$11&gt;=0,MAX(INDEX(MMULT(inverseG,CX$12:CX$62),$A43+1,1),MAX(strike-$B43,0)),"")</f>
        <v>0.17918447656086006</v>
      </c>
      <c r="CZ43" s="9">
        <f t="array" ref="CZ43">IF(CZ$11&gt;=0,MAX(INDEX(MMULT(inverseG,CY$12:CY$62),$A43+1,1),MAX(strike-$B43,0)),"")</f>
        <v>0.1807002049775922</v>
      </c>
      <c r="DA43" s="9" t="str">
        <f t="array" ref="DA43">IF(DA$11&gt;=0,MAX(INDEX(MMULT(inverseG,CZ$12:CZ$62),$A43+1,1),MAX(strike-$B43,0)),"")</f>
        <v/>
      </c>
      <c r="DB43" s="9" t="str">
        <f t="array" ref="DB43">IF(DB$11&gt;=0,MAX(INDEX(MMULT(inverseG,DA$12:DA$62),$A43+1,1),MAX(strike-$B43,0)),"")</f>
        <v/>
      </c>
      <c r="DC43" s="9" t="str">
        <f t="array" ref="DC43">IF(DC$11&gt;=0,MAX(INDEX(MMULT(inverseG,DB$12:DB$62),$A43+1,1),MAX(strike-$B43,0)),"")</f>
        <v/>
      </c>
      <c r="DD43" s="9" t="str">
        <f t="array" ref="DD43">IF(DD$11&gt;=0,MAX(INDEX(MMULT(inverseG,DC$12:DC$62),$A43+1,1),MAX(strike-$B43,0)),"")</f>
        <v/>
      </c>
      <c r="DE43" s="9" t="str">
        <f t="array" ref="DE43">IF(DE$11&gt;=0,MAX(INDEX(MMULT(inverseG,DD$12:DD$62),$A43+1,1),MAX(strike-$B43,0)),"")</f>
        <v/>
      </c>
      <c r="DF43" s="9" t="str">
        <f t="array" ref="DF43">IF(DF$11&gt;=0,MAX(INDEX(MMULT(inverseG,DE$12:DE$62),$A43+1,1),MAX(strike-$B43,0)),"")</f>
        <v/>
      </c>
      <c r="DG43" s="9" t="str">
        <f t="array" ref="DG43">IF(DG$11&gt;=0,MAX(INDEX(MMULT(inverseG,DF$12:DF$62),$A43+1,1),MAX(strike-$B43,0)),"")</f>
        <v/>
      </c>
      <c r="DH43" s="9" t="str">
        <f t="array" ref="DH43">IF(DH$11&gt;=0,MAX(INDEX(MMULT(inverseG,DG$12:DG$62),$A43+1,1),MAX(strike-$B43,0)),"")</f>
        <v/>
      </c>
      <c r="DI43" s="9" t="str">
        <f t="array" ref="DI43">IF(DI$11&gt;=0,MAX(INDEX(MMULT(inverseG,DH$12:DH$62),$A43+1,1),MAX(strike-$B43,0)),"")</f>
        <v/>
      </c>
      <c r="DJ43" s="9" t="str">
        <f t="array" ref="DJ43">IF(DJ$11&gt;=0,MAX(INDEX(MMULT(inverseG,DI$12:DI$62),$A43+1,1),MAX(strike-$B43,0)),"")</f>
        <v/>
      </c>
      <c r="DK43" s="9" t="str">
        <f t="array" ref="DK43">IF(DK$11&gt;=0,MAX(INDEX(MMULT(inverseG,DJ$12:DJ$62),$A43+1,1),MAX(strike-$B43,0)),"")</f>
        <v/>
      </c>
      <c r="DL43" s="9" t="str">
        <f t="array" ref="DL43">IF(DL$11&gt;=0,MAX(INDEX(MMULT(inverseG,DK$12:DK$62),$A43+1,1),MAX(strike-$B43,0)),"")</f>
        <v/>
      </c>
      <c r="DM43" s="9" t="str">
        <f t="array" ref="DM43">IF(DM$11&gt;=0,MAX(INDEX(MMULT(inverseG,DL$12:DL$62),$A43+1,1),MAX(strike-$B43,0)),"")</f>
        <v/>
      </c>
      <c r="DN43" s="9" t="str">
        <f t="array" ref="DN43">IF(DN$11&gt;=0,MAX(INDEX(MMULT(inverseG,DM$12:DM$62),$A43+1,1),MAX(strike-$B43,0)),"")</f>
        <v/>
      </c>
      <c r="DO43" s="9" t="str">
        <f t="array" ref="DO43">IF(DO$11&gt;=0,MAX(INDEX(MMULT(inverseG,DN$12:DN$62),$A43+1,1),MAX(strike-$B43,0)),"")</f>
        <v/>
      </c>
      <c r="DP43" s="9" t="str">
        <f t="array" ref="DP43">IF(DP$11&gt;=0,MAX(INDEX(MMULT(inverseG,DO$12:DO$62),$A43+1,1),MAX(strike-$B43,0)),"")</f>
        <v/>
      </c>
      <c r="DQ43" s="9" t="str">
        <f t="array" ref="DQ43">IF(DQ$11&gt;=0,MAX(INDEX(MMULT(inverseG,DP$12:DP$62),$A43+1,1),MAX(strike-$B43,0)),"")</f>
        <v/>
      </c>
      <c r="DR43" s="9" t="str">
        <f t="array" ref="DR43">IF(DR$11&gt;=0,MAX(INDEX(MMULT(inverseG,DQ$12:DQ$62),$A43+1,1),MAX(strike-$B43,0)),"")</f>
        <v/>
      </c>
      <c r="DS43" s="9" t="str">
        <f t="array" ref="DS43">IF(DS$11&gt;=0,MAX(INDEX(MMULT(inverseG,DR$12:DR$62),$A43+1,1),MAX(strike-$B43,0)),"")</f>
        <v/>
      </c>
      <c r="DT43" s="9" t="str">
        <f t="array" ref="DT43">IF(DT$11&gt;=0,MAX(INDEX(MMULT(inverseG,DS$12:DS$62),$A43+1,1),MAX(strike-$B43,0)),"")</f>
        <v/>
      </c>
      <c r="DU43" s="9" t="str">
        <f t="array" ref="DU43">IF(DU$11&gt;=0,MAX(INDEX(MMULT(inverseG,DT$12:DT$62),$A43+1,1),MAX(strike-$B43,0)),"")</f>
        <v/>
      </c>
      <c r="DV43" s="9" t="str">
        <f t="array" ref="DV43">IF(DV$11&gt;=0,MAX(INDEX(MMULT(inverseG,DU$12:DU$62),$A43+1,1),MAX(strike-$B43,0)),"")</f>
        <v/>
      </c>
      <c r="DW43" s="9" t="str">
        <f t="array" ref="DW43">IF(DW$11&gt;=0,MAX(INDEX(MMULT(inverseG,DV$12:DV$62),$A43+1,1),MAX(strike-$B43,0)),"")</f>
        <v/>
      </c>
      <c r="DX43" s="9" t="str">
        <f t="array" ref="DX43">IF(DX$11&gt;=0,MAX(INDEX(MMULT(inverseG,DW$12:DW$62),$A43+1,1),MAX(strike-$B43,0)),"")</f>
        <v/>
      </c>
      <c r="DY43" s="9" t="str">
        <f t="array" ref="DY43">IF(DY$11&gt;=0,MAX(INDEX(MMULT(inverseG,DX$12:DX$62),$A43+1,1),MAX(strike-$B43,0)),"")</f>
        <v/>
      </c>
      <c r="DZ43" s="9" t="str">
        <f t="array" ref="DZ43">IF(DZ$11&gt;=0,MAX(INDEX(MMULT(inverseG,DY$12:DY$62),$A43+1,1),MAX(strike-$B43,0)),"")</f>
        <v/>
      </c>
      <c r="EA43" s="9" t="str">
        <f t="array" ref="EA43">IF(EA$11&gt;=0,MAX(INDEX(MMULT(inverseG,DZ$12:DZ$62),$A43+1,1),MAX(strike-$B43,0)),"")</f>
        <v/>
      </c>
      <c r="EB43" s="9" t="str">
        <f t="array" ref="EB43">IF(EB$11&gt;=0,MAX(INDEX(MMULT(inverseG,EA$12:EA$62),$A43+1,1),MAX(strike-$B43,0)),"")</f>
        <v/>
      </c>
      <c r="EC43" s="9" t="str">
        <f t="array" ref="EC43">IF(EC$11&gt;=0,MAX(INDEX(MMULT(inverseG,EB$12:EB$62),$A43+1,1),MAX(strike-$B43,0)),"")</f>
        <v/>
      </c>
      <c r="ED43" s="9" t="str">
        <f t="array" ref="ED43">IF(ED$11&gt;=0,MAX(INDEX(MMULT(inverseG,EC$12:EC$62),$A43+1,1),MAX(strike-$B43,0)),"")</f>
        <v/>
      </c>
      <c r="EE43" s="9" t="str">
        <f t="array" ref="EE43">IF(EE$11&gt;=0,MAX(INDEX(MMULT(inverseG,ED$12:ED$62),$A43+1,1),MAX(strike-$B43,0)),"")</f>
        <v/>
      </c>
      <c r="EF43" s="9" t="str">
        <f t="array" ref="EF43">IF(EF$11&gt;=0,MAX(INDEX(MMULT(inverseG,EE$12:EE$62),$A43+1,1),MAX(strike-$B43,0)),"")</f>
        <v/>
      </c>
      <c r="EG43" s="9" t="str">
        <f t="array" ref="EG43">IF(EG$11&gt;=0,MAX(INDEX(MMULT(inverseG,EF$12:EF$62),$A43+1,1),MAX(strike-$B43,0)),"")</f>
        <v/>
      </c>
      <c r="EH43" s="9" t="str">
        <f t="array" ref="EH43">IF(EH$11&gt;=0,MAX(INDEX(MMULT(inverseG,EG$12:EG$62),$A43+1,1),MAX(strike-$B43,0)),"")</f>
        <v/>
      </c>
      <c r="EI43" s="9" t="str">
        <f t="array" ref="EI43">IF(EI$11&gt;=0,MAX(INDEX(MMULT(inverseG,EH$12:EH$62),$A43+1,1),MAX(strike-$B43,0)),"")</f>
        <v/>
      </c>
      <c r="EJ43" s="9" t="str">
        <f t="array" ref="EJ43">IF(EJ$11&gt;=0,MAX(INDEX(MMULT(inverseG,EI$12:EI$62),$A43+1,1),MAX(strike-$B43,0)),"")</f>
        <v/>
      </c>
      <c r="EK43" s="9" t="str">
        <f t="array" ref="EK43">IF(EK$11&gt;=0,MAX(INDEX(MMULT(inverseG,EJ$12:EJ$62),$A43+1,1),MAX(strike-$B43,0)),"")</f>
        <v/>
      </c>
      <c r="EL43" s="9" t="str">
        <f t="array" ref="EL43">IF(EL$11&gt;=0,MAX(INDEX(MMULT(inverseG,EK$12:EK$62),$A43+1,1),MAX(strike-$B43,0)),"")</f>
        <v/>
      </c>
      <c r="EM43" s="9" t="str">
        <f t="array" ref="EM43">IF(EM$11&gt;=0,MAX(INDEX(MMULT(inverseG,EL$12:EL$62),$A43+1,1),MAX(strike-$B43,0)),"")</f>
        <v/>
      </c>
      <c r="EN43" s="9" t="str">
        <f t="array" ref="EN43">IF(EN$11&gt;=0,MAX(INDEX(MMULT(inverseG,EM$12:EM$62),$A43+1,1),MAX(strike-$B43,0)),"")</f>
        <v/>
      </c>
      <c r="EO43" s="9" t="str">
        <f t="array" ref="EO43">IF(EO$11&gt;=0,MAX(INDEX(MMULT(inverseG,EN$12:EN$62),$A43+1,1),MAX(strike-$B43,0)),"")</f>
        <v/>
      </c>
      <c r="EP43" s="9" t="str">
        <f t="array" ref="EP43">IF(EP$11&gt;=0,MAX(INDEX(MMULT(inverseG,EO$12:EO$62),$A43+1,1),MAX(strike-$B43,0)),"")</f>
        <v/>
      </c>
      <c r="EQ43" s="9" t="str">
        <f t="array" ref="EQ43">IF(EQ$11&gt;=0,MAX(INDEX(MMULT(inverseG,EP$12:EP$62),$A43+1,1),MAX(strike-$B43,0)),"")</f>
        <v/>
      </c>
      <c r="ER43" s="9" t="str">
        <f t="array" ref="ER43">IF(ER$11&gt;=0,MAX(INDEX(MMULT(inverseG,EQ$12:EQ$62),$A43+1,1),MAX(strike-$B43,0)),"")</f>
        <v/>
      </c>
      <c r="ES43" s="9" t="str">
        <f t="array" ref="ES43">IF(ES$11&gt;=0,MAX(INDEX(MMULT(inverseG,ER$12:ER$62),$A43+1,1),MAX(strike-$B43,0)),"")</f>
        <v/>
      </c>
      <c r="ET43" s="9" t="str">
        <f t="array" ref="ET43">IF(ET$11&gt;=0,MAX(INDEX(MMULT(inverseG,ES$12:ES$62),$A43+1,1),MAX(strike-$B43,0)),"")</f>
        <v/>
      </c>
      <c r="EU43" s="9" t="str">
        <f t="array" ref="EU43">IF(EU$11&gt;=0,MAX(INDEX(MMULT(inverseG,ET$12:ET$62),$A43+1,1),MAX(strike-$B43,0)),"")</f>
        <v/>
      </c>
      <c r="EV43" s="9" t="str">
        <f t="array" ref="EV43">IF(EV$11&gt;=0,MAX(INDEX(MMULT(inverseG,EU$12:EU$62),$A43+1,1),MAX(strike-$B43,0)),"")</f>
        <v/>
      </c>
      <c r="EW43" s="9" t="str">
        <f t="array" ref="EW43">IF(EW$11&gt;=0,MAX(INDEX(MMULT(inverseG,EV$12:EV$62),$A43+1,1),MAX(strike-$B43,0)),"")</f>
        <v/>
      </c>
      <c r="EX43" s="9" t="str">
        <f t="array" ref="EX43">IF(EX$11&gt;=0,MAX(INDEX(MMULT(inverseG,EW$12:EW$62),$A43+1,1),MAX(strike-$B43,0)),"")</f>
        <v/>
      </c>
      <c r="EY43" s="9" t="str">
        <f t="array" ref="EY43">IF(EY$11&gt;=0,MAX(INDEX(MMULT(inverseG,EX$12:EX$62),$A43+1,1),MAX(strike-$B43,0)),"")</f>
        <v/>
      </c>
      <c r="EZ43" s="9" t="str">
        <f t="array" ref="EZ43">IF(EZ$11&gt;=0,MAX(INDEX(MMULT(inverseG,EY$12:EY$62),$A43+1,1),MAX(strike-$B43,0)),"")</f>
        <v/>
      </c>
      <c r="FA43" s="9" t="str">
        <f t="array" ref="FA43">IF(FA$11&gt;=0,MAX(INDEX(MMULT(inverseG,EZ$12:EZ$62),$A43+1,1),MAX(strike-$B43,0)),"")</f>
        <v/>
      </c>
      <c r="FB43" s="9" t="str">
        <f t="array" ref="FB43">IF(FB$11&gt;=0,MAX(INDEX(MMULT(inverseG,FA$12:FA$62),$A43+1,1),MAX(strike-$B43,0)),"")</f>
        <v/>
      </c>
      <c r="FC43" s="9" t="str">
        <f t="array" ref="FC43">IF(FC$11&gt;=0,MAX(INDEX(MMULT(inverseG,FB$12:FB$62),$A43+1,1),MAX(strike-$B43,0)),"")</f>
        <v/>
      </c>
      <c r="FD43" s="9" t="str">
        <f t="array" ref="FD43">IF(FD$11&gt;=0,MAX(INDEX(MMULT(inverseG,FC$12:FC$62),$A43+1,1),MAX(strike-$B43,0)),"")</f>
        <v/>
      </c>
      <c r="FE43" s="9" t="str">
        <f t="array" ref="FE43">IF(FE$11&gt;=0,MAX(INDEX(MMULT(inverseG,FD$12:FD$62),$A43+1,1),MAX(strike-$B43,0)),"")</f>
        <v/>
      </c>
      <c r="FF43" s="9" t="str">
        <f t="array" ref="FF43">IF(FF$11&gt;=0,MAX(INDEX(MMULT(inverseG,FE$12:FE$62),$A43+1,1),MAX(strike-$B43,0)),"")</f>
        <v/>
      </c>
      <c r="FG43" s="9" t="str">
        <f t="array" ref="FG43">IF(FG$11&gt;=0,MAX(INDEX(MMULT(inverseG,FF$12:FF$62),$A43+1,1),MAX(strike-$B43,0)),"")</f>
        <v/>
      </c>
      <c r="FH43" s="9" t="str">
        <f t="array" ref="FH43">IF(FH$11&gt;=0,MAX(INDEX(MMULT(inverseG,FG$12:FG$62),$A43+1,1),MAX(strike-$B43,0)),"")</f>
        <v/>
      </c>
      <c r="FI43" s="9" t="str">
        <f t="array" ref="FI43">IF(FI$11&gt;=0,MAX(INDEX(MMULT(inverseG,FH$12:FH$62),$A43+1,1),MAX(strike-$B43,0)),"")</f>
        <v/>
      </c>
      <c r="FJ43" s="9" t="str">
        <f t="array" ref="FJ43">IF(FJ$11&gt;=0,MAX(INDEX(MMULT(inverseG,FI$12:FI$62),$A43+1,1),MAX(strike-$B43,0)),"")</f>
        <v/>
      </c>
      <c r="FK43" s="9" t="str">
        <f t="array" ref="FK43">IF(FK$11&gt;=0,MAX(INDEX(MMULT(inverseG,FJ$12:FJ$62),$A43+1,1),MAX(strike-$B43,0)),"")</f>
        <v/>
      </c>
      <c r="FL43" s="9" t="str">
        <f t="array" ref="FL43">IF(FL$11&gt;=0,MAX(INDEX(MMULT(inverseG,FK$12:FK$62),$A43+1,1),MAX(strike-$B43,0)),"")</f>
        <v/>
      </c>
      <c r="FM43" s="9" t="str">
        <f t="array" ref="FM43">IF(FM$11&gt;=0,MAX(INDEX(MMULT(inverseG,FL$12:FL$62),$A43+1,1),MAX(strike-$B43,0)),"")</f>
        <v/>
      </c>
      <c r="FN43" s="9" t="str">
        <f t="array" ref="FN43">IF(FN$11&gt;=0,MAX(INDEX(MMULT(inverseG,FM$12:FM$62),$A43+1,1),MAX(strike-$B43,0)),"")</f>
        <v/>
      </c>
      <c r="FO43" s="9" t="str">
        <f t="array" ref="FO43">IF(FO$11&gt;=0,MAX(INDEX(MMULT(inverseG,FN$12:FN$62),$A43+1,1),MAX(strike-$B43,0)),"")</f>
        <v/>
      </c>
      <c r="FP43" s="9" t="str">
        <f t="array" ref="FP43">IF(FP$11&gt;=0,MAX(INDEX(MMULT(inverseG,FO$12:FO$62),$A43+1,1),MAX(strike-$B43,0)),"")</f>
        <v/>
      </c>
      <c r="FQ43" s="9" t="str">
        <f t="array" ref="FQ43">IF(FQ$11&gt;=0,MAX(INDEX(MMULT(inverseG,FP$12:FP$62),$A43+1,1),MAX(strike-$B43,0)),"")</f>
        <v/>
      </c>
      <c r="FR43" s="9" t="str">
        <f t="array" ref="FR43">IF(FR$11&gt;=0,MAX(INDEX(MMULT(inverseG,FQ$12:FQ$62),$A43+1,1),MAX(strike-$B43,0)),"")</f>
        <v/>
      </c>
      <c r="FS43" s="9" t="str">
        <f t="array" ref="FS43">IF(FS$11&gt;=0,MAX(INDEX(MMULT(inverseG,FR$12:FR$62),$A43+1,1),MAX(strike-$B43,0)),"")</f>
        <v/>
      </c>
      <c r="FT43" s="9" t="str">
        <f t="array" ref="FT43">IF(FT$11&gt;=0,MAX(INDEX(MMULT(inverseG,FS$12:FS$62),$A43+1,1),MAX(strike-$B43,0)),"")</f>
        <v/>
      </c>
      <c r="FU43" s="9" t="str">
        <f t="array" ref="FU43">IF(FU$11&gt;=0,MAX(INDEX(MMULT(inverseG,FT$12:FT$62),$A43+1,1),MAX(strike-$B43,0)),"")</f>
        <v/>
      </c>
      <c r="FV43" s="9" t="str">
        <f t="array" ref="FV43">IF(FV$11&gt;=0,MAX(INDEX(MMULT(inverseG,FU$12:FU$62),$A43+1,1),MAX(strike-$B43,0)),"")</f>
        <v/>
      </c>
      <c r="FW43" s="9" t="str">
        <f t="array" ref="FW43">IF(FW$11&gt;=0,MAX(INDEX(MMULT(inverseG,FV$12:FV$62),$A43+1,1),MAX(strike-$B43,0)),"")</f>
        <v/>
      </c>
      <c r="FX43" s="9" t="str">
        <f t="array" ref="FX43">IF(FX$11&gt;=0,MAX(INDEX(MMULT(inverseG,FW$12:FW$62),$A43+1,1),MAX(strike-$B43,0)),"")</f>
        <v/>
      </c>
      <c r="FY43" s="9" t="str">
        <f t="array" ref="FY43">IF(FY$11&gt;=0,MAX(INDEX(MMULT(inverseG,FX$12:FX$62),$A43+1,1),MAX(strike-$B43,0)),"")</f>
        <v/>
      </c>
      <c r="FZ43" s="9" t="str">
        <f t="array" ref="FZ43">IF(FZ$11&gt;=0,MAX(INDEX(MMULT(inverseG,FY$12:FY$62),$A43+1,1),MAX(strike-$B43,0)),"")</f>
        <v/>
      </c>
      <c r="GA43" s="9" t="str">
        <f t="array" ref="GA43">IF(GA$11&gt;=0,MAX(INDEX(MMULT(inverseG,FZ$12:FZ$62),$A43+1,1),MAX(strike-$B43,0)),"")</f>
        <v/>
      </c>
      <c r="GB43" s="9" t="str">
        <f t="array" ref="GB43">IF(GB$11&gt;=0,MAX(INDEX(MMULT(inverseG,GA$12:GA$62),$A43+1,1),MAX(strike-$B43,0)),"")</f>
        <v/>
      </c>
      <c r="GC43" s="9" t="str">
        <f t="array" ref="GC43">IF(GC$11&gt;=0,MAX(INDEX(MMULT(inverseG,GB$12:GB$62),$A43+1,1),MAX(strike-$B43,0)),"")</f>
        <v/>
      </c>
      <c r="GD43" s="9" t="str">
        <f t="array" ref="GD43">IF(GD$11&gt;=0,MAX(INDEX(MMULT(inverseG,GC$12:GC$62),$A43+1,1),MAX(strike-$B43,0)),"")</f>
        <v/>
      </c>
      <c r="GE43" s="9" t="str">
        <f t="array" ref="GE43">IF(GE$11&gt;=0,MAX(INDEX(MMULT(inverseG,GD$12:GD$62),$A43+1,1),MAX(strike-$B43,0)),"")</f>
        <v/>
      </c>
      <c r="GF43" s="9" t="str">
        <f t="array" ref="GF43">IF(GF$11&gt;=0,MAX(INDEX(MMULT(inverseG,GE$12:GE$62),$A43+1,1),MAX(strike-$B43,0)),"")</f>
        <v/>
      </c>
      <c r="GG43" s="9" t="str">
        <f t="array" ref="GG43">IF(GG$11&gt;=0,MAX(INDEX(MMULT(inverseG,GF$12:GF$62),$A43+1,1),MAX(strike-$B43,0)),"")</f>
        <v/>
      </c>
      <c r="GH43" s="9" t="str">
        <f t="array" ref="GH43">IF(GH$11&gt;=0,MAX(INDEX(MMULT(inverseG,GG$12:GG$62),$A43+1,1),MAX(strike-$B43,0)),"")</f>
        <v/>
      </c>
      <c r="GI43" s="9" t="str">
        <f t="array" ref="GI43">IF(GI$11&gt;=0,MAX(INDEX(MMULT(inverseG,GH$12:GH$62),$A43+1,1),MAX(strike-$B43,0)),"")</f>
        <v/>
      </c>
      <c r="GJ43" s="9" t="str">
        <f t="array" ref="GJ43">IF(GJ$11&gt;=0,MAX(INDEX(MMULT(inverseG,GI$12:GI$62),$A43+1,1),MAX(strike-$B43,0)),"")</f>
        <v/>
      </c>
      <c r="GK43" s="9" t="str">
        <f t="array" ref="GK43">IF(GK$11&gt;=0,MAX(INDEX(MMULT(inverseG,GJ$12:GJ$62),$A43+1,1),MAX(strike-$B43,0)),"")</f>
        <v/>
      </c>
      <c r="GL43" s="9" t="str">
        <f t="array" ref="GL43">IF(GL$11&gt;=0,MAX(INDEX(MMULT(inverseG,GK$12:GK$62),$A43+1,1),MAX(strike-$B43,0)),"")</f>
        <v/>
      </c>
      <c r="GM43" s="9" t="str">
        <f t="array" ref="GM43">IF(GM$11&gt;=0,MAX(INDEX(MMULT(inverseG,GL$12:GL$62),$A43+1,1),MAX(strike-$B43,0)),"")</f>
        <v/>
      </c>
      <c r="GN43" s="9" t="str">
        <f t="array" ref="GN43">IF(GN$11&gt;=0,MAX(INDEX(MMULT(inverseG,GM$12:GM$62),$A43+1,1),MAX(strike-$B43,0)),"")</f>
        <v/>
      </c>
      <c r="GO43" s="9" t="str">
        <f t="array" ref="GO43">IF(GO$11&gt;=0,MAX(INDEX(MMULT(inverseG,GN$12:GN$62),$A43+1,1),MAX(strike-$B43,0)),"")</f>
        <v/>
      </c>
      <c r="GP43" s="9" t="str">
        <f t="array" ref="GP43">IF(GP$11&gt;=0,MAX(INDEX(MMULT(inverseG,GO$12:GO$62),$A43+1,1),MAX(strike-$B43,0)),"")</f>
        <v/>
      </c>
      <c r="GQ43" s="9" t="str">
        <f t="array" ref="GQ43">IF(GQ$11&gt;=0,MAX(INDEX(MMULT(inverseG,GP$12:GP$62),$A43+1,1),MAX(strike-$B43,0)),"")</f>
        <v/>
      </c>
      <c r="GR43" s="9" t="str">
        <f t="array" ref="GR43">IF(GR$11&gt;=0,MAX(INDEX(MMULT(inverseG,GQ$12:GQ$62),$A43+1,1),MAX(strike-$B43,0)),"")</f>
        <v/>
      </c>
      <c r="GS43" s="9" t="str">
        <f t="array" ref="GS43">IF(GS$11&gt;=0,MAX(INDEX(MMULT(inverseG,GR$12:GR$62),$A43+1,1),MAX(strike-$B43,0)),"")</f>
        <v/>
      </c>
      <c r="GT43" s="9" t="str">
        <f t="array" ref="GT43">IF(GT$11&gt;=0,MAX(INDEX(MMULT(inverseG,GS$12:GS$62),$A43+1,1),MAX(strike-$B43,0)),"")</f>
        <v/>
      </c>
      <c r="GU43" s="9" t="str">
        <f t="array" ref="GU43">IF(GU$11&gt;=0,MAX(INDEX(MMULT(inverseG,GT$12:GT$62),$A43+1,1),MAX(strike-$B43,0)),"")</f>
        <v/>
      </c>
      <c r="GV43" s="9" t="str">
        <f t="array" ref="GV43">IF(GV$11&gt;=0,MAX(INDEX(MMULT(inverseG,GU$12:GU$62),$A43+1,1),MAX(strike-$B43,0)),"")</f>
        <v/>
      </c>
      <c r="GW43" s="9" t="str">
        <f t="array" ref="GW43">IF(GW$11&gt;=0,MAX(INDEX(MMULT(inverseG,GV$12:GV$62),$A43+1,1),MAX(strike-$B43,0)),"")</f>
        <v/>
      </c>
      <c r="GX43" s="9" t="str">
        <f t="array" ref="GX43">IF(GX$11&gt;=0,MAX(INDEX(MMULT(inverseG,GW$12:GW$62),$A43+1,1),MAX(strike-$B43,0)),"")</f>
        <v/>
      </c>
      <c r="GY43" s="9" t="str">
        <f t="array" ref="GY43">IF(GY$11&gt;=0,MAX(INDEX(MMULT(inverseG,GX$12:GX$62),$A43+1,1),MAX(strike-$B43,0)),"")</f>
        <v/>
      </c>
      <c r="GZ43" s="9" t="str">
        <f t="array" ref="GZ43">IF(GZ$11&gt;=0,MAX(INDEX(MMULT(inverseG,GY$12:GY$62),$A43+1,1),MAX(strike-$B43,0)),"")</f>
        <v/>
      </c>
      <c r="HA43" s="9" t="str">
        <f t="array" ref="HA43">IF(HA$11&gt;=0,MAX(INDEX(MMULT(inverseG,GZ$12:GZ$62),$A43+1,1),MAX(strike-$B43,0)),"")</f>
        <v/>
      </c>
      <c r="HB43" s="9" t="str">
        <f t="array" ref="HB43">IF(HB$11&gt;=0,MAX(INDEX(MMULT(inverseG,HA$12:HA$62),$A43+1,1),MAX(strike-$B43,0)),"")</f>
        <v/>
      </c>
      <c r="HC43" s="9" t="str">
        <f t="array" ref="HC43">IF(HC$11&gt;=0,MAX(INDEX(MMULT(inverseG,HB$12:HB$62),$A43+1,1),MAX(strike-$B43,0)),"")</f>
        <v/>
      </c>
      <c r="HD43" s="9" t="str">
        <f t="array" ref="HD43">IF(HD$11&gt;=0,MAX(INDEX(MMULT(inverseG,HC$12:HC$62),$A43+1,1),MAX(strike-$B43,0)),"")</f>
        <v/>
      </c>
      <c r="HE43" s="9" t="str">
        <f t="array" ref="HE43">IF(HE$11&gt;=0,MAX(INDEX(MMULT(inverseG,HD$12:HD$62),$A43+1,1),MAX(strike-$B43,0)),"")</f>
        <v/>
      </c>
      <c r="HF43" s="9" t="str">
        <f t="array" ref="HF43">IF(HF$11&gt;=0,MAX(INDEX(MMULT(inverseG,HE$12:HE$62),$A43+1,1),MAX(strike-$B43,0)),"")</f>
        <v/>
      </c>
      <c r="HG43" s="9" t="str">
        <f t="array" ref="HG43">IF(HG$11&gt;=0,MAX(INDEX(MMULT(inverseG,HF$12:HF$62),$A43+1,1),MAX(strike-$B43,0)),"")</f>
        <v/>
      </c>
      <c r="HH43" s="9" t="str">
        <f t="array" ref="HH43">IF(HH$11&gt;=0,MAX(INDEX(MMULT(inverseG,HG$12:HG$62),$A43+1,1),MAX(strike-$B43,0)),"")</f>
        <v/>
      </c>
      <c r="HI43" s="9" t="str">
        <f t="array" ref="HI43">IF(HI$11&gt;=0,MAX(INDEX(MMULT(inverseG,HH$12:HH$62),$A43+1,1),MAX(strike-$B43,0)),"")</f>
        <v/>
      </c>
      <c r="HJ43" s="9" t="str">
        <f t="array" ref="HJ43">IF(HJ$11&gt;=0,MAX(INDEX(MMULT(inverseG,HI$12:HI$62),$A43+1,1),MAX(strike-$B43,0)),"")</f>
        <v/>
      </c>
      <c r="HK43" s="9" t="str">
        <f t="array" ref="HK43">IF(HK$11&gt;=0,MAX(INDEX(MMULT(inverseG,HJ$12:HJ$62),$A43+1,1),MAX(strike-$B43,0)),"")</f>
        <v/>
      </c>
      <c r="HL43" s="9" t="str">
        <f t="array" ref="HL43">IF(HL$11&gt;=0,MAX(INDEX(MMULT(inverseG,HK$12:HK$62),$A43+1,1),MAX(strike-$B43,0)),"")</f>
        <v/>
      </c>
      <c r="HM43" s="9" t="str">
        <f t="array" ref="HM43">IF(HM$11&gt;=0,MAX(INDEX(MMULT(inverseG,HL$12:HL$62),$A43+1,1),MAX(strike-$B43,0)),"")</f>
        <v/>
      </c>
      <c r="HN43" s="9" t="str">
        <f t="array" ref="HN43">IF(HN$11&gt;=0,MAX(INDEX(MMULT(inverseG,HM$12:HM$62),$A43+1,1),MAX(strike-$B43,0)),"")</f>
        <v/>
      </c>
      <c r="HO43" s="9" t="str">
        <f t="array" ref="HO43">IF(HO$11&gt;=0,MAX(INDEX(MMULT(inverseG,HN$12:HN$62),$A43+1,1),MAX(strike-$B43,0)),"")</f>
        <v/>
      </c>
      <c r="HP43" s="9" t="str">
        <f t="array" ref="HP43">IF(HP$11&gt;=0,MAX(INDEX(MMULT(inverseG,HO$12:HO$62),$A43+1,1),MAX(strike-$B43,0)),"")</f>
        <v/>
      </c>
      <c r="HQ43" s="9" t="str">
        <f t="array" ref="HQ43">IF(HQ$11&gt;=0,MAX(INDEX(MMULT(inverseG,HP$12:HP$62),$A43+1,1),MAX(strike-$B43,0)),"")</f>
        <v/>
      </c>
      <c r="HR43" s="9" t="str">
        <f t="array" ref="HR43">IF(HR$11&gt;=0,MAX(INDEX(MMULT(inverseG,HQ$12:HQ$62),$A43+1,1),MAX(strike-$B43,0)),"")</f>
        <v/>
      </c>
      <c r="HS43" s="9" t="str">
        <f t="array" ref="HS43">IF(HS$11&gt;=0,MAX(INDEX(MMULT(inverseG,HR$12:HR$62),$A43+1,1),MAX(strike-$B43,0)),"")</f>
        <v/>
      </c>
      <c r="HT43" s="9" t="str">
        <f t="array" ref="HT43">IF(HT$11&gt;=0,MAX(INDEX(MMULT(inverseG,HS$12:HS$62),$A43+1,1),MAX(strike-$B43,0)),"")</f>
        <v/>
      </c>
      <c r="HU43" s="9" t="str">
        <f t="array" ref="HU43">IF(HU$11&gt;=0,MAX(INDEX(MMULT(inverseG,HT$12:HT$62),$A43+1,1),MAX(strike-$B43,0)),"")</f>
        <v/>
      </c>
      <c r="HV43" s="9" t="str">
        <f t="array" ref="HV43">IF(HV$11&gt;=0,MAX(INDEX(MMULT(inverseG,HU$12:HU$62),$A43+1,1),MAX(strike-$B43,0)),"")</f>
        <v/>
      </c>
      <c r="HW43" s="9" t="str">
        <f t="array" ref="HW43">IF(HW$11&gt;=0,MAX(INDEX(MMULT(inverseG,HV$12:HV$62),$A43+1,1),MAX(strike-$B43,0)),"")</f>
        <v/>
      </c>
      <c r="HX43" s="9" t="str">
        <f t="array" ref="HX43">IF(HX$11&gt;=0,MAX(INDEX(MMULT(inverseG,HW$12:HW$62),$A43+1,1),MAX(strike-$B43,0)),"")</f>
        <v/>
      </c>
      <c r="HY43" s="9" t="str">
        <f t="array" ref="HY43">IF(HY$11&gt;=0,MAX(INDEX(MMULT(inverseG,HX$12:HX$62),$A43+1,1),MAX(strike-$B43,0)),"")</f>
        <v/>
      </c>
      <c r="HZ43" s="9" t="str">
        <f t="array" ref="HZ43">IF(HZ$11&gt;=0,MAX(INDEX(MMULT(inverseG,HY$12:HY$62),$A43+1,1),MAX(strike-$B43,0)),"")</f>
        <v/>
      </c>
      <c r="IA43" s="9" t="str">
        <f t="array" ref="IA43">IF(IA$11&gt;=0,MAX(INDEX(MMULT(inverseG,HZ$12:HZ$62),$A43+1,1),MAX(strike-$B43,0)),"")</f>
        <v/>
      </c>
      <c r="IB43" s="9" t="str">
        <f t="array" ref="IB43">IF(IB$11&gt;=0,MAX(INDEX(MMULT(inverseG,IA$12:IA$62),$A43+1,1),MAX(strike-$B43,0)),"")</f>
        <v/>
      </c>
      <c r="IC43" s="9" t="str">
        <f t="array" ref="IC43">IF(IC$11&gt;=0,MAX(INDEX(MMULT(inverseG,IB$12:IB$62),$A43+1,1),MAX(strike-$B43,0)),"")</f>
        <v/>
      </c>
      <c r="ID43" s="9" t="str">
        <f t="array" ref="ID43">IF(ID$11&gt;=0,MAX(INDEX(MMULT(inverseG,IC$12:IC$62),$A43+1,1),MAX(strike-$B43,0)),"")</f>
        <v/>
      </c>
      <c r="IE43" s="9" t="str">
        <f t="array" ref="IE43">IF(IE$11&gt;=0,MAX(INDEX(MMULT(inverseG,ID$12:ID$62),$A43+1,1),MAX(strike-$B43,0)),"")</f>
        <v/>
      </c>
      <c r="IF43" s="9" t="str">
        <f t="array" ref="IF43">IF(IF$11&gt;=0,MAX(INDEX(MMULT(inverseG,IE$12:IE$62),$A43+1,1),MAX(strike-$B43,0)),"")</f>
        <v/>
      </c>
      <c r="IG43" s="9" t="str">
        <f t="array" ref="IG43">IF(IG$11&gt;=0,MAX(INDEX(MMULT(inverseG,IF$12:IF$62),$A43+1,1),MAX(strike-$B43,0)),"")</f>
        <v/>
      </c>
      <c r="IH43" s="9" t="str">
        <f t="array" ref="IH43">IF(IH$11&gt;=0,MAX(INDEX(MMULT(inverseG,IG$12:IG$62),$A43+1,1),MAX(strike-$B43,0)),"")</f>
        <v/>
      </c>
      <c r="II43" s="9" t="str">
        <f t="array" ref="II43">IF(II$11&gt;=0,MAX(INDEX(MMULT(inverseG,IH$12:IH$62),$A43+1,1),MAX(strike-$B43,0)),"")</f>
        <v/>
      </c>
      <c r="IJ43" s="9" t="str">
        <f t="array" ref="IJ43">IF(IJ$11&gt;=0,MAX(INDEX(MMULT(inverseG,II$12:II$62),$A43+1,1),MAX(strike-$B43,0)),"")</f>
        <v/>
      </c>
      <c r="IK43" s="9" t="str">
        <f t="array" ref="IK43">IF(IK$11&gt;=0,MAX(INDEX(MMULT(inverseG,IJ$12:IJ$62),$A43+1,1),MAX(strike-$B43,0)),"")</f>
        <v/>
      </c>
      <c r="IL43" s="9" t="str">
        <f t="array" ref="IL43">IF(IL$11&gt;=0,MAX(INDEX(MMULT(inverseG,IK$12:IK$62),$A43+1,1),MAX(strike-$B43,0)),"")</f>
        <v/>
      </c>
      <c r="IM43" s="9" t="str">
        <f t="array" ref="IM43">IF(IM$11&gt;=0,MAX(INDEX(MMULT(inverseG,IL$12:IL$62),$A43+1,1),MAX(strike-$B43,0)),"")</f>
        <v/>
      </c>
      <c r="IN43" s="9" t="str">
        <f t="array" ref="IN43">IF(IN$11&gt;=0,MAX(INDEX(MMULT(inverseG,IM$12:IM$62),$A43+1,1),MAX(strike-$B43,0)),"")</f>
        <v/>
      </c>
      <c r="IO43" s="9" t="str">
        <f t="array" ref="IO43">IF(IO$11&gt;=0,MAX(INDEX(MMULT(inverseG,IN$12:IN$62),$A43+1,1),MAX(strike-$B43,0)),"")</f>
        <v/>
      </c>
      <c r="IP43" s="9" t="str">
        <f t="array" ref="IP43">IF(IP$11&gt;=0,MAX(INDEX(MMULT(inverseG,IO$12:IO$62),$A43+1,1),MAX(strike-$B43,0)),"")</f>
        <v/>
      </c>
      <c r="IQ43" s="9" t="str">
        <f t="array" ref="IQ43">IF(IQ$11&gt;=0,MAX(INDEX(MMULT(inverseG,IP$12:IP$62),$A43+1,1),MAX(strike-$B43,0)),"")</f>
        <v/>
      </c>
      <c r="IR43" s="9" t="str">
        <f t="array" ref="IR43">IF(IR$11&gt;=0,MAX(INDEX(MMULT(inverseG,IQ$12:IQ$62),$A43+1,1),MAX(strike-$B43,0)),"")</f>
        <v/>
      </c>
      <c r="IS43" s="9" t="str">
        <f t="array" ref="IS43">IF(IS$11&gt;=0,MAX(INDEX(MMULT(inverseG,IR$12:IR$62),$A43+1,1),MAX(strike-$B43,0)),"")</f>
        <v/>
      </c>
      <c r="IT43" s="9" t="str">
        <f t="array" ref="IT43">IF(IT$11&gt;=0,MAX(INDEX(MMULT(inverseG,IS$12:IS$62),$A43+1,1),MAX(strike-$B43,0)),"")</f>
        <v/>
      </c>
      <c r="IU43" s="9" t="str">
        <f t="array" ref="IU43">IF(IU$11&gt;=0,MAX(INDEX(MMULT(inverseG,IT$12:IT$62),$A43+1,1),MAX(strike-$B43,0)),"")</f>
        <v/>
      </c>
      <c r="IV43" s="9" t="str">
        <f t="array" ref="IV43">IF(IV$11&gt;=0,MAX(INDEX(MMULT(inverseG,IU$12:IU$62),$A43+1,1),MAX(strike-$B43,0)),"")</f>
        <v/>
      </c>
    </row>
    <row r="44" spans="1:256" x14ac:dyDescent="0.2">
      <c r="A44" s="8">
        <f t="shared" si="7"/>
        <v>32</v>
      </c>
      <c r="B44" s="6">
        <f t="shared" ref="B44:B62" si="8">$A44*dprice</f>
        <v>8</v>
      </c>
      <c r="C44" s="30">
        <f t="shared" ca="1" si="6"/>
        <v>0.16117364064034714</v>
      </c>
      <c r="D44" s="9">
        <f t="shared" ref="D44:D62" si="9">MAX(strike-$B44,0)</f>
        <v>0</v>
      </c>
      <c r="E44" s="9">
        <f t="array" ref="E44">IF(E$11&gt;=0,MAX(INDEX(MMULT(inverseG,D$12:D$62),$A44+1,1),MAX(strike-$B44,0)),"")</f>
        <v>7.5316018581813699E-7</v>
      </c>
      <c r="F44" s="9">
        <f t="array" ref="F44">IF(F$11&gt;=0,MAX(INDEX(MMULT(inverseG,E$12:E$62),$A44+1,1),MAX(strike-$B44,0)),"")</f>
        <v>5.1796548308058116E-6</v>
      </c>
      <c r="G44" s="9">
        <f t="array" ref="G44">IF(G$11&gt;=0,MAX(INDEX(MMULT(inverseG,F$12:F$62),$A44+1,1),MAX(strike-$B44,0)),"")</f>
        <v>1.9566243590201987E-5</v>
      </c>
      <c r="H44" s="9">
        <f t="array" ref="H44">IF(H$11&gt;=0,MAX(INDEX(MMULT(inverseG,G$12:G$62),$A44+1,1),MAX(strike-$B44,0)),"")</f>
        <v>5.3852166073447317E-5</v>
      </c>
      <c r="I44" s="9">
        <f t="array" ref="I44">IF(I$11&gt;=0,MAX(INDEX(MMULT(inverseG,H$12:H$62),$A44+1,1),MAX(strike-$B44,0)),"")</f>
        <v>1.2092049605145411E-4</v>
      </c>
      <c r="J44" s="9">
        <f t="array" ref="J44">IF(J$11&gt;=0,MAX(INDEX(MMULT(inverseG,I$12:I$62),$A44+1,1),MAX(strike-$B44,0)),"")</f>
        <v>2.3526366761061928E-4</v>
      </c>
      <c r="K44" s="9">
        <f t="array" ref="K44">IF(K$11&gt;=0,MAX(INDEX(MMULT(inverseG,J$12:J$62),$A44+1,1),MAX(strike-$B44,0)),"")</f>
        <v>4.1150002057236334E-4</v>
      </c>
      <c r="L44" s="9">
        <f t="array" ref="L44">IF(L$11&gt;=0,MAX(INDEX(MMULT(inverseG,K$12:K$62),$A44+1,1),MAX(strike-$B44,0)),"")</f>
        <v>6.6310005442257963E-4</v>
      </c>
      <c r="M44" s="9">
        <f t="array" ref="M44">IF(M$11&gt;=0,MAX(INDEX(MMULT(inverseG,L$12:L$62),$A44+1,1),MAX(strike-$B44,0)),"")</f>
        <v>1.001497687976116E-3</v>
      </c>
      <c r="N44" s="9">
        <f t="array" ref="N44">IF(N$11&gt;=0,MAX(INDEX(MMULT(inverseG,M$12:M$62),$A44+1,1),MAX(strike-$B44,0)),"")</f>
        <v>1.4356110852884396E-3</v>
      </c>
      <c r="O44" s="9">
        <f t="array" ref="O44">IF(O$11&gt;=0,MAX(INDEX(MMULT(inverseG,N$12:N$62),$A44+1,1),MAX(strike-$B44,0)),"")</f>
        <v>1.9717095412222743E-3</v>
      </c>
      <c r="P44" s="9">
        <f t="array" ref="P44">IF(P$11&gt;=0,MAX(INDEX(MMULT(inverseG,O$12:O$62),$A44+1,1),MAX(strike-$B44,0)),"")</f>
        <v>2.6135294401414206E-3</v>
      </c>
      <c r="Q44" s="9">
        <f t="array" ref="Q44">IF(Q$11&gt;=0,MAX(INDEX(MMULT(inverseG,P$12:P$62),$A44+1,1),MAX(strike-$B44,0)),"")</f>
        <v>3.362543462597449E-3</v>
      </c>
      <c r="R44" s="9">
        <f t="array" ref="R44">IF(R$11&gt;=0,MAX(INDEX(MMULT(inverseG,Q$12:Q$62),$A44+1,1),MAX(strike-$B44,0)),"")</f>
        <v>4.2183049034365625E-3</v>
      </c>
      <c r="S44" s="9">
        <f t="array" ref="S44">IF(S$11&gt;=0,MAX(INDEX(MMULT(inverseG,R$12:R$62),$A44+1,1),MAX(strike-$B44,0)),"")</f>
        <v>5.1788111333475467E-3</v>
      </c>
      <c r="T44" s="9">
        <f t="array" ref="T44">IF(T$11&gt;=0,MAX(INDEX(MMULT(inverseG,S$12:S$62),$A44+1,1),MAX(strike-$B44,0)),"")</f>
        <v>6.2408505212118732E-3</v>
      </c>
      <c r="U44" s="9">
        <f t="array" ref="U44">IF(U$11&gt;=0,MAX(INDEX(MMULT(inverseG,T$12:T$62),$A44+1,1),MAX(strike-$B44,0)),"")</f>
        <v>7.4003130819310665E-3</v>
      </c>
      <c r="V44" s="9">
        <f t="array" ref="V44">IF(V$11&gt;=0,MAX(INDEX(MMULT(inverseG,U$12:U$62),$A44+1,1),MAX(strike-$B44,0)),"")</f>
        <v>8.6524564138396164E-3</v>
      </c>
      <c r="W44" s="9">
        <f t="array" ref="W44">IF(W$11&gt;=0,MAX(INDEX(MMULT(inverseG,V$12:V$62),$A44+1,1),MAX(strike-$B44,0)),"")</f>
        <v>9.992125772234791E-3</v>
      </c>
      <c r="X44" s="9">
        <f t="array" ref="X44">IF(X$11&gt;=0,MAX(INDEX(MMULT(inverseG,W$12:W$62),$A44+1,1),MAX(strike-$B44,0)),"")</f>
        <v>1.1413931315971742E-2</v>
      </c>
      <c r="Y44" s="9">
        <f t="array" ref="Y44">IF(Y$11&gt;=0,MAX(INDEX(MMULT(inverseG,X$12:X$62),$A44+1,1),MAX(strike-$B44,0)),"")</f>
        <v>1.2912387580858479E-2</v>
      </c>
      <c r="Z44" s="9">
        <f t="array" ref="Z44">IF(Z$11&gt;=0,MAX(INDEX(MMULT(inverseG,Y$12:Y$62),$A44+1,1),MAX(strike-$B44,0)),"")</f>
        <v>1.4482020857679844E-2</v>
      </c>
      <c r="AA44" s="9">
        <f t="array" ref="AA44">IF(AA$11&gt;=0,MAX(INDEX(MMULT(inverseG,Z$12:Z$62),$A44+1,1),MAX(strike-$B44,0)),"")</f>
        <v>1.611744997988759E-2</v>
      </c>
      <c r="AB44" s="9">
        <f t="array" ref="AB44">IF(AB$11&gt;=0,MAX(INDEX(MMULT(inverseG,AA$12:AA$62),$A44+1,1),MAX(strike-$B44,0)),"")</f>
        <v>1.7813445467109088E-2</v>
      </c>
      <c r="AC44" s="9">
        <f t="array" ref="AC44">IF(AC$11&gt;=0,MAX(INDEX(MMULT(inverseG,AB$12:AB$62),$A44+1,1),MAX(strike-$B44,0)),"")</f>
        <v>1.9564971279876945E-2</v>
      </c>
      <c r="AD44" s="9">
        <f t="array" ref="AD44">IF(AD$11&gt;=0,MAX(INDEX(MMULT(inverseG,AC$12:AC$62),$A44+1,1),MAX(strike-$B44,0)),"")</f>
        <v>2.136721275658679E-2</v>
      </c>
      <c r="AE44" s="9">
        <f t="array" ref="AE44">IF(AE$11&gt;=0,MAX(INDEX(MMULT(inverseG,AD$12:AD$62),$A44+1,1),MAX(strike-$B44,0)),"")</f>
        <v>2.3215593687929113E-2</v>
      </c>
      <c r="AF44" s="9">
        <f t="array" ref="AF44">IF(AF$11&gt;=0,MAX(INDEX(MMULT(inverseG,AE$12:AE$62),$A44+1,1),MAX(strike-$B44,0)),"")</f>
        <v>2.5105784955511988E-2</v>
      </c>
      <c r="AG44" s="9">
        <f t="array" ref="AG44">IF(AG$11&gt;=0,MAX(INDEX(MMULT(inverseG,AF$12:AF$62),$A44+1,1),MAX(strike-$B44,0)),"")</f>
        <v>2.7033706717295863E-2</v>
      </c>
      <c r="AH44" s="9">
        <f t="array" ref="AH44">IF(AH$11&gt;=0,MAX(INDEX(MMULT(inverseG,AG$12:AG$62),$A44+1,1),MAX(strike-$B44,0)),"")</f>
        <v>2.8995525751932164E-2</v>
      </c>
      <c r="AI44" s="9">
        <f t="array" ref="AI44">IF(AI$11&gt;=0,MAX(INDEX(MMULT(inverseG,AH$12:AH$62),$A44+1,1),MAX(strike-$B44,0)),"")</f>
        <v>3.0987649265031659E-2</v>
      </c>
      <c r="AJ44" s="9">
        <f t="array" ref="AJ44">IF(AJ$11&gt;=0,MAX(INDEX(MMULT(inverseG,AI$12:AI$62),$A44+1,1),MAX(strike-$B44,0)),"")</f>
        <v>3.3006716202219018E-2</v>
      </c>
      <c r="AK44" s="9">
        <f t="array" ref="AK44">IF(AK$11&gt;=0,MAX(INDEX(MMULT(inverseG,AJ$12:AJ$62),$A44+1,1),MAX(strike-$B44,0)),"")</f>
        <v>3.5049586898159929E-2</v>
      </c>
      <c r="AL44" s="9">
        <f t="array" ref="AL44">IF(AL$11&gt;=0,MAX(INDEX(MMULT(inverseG,AK$12:AK$62),$A44+1,1),MAX(strike-$B44,0)),"")</f>
        <v>3.7113331711065754E-2</v>
      </c>
      <c r="AM44" s="9">
        <f t="array" ref="AM44">IF(AM$11&gt;=0,MAX(INDEX(MMULT(inverseG,AL$12:AL$62),$A44+1,1),MAX(strike-$B44,0)),"")</f>
        <v>3.9195219143337935E-2</v>
      </c>
      <c r="AN44" s="9">
        <f t="array" ref="AN44">IF(AN$11&gt;=0,MAX(INDEX(MMULT(inverseG,AM$12:AM$62),$A44+1,1),MAX(strike-$B44,0)),"")</f>
        <v>4.1292703826752E-2</v>
      </c>
      <c r="AO44" s="9">
        <f t="array" ref="AO44">IF(AO$11&gt;=0,MAX(INDEX(MMULT(inverseG,AN$12:AN$62),$A44+1,1),MAX(strike-$B44,0)),"")</f>
        <v>4.340341465396666E-2</v>
      </c>
      <c r="AP44" s="9">
        <f t="array" ref="AP44">IF(AP$11&gt;=0,MAX(INDEX(MMULT(inverseG,AO$12:AO$62),$A44+1,1),MAX(strike-$B44,0)),"")</f>
        <v>4.5525143266241803E-2</v>
      </c>
      <c r="AQ44" s="9">
        <f t="array" ref="AQ44">IF(AQ$11&gt;=0,MAX(INDEX(MMULT(inverseG,AP$12:AP$62),$A44+1,1),MAX(strike-$B44,0)),"")</f>
        <v>4.7655833054722492E-2</v>
      </c>
      <c r="AR44" s="9">
        <f t="array" ref="AR44">IF(AR$11&gt;=0,MAX(INDEX(MMULT(inverseG,AQ$12:AQ$62),$A44+1,1),MAX(strike-$B44,0)),"")</f>
        <v>4.979356879064626E-2</v>
      </c>
      <c r="AS44" s="9">
        <f t="array" ref="AS44">IF(AS$11&gt;=0,MAX(INDEX(MMULT(inverseG,AR$12:AR$62),$A44+1,1),MAX(strike-$B44,0)),"")</f>
        <v>5.1936566960564458E-2</v>
      </c>
      <c r="AT44" s="9">
        <f t="array" ref="AT44">IF(AT$11&gt;=0,MAX(INDEX(MMULT(inverseG,AS$12:AS$62),$A44+1,1),MAX(strike-$B44,0)),"")</f>
        <v>5.4083166842893604E-2</v>
      </c>
      <c r="AU44" s="9">
        <f t="array" ref="AU44">IF(AU$11&gt;=0,MAX(INDEX(MMULT(inverseG,AT$12:AT$62),$A44+1,1),MAX(strike-$B44,0)),"")</f>
        <v>5.6231822323288598E-2</v>
      </c>
      <c r="AV44" s="9">
        <f t="array" ref="AV44">IF(AV$11&gt;=0,MAX(INDEX(MMULT(inverseG,AU$12:AU$62),$A44+1,1),MAX(strike-$B44,0)),"")</f>
        <v>5.8381094412399505E-2</v>
      </c>
      <c r="AW44" s="9">
        <f t="array" ref="AW44">IF(AW$11&gt;=0,MAX(INDEX(MMULT(inverseG,AV$12:AV$62),$A44+1,1),MAX(strike-$B44,0)),"")</f>
        <v>6.0529644404325483E-2</v>
      </c>
      <c r="AX44" s="9">
        <f t="array" ref="AX44">IF(AX$11&gt;=0,MAX(INDEX(MMULT(inverseG,AW$12:AW$62),$A44+1,1),MAX(strike-$B44,0)),"")</f>
        <v>6.267622759950213E-2</v>
      </c>
      <c r="AY44" s="9">
        <f t="array" ref="AY44">IF(AY$11&gt;=0,MAX(INDEX(MMULT(inverseG,AX$12:AX$62),$A44+1,1),MAX(strike-$B44,0)),"")</f>
        <v>6.4819687511621399E-2</v>
      </c>
      <c r="AZ44" s="9">
        <f t="array" ref="AZ44">IF(AZ$11&gt;=0,MAX(INDEX(MMULT(inverseG,AY$12:AY$62),$A44+1,1),MAX(strike-$B44,0)),"")</f>
        <v>6.6958950482553833E-2</v>
      </c>
      <c r="BA44" s="9">
        <f t="array" ref="BA44">IF(BA$11&gt;=0,MAX(INDEX(MMULT(inverseG,AZ$12:AZ$62),$A44+1,1),MAX(strike-$B44,0)),"")</f>
        <v>6.9093020639328789E-2</v>
      </c>
      <c r="BB44" s="9">
        <f t="array" ref="BB44">IF(BB$11&gt;=0,MAX(INDEX(MMULT(inverseG,BA$12:BA$62),$A44+1,1),MAX(strike-$B44,0)),"")</f>
        <v>7.1220975140173101E-2</v>
      </c>
      <c r="BC44" s="9">
        <f t="array" ref="BC44">IF(BC$11&gt;=0,MAX(INDEX(MMULT(inverseG,BB$12:BB$62),$A44+1,1),MAX(strike-$B44,0)),"")</f>
        <v>7.3341959670028808E-2</v>
      </c>
      <c r="BD44" s="9">
        <f t="array" ref="BD44">IF(BD$11&gt;=0,MAX(INDEX(MMULT(inverseG,BC$12:BC$62),$A44+1,1),MAX(strike-$B44,0)),"")</f>
        <v>7.5455184158179936E-2</v>
      </c>
      <c r="BE44" s="9">
        <f t="array" ref="BE44">IF(BE$11&gt;=0,MAX(INDEX(MMULT(inverseG,BD$12:BD$62),$A44+1,1),MAX(strike-$B44,0)),"")</f>
        <v>7.7559918700662756E-2</v>
      </c>
      <c r="BF44" s="9">
        <f t="array" ref="BF44">IF(BF$11&gt;=0,MAX(INDEX(MMULT(inverseG,BE$12:BE$62),$A44+1,1),MAX(strike-$B44,0)),"")</f>
        <v>7.965548967764717E-2</v>
      </c>
      <c r="BG44" s="9">
        <f t="array" ref="BG44">IF(BG$11&gt;=0,MAX(INDEX(MMULT(inverseG,BF$12:BF$62),$A44+1,1),MAX(strike-$B44,0)),"")</f>
        <v>8.17412760610393E-2</v>
      </c>
      <c r="BH44" s="9">
        <f t="array" ref="BH44">IF(BH$11&gt;=0,MAX(INDEX(MMULT(inverseG,BG$12:BG$62),$A44+1,1),MAX(strike-$B44,0)),"")</f>
        <v>8.3816705910481348E-2</v>
      </c>
      <c r="BI44" s="9">
        <f t="array" ref="BI44">IF(BI$11&gt;=0,MAX(INDEX(MMULT(inverseG,BH$12:BH$62),$A44+1,1),MAX(strike-$B44,0)),"")</f>
        <v>8.5881253057174881E-2</v>
      </c>
      <c r="BJ44" s="9">
        <f t="array" ref="BJ44">IF(BJ$11&gt;=0,MAX(INDEX(MMULT(inverseG,BI$12:BI$62),$A44+1,1),MAX(strike-$B44,0)),"")</f>
        <v>8.7934433974986154E-2</v>
      </c>
      <c r="BK44" s="9">
        <f t="array" ref="BK44">IF(BK$11&gt;=0,MAX(INDEX(MMULT(inverseG,BJ$12:BJ$62),$A44+1,1),MAX(strike-$B44,0)),"")</f>
        <v>8.9975804837532022E-2</v>
      </c>
      <c r="BL44" s="9">
        <f t="array" ref="BL44">IF(BL$11&gt;=0,MAX(INDEX(MMULT(inverseG,BK$12:BK$62),$A44+1,1),MAX(strike-$B44,0)),"")</f>
        <v>9.2004958758747951E-2</v>
      </c>
      <c r="BM44" s="9">
        <f t="array" ref="BM44">IF(BM$11&gt;=0,MAX(INDEX(MMULT(inverseG,BL$12:BL$62),$A44+1,1),MAX(strike-$B44,0)),"")</f>
        <v>9.4021523213069613E-2</v>
      </c>
      <c r="BN44" s="9">
        <f t="array" ref="BN44">IF(BN$11&gt;=0,MAX(INDEX(MMULT(inverseG,BM$12:BM$62),$A44+1,1),MAX(strike-$B44,0)),"")</f>
        <v>9.6025157630011723E-2</v>
      </c>
      <c r="BO44" s="9">
        <f t="array" ref="BO44">IF(BO$11&gt;=0,MAX(INDEX(MMULT(inverseG,BN$12:BN$62),$A44+1,1),MAX(strike-$B44,0)),"")</f>
        <v>9.8015551156721462E-2</v>
      </c>
      <c r="BP44" s="9">
        <f t="array" ref="BP44">IF(BP$11&gt;=0,MAX(INDEX(MMULT(inverseG,BO$12:BO$62),$A44+1,1),MAX(strike-$B44,0)),"")</f>
        <v>9.999242058109091E-2</v>
      </c>
      <c r="BQ44" s="9">
        <f t="array" ref="BQ44">IF(BQ$11&gt;=0,MAX(INDEX(MMULT(inverseG,BP$12:BP$62),$A44+1,1),MAX(strike-$B44,0)),"")</f>
        <v>0.10195550840726264</v>
      </c>
      <c r="BR44" s="9">
        <f t="array" ref="BR44">IF(BR$11&gt;=0,MAX(INDEX(MMULT(inverseG,BQ$12:BQ$62),$A44+1,1),MAX(strike-$B44,0)),"")</f>
        <v>0.10390458107485434</v>
      </c>
      <c r="BS44" s="9">
        <f t="array" ref="BS44">IF(BS$11&gt;=0,MAX(INDEX(MMULT(inverseG,BR$12:BR$62),$A44+1,1),MAX(strike-$B44,0)),"")</f>
        <v>0.10583942731294817</v>
      </c>
      <c r="BT44" s="9">
        <f t="array" ref="BT44">IF(BT$11&gt;=0,MAX(INDEX(MMULT(inverseG,BS$12:BS$62),$A44+1,1),MAX(strike-$B44,0)),"")</f>
        <v>0.1077598566198085</v>
      </c>
      <c r="BU44" s="9">
        <f t="array" ref="BU44">IF(BU$11&gt;=0,MAX(INDEX(MMULT(inverseG,BT$12:BT$62),$A44+1,1),MAX(strike-$B44,0)),"")</f>
        <v>0.10966569785937823</v>
      </c>
      <c r="BV44" s="9">
        <f t="array" ref="BV44">IF(BV$11&gt;=0,MAX(INDEX(MMULT(inverseG,BU$12:BU$62),$A44+1,1),MAX(strike-$B44,0)),"")</f>
        <v>0.11155679796582484</v>
      </c>
      <c r="BW44" s="9">
        <f t="array" ref="BW44">IF(BW$11&gt;=0,MAX(INDEX(MMULT(inverseG,BV$12:BV$62),$A44+1,1),MAX(strike-$B44,0)),"")</f>
        <v>0.11343302074773132</v>
      </c>
      <c r="BX44" s="9">
        <f t="array" ref="BX44">IF(BX$11&gt;=0,MAX(INDEX(MMULT(inverseG,BW$12:BW$62),$A44+1,1),MAX(strike-$B44,0)),"")</f>
        <v>0.11529424578392677</v>
      </c>
      <c r="BY44" s="9">
        <f t="array" ref="BY44">IF(BY$11&gt;=0,MAX(INDEX(MMULT(inverseG,BX$12:BX$62),$A44+1,1),MAX(strike-$B44,0)),"")</f>
        <v>0.117140367403403</v>
      </c>
      <c r="BZ44" s="9">
        <f t="array" ref="BZ44">IF(BZ$11&gt;=0,MAX(INDEX(MMULT(inverseG,BY$12:BY$62),$A44+1,1),MAX(strike-$B44,0)),"")</f>
        <v>0.11897129374224186</v>
      </c>
      <c r="CA44" s="9">
        <f t="array" ref="CA44">IF(CA$11&gt;=0,MAX(INDEX(MMULT(inverseG,BZ$12:BZ$62),$A44+1,1),MAX(strike-$B44,0)),"")</f>
        <v>0.12078694587097452</v>
      </c>
      <c r="CB44" s="9">
        <f t="array" ref="CB44">IF(CB$11&gt;=0,MAX(INDEX(MMULT(inverseG,CA$12:CA$62),$A44+1,1),MAX(strike-$B44,0)),"")</f>
        <v>0.12258725698628697</v>
      </c>
      <c r="CC44" s="9">
        <f t="array" ref="CC44">IF(CC$11&gt;=0,MAX(INDEX(MMULT(inverseG,CB$12:CB$62),$A44+1,1),MAX(strike-$B44,0)),"")</f>
        <v>0.12437217166147087</v>
      </c>
      <c r="CD44" s="9">
        <f t="array" ref="CD44">IF(CD$11&gt;=0,MAX(INDEX(MMULT(inverseG,CC$12:CC$62),$A44+1,1),MAX(strike-$B44,0)),"")</f>
        <v>0.12614164515048712</v>
      </c>
      <c r="CE44" s="9">
        <f t="array" ref="CE44">IF(CE$11&gt;=0,MAX(INDEX(MMULT(inverseG,CD$12:CD$62),$A44+1,1),MAX(strike-$B44,0)),"")</f>
        <v>0.12789564274095319</v>
      </c>
      <c r="CF44" s="9">
        <f t="array" ref="CF44">IF(CF$11&gt;=0,MAX(INDEX(MMULT(inverseG,CE$12:CE$62),$A44+1,1),MAX(strike-$B44,0)),"")</f>
        <v>0.12963413915178534</v>
      </c>
      <c r="CG44" s="9">
        <f t="array" ref="CG44">IF(CG$11&gt;=0,MAX(INDEX(MMULT(inverseG,CF$12:CF$62),$A44+1,1),MAX(strike-$B44,0)),"")</f>
        <v>0.13135711797161811</v>
      </c>
      <c r="CH44" s="9">
        <f t="array" ref="CH44">IF(CH$11&gt;=0,MAX(INDEX(MMULT(inverseG,CG$12:CG$62),$A44+1,1),MAX(strike-$B44,0)),"")</f>
        <v>0.13306457113448603</v>
      </c>
      <c r="CI44" s="9">
        <f t="array" ref="CI44">IF(CI$11&gt;=0,MAX(INDEX(MMULT(inverseG,CH$12:CH$62),$A44+1,1),MAX(strike-$B44,0)),"")</f>
        <v>0.13475649842958476</v>
      </c>
      <c r="CJ44" s="9">
        <f t="array" ref="CJ44">IF(CJ$11&gt;=0,MAX(INDEX(MMULT(inverseG,CI$12:CI$62),$A44+1,1),MAX(strike-$B44,0)),"")</f>
        <v>0.13643290704223779</v>
      </c>
      <c r="CK44" s="9">
        <f t="array" ref="CK44">IF(CK$11&gt;=0,MAX(INDEX(MMULT(inverseG,CJ$12:CJ$62),$A44+1,1),MAX(strike-$B44,0)),"")</f>
        <v>0.13809381112347061</v>
      </c>
      <c r="CL44" s="9">
        <f t="array" ref="CL44">IF(CL$11&gt;=0,MAX(INDEX(MMULT(inverseG,CK$12:CK$62),$A44+1,1),MAX(strike-$B44,0)),"")</f>
        <v>0.13973923138584929</v>
      </c>
      <c r="CM44" s="9">
        <f t="array" ref="CM44">IF(CM$11&gt;=0,MAX(INDEX(MMULT(inverseG,CL$12:CL$62),$A44+1,1),MAX(strike-$B44,0)),"")</f>
        <v>0.14136919472346895</v>
      </c>
      <c r="CN44" s="9">
        <f t="array" ref="CN44">IF(CN$11&gt;=0,MAX(INDEX(MMULT(inverseG,CM$12:CM$62),$A44+1,1),MAX(strike-$B44,0)),"")</f>
        <v>0.14298373385418495</v>
      </c>
      <c r="CO44" s="9">
        <f t="array" ref="CO44">IF(CO$11&gt;=0,MAX(INDEX(MMULT(inverseG,CN$12:CN$62),$A44+1,1),MAX(strike-$B44,0)),"")</f>
        <v>0.1445828869823646</v>
      </c>
      <c r="CP44" s="9">
        <f t="array" ref="CP44">IF(CP$11&gt;=0,MAX(INDEX(MMULT(inverseG,CO$12:CO$62),$A44+1,1),MAX(strike-$B44,0)),"")</f>
        <v>0.1461666974806079</v>
      </c>
      <c r="CQ44" s="9">
        <f t="array" ref="CQ44">IF(CQ$11&gt;=0,MAX(INDEX(MMULT(inverseG,CP$12:CP$62),$A44+1,1),MAX(strike-$B44,0)),"")</f>
        <v>0.14773521358903099</v>
      </c>
      <c r="CR44" s="9">
        <f t="array" ref="CR44">IF(CR$11&gt;=0,MAX(INDEX(MMULT(inverseG,CQ$12:CQ$62),$A44+1,1),MAX(strike-$B44,0)),"")</f>
        <v>0.14928848813084589</v>
      </c>
      <c r="CS44" s="9">
        <f t="array" ref="CS44">IF(CS$11&gt;=0,MAX(INDEX(MMULT(inverseG,CR$12:CR$62),$A44+1,1),MAX(strike-$B44,0)),"")</f>
        <v>0.15082657824319204</v>
      </c>
      <c r="CT44" s="9">
        <f t="array" ref="CT44">IF(CT$11&gt;=0,MAX(INDEX(MMULT(inverseG,CS$12:CS$62),$A44+1,1),MAX(strike-$B44,0)),"")</f>
        <v>0.15234954512272536</v>
      </c>
      <c r="CU44" s="9">
        <f t="array" ref="CU44">IF(CU$11&gt;=0,MAX(INDEX(MMULT(inverseG,CT$12:CT$62),$A44+1,1),MAX(strike-$B44,0)),"")</f>
        <v>0.15385745378645463</v>
      </c>
      <c r="CV44" s="9">
        <f t="array" ref="CV44">IF(CV$11&gt;=0,MAX(INDEX(MMULT(inverseG,CU$12:CU$62),$A44+1,1),MAX(strike-$B44,0)),"")</f>
        <v>0.15535037284954126</v>
      </c>
      <c r="CW44" s="9">
        <f t="array" ref="CW44">IF(CW$11&gt;=0,MAX(INDEX(MMULT(inverseG,CV$12:CV$62),$A44+1,1),MAX(strike-$B44,0)),"")</f>
        <v>0.15682837432275609</v>
      </c>
      <c r="CX44" s="9">
        <f t="array" ref="CX44">IF(CX$11&gt;=0,MAX(INDEX(MMULT(inverseG,CW$12:CW$62),$A44+1,1),MAX(strike-$B44,0)),"")</f>
        <v>0.1582915334325295</v>
      </c>
      <c r="CY44" s="9">
        <f t="array" ref="CY44">IF(CY$11&gt;=0,MAX(INDEX(MMULT(inverseG,CX$12:CX$62),$A44+1,1),MAX(strike-$B44,0)),"")</f>
        <v>0.15973992846580817</v>
      </c>
      <c r="CZ44" s="9">
        <f t="array" ref="CZ44">IF(CZ$11&gt;=0,MAX(INDEX(MMULT(inverseG,CY$12:CY$62),$A44+1,1),MAX(strike-$B44,0)),"")</f>
        <v>0.16117364064034714</v>
      </c>
      <c r="DA44" s="9" t="str">
        <f t="array" ref="DA44">IF(DA$11&gt;=0,MAX(INDEX(MMULT(inverseG,CZ$12:CZ$62),$A44+1,1),MAX(strike-$B44,0)),"")</f>
        <v/>
      </c>
      <c r="DB44" s="9" t="str">
        <f t="array" ref="DB44">IF(DB$11&gt;=0,MAX(INDEX(MMULT(inverseG,DA$12:DA$62),$A44+1,1),MAX(strike-$B44,0)),"")</f>
        <v/>
      </c>
      <c r="DC44" s="9" t="str">
        <f t="array" ref="DC44">IF(DC$11&gt;=0,MAX(INDEX(MMULT(inverseG,DB$12:DB$62),$A44+1,1),MAX(strike-$B44,0)),"")</f>
        <v/>
      </c>
      <c r="DD44" s="9" t="str">
        <f t="array" ref="DD44">IF(DD$11&gt;=0,MAX(INDEX(MMULT(inverseG,DC$12:DC$62),$A44+1,1),MAX(strike-$B44,0)),"")</f>
        <v/>
      </c>
      <c r="DE44" s="9" t="str">
        <f t="array" ref="DE44">IF(DE$11&gt;=0,MAX(INDEX(MMULT(inverseG,DD$12:DD$62),$A44+1,1),MAX(strike-$B44,0)),"")</f>
        <v/>
      </c>
      <c r="DF44" s="9" t="str">
        <f t="array" ref="DF44">IF(DF$11&gt;=0,MAX(INDEX(MMULT(inverseG,DE$12:DE$62),$A44+1,1),MAX(strike-$B44,0)),"")</f>
        <v/>
      </c>
      <c r="DG44" s="9" t="str">
        <f t="array" ref="DG44">IF(DG$11&gt;=0,MAX(INDEX(MMULT(inverseG,DF$12:DF$62),$A44+1,1),MAX(strike-$B44,0)),"")</f>
        <v/>
      </c>
      <c r="DH44" s="9" t="str">
        <f t="array" ref="DH44">IF(DH$11&gt;=0,MAX(INDEX(MMULT(inverseG,DG$12:DG$62),$A44+1,1),MAX(strike-$B44,0)),"")</f>
        <v/>
      </c>
      <c r="DI44" s="9" t="str">
        <f t="array" ref="DI44">IF(DI$11&gt;=0,MAX(INDEX(MMULT(inverseG,DH$12:DH$62),$A44+1,1),MAX(strike-$B44,0)),"")</f>
        <v/>
      </c>
      <c r="DJ44" s="9" t="str">
        <f t="array" ref="DJ44">IF(DJ$11&gt;=0,MAX(INDEX(MMULT(inverseG,DI$12:DI$62),$A44+1,1),MAX(strike-$B44,0)),"")</f>
        <v/>
      </c>
      <c r="DK44" s="9" t="str">
        <f t="array" ref="DK44">IF(DK$11&gt;=0,MAX(INDEX(MMULT(inverseG,DJ$12:DJ$62),$A44+1,1),MAX(strike-$B44,0)),"")</f>
        <v/>
      </c>
      <c r="DL44" s="9" t="str">
        <f t="array" ref="DL44">IF(DL$11&gt;=0,MAX(INDEX(MMULT(inverseG,DK$12:DK$62),$A44+1,1),MAX(strike-$B44,0)),"")</f>
        <v/>
      </c>
      <c r="DM44" s="9" t="str">
        <f t="array" ref="DM44">IF(DM$11&gt;=0,MAX(INDEX(MMULT(inverseG,DL$12:DL$62),$A44+1,1),MAX(strike-$B44,0)),"")</f>
        <v/>
      </c>
      <c r="DN44" s="9" t="str">
        <f t="array" ref="DN44">IF(DN$11&gt;=0,MAX(INDEX(MMULT(inverseG,DM$12:DM$62),$A44+1,1),MAX(strike-$B44,0)),"")</f>
        <v/>
      </c>
      <c r="DO44" s="9" t="str">
        <f t="array" ref="DO44">IF(DO$11&gt;=0,MAX(INDEX(MMULT(inverseG,DN$12:DN$62),$A44+1,1),MAX(strike-$B44,0)),"")</f>
        <v/>
      </c>
      <c r="DP44" s="9" t="str">
        <f t="array" ref="DP44">IF(DP$11&gt;=0,MAX(INDEX(MMULT(inverseG,DO$12:DO$62),$A44+1,1),MAX(strike-$B44,0)),"")</f>
        <v/>
      </c>
      <c r="DQ44" s="9" t="str">
        <f t="array" ref="DQ44">IF(DQ$11&gt;=0,MAX(INDEX(MMULT(inverseG,DP$12:DP$62),$A44+1,1),MAX(strike-$B44,0)),"")</f>
        <v/>
      </c>
      <c r="DR44" s="9" t="str">
        <f t="array" ref="DR44">IF(DR$11&gt;=0,MAX(INDEX(MMULT(inverseG,DQ$12:DQ$62),$A44+1,1),MAX(strike-$B44,0)),"")</f>
        <v/>
      </c>
      <c r="DS44" s="9" t="str">
        <f t="array" ref="DS44">IF(DS$11&gt;=0,MAX(INDEX(MMULT(inverseG,DR$12:DR$62),$A44+1,1),MAX(strike-$B44,0)),"")</f>
        <v/>
      </c>
      <c r="DT44" s="9" t="str">
        <f t="array" ref="DT44">IF(DT$11&gt;=0,MAX(INDEX(MMULT(inverseG,DS$12:DS$62),$A44+1,1),MAX(strike-$B44,0)),"")</f>
        <v/>
      </c>
      <c r="DU44" s="9" t="str">
        <f t="array" ref="DU44">IF(DU$11&gt;=0,MAX(INDEX(MMULT(inverseG,DT$12:DT$62),$A44+1,1),MAX(strike-$B44,0)),"")</f>
        <v/>
      </c>
      <c r="DV44" s="9" t="str">
        <f t="array" ref="DV44">IF(DV$11&gt;=0,MAX(INDEX(MMULT(inverseG,DU$12:DU$62),$A44+1,1),MAX(strike-$B44,0)),"")</f>
        <v/>
      </c>
      <c r="DW44" s="9" t="str">
        <f t="array" ref="DW44">IF(DW$11&gt;=0,MAX(INDEX(MMULT(inverseG,DV$12:DV$62),$A44+1,1),MAX(strike-$B44,0)),"")</f>
        <v/>
      </c>
      <c r="DX44" s="9" t="str">
        <f t="array" ref="DX44">IF(DX$11&gt;=0,MAX(INDEX(MMULT(inverseG,DW$12:DW$62),$A44+1,1),MAX(strike-$B44,0)),"")</f>
        <v/>
      </c>
      <c r="DY44" s="9" t="str">
        <f t="array" ref="DY44">IF(DY$11&gt;=0,MAX(INDEX(MMULT(inverseG,DX$12:DX$62),$A44+1,1),MAX(strike-$B44,0)),"")</f>
        <v/>
      </c>
      <c r="DZ44" s="9" t="str">
        <f t="array" ref="DZ44">IF(DZ$11&gt;=0,MAX(INDEX(MMULT(inverseG,DY$12:DY$62),$A44+1,1),MAX(strike-$B44,0)),"")</f>
        <v/>
      </c>
      <c r="EA44" s="9" t="str">
        <f t="array" ref="EA44">IF(EA$11&gt;=0,MAX(INDEX(MMULT(inverseG,DZ$12:DZ$62),$A44+1,1),MAX(strike-$B44,0)),"")</f>
        <v/>
      </c>
      <c r="EB44" s="9" t="str">
        <f t="array" ref="EB44">IF(EB$11&gt;=0,MAX(INDEX(MMULT(inverseG,EA$12:EA$62),$A44+1,1),MAX(strike-$B44,0)),"")</f>
        <v/>
      </c>
      <c r="EC44" s="9" t="str">
        <f t="array" ref="EC44">IF(EC$11&gt;=0,MAX(INDEX(MMULT(inverseG,EB$12:EB$62),$A44+1,1),MAX(strike-$B44,0)),"")</f>
        <v/>
      </c>
      <c r="ED44" s="9" t="str">
        <f t="array" ref="ED44">IF(ED$11&gt;=0,MAX(INDEX(MMULT(inverseG,EC$12:EC$62),$A44+1,1),MAX(strike-$B44,0)),"")</f>
        <v/>
      </c>
      <c r="EE44" s="9" t="str">
        <f t="array" ref="EE44">IF(EE$11&gt;=0,MAX(INDEX(MMULT(inverseG,ED$12:ED$62),$A44+1,1),MAX(strike-$B44,0)),"")</f>
        <v/>
      </c>
      <c r="EF44" s="9" t="str">
        <f t="array" ref="EF44">IF(EF$11&gt;=0,MAX(INDEX(MMULT(inverseG,EE$12:EE$62),$A44+1,1),MAX(strike-$B44,0)),"")</f>
        <v/>
      </c>
      <c r="EG44" s="9" t="str">
        <f t="array" ref="EG44">IF(EG$11&gt;=0,MAX(INDEX(MMULT(inverseG,EF$12:EF$62),$A44+1,1),MAX(strike-$B44,0)),"")</f>
        <v/>
      </c>
      <c r="EH44" s="9" t="str">
        <f t="array" ref="EH44">IF(EH$11&gt;=0,MAX(INDEX(MMULT(inverseG,EG$12:EG$62),$A44+1,1),MAX(strike-$B44,0)),"")</f>
        <v/>
      </c>
      <c r="EI44" s="9" t="str">
        <f t="array" ref="EI44">IF(EI$11&gt;=0,MAX(INDEX(MMULT(inverseG,EH$12:EH$62),$A44+1,1),MAX(strike-$B44,0)),"")</f>
        <v/>
      </c>
      <c r="EJ44" s="9" t="str">
        <f t="array" ref="EJ44">IF(EJ$11&gt;=0,MAX(INDEX(MMULT(inverseG,EI$12:EI$62),$A44+1,1),MAX(strike-$B44,0)),"")</f>
        <v/>
      </c>
      <c r="EK44" s="9" t="str">
        <f t="array" ref="EK44">IF(EK$11&gt;=0,MAX(INDEX(MMULT(inverseG,EJ$12:EJ$62),$A44+1,1),MAX(strike-$B44,0)),"")</f>
        <v/>
      </c>
      <c r="EL44" s="9" t="str">
        <f t="array" ref="EL44">IF(EL$11&gt;=0,MAX(INDEX(MMULT(inverseG,EK$12:EK$62),$A44+1,1),MAX(strike-$B44,0)),"")</f>
        <v/>
      </c>
      <c r="EM44" s="9" t="str">
        <f t="array" ref="EM44">IF(EM$11&gt;=0,MAX(INDEX(MMULT(inverseG,EL$12:EL$62),$A44+1,1),MAX(strike-$B44,0)),"")</f>
        <v/>
      </c>
      <c r="EN44" s="9" t="str">
        <f t="array" ref="EN44">IF(EN$11&gt;=0,MAX(INDEX(MMULT(inverseG,EM$12:EM$62),$A44+1,1),MAX(strike-$B44,0)),"")</f>
        <v/>
      </c>
      <c r="EO44" s="9" t="str">
        <f t="array" ref="EO44">IF(EO$11&gt;=0,MAX(INDEX(MMULT(inverseG,EN$12:EN$62),$A44+1,1),MAX(strike-$B44,0)),"")</f>
        <v/>
      </c>
      <c r="EP44" s="9" t="str">
        <f t="array" ref="EP44">IF(EP$11&gt;=0,MAX(INDEX(MMULT(inverseG,EO$12:EO$62),$A44+1,1),MAX(strike-$B44,0)),"")</f>
        <v/>
      </c>
      <c r="EQ44" s="9" t="str">
        <f t="array" ref="EQ44">IF(EQ$11&gt;=0,MAX(INDEX(MMULT(inverseG,EP$12:EP$62),$A44+1,1),MAX(strike-$B44,0)),"")</f>
        <v/>
      </c>
      <c r="ER44" s="9" t="str">
        <f t="array" ref="ER44">IF(ER$11&gt;=0,MAX(INDEX(MMULT(inverseG,EQ$12:EQ$62),$A44+1,1),MAX(strike-$B44,0)),"")</f>
        <v/>
      </c>
      <c r="ES44" s="9" t="str">
        <f t="array" ref="ES44">IF(ES$11&gt;=0,MAX(INDEX(MMULT(inverseG,ER$12:ER$62),$A44+1,1),MAX(strike-$B44,0)),"")</f>
        <v/>
      </c>
      <c r="ET44" s="9" t="str">
        <f t="array" ref="ET44">IF(ET$11&gt;=0,MAX(INDEX(MMULT(inverseG,ES$12:ES$62),$A44+1,1),MAX(strike-$B44,0)),"")</f>
        <v/>
      </c>
      <c r="EU44" s="9" t="str">
        <f t="array" ref="EU44">IF(EU$11&gt;=0,MAX(INDEX(MMULT(inverseG,ET$12:ET$62),$A44+1,1),MAX(strike-$B44,0)),"")</f>
        <v/>
      </c>
      <c r="EV44" s="9" t="str">
        <f t="array" ref="EV44">IF(EV$11&gt;=0,MAX(INDEX(MMULT(inverseG,EU$12:EU$62),$A44+1,1),MAX(strike-$B44,0)),"")</f>
        <v/>
      </c>
      <c r="EW44" s="9" t="str">
        <f t="array" ref="EW44">IF(EW$11&gt;=0,MAX(INDEX(MMULT(inverseG,EV$12:EV$62),$A44+1,1),MAX(strike-$B44,0)),"")</f>
        <v/>
      </c>
      <c r="EX44" s="9" t="str">
        <f t="array" ref="EX44">IF(EX$11&gt;=0,MAX(INDEX(MMULT(inverseG,EW$12:EW$62),$A44+1,1),MAX(strike-$B44,0)),"")</f>
        <v/>
      </c>
      <c r="EY44" s="9" t="str">
        <f t="array" ref="EY44">IF(EY$11&gt;=0,MAX(INDEX(MMULT(inverseG,EX$12:EX$62),$A44+1,1),MAX(strike-$B44,0)),"")</f>
        <v/>
      </c>
      <c r="EZ44" s="9" t="str">
        <f t="array" ref="EZ44">IF(EZ$11&gt;=0,MAX(INDEX(MMULT(inverseG,EY$12:EY$62),$A44+1,1),MAX(strike-$B44,0)),"")</f>
        <v/>
      </c>
      <c r="FA44" s="9" t="str">
        <f t="array" ref="FA44">IF(FA$11&gt;=0,MAX(INDEX(MMULT(inverseG,EZ$12:EZ$62),$A44+1,1),MAX(strike-$B44,0)),"")</f>
        <v/>
      </c>
      <c r="FB44" s="9" t="str">
        <f t="array" ref="FB44">IF(FB$11&gt;=0,MAX(INDEX(MMULT(inverseG,FA$12:FA$62),$A44+1,1),MAX(strike-$B44,0)),"")</f>
        <v/>
      </c>
      <c r="FC44" s="9" t="str">
        <f t="array" ref="FC44">IF(FC$11&gt;=0,MAX(INDEX(MMULT(inverseG,FB$12:FB$62),$A44+1,1),MAX(strike-$B44,0)),"")</f>
        <v/>
      </c>
      <c r="FD44" s="9" t="str">
        <f t="array" ref="FD44">IF(FD$11&gt;=0,MAX(INDEX(MMULT(inverseG,FC$12:FC$62),$A44+1,1),MAX(strike-$B44,0)),"")</f>
        <v/>
      </c>
      <c r="FE44" s="9" t="str">
        <f t="array" ref="FE44">IF(FE$11&gt;=0,MAX(INDEX(MMULT(inverseG,FD$12:FD$62),$A44+1,1),MAX(strike-$B44,0)),"")</f>
        <v/>
      </c>
      <c r="FF44" s="9" t="str">
        <f t="array" ref="FF44">IF(FF$11&gt;=0,MAX(INDEX(MMULT(inverseG,FE$12:FE$62),$A44+1,1),MAX(strike-$B44,0)),"")</f>
        <v/>
      </c>
      <c r="FG44" s="9" t="str">
        <f t="array" ref="FG44">IF(FG$11&gt;=0,MAX(INDEX(MMULT(inverseG,FF$12:FF$62),$A44+1,1),MAX(strike-$B44,0)),"")</f>
        <v/>
      </c>
      <c r="FH44" s="9" t="str">
        <f t="array" ref="FH44">IF(FH$11&gt;=0,MAX(INDEX(MMULT(inverseG,FG$12:FG$62),$A44+1,1),MAX(strike-$B44,0)),"")</f>
        <v/>
      </c>
      <c r="FI44" s="9" t="str">
        <f t="array" ref="FI44">IF(FI$11&gt;=0,MAX(INDEX(MMULT(inverseG,FH$12:FH$62),$A44+1,1),MAX(strike-$B44,0)),"")</f>
        <v/>
      </c>
      <c r="FJ44" s="9" t="str">
        <f t="array" ref="FJ44">IF(FJ$11&gt;=0,MAX(INDEX(MMULT(inverseG,FI$12:FI$62),$A44+1,1),MAX(strike-$B44,0)),"")</f>
        <v/>
      </c>
      <c r="FK44" s="9" t="str">
        <f t="array" ref="FK44">IF(FK$11&gt;=0,MAX(INDEX(MMULT(inverseG,FJ$12:FJ$62),$A44+1,1),MAX(strike-$B44,0)),"")</f>
        <v/>
      </c>
      <c r="FL44" s="9" t="str">
        <f t="array" ref="FL44">IF(FL$11&gt;=0,MAX(INDEX(MMULT(inverseG,FK$12:FK$62),$A44+1,1),MAX(strike-$B44,0)),"")</f>
        <v/>
      </c>
      <c r="FM44" s="9" t="str">
        <f t="array" ref="FM44">IF(FM$11&gt;=0,MAX(INDEX(MMULT(inverseG,FL$12:FL$62),$A44+1,1),MAX(strike-$B44,0)),"")</f>
        <v/>
      </c>
      <c r="FN44" s="9" t="str">
        <f t="array" ref="FN44">IF(FN$11&gt;=0,MAX(INDEX(MMULT(inverseG,FM$12:FM$62),$A44+1,1),MAX(strike-$B44,0)),"")</f>
        <v/>
      </c>
      <c r="FO44" s="9" t="str">
        <f t="array" ref="FO44">IF(FO$11&gt;=0,MAX(INDEX(MMULT(inverseG,FN$12:FN$62),$A44+1,1),MAX(strike-$B44,0)),"")</f>
        <v/>
      </c>
      <c r="FP44" s="9" t="str">
        <f t="array" ref="FP44">IF(FP$11&gt;=0,MAX(INDEX(MMULT(inverseG,FO$12:FO$62),$A44+1,1),MAX(strike-$B44,0)),"")</f>
        <v/>
      </c>
      <c r="FQ44" s="9" t="str">
        <f t="array" ref="FQ44">IF(FQ$11&gt;=0,MAX(INDEX(MMULT(inverseG,FP$12:FP$62),$A44+1,1),MAX(strike-$B44,0)),"")</f>
        <v/>
      </c>
      <c r="FR44" s="9" t="str">
        <f t="array" ref="FR44">IF(FR$11&gt;=0,MAX(INDEX(MMULT(inverseG,FQ$12:FQ$62),$A44+1,1),MAX(strike-$B44,0)),"")</f>
        <v/>
      </c>
      <c r="FS44" s="9" t="str">
        <f t="array" ref="FS44">IF(FS$11&gt;=0,MAX(INDEX(MMULT(inverseG,FR$12:FR$62),$A44+1,1),MAX(strike-$B44,0)),"")</f>
        <v/>
      </c>
      <c r="FT44" s="9" t="str">
        <f t="array" ref="FT44">IF(FT$11&gt;=0,MAX(INDEX(MMULT(inverseG,FS$12:FS$62),$A44+1,1),MAX(strike-$B44,0)),"")</f>
        <v/>
      </c>
      <c r="FU44" s="9" t="str">
        <f t="array" ref="FU44">IF(FU$11&gt;=0,MAX(INDEX(MMULT(inverseG,FT$12:FT$62),$A44+1,1),MAX(strike-$B44,0)),"")</f>
        <v/>
      </c>
      <c r="FV44" s="9" t="str">
        <f t="array" ref="FV44">IF(FV$11&gt;=0,MAX(INDEX(MMULT(inverseG,FU$12:FU$62),$A44+1,1),MAX(strike-$B44,0)),"")</f>
        <v/>
      </c>
      <c r="FW44" s="9" t="str">
        <f t="array" ref="FW44">IF(FW$11&gt;=0,MAX(INDEX(MMULT(inverseG,FV$12:FV$62),$A44+1,1),MAX(strike-$B44,0)),"")</f>
        <v/>
      </c>
      <c r="FX44" s="9" t="str">
        <f t="array" ref="FX44">IF(FX$11&gt;=0,MAX(INDEX(MMULT(inverseG,FW$12:FW$62),$A44+1,1),MAX(strike-$B44,0)),"")</f>
        <v/>
      </c>
      <c r="FY44" s="9" t="str">
        <f t="array" ref="FY44">IF(FY$11&gt;=0,MAX(INDEX(MMULT(inverseG,FX$12:FX$62),$A44+1,1),MAX(strike-$B44,0)),"")</f>
        <v/>
      </c>
      <c r="FZ44" s="9" t="str">
        <f t="array" ref="FZ44">IF(FZ$11&gt;=0,MAX(INDEX(MMULT(inverseG,FY$12:FY$62),$A44+1,1),MAX(strike-$B44,0)),"")</f>
        <v/>
      </c>
      <c r="GA44" s="9" t="str">
        <f t="array" ref="GA44">IF(GA$11&gt;=0,MAX(INDEX(MMULT(inverseG,FZ$12:FZ$62),$A44+1,1),MAX(strike-$B44,0)),"")</f>
        <v/>
      </c>
      <c r="GB44" s="9" t="str">
        <f t="array" ref="GB44">IF(GB$11&gt;=0,MAX(INDEX(MMULT(inverseG,GA$12:GA$62),$A44+1,1),MAX(strike-$B44,0)),"")</f>
        <v/>
      </c>
      <c r="GC44" s="9" t="str">
        <f t="array" ref="GC44">IF(GC$11&gt;=0,MAX(INDEX(MMULT(inverseG,GB$12:GB$62),$A44+1,1),MAX(strike-$B44,0)),"")</f>
        <v/>
      </c>
      <c r="GD44" s="9" t="str">
        <f t="array" ref="GD44">IF(GD$11&gt;=0,MAX(INDEX(MMULT(inverseG,GC$12:GC$62),$A44+1,1),MAX(strike-$B44,0)),"")</f>
        <v/>
      </c>
      <c r="GE44" s="9" t="str">
        <f t="array" ref="GE44">IF(GE$11&gt;=0,MAX(INDEX(MMULT(inverseG,GD$12:GD$62),$A44+1,1),MAX(strike-$B44,0)),"")</f>
        <v/>
      </c>
      <c r="GF44" s="9" t="str">
        <f t="array" ref="GF44">IF(GF$11&gt;=0,MAX(INDEX(MMULT(inverseG,GE$12:GE$62),$A44+1,1),MAX(strike-$B44,0)),"")</f>
        <v/>
      </c>
      <c r="GG44" s="9" t="str">
        <f t="array" ref="GG44">IF(GG$11&gt;=0,MAX(INDEX(MMULT(inverseG,GF$12:GF$62),$A44+1,1),MAX(strike-$B44,0)),"")</f>
        <v/>
      </c>
      <c r="GH44" s="9" t="str">
        <f t="array" ref="GH44">IF(GH$11&gt;=0,MAX(INDEX(MMULT(inverseG,GG$12:GG$62),$A44+1,1),MAX(strike-$B44,0)),"")</f>
        <v/>
      </c>
      <c r="GI44" s="9" t="str">
        <f t="array" ref="GI44">IF(GI$11&gt;=0,MAX(INDEX(MMULT(inverseG,GH$12:GH$62),$A44+1,1),MAX(strike-$B44,0)),"")</f>
        <v/>
      </c>
      <c r="GJ44" s="9" t="str">
        <f t="array" ref="GJ44">IF(GJ$11&gt;=0,MAX(INDEX(MMULT(inverseG,GI$12:GI$62),$A44+1,1),MAX(strike-$B44,0)),"")</f>
        <v/>
      </c>
      <c r="GK44" s="9" t="str">
        <f t="array" ref="GK44">IF(GK$11&gt;=0,MAX(INDEX(MMULT(inverseG,GJ$12:GJ$62),$A44+1,1),MAX(strike-$B44,0)),"")</f>
        <v/>
      </c>
      <c r="GL44" s="9" t="str">
        <f t="array" ref="GL44">IF(GL$11&gt;=0,MAX(INDEX(MMULT(inverseG,GK$12:GK$62),$A44+1,1),MAX(strike-$B44,0)),"")</f>
        <v/>
      </c>
      <c r="GM44" s="9" t="str">
        <f t="array" ref="GM44">IF(GM$11&gt;=0,MAX(INDEX(MMULT(inverseG,GL$12:GL$62),$A44+1,1),MAX(strike-$B44,0)),"")</f>
        <v/>
      </c>
      <c r="GN44" s="9" t="str">
        <f t="array" ref="GN44">IF(GN$11&gt;=0,MAX(INDEX(MMULT(inverseG,GM$12:GM$62),$A44+1,1),MAX(strike-$B44,0)),"")</f>
        <v/>
      </c>
      <c r="GO44" s="9" t="str">
        <f t="array" ref="GO44">IF(GO$11&gt;=0,MAX(INDEX(MMULT(inverseG,GN$12:GN$62),$A44+1,1),MAX(strike-$B44,0)),"")</f>
        <v/>
      </c>
      <c r="GP44" s="9" t="str">
        <f t="array" ref="GP44">IF(GP$11&gt;=0,MAX(INDEX(MMULT(inverseG,GO$12:GO$62),$A44+1,1),MAX(strike-$B44,0)),"")</f>
        <v/>
      </c>
      <c r="GQ44" s="9" t="str">
        <f t="array" ref="GQ44">IF(GQ$11&gt;=0,MAX(INDEX(MMULT(inverseG,GP$12:GP$62),$A44+1,1),MAX(strike-$B44,0)),"")</f>
        <v/>
      </c>
      <c r="GR44" s="9" t="str">
        <f t="array" ref="GR44">IF(GR$11&gt;=0,MAX(INDEX(MMULT(inverseG,GQ$12:GQ$62),$A44+1,1),MAX(strike-$B44,0)),"")</f>
        <v/>
      </c>
      <c r="GS44" s="9" t="str">
        <f t="array" ref="GS44">IF(GS$11&gt;=0,MAX(INDEX(MMULT(inverseG,GR$12:GR$62),$A44+1,1),MAX(strike-$B44,0)),"")</f>
        <v/>
      </c>
      <c r="GT44" s="9" t="str">
        <f t="array" ref="GT44">IF(GT$11&gt;=0,MAX(INDEX(MMULT(inverseG,GS$12:GS$62),$A44+1,1),MAX(strike-$B44,0)),"")</f>
        <v/>
      </c>
      <c r="GU44" s="9" t="str">
        <f t="array" ref="GU44">IF(GU$11&gt;=0,MAX(INDEX(MMULT(inverseG,GT$12:GT$62),$A44+1,1),MAX(strike-$B44,0)),"")</f>
        <v/>
      </c>
      <c r="GV44" s="9" t="str">
        <f t="array" ref="GV44">IF(GV$11&gt;=0,MAX(INDEX(MMULT(inverseG,GU$12:GU$62),$A44+1,1),MAX(strike-$B44,0)),"")</f>
        <v/>
      </c>
      <c r="GW44" s="9" t="str">
        <f t="array" ref="GW44">IF(GW$11&gt;=0,MAX(INDEX(MMULT(inverseG,GV$12:GV$62),$A44+1,1),MAX(strike-$B44,0)),"")</f>
        <v/>
      </c>
      <c r="GX44" s="9" t="str">
        <f t="array" ref="GX44">IF(GX$11&gt;=0,MAX(INDEX(MMULT(inverseG,GW$12:GW$62),$A44+1,1),MAX(strike-$B44,0)),"")</f>
        <v/>
      </c>
      <c r="GY44" s="9" t="str">
        <f t="array" ref="GY44">IF(GY$11&gt;=0,MAX(INDEX(MMULT(inverseG,GX$12:GX$62),$A44+1,1),MAX(strike-$B44,0)),"")</f>
        <v/>
      </c>
      <c r="GZ44" s="9" t="str">
        <f t="array" ref="GZ44">IF(GZ$11&gt;=0,MAX(INDEX(MMULT(inverseG,GY$12:GY$62),$A44+1,1),MAX(strike-$B44,0)),"")</f>
        <v/>
      </c>
      <c r="HA44" s="9" t="str">
        <f t="array" ref="HA44">IF(HA$11&gt;=0,MAX(INDEX(MMULT(inverseG,GZ$12:GZ$62),$A44+1,1),MAX(strike-$B44,0)),"")</f>
        <v/>
      </c>
      <c r="HB44" s="9" t="str">
        <f t="array" ref="HB44">IF(HB$11&gt;=0,MAX(INDEX(MMULT(inverseG,HA$12:HA$62),$A44+1,1),MAX(strike-$B44,0)),"")</f>
        <v/>
      </c>
      <c r="HC44" s="9" t="str">
        <f t="array" ref="HC44">IF(HC$11&gt;=0,MAX(INDEX(MMULT(inverseG,HB$12:HB$62),$A44+1,1),MAX(strike-$B44,0)),"")</f>
        <v/>
      </c>
      <c r="HD44" s="9" t="str">
        <f t="array" ref="HD44">IF(HD$11&gt;=0,MAX(INDEX(MMULT(inverseG,HC$12:HC$62),$A44+1,1),MAX(strike-$B44,0)),"")</f>
        <v/>
      </c>
      <c r="HE44" s="9" t="str">
        <f t="array" ref="HE44">IF(HE$11&gt;=0,MAX(INDEX(MMULT(inverseG,HD$12:HD$62),$A44+1,1),MAX(strike-$B44,0)),"")</f>
        <v/>
      </c>
      <c r="HF44" s="9" t="str">
        <f t="array" ref="HF44">IF(HF$11&gt;=0,MAX(INDEX(MMULT(inverseG,HE$12:HE$62),$A44+1,1),MAX(strike-$B44,0)),"")</f>
        <v/>
      </c>
      <c r="HG44" s="9" t="str">
        <f t="array" ref="HG44">IF(HG$11&gt;=0,MAX(INDEX(MMULT(inverseG,HF$12:HF$62),$A44+1,1),MAX(strike-$B44,0)),"")</f>
        <v/>
      </c>
      <c r="HH44" s="9" t="str">
        <f t="array" ref="HH44">IF(HH$11&gt;=0,MAX(INDEX(MMULT(inverseG,HG$12:HG$62),$A44+1,1),MAX(strike-$B44,0)),"")</f>
        <v/>
      </c>
      <c r="HI44" s="9" t="str">
        <f t="array" ref="HI44">IF(HI$11&gt;=0,MAX(INDEX(MMULT(inverseG,HH$12:HH$62),$A44+1,1),MAX(strike-$B44,0)),"")</f>
        <v/>
      </c>
      <c r="HJ44" s="9" t="str">
        <f t="array" ref="HJ44">IF(HJ$11&gt;=0,MAX(INDEX(MMULT(inverseG,HI$12:HI$62),$A44+1,1),MAX(strike-$B44,0)),"")</f>
        <v/>
      </c>
      <c r="HK44" s="9" t="str">
        <f t="array" ref="HK44">IF(HK$11&gt;=0,MAX(INDEX(MMULT(inverseG,HJ$12:HJ$62),$A44+1,1),MAX(strike-$B44,0)),"")</f>
        <v/>
      </c>
      <c r="HL44" s="9" t="str">
        <f t="array" ref="HL44">IF(HL$11&gt;=0,MAX(INDEX(MMULT(inverseG,HK$12:HK$62),$A44+1,1),MAX(strike-$B44,0)),"")</f>
        <v/>
      </c>
      <c r="HM44" s="9" t="str">
        <f t="array" ref="HM44">IF(HM$11&gt;=0,MAX(INDEX(MMULT(inverseG,HL$12:HL$62),$A44+1,1),MAX(strike-$B44,0)),"")</f>
        <v/>
      </c>
      <c r="HN44" s="9" t="str">
        <f t="array" ref="HN44">IF(HN$11&gt;=0,MAX(INDEX(MMULT(inverseG,HM$12:HM$62),$A44+1,1),MAX(strike-$B44,0)),"")</f>
        <v/>
      </c>
      <c r="HO44" s="9" t="str">
        <f t="array" ref="HO44">IF(HO$11&gt;=0,MAX(INDEX(MMULT(inverseG,HN$12:HN$62),$A44+1,1),MAX(strike-$B44,0)),"")</f>
        <v/>
      </c>
      <c r="HP44" s="9" t="str">
        <f t="array" ref="HP44">IF(HP$11&gt;=0,MAX(INDEX(MMULT(inverseG,HO$12:HO$62),$A44+1,1),MAX(strike-$B44,0)),"")</f>
        <v/>
      </c>
      <c r="HQ44" s="9" t="str">
        <f t="array" ref="HQ44">IF(HQ$11&gt;=0,MAX(INDEX(MMULT(inverseG,HP$12:HP$62),$A44+1,1),MAX(strike-$B44,0)),"")</f>
        <v/>
      </c>
      <c r="HR44" s="9" t="str">
        <f t="array" ref="HR44">IF(HR$11&gt;=0,MAX(INDEX(MMULT(inverseG,HQ$12:HQ$62),$A44+1,1),MAX(strike-$B44,0)),"")</f>
        <v/>
      </c>
      <c r="HS44" s="9" t="str">
        <f t="array" ref="HS44">IF(HS$11&gt;=0,MAX(INDEX(MMULT(inverseG,HR$12:HR$62),$A44+1,1),MAX(strike-$B44,0)),"")</f>
        <v/>
      </c>
      <c r="HT44" s="9" t="str">
        <f t="array" ref="HT44">IF(HT$11&gt;=0,MAX(INDEX(MMULT(inverseG,HS$12:HS$62),$A44+1,1),MAX(strike-$B44,0)),"")</f>
        <v/>
      </c>
      <c r="HU44" s="9" t="str">
        <f t="array" ref="HU44">IF(HU$11&gt;=0,MAX(INDEX(MMULT(inverseG,HT$12:HT$62),$A44+1,1),MAX(strike-$B44,0)),"")</f>
        <v/>
      </c>
      <c r="HV44" s="9" t="str">
        <f t="array" ref="HV44">IF(HV$11&gt;=0,MAX(INDEX(MMULT(inverseG,HU$12:HU$62),$A44+1,1),MAX(strike-$B44,0)),"")</f>
        <v/>
      </c>
      <c r="HW44" s="9" t="str">
        <f t="array" ref="HW44">IF(HW$11&gt;=0,MAX(INDEX(MMULT(inverseG,HV$12:HV$62),$A44+1,1),MAX(strike-$B44,0)),"")</f>
        <v/>
      </c>
      <c r="HX44" s="9" t="str">
        <f t="array" ref="HX44">IF(HX$11&gt;=0,MAX(INDEX(MMULT(inverseG,HW$12:HW$62),$A44+1,1),MAX(strike-$B44,0)),"")</f>
        <v/>
      </c>
      <c r="HY44" s="9" t="str">
        <f t="array" ref="HY44">IF(HY$11&gt;=0,MAX(INDEX(MMULT(inverseG,HX$12:HX$62),$A44+1,1),MAX(strike-$B44,0)),"")</f>
        <v/>
      </c>
      <c r="HZ44" s="9" t="str">
        <f t="array" ref="HZ44">IF(HZ$11&gt;=0,MAX(INDEX(MMULT(inverseG,HY$12:HY$62),$A44+1,1),MAX(strike-$B44,0)),"")</f>
        <v/>
      </c>
      <c r="IA44" s="9" t="str">
        <f t="array" ref="IA44">IF(IA$11&gt;=0,MAX(INDEX(MMULT(inverseG,HZ$12:HZ$62),$A44+1,1),MAX(strike-$B44,0)),"")</f>
        <v/>
      </c>
      <c r="IB44" s="9" t="str">
        <f t="array" ref="IB44">IF(IB$11&gt;=0,MAX(INDEX(MMULT(inverseG,IA$12:IA$62),$A44+1,1),MAX(strike-$B44,0)),"")</f>
        <v/>
      </c>
      <c r="IC44" s="9" t="str">
        <f t="array" ref="IC44">IF(IC$11&gt;=0,MAX(INDEX(MMULT(inverseG,IB$12:IB$62),$A44+1,1),MAX(strike-$B44,0)),"")</f>
        <v/>
      </c>
      <c r="ID44" s="9" t="str">
        <f t="array" ref="ID44">IF(ID$11&gt;=0,MAX(INDEX(MMULT(inverseG,IC$12:IC$62),$A44+1,1),MAX(strike-$B44,0)),"")</f>
        <v/>
      </c>
      <c r="IE44" s="9" t="str">
        <f t="array" ref="IE44">IF(IE$11&gt;=0,MAX(INDEX(MMULT(inverseG,ID$12:ID$62),$A44+1,1),MAX(strike-$B44,0)),"")</f>
        <v/>
      </c>
      <c r="IF44" s="9" t="str">
        <f t="array" ref="IF44">IF(IF$11&gt;=0,MAX(INDEX(MMULT(inverseG,IE$12:IE$62),$A44+1,1),MAX(strike-$B44,0)),"")</f>
        <v/>
      </c>
      <c r="IG44" s="9" t="str">
        <f t="array" ref="IG44">IF(IG$11&gt;=0,MAX(INDEX(MMULT(inverseG,IF$12:IF$62),$A44+1,1),MAX(strike-$B44,0)),"")</f>
        <v/>
      </c>
      <c r="IH44" s="9" t="str">
        <f t="array" ref="IH44">IF(IH$11&gt;=0,MAX(INDEX(MMULT(inverseG,IG$12:IG$62),$A44+1,1),MAX(strike-$B44,0)),"")</f>
        <v/>
      </c>
      <c r="II44" s="9" t="str">
        <f t="array" ref="II44">IF(II$11&gt;=0,MAX(INDEX(MMULT(inverseG,IH$12:IH$62),$A44+1,1),MAX(strike-$B44,0)),"")</f>
        <v/>
      </c>
      <c r="IJ44" s="9" t="str">
        <f t="array" ref="IJ44">IF(IJ$11&gt;=0,MAX(INDEX(MMULT(inverseG,II$12:II$62),$A44+1,1),MAX(strike-$B44,0)),"")</f>
        <v/>
      </c>
      <c r="IK44" s="9" t="str">
        <f t="array" ref="IK44">IF(IK$11&gt;=0,MAX(INDEX(MMULT(inverseG,IJ$12:IJ$62),$A44+1,1),MAX(strike-$B44,0)),"")</f>
        <v/>
      </c>
      <c r="IL44" s="9" t="str">
        <f t="array" ref="IL44">IF(IL$11&gt;=0,MAX(INDEX(MMULT(inverseG,IK$12:IK$62),$A44+1,1),MAX(strike-$B44,0)),"")</f>
        <v/>
      </c>
      <c r="IM44" s="9" t="str">
        <f t="array" ref="IM44">IF(IM$11&gt;=0,MAX(INDEX(MMULT(inverseG,IL$12:IL$62),$A44+1,1),MAX(strike-$B44,0)),"")</f>
        <v/>
      </c>
      <c r="IN44" s="9" t="str">
        <f t="array" ref="IN44">IF(IN$11&gt;=0,MAX(INDEX(MMULT(inverseG,IM$12:IM$62),$A44+1,1),MAX(strike-$B44,0)),"")</f>
        <v/>
      </c>
      <c r="IO44" s="9" t="str">
        <f t="array" ref="IO44">IF(IO$11&gt;=0,MAX(INDEX(MMULT(inverseG,IN$12:IN$62),$A44+1,1),MAX(strike-$B44,0)),"")</f>
        <v/>
      </c>
      <c r="IP44" s="9" t="str">
        <f t="array" ref="IP44">IF(IP$11&gt;=0,MAX(INDEX(MMULT(inverseG,IO$12:IO$62),$A44+1,1),MAX(strike-$B44,0)),"")</f>
        <v/>
      </c>
      <c r="IQ44" s="9" t="str">
        <f t="array" ref="IQ44">IF(IQ$11&gt;=0,MAX(INDEX(MMULT(inverseG,IP$12:IP$62),$A44+1,1),MAX(strike-$B44,0)),"")</f>
        <v/>
      </c>
      <c r="IR44" s="9" t="str">
        <f t="array" ref="IR44">IF(IR$11&gt;=0,MAX(INDEX(MMULT(inverseG,IQ$12:IQ$62),$A44+1,1),MAX(strike-$B44,0)),"")</f>
        <v/>
      </c>
      <c r="IS44" s="9" t="str">
        <f t="array" ref="IS44">IF(IS$11&gt;=0,MAX(INDEX(MMULT(inverseG,IR$12:IR$62),$A44+1,1),MAX(strike-$B44,0)),"")</f>
        <v/>
      </c>
      <c r="IT44" s="9" t="str">
        <f t="array" ref="IT44">IF(IT$11&gt;=0,MAX(INDEX(MMULT(inverseG,IS$12:IS$62),$A44+1,1),MAX(strike-$B44,0)),"")</f>
        <v/>
      </c>
      <c r="IU44" s="9" t="str">
        <f t="array" ref="IU44">IF(IU$11&gt;=0,MAX(INDEX(MMULT(inverseG,IT$12:IT$62),$A44+1,1),MAX(strike-$B44,0)),"")</f>
        <v/>
      </c>
      <c r="IV44" s="9" t="str">
        <f t="array" ref="IV44">IF(IV$11&gt;=0,MAX(INDEX(MMULT(inverseG,IU$12:IU$62),$A44+1,1),MAX(strike-$B44,0)),"")</f>
        <v/>
      </c>
    </row>
    <row r="45" spans="1:256" x14ac:dyDescent="0.2">
      <c r="A45" s="8">
        <f t="shared" si="7"/>
        <v>33</v>
      </c>
      <c r="B45" s="6">
        <f t="shared" si="8"/>
        <v>8.25</v>
      </c>
      <c r="C45" s="30">
        <f t="shared" ca="1" si="6"/>
        <v>0.14371949790256508</v>
      </c>
      <c r="D45" s="9">
        <f t="shared" si="9"/>
        <v>0</v>
      </c>
      <c r="E45" s="9">
        <f t="array" ref="E45">IF(E$11&gt;=0,MAX(INDEX(MMULT(inverseG,D$12:D$62),$A45+1,1),MAX(strike-$B45,0)),"")</f>
        <v>3.4935890532179798E-7</v>
      </c>
      <c r="F45" s="9">
        <f t="array" ref="F45">IF(F$11&gt;=0,MAX(INDEX(MMULT(inverseG,E$12:E$62),$A45+1,1),MAX(strike-$B45,0)),"")</f>
        <v>2.528541084916659E-6</v>
      </c>
      <c r="G45" s="9">
        <f t="array" ref="G45">IF(G$11&gt;=0,MAX(INDEX(MMULT(inverseG,F$12:F$62),$A45+1,1),MAX(strike-$B45,0)),"")</f>
        <v>1.000024719068747E-5</v>
      </c>
      <c r="H45" s="9">
        <f t="array" ref="H45">IF(H$11&gt;=0,MAX(INDEX(MMULT(inverseG,G$12:G$62),$A45+1,1),MAX(strike-$B45,0)),"")</f>
        <v>2.8685009312549234E-5</v>
      </c>
      <c r="I45" s="9">
        <f t="array" ref="I45">IF(I$11&gt;=0,MAX(INDEX(MMULT(inverseG,H$12:H$62),$A45+1,1),MAX(strike-$B45,0)),"")</f>
        <v>6.6856358525174025E-5</v>
      </c>
      <c r="J45" s="9">
        <f t="array" ref="J45">IF(J$11&gt;=0,MAX(INDEX(MMULT(inverseG,I$12:I$62),$A45+1,1),MAX(strike-$B45,0)),"")</f>
        <v>1.3453316803639748E-4</v>
      </c>
      <c r="K45" s="9">
        <f t="array" ref="K45">IF(K$11&gt;=0,MAX(INDEX(MMULT(inverseG,J$12:J$62),$A45+1,1),MAX(strike-$B45,0)),"")</f>
        <v>2.4259991695871152E-4</v>
      </c>
      <c r="L45" s="9">
        <f t="array" ref="L45">IF(L$11&gt;=0,MAX(INDEX(MMULT(inverseG,K$12:K$62),$A45+1,1),MAX(strike-$B45,0)),"")</f>
        <v>4.0189617212396981E-4</v>
      </c>
      <c r="M45" s="9">
        <f t="array" ref="M45">IF(M$11&gt;=0,MAX(INDEX(MMULT(inverseG,L$12:L$62),$A45+1,1),MAX(strike-$B45,0)),"")</f>
        <v>6.2244620649094481E-4</v>
      </c>
      <c r="N45" s="9">
        <f t="array" ref="N45">IF(N$11&gt;=0,MAX(INDEX(MMULT(inverseG,M$12:M$62),$A45+1,1),MAX(strike-$B45,0)),"")</f>
        <v>9.1291104511995874E-4</v>
      </c>
      <c r="O45" s="9">
        <f t="array" ref="O45">IF(O$11&gt;=0,MAX(INDEX(MMULT(inverseG,N$12:N$62),$A45+1,1),MAX(strike-$B45,0)),"")</f>
        <v>1.2802741225938132E-3</v>
      </c>
      <c r="P45" s="9">
        <f t="array" ref="P45">IF(P$11&gt;=0,MAX(INDEX(MMULT(inverseG,O$12:O$62),$A45+1,1),MAX(strike-$B45,0)),"")</f>
        <v>1.7297288467723762E-3</v>
      </c>
      <c r="Q45" s="9">
        <f t="array" ref="Q45">IF(Q$11&gt;=0,MAX(INDEX(MMULT(inverseG,P$12:P$62),$A45+1,1),MAX(strike-$B45,0)),"")</f>
        <v>2.2647182685109524E-3</v>
      </c>
      <c r="R45" s="9">
        <f t="array" ref="R45">IF(R$11&gt;=0,MAX(INDEX(MMULT(inverseG,Q$12:Q$62),$A45+1,1),MAX(strike-$B45,0)),"")</f>
        <v>2.8870755579716747E-3</v>
      </c>
      <c r="S45" s="9">
        <f t="array" ref="S45">IF(S$11&gt;=0,MAX(INDEX(MMULT(inverseG,R$12:R$62),$A45+1,1),MAX(strike-$B45,0)),"")</f>
        <v>3.5972212656931743E-3</v>
      </c>
      <c r="T45" s="9">
        <f t="array" ref="T45">IF(T$11&gt;=0,MAX(INDEX(MMULT(inverseG,S$12:S$62),$A45+1,1),MAX(strike-$B45,0)),"")</f>
        <v>4.3943838130247092E-3</v>
      </c>
      <c r="U45" s="9">
        <f t="array" ref="U45">IF(U$11&gt;=0,MAX(INDEX(MMULT(inverseG,T$12:T$62),$A45+1,1),MAX(strike-$B45,0)),"")</f>
        <v>5.2768200462365716E-3</v>
      </c>
      <c r="V45" s="9">
        <f t="array" ref="V45">IF(V$11&gt;=0,MAX(INDEX(MMULT(inverseG,U$12:U$62),$A45+1,1),MAX(strike-$B45,0)),"")</f>
        <v>6.2420214607477086E-3</v>
      </c>
      <c r="W45" s="9">
        <f t="array" ref="W45">IF(W$11&gt;=0,MAX(INDEX(MMULT(inverseG,V$12:V$62),$A45+1,1),MAX(strike-$B45,0)),"")</f>
        <v>7.2868983749488914E-3</v>
      </c>
      <c r="X45" s="9">
        <f t="array" ref="X45">IF(X$11&gt;=0,MAX(INDEX(MMULT(inverseG,W$12:W$62),$A45+1,1),MAX(strike-$B45,0)),"")</f>
        <v>8.4079389902305384E-3</v>
      </c>
      <c r="Y45" s="9">
        <f t="array" ref="Y45">IF(Y$11&gt;=0,MAX(INDEX(MMULT(inverseG,X$12:X$62),$A45+1,1),MAX(strike-$B45,0)),"")</f>
        <v>9.6013432534034805E-3</v>
      </c>
      <c r="Z45" s="9">
        <f t="array" ref="Z45">IF(Z$11&gt;=0,MAX(INDEX(MMULT(inverseG,Y$12:Y$62),$A45+1,1),MAX(strike-$B45,0)),"")</f>
        <v>1.0863133153255105E-2</v>
      </c>
      <c r="AA45" s="9">
        <f t="array" ref="AA45">IF(AA$11&gt;=0,MAX(INDEX(MMULT(inverseG,Z$12:Z$62),$A45+1,1),MAX(strike-$B45,0)),"")</f>
        <v>1.2189241924099014E-2</v>
      </c>
      <c r="AB45" s="9">
        <f t="array" ref="AB45">IF(AB$11&gt;=0,MAX(INDEX(MMULT(inverseG,AA$12:AA$62),$A45+1,1),MAX(strike-$B45,0)),"")</f>
        <v>1.3575584914298623E-2</v>
      </c>
      <c r="AC45" s="9">
        <f t="array" ref="AC45">IF(AC$11&gt;=0,MAX(INDEX(MMULT(inverseG,AB$12:AB$62),$A45+1,1),MAX(strike-$B45,0)),"")</f>
        <v>1.5018114840962722E-2</v>
      </c>
      <c r="AD45" s="9">
        <f t="array" ref="AD45">IF(AD$11&gt;=0,MAX(INDEX(MMULT(inverseG,AC$12:AC$62),$A45+1,1),MAX(strike-$B45,0)),"")</f>
        <v>1.6512863950177117E-2</v>
      </c>
      <c r="AE45" s="9">
        <f t="array" ref="AE45">IF(AE$11&gt;=0,MAX(INDEX(MMULT(inverseG,AD$12:AD$62),$A45+1,1),MAX(strike-$B45,0)),"")</f>
        <v>1.8055975331396655E-2</v>
      </c>
      <c r="AF45" s="9">
        <f t="array" ref="AF45">IF(AF$11&gt;=0,MAX(INDEX(MMULT(inverseG,AE$12:AE$62),$A45+1,1),MAX(strike-$B45,0)),"")</f>
        <v>1.9643725348642574E-2</v>
      </c>
      <c r="AG45" s="9">
        <f t="array" ref="AG45">IF(AG$11&gt;=0,MAX(INDEX(MMULT(inverseG,AF$12:AF$62),$A45+1,1),MAX(strike-$B45,0)),"")</f>
        <v>2.127253887674542E-2</v>
      </c>
      <c r="AH45" s="9">
        <f t="array" ref="AH45">IF(AH$11&gt;=0,MAX(INDEX(MMULT(inverseG,AG$12:AG$62),$A45+1,1),MAX(strike-$B45,0)),"")</f>
        <v>2.2938998779474386E-2</v>
      </c>
      <c r="AI45" s="9">
        <f t="array" ref="AI45">IF(AI$11&gt;=0,MAX(INDEX(MMULT(inverseG,AH$12:AH$62),$A45+1,1),MAX(strike-$B45,0)),"")</f>
        <v>2.4639850841488897E-2</v>
      </c>
      <c r="AJ45" s="9">
        <f t="array" ref="AJ45">IF(AJ$11&gt;=0,MAX(INDEX(MMULT(inverseG,AI$12:AI$62),$A45+1,1),MAX(strike-$B45,0)),"")</f>
        <v>2.6372005167503678E-2</v>
      </c>
      <c r="AK45" s="9">
        <f t="array" ref="AK45">IF(AK$11&gt;=0,MAX(INDEX(MMULT(inverseG,AJ$12:AJ$62),$A45+1,1),MAX(strike-$B45,0)),"")</f>
        <v>2.8132534888352982E-2</v>
      </c>
      <c r="AL45" s="9">
        <f t="array" ref="AL45">IF(AL$11&gt;=0,MAX(INDEX(MMULT(inverseG,AK$12:AK$62),$A45+1,1),MAX(strike-$B45,0)),"")</f>
        <v>2.991867286285177E-2</v>
      </c>
      <c r="AM45" s="9">
        <f t="array" ref="AM45">IF(AM$11&gt;=0,MAX(INDEX(MMULT(inverseG,AL$12:AL$62),$A45+1,1),MAX(strike-$B45,0)),"")</f>
        <v>3.1727806934528223E-2</v>
      </c>
      <c r="AN45" s="9">
        <f t="array" ref="AN45">IF(AN$11&gt;=0,MAX(INDEX(MMULT(inverseG,AM$12:AM$62),$A45+1,1),MAX(strike-$B45,0)),"")</f>
        <v>3.3557474191539163E-2</v>
      </c>
      <c r="AO45" s="9">
        <f t="array" ref="AO45">IF(AO$11&gt;=0,MAX(INDEX(MMULT(inverseG,AN$12:AN$62),$A45+1,1),MAX(strike-$B45,0)),"")</f>
        <v>3.5405354585791277E-2</v>
      </c>
      <c r="AP45" s="9">
        <f t="array" ref="AP45">IF(AP$11&gt;=0,MAX(INDEX(MMULT(inverseG,AO$12:AO$62),$A45+1,1),MAX(strike-$B45,0)),"")</f>
        <v>3.7269264193200598E-2</v>
      </c>
      <c r="AQ45" s="9">
        <f t="array" ref="AQ45">IF(AQ$11&gt;=0,MAX(INDEX(MMULT(inverseG,AP$12:AP$62),$A45+1,1),MAX(strike-$B45,0)),"")</f>
        <v>3.9147148338850378E-2</v>
      </c>
      <c r="AR45" s="9">
        <f t="array" ref="AR45">IF(AR$11&gt;=0,MAX(INDEX(MMULT(inverseG,AQ$12:AQ$62),$A45+1,1),MAX(strike-$B45,0)),"")</f>
        <v>4.1037074763869356E-2</v>
      </c>
      <c r="AS45" s="9">
        <f t="array" ref="AS45">IF(AS$11&gt;=0,MAX(INDEX(MMULT(inverseG,AR$12:AR$62),$A45+1,1),MAX(strike-$B45,0)),"")</f>
        <v>4.2937226969970141E-2</v>
      </c>
      <c r="AT45" s="9">
        <f t="array" ref="AT45">IF(AT$11&gt;=0,MAX(INDEX(MMULT(inverseG,AS$12:AS$62),$A45+1,1),MAX(strike-$B45,0)),"")</f>
        <v>4.4845897839349405E-2</v>
      </c>
      <c r="AU45" s="9">
        <f t="array" ref="AU45">IF(AU$11&gt;=0,MAX(INDEX(MMULT(inverseG,AT$12:AT$62),$A45+1,1),MAX(strike-$B45,0)),"")</f>
        <v>4.6761483591336445E-2</v>
      </c>
      <c r="AV45" s="9">
        <f t="array" ref="AV45">IF(AV$11&gt;=0,MAX(INDEX(MMULT(inverseG,AU$12:AU$62),$A45+1,1),MAX(strike-$B45,0)),"")</f>
        <v>4.8682478104165983E-2</v>
      </c>
      <c r="AW45" s="9">
        <f t="array" ref="AW45">IF(AW$11&gt;=0,MAX(INDEX(MMULT(inverseG,AV$12:AV$62),$A45+1,1),MAX(strike-$B45,0)),"")</f>
        <v>5.0607467602686931E-2</v>
      </c>
      <c r="AX45" s="9">
        <f t="array" ref="AX45">IF(AX$11&gt;=0,MAX(INDEX(MMULT(inverseG,AW$12:AW$62),$A45+1,1),MAX(strike-$B45,0)),"")</f>
        <v>5.2535125692388794E-2</v>
      </c>
      <c r="AY45" s="9">
        <f t="array" ref="AY45">IF(AY$11&gt;=0,MAX(INDEX(MMULT(inverseG,AX$12:AX$62),$A45+1,1),MAX(strike-$B45,0)),"")</f>
        <v>5.4464208707413003E-2</v>
      </c>
      <c r="AZ45" s="9">
        <f t="array" ref="AZ45">IF(AZ$11&gt;=0,MAX(INDEX(MMULT(inverseG,AY$12:AY$62),$A45+1,1),MAX(strike-$B45,0)),"")</f>
        <v>5.6393551334640801E-2</v>
      </c>
      <c r="BA45" s="9">
        <f t="array" ref="BA45">IF(BA$11&gt;=0,MAX(INDEX(MMULT(inverseG,AZ$12:AZ$62),$A45+1,1),MAX(strike-$B45,0)),"")</f>
        <v>5.8322062476108757E-2</v>
      </c>
      <c r="BB45" s="9">
        <f t="array" ref="BB45">IF(BB$11&gt;=0,MAX(INDEX(MMULT(inverseG,BA$12:BA$62),$A45+1,1),MAX(strike-$B45,0)),"")</f>
        <v>6.0248721316104016E-2</v>
      </c>
      <c r="BC45" s="9">
        <f t="array" ref="BC45">IF(BC$11&gt;=0,MAX(INDEX(MMULT(inverseG,BB$12:BB$62),$A45+1,1),MAX(strike-$B45,0)),"")</f>
        <v>6.2172573565574832E-2</v>
      </c>
      <c r="BD45" s="9">
        <f t="array" ref="BD45">IF(BD$11&gt;=0,MAX(INDEX(MMULT(inverseG,BC$12:BC$62),$A45+1,1),MAX(strike-$B45,0)),"")</f>
        <v>6.4092727863478444E-2</v>
      </c>
      <c r="BE45" s="9">
        <f t="array" ref="BE45">IF(BE$11&gt;=0,MAX(INDEX(MMULT(inverseG,BD$12:BD$62),$A45+1,1),MAX(strike-$B45,0)),"")</f>
        <v>6.6008352321306765E-2</v>
      </c>
      <c r="BF45" s="9">
        <f t="array" ref="BF45">IF(BF$11&gt;=0,MAX(INDEX(MMULT(inverseG,BE$12:BE$62),$A45+1,1),MAX(strike-$B45,0)),"")</f>
        <v>6.7918671202631758E-2</v>
      </c>
      <c r="BG45" s="9">
        <f t="array" ref="BG45">IF(BG$11&gt;=0,MAX(INDEX(MMULT(inverseG,BF$12:BF$62),$A45+1,1),MAX(strike-$B45,0)),"")</f>
        <v>6.9822961733790143E-2</v>
      </c>
      <c r="BH45" s="9">
        <f t="array" ref="BH45">IF(BH$11&gt;=0,MAX(INDEX(MMULT(inverseG,BG$12:BG$62),$A45+1,1),MAX(strike-$B45,0)),"")</f>
        <v>7.1720551044747755E-2</v>
      </c>
      <c r="BI45" s="9">
        <f t="array" ref="BI45">IF(BI$11&gt;=0,MAX(INDEX(MMULT(inverseG,BH$12:BH$62),$A45+1,1),MAX(strike-$B45,0)),"")</f>
        <v>7.361081324087447E-2</v>
      </c>
      <c r="BJ45" s="9">
        <f t="array" ref="BJ45">IF(BJ$11&gt;=0,MAX(INDEX(MMULT(inverseG,BI$12:BI$62),$A45+1,1),MAX(strike-$B45,0)),"")</f>
        <v>7.5493166607043291E-2</v>
      </c>
      <c r="BK45" s="9">
        <f t="array" ref="BK45">IF(BK$11&gt;=0,MAX(INDEX(MMULT(inverseG,BJ$12:BJ$62),$A45+1,1),MAX(strike-$B45,0)),"")</f>
        <v>7.7367070945391775E-2</v>
      </c>
      <c r="BL45" s="9">
        <f t="array" ref="BL45">IF(BL$11&gt;=0,MAX(INDEX(MMULT(inverseG,BK$12:BK$62),$A45+1,1),MAX(strike-$B45,0)),"")</f>
        <v>7.9232025047490606E-2</v>
      </c>
      <c r="BM45" s="9">
        <f t="array" ref="BM45">IF(BM$11&gt;=0,MAX(INDEX(MMULT(inverseG,BL$12:BL$62),$A45+1,1),MAX(strike-$B45,0)),"")</f>
        <v>8.1087564300765635E-2</v>
      </c>
      <c r="BN45" s="9">
        <f t="array" ref="BN45">IF(BN$11&gt;=0,MAX(INDEX(MMULT(inverseG,BM$12:BM$62),$A45+1,1),MAX(strike-$B45,0)),"")</f>
        <v>8.2933258427979925E-2</v>
      </c>
      <c r="BO45" s="9">
        <f t="array" ref="BO45">IF(BO$11&gt;=0,MAX(INDEX(MMULT(inverseG,BN$12:BN$62),$A45+1,1),MAX(strike-$B45,0)),"")</f>
        <v>8.4768709357532043E-2</v>
      </c>
      <c r="BP45" s="9">
        <f t="array" ref="BP45">IF(BP$11&gt;=0,MAX(INDEX(MMULT(inverseG,BO$12:BO$62),$A45+1,1),MAX(strike-$B45,0)),"")</f>
        <v>8.6593549221347405E-2</v>
      </c>
      <c r="BQ45" s="9">
        <f t="array" ref="BQ45">IF(BQ$11&gt;=0,MAX(INDEX(MMULT(inverseG,BP$12:BP$62),$A45+1,1),MAX(strike-$B45,0)),"")</f>
        <v>8.8407438476289055E-2</v>
      </c>
      <c r="BR45" s="9">
        <f t="array" ref="BR45">IF(BR$11&gt;=0,MAX(INDEX(MMULT(inverseG,BQ$12:BQ$62),$A45+1,1),MAX(strike-$B45,0)),"")</f>
        <v>9.0210064144318147E-2</v>
      </c>
      <c r="BS45" s="9">
        <f t="array" ref="BS45">IF(BS$11&gt;=0,MAX(INDEX(MMULT(inverseG,BR$12:BR$62),$A45+1,1),MAX(strike-$B45,0)),"")</f>
        <v>9.2001138166102198E-2</v>
      </c>
      <c r="BT45" s="9">
        <f t="array" ref="BT45">IF(BT$11&gt;=0,MAX(INDEX(MMULT(inverseG,BS$12:BS$62),$A45+1,1),MAX(strike-$B45,0)),"")</f>
        <v>9.3780395862395366E-2</v>
      </c>
      <c r="BU45" s="9">
        <f t="array" ref="BU45">IF(BU$11&gt;=0,MAX(INDEX(MMULT(inverseG,BT$12:BT$62),$A45+1,1),MAX(strike-$B45,0)),"")</f>
        <v>9.5547594497291194E-2</v>
      </c>
      <c r="BV45" s="9">
        <f t="array" ref="BV45">IF(BV$11&gt;=0,MAX(INDEX(MMULT(inverseG,BU$12:BU$62),$A45+1,1),MAX(strike-$B45,0)),"")</f>
        <v>9.7302511937347611E-2</v>
      </c>
      <c r="BW45" s="9">
        <f t="array" ref="BW45">IF(BW$11&gt;=0,MAX(INDEX(MMULT(inverseG,BV$12:BV$62),$A45+1,1),MAX(strike-$B45,0)),"")</f>
        <v>9.9044945400597301E-2</v>
      </c>
      <c r="BX45" s="9">
        <f t="array" ref="BX45">IF(BX$11&gt;=0,MAX(INDEX(MMULT(inverseG,BW$12:BW$62),$A45+1,1),MAX(strike-$B45,0)),"")</f>
        <v>0.10077471028955542</v>
      </c>
      <c r="BY45" s="9">
        <f t="array" ref="BY45">IF(BY$11&gt;=0,MAX(INDEX(MMULT(inverseG,BX$12:BX$62),$A45+1,1),MAX(strike-$B45,0)),"")</f>
        <v>0.10249163910250712</v>
      </c>
      <c r="BZ45" s="9">
        <f t="array" ref="BZ45">IF(BZ$11&gt;=0,MAX(INDEX(MMULT(inverseG,BY$12:BY$62),$A45+1,1),MAX(strike-$B45,0)),"")</f>
        <v>0.1041955804175783</v>
      </c>
      <c r="CA45" s="9">
        <f t="array" ref="CA45">IF(CA$11&gt;=0,MAX(INDEX(MMULT(inverseG,BZ$12:BZ$62),$A45+1,1),MAX(strike-$B45,0)),"")</f>
        <v>0.10588639794435385</v>
      </c>
      <c r="CB45" s="9">
        <f t="array" ref="CB45">IF(CB$11&gt;=0,MAX(INDEX(MMULT(inverseG,CA$12:CA$62),$A45+1,1),MAX(strike-$B45,0)),"")</f>
        <v>0.10756396963809133</v>
      </c>
      <c r="CC45" s="9">
        <f t="array" ref="CC45">IF(CC$11&gt;=0,MAX(INDEX(MMULT(inverseG,CB$12:CB$62),$A45+1,1),MAX(strike-$B45,0)),"")</f>
        <v>0.10922818687187563</v>
      </c>
      <c r="CD45" s="9">
        <f t="array" ref="CD45">IF(CD$11&gt;=0,MAX(INDEX(MMULT(inverseG,CC$12:CC$62),$A45+1,1),MAX(strike-$B45,0)),"")</f>
        <v>0.11087895366236425</v>
      </c>
      <c r="CE45" s="9">
        <f t="array" ref="CE45">IF(CE$11&gt;=0,MAX(INDEX(MMULT(inverseG,CD$12:CD$62),$A45+1,1),MAX(strike-$B45,0)),"")</f>
        <v>0.11251618594507463</v>
      </c>
      <c r="CF45" s="9">
        <f t="array" ref="CF45">IF(CF$11&gt;=0,MAX(INDEX(MMULT(inverseG,CE$12:CE$62),$A45+1,1),MAX(strike-$B45,0)),"")</f>
        <v>0.11413981089546013</v>
      </c>
      <c r="CG45" s="9">
        <f t="array" ref="CG45">IF(CG$11&gt;=0,MAX(INDEX(MMULT(inverseG,CF$12:CF$62),$A45+1,1),MAX(strike-$B45,0)),"")</f>
        <v>0.11574976629230629</v>
      </c>
      <c r="CH45" s="9">
        <f t="array" ref="CH45">IF(CH$11&gt;=0,MAX(INDEX(MMULT(inverseG,CG$12:CG$62),$A45+1,1),MAX(strike-$B45,0)),"")</f>
        <v>0.1173459999202507</v>
      </c>
      <c r="CI45" s="9">
        <f t="array" ref="CI45">IF(CI$11&gt;=0,MAX(INDEX(MMULT(inverseG,CH$12:CH$62),$A45+1,1),MAX(strike-$B45,0)),"")</f>
        <v>0.11892846900848739</v>
      </c>
      <c r="CJ45" s="9">
        <f t="array" ref="CJ45">IF(CJ$11&gt;=0,MAX(INDEX(MMULT(inverseG,CI$12:CI$62),$A45+1,1),MAX(strike-$B45,0)),"")</f>
        <v>0.12049713970295615</v>
      </c>
      <c r="CK45" s="9">
        <f t="array" ref="CK45">IF(CK$11&gt;=0,MAX(INDEX(MMULT(inverseG,CJ$12:CJ$62),$A45+1,1),MAX(strike-$B45,0)),"")</f>
        <v>0.12205198656954418</v>
      </c>
      <c r="CL45" s="9">
        <f t="array" ref="CL45">IF(CL$11&gt;=0,MAX(INDEX(MMULT(inverseG,CK$12:CK$62),$A45+1,1),MAX(strike-$B45,0)),"")</f>
        <v>0.12359299212603216</v>
      </c>
      <c r="CM45" s="9">
        <f t="array" ref="CM45">IF(CM$11&gt;=0,MAX(INDEX(MMULT(inverseG,CL$12:CL$62),$A45+1,1),MAX(strike-$B45,0)),"")</f>
        <v>0.1251201464007132</v>
      </c>
      <c r="CN45" s="9">
        <f t="array" ref="CN45">IF(CN$11&gt;=0,MAX(INDEX(MMULT(inverseG,CM$12:CM$62),$A45+1,1),MAX(strike-$B45,0)),"")</f>
        <v>0.12663344651578587</v>
      </c>
      <c r="CO45" s="9">
        <f t="array" ref="CO45">IF(CO$11&gt;=0,MAX(INDEX(MMULT(inverseG,CN$12:CN$62),$A45+1,1),MAX(strike-$B45,0)),"")</f>
        <v>0.12813289629378719</v>
      </c>
      <c r="CP45" s="9">
        <f t="array" ref="CP45">IF(CP$11&gt;=0,MAX(INDEX(MMULT(inverseG,CO$12:CO$62),$A45+1,1),MAX(strike-$B45,0)),"")</f>
        <v>0.12961850588547658</v>
      </c>
      <c r="CQ45" s="9">
        <f t="array" ref="CQ45">IF(CQ$11&gt;=0,MAX(INDEX(MMULT(inverseG,CP$12:CP$62),$A45+1,1),MAX(strike-$B45,0)),"")</f>
        <v>0.13109029141771997</v>
      </c>
      <c r="CR45" s="9">
        <f t="array" ref="CR45">IF(CR$11&gt;=0,MAX(INDEX(MMULT(inverseG,CQ$12:CQ$62),$A45+1,1),MAX(strike-$B45,0)),"")</f>
        <v>0.13254827466004224</v>
      </c>
      <c r="CS45" s="9">
        <f t="array" ref="CS45">IF(CS$11&gt;=0,MAX(INDEX(MMULT(inverseG,CR$12:CR$62),$A45+1,1),MAX(strike-$B45,0)),"")</f>
        <v>0.13399248270867944</v>
      </c>
      <c r="CT45" s="9">
        <f t="array" ref="CT45">IF(CT$11&gt;=0,MAX(INDEX(MMULT(inverseG,CS$12:CS$62),$A45+1,1),MAX(strike-$B45,0)),"")</f>
        <v>0.13542294768728336</v>
      </c>
      <c r="CU45" s="9">
        <f t="array" ref="CU45">IF(CU$11&gt;=0,MAX(INDEX(MMULT(inverseG,CT$12:CT$62),$A45+1,1),MAX(strike-$B45,0)),"")</f>
        <v>0.13683970646401833</v>
      </c>
      <c r="CV45" s="9">
        <f t="array" ref="CV45">IF(CV$11&gt;=0,MAX(INDEX(MMULT(inverseG,CU$12:CU$62),$A45+1,1),MAX(strike-$B45,0)),"")</f>
        <v>0.13824280038558789</v>
      </c>
      <c r="CW45" s="9">
        <f t="array" ref="CW45">IF(CW$11&gt;=0,MAX(INDEX(MMULT(inverseG,CV$12:CV$62),$A45+1,1),MAX(strike-$B45,0)),"")</f>
        <v>0.13963227502950434</v>
      </c>
      <c r="CX45" s="9">
        <f t="array" ref="CX45">IF(CX$11&gt;=0,MAX(INDEX(MMULT(inverseG,CW$12:CW$62),$A45+1,1),MAX(strike-$B45,0)),"")</f>
        <v>0.14100817997635653</v>
      </c>
      <c r="CY45" s="9">
        <f t="array" ref="CY45">IF(CY$11&gt;=0,MAX(INDEX(MMULT(inverseG,CX$12:CX$62),$A45+1,1),MAX(strike-$B45,0)),"")</f>
        <v>0.14237056860371183</v>
      </c>
      <c r="CZ45" s="9">
        <f t="array" ref="CZ45">IF(CZ$11&gt;=0,MAX(INDEX(MMULT(inverseG,CY$12:CY$62),$A45+1,1),MAX(strike-$B45,0)),"")</f>
        <v>0.14371949790256508</v>
      </c>
      <c r="DA45" s="9" t="str">
        <f t="array" ref="DA45">IF(DA$11&gt;=0,MAX(INDEX(MMULT(inverseG,CZ$12:CZ$62),$A45+1,1),MAX(strike-$B45,0)),"")</f>
        <v/>
      </c>
      <c r="DB45" s="9" t="str">
        <f t="array" ref="DB45">IF(DB$11&gt;=0,MAX(INDEX(MMULT(inverseG,DA$12:DA$62),$A45+1,1),MAX(strike-$B45,0)),"")</f>
        <v/>
      </c>
      <c r="DC45" s="9" t="str">
        <f t="array" ref="DC45">IF(DC$11&gt;=0,MAX(INDEX(MMULT(inverseG,DB$12:DB$62),$A45+1,1),MAX(strike-$B45,0)),"")</f>
        <v/>
      </c>
      <c r="DD45" s="9" t="str">
        <f t="array" ref="DD45">IF(DD$11&gt;=0,MAX(INDEX(MMULT(inverseG,DC$12:DC$62),$A45+1,1),MAX(strike-$B45,0)),"")</f>
        <v/>
      </c>
      <c r="DE45" s="9" t="str">
        <f t="array" ref="DE45">IF(DE$11&gt;=0,MAX(INDEX(MMULT(inverseG,DD$12:DD$62),$A45+1,1),MAX(strike-$B45,0)),"")</f>
        <v/>
      </c>
      <c r="DF45" s="9" t="str">
        <f t="array" ref="DF45">IF(DF$11&gt;=0,MAX(INDEX(MMULT(inverseG,DE$12:DE$62),$A45+1,1),MAX(strike-$B45,0)),"")</f>
        <v/>
      </c>
      <c r="DG45" s="9" t="str">
        <f t="array" ref="DG45">IF(DG$11&gt;=0,MAX(INDEX(MMULT(inverseG,DF$12:DF$62),$A45+1,1),MAX(strike-$B45,0)),"")</f>
        <v/>
      </c>
      <c r="DH45" s="9" t="str">
        <f t="array" ref="DH45">IF(DH$11&gt;=0,MAX(INDEX(MMULT(inverseG,DG$12:DG$62),$A45+1,1),MAX(strike-$B45,0)),"")</f>
        <v/>
      </c>
      <c r="DI45" s="9" t="str">
        <f t="array" ref="DI45">IF(DI$11&gt;=0,MAX(INDEX(MMULT(inverseG,DH$12:DH$62),$A45+1,1),MAX(strike-$B45,0)),"")</f>
        <v/>
      </c>
      <c r="DJ45" s="9" t="str">
        <f t="array" ref="DJ45">IF(DJ$11&gt;=0,MAX(INDEX(MMULT(inverseG,DI$12:DI$62),$A45+1,1),MAX(strike-$B45,0)),"")</f>
        <v/>
      </c>
      <c r="DK45" s="9" t="str">
        <f t="array" ref="DK45">IF(DK$11&gt;=0,MAX(INDEX(MMULT(inverseG,DJ$12:DJ$62),$A45+1,1),MAX(strike-$B45,0)),"")</f>
        <v/>
      </c>
      <c r="DL45" s="9" t="str">
        <f t="array" ref="DL45">IF(DL$11&gt;=0,MAX(INDEX(MMULT(inverseG,DK$12:DK$62),$A45+1,1),MAX(strike-$B45,0)),"")</f>
        <v/>
      </c>
      <c r="DM45" s="9" t="str">
        <f t="array" ref="DM45">IF(DM$11&gt;=0,MAX(INDEX(MMULT(inverseG,DL$12:DL$62),$A45+1,1),MAX(strike-$B45,0)),"")</f>
        <v/>
      </c>
      <c r="DN45" s="9" t="str">
        <f t="array" ref="DN45">IF(DN$11&gt;=0,MAX(INDEX(MMULT(inverseG,DM$12:DM$62),$A45+1,1),MAX(strike-$B45,0)),"")</f>
        <v/>
      </c>
      <c r="DO45" s="9" t="str">
        <f t="array" ref="DO45">IF(DO$11&gt;=0,MAX(INDEX(MMULT(inverseG,DN$12:DN$62),$A45+1,1),MAX(strike-$B45,0)),"")</f>
        <v/>
      </c>
      <c r="DP45" s="9" t="str">
        <f t="array" ref="DP45">IF(DP$11&gt;=0,MAX(INDEX(MMULT(inverseG,DO$12:DO$62),$A45+1,1),MAX(strike-$B45,0)),"")</f>
        <v/>
      </c>
      <c r="DQ45" s="9" t="str">
        <f t="array" ref="DQ45">IF(DQ$11&gt;=0,MAX(INDEX(MMULT(inverseG,DP$12:DP$62),$A45+1,1),MAX(strike-$B45,0)),"")</f>
        <v/>
      </c>
      <c r="DR45" s="9" t="str">
        <f t="array" ref="DR45">IF(DR$11&gt;=0,MAX(INDEX(MMULT(inverseG,DQ$12:DQ$62),$A45+1,1),MAX(strike-$B45,0)),"")</f>
        <v/>
      </c>
      <c r="DS45" s="9" t="str">
        <f t="array" ref="DS45">IF(DS$11&gt;=0,MAX(INDEX(MMULT(inverseG,DR$12:DR$62),$A45+1,1),MAX(strike-$B45,0)),"")</f>
        <v/>
      </c>
      <c r="DT45" s="9" t="str">
        <f t="array" ref="DT45">IF(DT$11&gt;=0,MAX(INDEX(MMULT(inverseG,DS$12:DS$62),$A45+1,1),MAX(strike-$B45,0)),"")</f>
        <v/>
      </c>
      <c r="DU45" s="9" t="str">
        <f t="array" ref="DU45">IF(DU$11&gt;=0,MAX(INDEX(MMULT(inverseG,DT$12:DT$62),$A45+1,1),MAX(strike-$B45,0)),"")</f>
        <v/>
      </c>
      <c r="DV45" s="9" t="str">
        <f t="array" ref="DV45">IF(DV$11&gt;=0,MAX(INDEX(MMULT(inverseG,DU$12:DU$62),$A45+1,1),MAX(strike-$B45,0)),"")</f>
        <v/>
      </c>
      <c r="DW45" s="9" t="str">
        <f t="array" ref="DW45">IF(DW$11&gt;=0,MAX(INDEX(MMULT(inverseG,DV$12:DV$62),$A45+1,1),MAX(strike-$B45,0)),"")</f>
        <v/>
      </c>
      <c r="DX45" s="9" t="str">
        <f t="array" ref="DX45">IF(DX$11&gt;=0,MAX(INDEX(MMULT(inverseG,DW$12:DW$62),$A45+1,1),MAX(strike-$B45,0)),"")</f>
        <v/>
      </c>
      <c r="DY45" s="9" t="str">
        <f t="array" ref="DY45">IF(DY$11&gt;=0,MAX(INDEX(MMULT(inverseG,DX$12:DX$62),$A45+1,1),MAX(strike-$B45,0)),"")</f>
        <v/>
      </c>
      <c r="DZ45" s="9" t="str">
        <f t="array" ref="DZ45">IF(DZ$11&gt;=0,MAX(INDEX(MMULT(inverseG,DY$12:DY$62),$A45+1,1),MAX(strike-$B45,0)),"")</f>
        <v/>
      </c>
      <c r="EA45" s="9" t="str">
        <f t="array" ref="EA45">IF(EA$11&gt;=0,MAX(INDEX(MMULT(inverseG,DZ$12:DZ$62),$A45+1,1),MAX(strike-$B45,0)),"")</f>
        <v/>
      </c>
      <c r="EB45" s="9" t="str">
        <f t="array" ref="EB45">IF(EB$11&gt;=0,MAX(INDEX(MMULT(inverseG,EA$12:EA$62),$A45+1,1),MAX(strike-$B45,0)),"")</f>
        <v/>
      </c>
      <c r="EC45" s="9" t="str">
        <f t="array" ref="EC45">IF(EC$11&gt;=0,MAX(INDEX(MMULT(inverseG,EB$12:EB$62),$A45+1,1),MAX(strike-$B45,0)),"")</f>
        <v/>
      </c>
      <c r="ED45" s="9" t="str">
        <f t="array" ref="ED45">IF(ED$11&gt;=0,MAX(INDEX(MMULT(inverseG,EC$12:EC$62),$A45+1,1),MAX(strike-$B45,0)),"")</f>
        <v/>
      </c>
      <c r="EE45" s="9" t="str">
        <f t="array" ref="EE45">IF(EE$11&gt;=0,MAX(INDEX(MMULT(inverseG,ED$12:ED$62),$A45+1,1),MAX(strike-$B45,0)),"")</f>
        <v/>
      </c>
      <c r="EF45" s="9" t="str">
        <f t="array" ref="EF45">IF(EF$11&gt;=0,MAX(INDEX(MMULT(inverseG,EE$12:EE$62),$A45+1,1),MAX(strike-$B45,0)),"")</f>
        <v/>
      </c>
      <c r="EG45" s="9" t="str">
        <f t="array" ref="EG45">IF(EG$11&gt;=0,MAX(INDEX(MMULT(inverseG,EF$12:EF$62),$A45+1,1),MAX(strike-$B45,0)),"")</f>
        <v/>
      </c>
      <c r="EH45" s="9" t="str">
        <f t="array" ref="EH45">IF(EH$11&gt;=0,MAX(INDEX(MMULT(inverseG,EG$12:EG$62),$A45+1,1),MAX(strike-$B45,0)),"")</f>
        <v/>
      </c>
      <c r="EI45" s="9" t="str">
        <f t="array" ref="EI45">IF(EI$11&gt;=0,MAX(INDEX(MMULT(inverseG,EH$12:EH$62),$A45+1,1),MAX(strike-$B45,0)),"")</f>
        <v/>
      </c>
      <c r="EJ45" s="9" t="str">
        <f t="array" ref="EJ45">IF(EJ$11&gt;=0,MAX(INDEX(MMULT(inverseG,EI$12:EI$62),$A45+1,1),MAX(strike-$B45,0)),"")</f>
        <v/>
      </c>
      <c r="EK45" s="9" t="str">
        <f t="array" ref="EK45">IF(EK$11&gt;=0,MAX(INDEX(MMULT(inverseG,EJ$12:EJ$62),$A45+1,1),MAX(strike-$B45,0)),"")</f>
        <v/>
      </c>
      <c r="EL45" s="9" t="str">
        <f t="array" ref="EL45">IF(EL$11&gt;=0,MAX(INDEX(MMULT(inverseG,EK$12:EK$62),$A45+1,1),MAX(strike-$B45,0)),"")</f>
        <v/>
      </c>
      <c r="EM45" s="9" t="str">
        <f t="array" ref="EM45">IF(EM$11&gt;=0,MAX(INDEX(MMULT(inverseG,EL$12:EL$62),$A45+1,1),MAX(strike-$B45,0)),"")</f>
        <v/>
      </c>
      <c r="EN45" s="9" t="str">
        <f t="array" ref="EN45">IF(EN$11&gt;=0,MAX(INDEX(MMULT(inverseG,EM$12:EM$62),$A45+1,1),MAX(strike-$B45,0)),"")</f>
        <v/>
      </c>
      <c r="EO45" s="9" t="str">
        <f t="array" ref="EO45">IF(EO$11&gt;=0,MAX(INDEX(MMULT(inverseG,EN$12:EN$62),$A45+1,1),MAX(strike-$B45,0)),"")</f>
        <v/>
      </c>
      <c r="EP45" s="9" t="str">
        <f t="array" ref="EP45">IF(EP$11&gt;=0,MAX(INDEX(MMULT(inverseG,EO$12:EO$62),$A45+1,1),MAX(strike-$B45,0)),"")</f>
        <v/>
      </c>
      <c r="EQ45" s="9" t="str">
        <f t="array" ref="EQ45">IF(EQ$11&gt;=0,MAX(INDEX(MMULT(inverseG,EP$12:EP$62),$A45+1,1),MAX(strike-$B45,0)),"")</f>
        <v/>
      </c>
      <c r="ER45" s="9" t="str">
        <f t="array" ref="ER45">IF(ER$11&gt;=0,MAX(INDEX(MMULT(inverseG,EQ$12:EQ$62),$A45+1,1),MAX(strike-$B45,0)),"")</f>
        <v/>
      </c>
      <c r="ES45" s="9" t="str">
        <f t="array" ref="ES45">IF(ES$11&gt;=0,MAX(INDEX(MMULT(inverseG,ER$12:ER$62),$A45+1,1),MAX(strike-$B45,0)),"")</f>
        <v/>
      </c>
      <c r="ET45" s="9" t="str">
        <f t="array" ref="ET45">IF(ET$11&gt;=0,MAX(INDEX(MMULT(inverseG,ES$12:ES$62),$A45+1,1),MAX(strike-$B45,0)),"")</f>
        <v/>
      </c>
      <c r="EU45" s="9" t="str">
        <f t="array" ref="EU45">IF(EU$11&gt;=0,MAX(INDEX(MMULT(inverseG,ET$12:ET$62),$A45+1,1),MAX(strike-$B45,0)),"")</f>
        <v/>
      </c>
      <c r="EV45" s="9" t="str">
        <f t="array" ref="EV45">IF(EV$11&gt;=0,MAX(INDEX(MMULT(inverseG,EU$12:EU$62),$A45+1,1),MAX(strike-$B45,0)),"")</f>
        <v/>
      </c>
      <c r="EW45" s="9" t="str">
        <f t="array" ref="EW45">IF(EW$11&gt;=0,MAX(INDEX(MMULT(inverseG,EV$12:EV$62),$A45+1,1),MAX(strike-$B45,0)),"")</f>
        <v/>
      </c>
      <c r="EX45" s="9" t="str">
        <f t="array" ref="EX45">IF(EX$11&gt;=0,MAX(INDEX(MMULT(inverseG,EW$12:EW$62),$A45+1,1),MAX(strike-$B45,0)),"")</f>
        <v/>
      </c>
      <c r="EY45" s="9" t="str">
        <f t="array" ref="EY45">IF(EY$11&gt;=0,MAX(INDEX(MMULT(inverseG,EX$12:EX$62),$A45+1,1),MAX(strike-$B45,0)),"")</f>
        <v/>
      </c>
      <c r="EZ45" s="9" t="str">
        <f t="array" ref="EZ45">IF(EZ$11&gt;=0,MAX(INDEX(MMULT(inverseG,EY$12:EY$62),$A45+1,1),MAX(strike-$B45,0)),"")</f>
        <v/>
      </c>
      <c r="FA45" s="9" t="str">
        <f t="array" ref="FA45">IF(FA$11&gt;=0,MAX(INDEX(MMULT(inverseG,EZ$12:EZ$62),$A45+1,1),MAX(strike-$B45,0)),"")</f>
        <v/>
      </c>
      <c r="FB45" s="9" t="str">
        <f t="array" ref="FB45">IF(FB$11&gt;=0,MAX(INDEX(MMULT(inverseG,FA$12:FA$62),$A45+1,1),MAX(strike-$B45,0)),"")</f>
        <v/>
      </c>
      <c r="FC45" s="9" t="str">
        <f t="array" ref="FC45">IF(FC$11&gt;=0,MAX(INDEX(MMULT(inverseG,FB$12:FB$62),$A45+1,1),MAX(strike-$B45,0)),"")</f>
        <v/>
      </c>
      <c r="FD45" s="9" t="str">
        <f t="array" ref="FD45">IF(FD$11&gt;=0,MAX(INDEX(MMULT(inverseG,FC$12:FC$62),$A45+1,1),MAX(strike-$B45,0)),"")</f>
        <v/>
      </c>
      <c r="FE45" s="9" t="str">
        <f t="array" ref="FE45">IF(FE$11&gt;=0,MAX(INDEX(MMULT(inverseG,FD$12:FD$62),$A45+1,1),MAX(strike-$B45,0)),"")</f>
        <v/>
      </c>
      <c r="FF45" s="9" t="str">
        <f t="array" ref="FF45">IF(FF$11&gt;=0,MAX(INDEX(MMULT(inverseG,FE$12:FE$62),$A45+1,1),MAX(strike-$B45,0)),"")</f>
        <v/>
      </c>
      <c r="FG45" s="9" t="str">
        <f t="array" ref="FG45">IF(FG$11&gt;=0,MAX(INDEX(MMULT(inverseG,FF$12:FF$62),$A45+1,1),MAX(strike-$B45,0)),"")</f>
        <v/>
      </c>
      <c r="FH45" s="9" t="str">
        <f t="array" ref="FH45">IF(FH$11&gt;=0,MAX(INDEX(MMULT(inverseG,FG$12:FG$62),$A45+1,1),MAX(strike-$B45,0)),"")</f>
        <v/>
      </c>
      <c r="FI45" s="9" t="str">
        <f t="array" ref="FI45">IF(FI$11&gt;=0,MAX(INDEX(MMULT(inverseG,FH$12:FH$62),$A45+1,1),MAX(strike-$B45,0)),"")</f>
        <v/>
      </c>
      <c r="FJ45" s="9" t="str">
        <f t="array" ref="FJ45">IF(FJ$11&gt;=0,MAX(INDEX(MMULT(inverseG,FI$12:FI$62),$A45+1,1),MAX(strike-$B45,0)),"")</f>
        <v/>
      </c>
      <c r="FK45" s="9" t="str">
        <f t="array" ref="FK45">IF(FK$11&gt;=0,MAX(INDEX(MMULT(inverseG,FJ$12:FJ$62),$A45+1,1),MAX(strike-$B45,0)),"")</f>
        <v/>
      </c>
      <c r="FL45" s="9" t="str">
        <f t="array" ref="FL45">IF(FL$11&gt;=0,MAX(INDEX(MMULT(inverseG,FK$12:FK$62),$A45+1,1),MAX(strike-$B45,0)),"")</f>
        <v/>
      </c>
      <c r="FM45" s="9" t="str">
        <f t="array" ref="FM45">IF(FM$11&gt;=0,MAX(INDEX(MMULT(inverseG,FL$12:FL$62),$A45+1,1),MAX(strike-$B45,0)),"")</f>
        <v/>
      </c>
      <c r="FN45" s="9" t="str">
        <f t="array" ref="FN45">IF(FN$11&gt;=0,MAX(INDEX(MMULT(inverseG,FM$12:FM$62),$A45+1,1),MAX(strike-$B45,0)),"")</f>
        <v/>
      </c>
      <c r="FO45" s="9" t="str">
        <f t="array" ref="FO45">IF(FO$11&gt;=0,MAX(INDEX(MMULT(inverseG,FN$12:FN$62),$A45+1,1),MAX(strike-$B45,0)),"")</f>
        <v/>
      </c>
      <c r="FP45" s="9" t="str">
        <f t="array" ref="FP45">IF(FP$11&gt;=0,MAX(INDEX(MMULT(inverseG,FO$12:FO$62),$A45+1,1),MAX(strike-$B45,0)),"")</f>
        <v/>
      </c>
      <c r="FQ45" s="9" t="str">
        <f t="array" ref="FQ45">IF(FQ$11&gt;=0,MAX(INDEX(MMULT(inverseG,FP$12:FP$62),$A45+1,1),MAX(strike-$B45,0)),"")</f>
        <v/>
      </c>
      <c r="FR45" s="9" t="str">
        <f t="array" ref="FR45">IF(FR$11&gt;=0,MAX(INDEX(MMULT(inverseG,FQ$12:FQ$62),$A45+1,1),MAX(strike-$B45,0)),"")</f>
        <v/>
      </c>
      <c r="FS45" s="9" t="str">
        <f t="array" ref="FS45">IF(FS$11&gt;=0,MAX(INDEX(MMULT(inverseG,FR$12:FR$62),$A45+1,1),MAX(strike-$B45,0)),"")</f>
        <v/>
      </c>
      <c r="FT45" s="9" t="str">
        <f t="array" ref="FT45">IF(FT$11&gt;=0,MAX(INDEX(MMULT(inverseG,FS$12:FS$62),$A45+1,1),MAX(strike-$B45,0)),"")</f>
        <v/>
      </c>
      <c r="FU45" s="9" t="str">
        <f t="array" ref="FU45">IF(FU$11&gt;=0,MAX(INDEX(MMULT(inverseG,FT$12:FT$62),$A45+1,1),MAX(strike-$B45,0)),"")</f>
        <v/>
      </c>
      <c r="FV45" s="9" t="str">
        <f t="array" ref="FV45">IF(FV$11&gt;=0,MAX(INDEX(MMULT(inverseG,FU$12:FU$62),$A45+1,1),MAX(strike-$B45,0)),"")</f>
        <v/>
      </c>
      <c r="FW45" s="9" t="str">
        <f t="array" ref="FW45">IF(FW$11&gt;=0,MAX(INDEX(MMULT(inverseG,FV$12:FV$62),$A45+1,1),MAX(strike-$B45,0)),"")</f>
        <v/>
      </c>
      <c r="FX45" s="9" t="str">
        <f t="array" ref="FX45">IF(FX$11&gt;=0,MAX(INDEX(MMULT(inverseG,FW$12:FW$62),$A45+1,1),MAX(strike-$B45,0)),"")</f>
        <v/>
      </c>
      <c r="FY45" s="9" t="str">
        <f t="array" ref="FY45">IF(FY$11&gt;=0,MAX(INDEX(MMULT(inverseG,FX$12:FX$62),$A45+1,1),MAX(strike-$B45,0)),"")</f>
        <v/>
      </c>
      <c r="FZ45" s="9" t="str">
        <f t="array" ref="FZ45">IF(FZ$11&gt;=0,MAX(INDEX(MMULT(inverseG,FY$12:FY$62),$A45+1,1),MAX(strike-$B45,0)),"")</f>
        <v/>
      </c>
      <c r="GA45" s="9" t="str">
        <f t="array" ref="GA45">IF(GA$11&gt;=0,MAX(INDEX(MMULT(inverseG,FZ$12:FZ$62),$A45+1,1),MAX(strike-$B45,0)),"")</f>
        <v/>
      </c>
      <c r="GB45" s="9" t="str">
        <f t="array" ref="GB45">IF(GB$11&gt;=0,MAX(INDEX(MMULT(inverseG,GA$12:GA$62),$A45+1,1),MAX(strike-$B45,0)),"")</f>
        <v/>
      </c>
      <c r="GC45" s="9" t="str">
        <f t="array" ref="GC45">IF(GC$11&gt;=0,MAX(INDEX(MMULT(inverseG,GB$12:GB$62),$A45+1,1),MAX(strike-$B45,0)),"")</f>
        <v/>
      </c>
      <c r="GD45" s="9" t="str">
        <f t="array" ref="GD45">IF(GD$11&gt;=0,MAX(INDEX(MMULT(inverseG,GC$12:GC$62),$A45+1,1),MAX(strike-$B45,0)),"")</f>
        <v/>
      </c>
      <c r="GE45" s="9" t="str">
        <f t="array" ref="GE45">IF(GE$11&gt;=0,MAX(INDEX(MMULT(inverseG,GD$12:GD$62),$A45+1,1),MAX(strike-$B45,0)),"")</f>
        <v/>
      </c>
      <c r="GF45" s="9" t="str">
        <f t="array" ref="GF45">IF(GF$11&gt;=0,MAX(INDEX(MMULT(inverseG,GE$12:GE$62),$A45+1,1),MAX(strike-$B45,0)),"")</f>
        <v/>
      </c>
      <c r="GG45" s="9" t="str">
        <f t="array" ref="GG45">IF(GG$11&gt;=0,MAX(INDEX(MMULT(inverseG,GF$12:GF$62),$A45+1,1),MAX(strike-$B45,0)),"")</f>
        <v/>
      </c>
      <c r="GH45" s="9" t="str">
        <f t="array" ref="GH45">IF(GH$11&gt;=0,MAX(INDEX(MMULT(inverseG,GG$12:GG$62),$A45+1,1),MAX(strike-$B45,0)),"")</f>
        <v/>
      </c>
      <c r="GI45" s="9" t="str">
        <f t="array" ref="GI45">IF(GI$11&gt;=0,MAX(INDEX(MMULT(inverseG,GH$12:GH$62),$A45+1,1),MAX(strike-$B45,0)),"")</f>
        <v/>
      </c>
      <c r="GJ45" s="9" t="str">
        <f t="array" ref="GJ45">IF(GJ$11&gt;=0,MAX(INDEX(MMULT(inverseG,GI$12:GI$62),$A45+1,1),MAX(strike-$B45,0)),"")</f>
        <v/>
      </c>
      <c r="GK45" s="9" t="str">
        <f t="array" ref="GK45">IF(GK$11&gt;=0,MAX(INDEX(MMULT(inverseG,GJ$12:GJ$62),$A45+1,1),MAX(strike-$B45,0)),"")</f>
        <v/>
      </c>
      <c r="GL45" s="9" t="str">
        <f t="array" ref="GL45">IF(GL$11&gt;=0,MAX(INDEX(MMULT(inverseG,GK$12:GK$62),$A45+1,1),MAX(strike-$B45,0)),"")</f>
        <v/>
      </c>
      <c r="GM45" s="9" t="str">
        <f t="array" ref="GM45">IF(GM$11&gt;=0,MAX(INDEX(MMULT(inverseG,GL$12:GL$62),$A45+1,1),MAX(strike-$B45,0)),"")</f>
        <v/>
      </c>
      <c r="GN45" s="9" t="str">
        <f t="array" ref="GN45">IF(GN$11&gt;=0,MAX(INDEX(MMULT(inverseG,GM$12:GM$62),$A45+1,1),MAX(strike-$B45,0)),"")</f>
        <v/>
      </c>
      <c r="GO45" s="9" t="str">
        <f t="array" ref="GO45">IF(GO$11&gt;=0,MAX(INDEX(MMULT(inverseG,GN$12:GN$62),$A45+1,1),MAX(strike-$B45,0)),"")</f>
        <v/>
      </c>
      <c r="GP45" s="9" t="str">
        <f t="array" ref="GP45">IF(GP$11&gt;=0,MAX(INDEX(MMULT(inverseG,GO$12:GO$62),$A45+1,1),MAX(strike-$B45,0)),"")</f>
        <v/>
      </c>
      <c r="GQ45" s="9" t="str">
        <f t="array" ref="GQ45">IF(GQ$11&gt;=0,MAX(INDEX(MMULT(inverseG,GP$12:GP$62),$A45+1,1),MAX(strike-$B45,0)),"")</f>
        <v/>
      </c>
      <c r="GR45" s="9" t="str">
        <f t="array" ref="GR45">IF(GR$11&gt;=0,MAX(INDEX(MMULT(inverseG,GQ$12:GQ$62),$A45+1,1),MAX(strike-$B45,0)),"")</f>
        <v/>
      </c>
      <c r="GS45" s="9" t="str">
        <f t="array" ref="GS45">IF(GS$11&gt;=0,MAX(INDEX(MMULT(inverseG,GR$12:GR$62),$A45+1,1),MAX(strike-$B45,0)),"")</f>
        <v/>
      </c>
      <c r="GT45" s="9" t="str">
        <f t="array" ref="GT45">IF(GT$11&gt;=0,MAX(INDEX(MMULT(inverseG,GS$12:GS$62),$A45+1,1),MAX(strike-$B45,0)),"")</f>
        <v/>
      </c>
      <c r="GU45" s="9" t="str">
        <f t="array" ref="GU45">IF(GU$11&gt;=0,MAX(INDEX(MMULT(inverseG,GT$12:GT$62),$A45+1,1),MAX(strike-$B45,0)),"")</f>
        <v/>
      </c>
      <c r="GV45" s="9" t="str">
        <f t="array" ref="GV45">IF(GV$11&gt;=0,MAX(INDEX(MMULT(inverseG,GU$12:GU$62),$A45+1,1),MAX(strike-$B45,0)),"")</f>
        <v/>
      </c>
      <c r="GW45" s="9" t="str">
        <f t="array" ref="GW45">IF(GW$11&gt;=0,MAX(INDEX(MMULT(inverseG,GV$12:GV$62),$A45+1,1),MAX(strike-$B45,0)),"")</f>
        <v/>
      </c>
      <c r="GX45" s="9" t="str">
        <f t="array" ref="GX45">IF(GX$11&gt;=0,MAX(INDEX(MMULT(inverseG,GW$12:GW$62),$A45+1,1),MAX(strike-$B45,0)),"")</f>
        <v/>
      </c>
      <c r="GY45" s="9" t="str">
        <f t="array" ref="GY45">IF(GY$11&gt;=0,MAX(INDEX(MMULT(inverseG,GX$12:GX$62),$A45+1,1),MAX(strike-$B45,0)),"")</f>
        <v/>
      </c>
      <c r="GZ45" s="9" t="str">
        <f t="array" ref="GZ45">IF(GZ$11&gt;=0,MAX(INDEX(MMULT(inverseG,GY$12:GY$62),$A45+1,1),MAX(strike-$B45,0)),"")</f>
        <v/>
      </c>
      <c r="HA45" s="9" t="str">
        <f t="array" ref="HA45">IF(HA$11&gt;=0,MAX(INDEX(MMULT(inverseG,GZ$12:GZ$62),$A45+1,1),MAX(strike-$B45,0)),"")</f>
        <v/>
      </c>
      <c r="HB45" s="9" t="str">
        <f t="array" ref="HB45">IF(HB$11&gt;=0,MAX(INDEX(MMULT(inverseG,HA$12:HA$62),$A45+1,1),MAX(strike-$B45,0)),"")</f>
        <v/>
      </c>
      <c r="HC45" s="9" t="str">
        <f t="array" ref="HC45">IF(HC$11&gt;=0,MAX(INDEX(MMULT(inverseG,HB$12:HB$62),$A45+1,1),MAX(strike-$B45,0)),"")</f>
        <v/>
      </c>
      <c r="HD45" s="9" t="str">
        <f t="array" ref="HD45">IF(HD$11&gt;=0,MAX(INDEX(MMULT(inverseG,HC$12:HC$62),$A45+1,1),MAX(strike-$B45,0)),"")</f>
        <v/>
      </c>
      <c r="HE45" s="9" t="str">
        <f t="array" ref="HE45">IF(HE$11&gt;=0,MAX(INDEX(MMULT(inverseG,HD$12:HD$62),$A45+1,1),MAX(strike-$B45,0)),"")</f>
        <v/>
      </c>
      <c r="HF45" s="9" t="str">
        <f t="array" ref="HF45">IF(HF$11&gt;=0,MAX(INDEX(MMULT(inverseG,HE$12:HE$62),$A45+1,1),MAX(strike-$B45,0)),"")</f>
        <v/>
      </c>
      <c r="HG45" s="9" t="str">
        <f t="array" ref="HG45">IF(HG$11&gt;=0,MAX(INDEX(MMULT(inverseG,HF$12:HF$62),$A45+1,1),MAX(strike-$B45,0)),"")</f>
        <v/>
      </c>
      <c r="HH45" s="9" t="str">
        <f t="array" ref="HH45">IF(HH$11&gt;=0,MAX(INDEX(MMULT(inverseG,HG$12:HG$62),$A45+1,1),MAX(strike-$B45,0)),"")</f>
        <v/>
      </c>
      <c r="HI45" s="9" t="str">
        <f t="array" ref="HI45">IF(HI$11&gt;=0,MAX(INDEX(MMULT(inverseG,HH$12:HH$62),$A45+1,1),MAX(strike-$B45,0)),"")</f>
        <v/>
      </c>
      <c r="HJ45" s="9" t="str">
        <f t="array" ref="HJ45">IF(HJ$11&gt;=0,MAX(INDEX(MMULT(inverseG,HI$12:HI$62),$A45+1,1),MAX(strike-$B45,0)),"")</f>
        <v/>
      </c>
      <c r="HK45" s="9" t="str">
        <f t="array" ref="HK45">IF(HK$11&gt;=0,MAX(INDEX(MMULT(inverseG,HJ$12:HJ$62),$A45+1,1),MAX(strike-$B45,0)),"")</f>
        <v/>
      </c>
      <c r="HL45" s="9" t="str">
        <f t="array" ref="HL45">IF(HL$11&gt;=0,MAX(INDEX(MMULT(inverseG,HK$12:HK$62),$A45+1,1),MAX(strike-$B45,0)),"")</f>
        <v/>
      </c>
      <c r="HM45" s="9" t="str">
        <f t="array" ref="HM45">IF(HM$11&gt;=0,MAX(INDEX(MMULT(inverseG,HL$12:HL$62),$A45+1,1),MAX(strike-$B45,0)),"")</f>
        <v/>
      </c>
      <c r="HN45" s="9" t="str">
        <f t="array" ref="HN45">IF(HN$11&gt;=0,MAX(INDEX(MMULT(inverseG,HM$12:HM$62),$A45+1,1),MAX(strike-$B45,0)),"")</f>
        <v/>
      </c>
      <c r="HO45" s="9" t="str">
        <f t="array" ref="HO45">IF(HO$11&gt;=0,MAX(INDEX(MMULT(inverseG,HN$12:HN$62),$A45+1,1),MAX(strike-$B45,0)),"")</f>
        <v/>
      </c>
      <c r="HP45" s="9" t="str">
        <f t="array" ref="HP45">IF(HP$11&gt;=0,MAX(INDEX(MMULT(inverseG,HO$12:HO$62),$A45+1,1),MAX(strike-$B45,0)),"")</f>
        <v/>
      </c>
      <c r="HQ45" s="9" t="str">
        <f t="array" ref="HQ45">IF(HQ$11&gt;=0,MAX(INDEX(MMULT(inverseG,HP$12:HP$62),$A45+1,1),MAX(strike-$B45,0)),"")</f>
        <v/>
      </c>
      <c r="HR45" s="9" t="str">
        <f t="array" ref="HR45">IF(HR$11&gt;=0,MAX(INDEX(MMULT(inverseG,HQ$12:HQ$62),$A45+1,1),MAX(strike-$B45,0)),"")</f>
        <v/>
      </c>
      <c r="HS45" s="9" t="str">
        <f t="array" ref="HS45">IF(HS$11&gt;=0,MAX(INDEX(MMULT(inverseG,HR$12:HR$62),$A45+1,1),MAX(strike-$B45,0)),"")</f>
        <v/>
      </c>
      <c r="HT45" s="9" t="str">
        <f t="array" ref="HT45">IF(HT$11&gt;=0,MAX(INDEX(MMULT(inverseG,HS$12:HS$62),$A45+1,1),MAX(strike-$B45,0)),"")</f>
        <v/>
      </c>
      <c r="HU45" s="9" t="str">
        <f t="array" ref="HU45">IF(HU$11&gt;=0,MAX(INDEX(MMULT(inverseG,HT$12:HT$62),$A45+1,1),MAX(strike-$B45,0)),"")</f>
        <v/>
      </c>
      <c r="HV45" s="9" t="str">
        <f t="array" ref="HV45">IF(HV$11&gt;=0,MAX(INDEX(MMULT(inverseG,HU$12:HU$62),$A45+1,1),MAX(strike-$B45,0)),"")</f>
        <v/>
      </c>
      <c r="HW45" s="9" t="str">
        <f t="array" ref="HW45">IF(HW$11&gt;=0,MAX(INDEX(MMULT(inverseG,HV$12:HV$62),$A45+1,1),MAX(strike-$B45,0)),"")</f>
        <v/>
      </c>
      <c r="HX45" s="9" t="str">
        <f t="array" ref="HX45">IF(HX$11&gt;=0,MAX(INDEX(MMULT(inverseG,HW$12:HW$62),$A45+1,1),MAX(strike-$B45,0)),"")</f>
        <v/>
      </c>
      <c r="HY45" s="9" t="str">
        <f t="array" ref="HY45">IF(HY$11&gt;=0,MAX(INDEX(MMULT(inverseG,HX$12:HX$62),$A45+1,1),MAX(strike-$B45,0)),"")</f>
        <v/>
      </c>
      <c r="HZ45" s="9" t="str">
        <f t="array" ref="HZ45">IF(HZ$11&gt;=0,MAX(INDEX(MMULT(inverseG,HY$12:HY$62),$A45+1,1),MAX(strike-$B45,0)),"")</f>
        <v/>
      </c>
      <c r="IA45" s="9" t="str">
        <f t="array" ref="IA45">IF(IA$11&gt;=0,MAX(INDEX(MMULT(inverseG,HZ$12:HZ$62),$A45+1,1),MAX(strike-$B45,0)),"")</f>
        <v/>
      </c>
      <c r="IB45" s="9" t="str">
        <f t="array" ref="IB45">IF(IB$11&gt;=0,MAX(INDEX(MMULT(inverseG,IA$12:IA$62),$A45+1,1),MAX(strike-$B45,0)),"")</f>
        <v/>
      </c>
      <c r="IC45" s="9" t="str">
        <f t="array" ref="IC45">IF(IC$11&gt;=0,MAX(INDEX(MMULT(inverseG,IB$12:IB$62),$A45+1,1),MAX(strike-$B45,0)),"")</f>
        <v/>
      </c>
      <c r="ID45" s="9" t="str">
        <f t="array" ref="ID45">IF(ID$11&gt;=0,MAX(INDEX(MMULT(inverseG,IC$12:IC$62),$A45+1,1),MAX(strike-$B45,0)),"")</f>
        <v/>
      </c>
      <c r="IE45" s="9" t="str">
        <f t="array" ref="IE45">IF(IE$11&gt;=0,MAX(INDEX(MMULT(inverseG,ID$12:ID$62),$A45+1,1),MAX(strike-$B45,0)),"")</f>
        <v/>
      </c>
      <c r="IF45" s="9" t="str">
        <f t="array" ref="IF45">IF(IF$11&gt;=0,MAX(INDEX(MMULT(inverseG,IE$12:IE$62),$A45+1,1),MAX(strike-$B45,0)),"")</f>
        <v/>
      </c>
      <c r="IG45" s="9" t="str">
        <f t="array" ref="IG45">IF(IG$11&gt;=0,MAX(INDEX(MMULT(inverseG,IF$12:IF$62),$A45+1,1),MAX(strike-$B45,0)),"")</f>
        <v/>
      </c>
      <c r="IH45" s="9" t="str">
        <f t="array" ref="IH45">IF(IH$11&gt;=0,MAX(INDEX(MMULT(inverseG,IG$12:IG$62),$A45+1,1),MAX(strike-$B45,0)),"")</f>
        <v/>
      </c>
      <c r="II45" s="9" t="str">
        <f t="array" ref="II45">IF(II$11&gt;=0,MAX(INDEX(MMULT(inverseG,IH$12:IH$62),$A45+1,1),MAX(strike-$B45,0)),"")</f>
        <v/>
      </c>
      <c r="IJ45" s="9" t="str">
        <f t="array" ref="IJ45">IF(IJ$11&gt;=0,MAX(INDEX(MMULT(inverseG,II$12:II$62),$A45+1,1),MAX(strike-$B45,0)),"")</f>
        <v/>
      </c>
      <c r="IK45" s="9" t="str">
        <f t="array" ref="IK45">IF(IK$11&gt;=0,MAX(INDEX(MMULT(inverseG,IJ$12:IJ$62),$A45+1,1),MAX(strike-$B45,0)),"")</f>
        <v/>
      </c>
      <c r="IL45" s="9" t="str">
        <f t="array" ref="IL45">IF(IL$11&gt;=0,MAX(INDEX(MMULT(inverseG,IK$12:IK$62),$A45+1,1),MAX(strike-$B45,0)),"")</f>
        <v/>
      </c>
      <c r="IM45" s="9" t="str">
        <f t="array" ref="IM45">IF(IM$11&gt;=0,MAX(INDEX(MMULT(inverseG,IL$12:IL$62),$A45+1,1),MAX(strike-$B45,0)),"")</f>
        <v/>
      </c>
      <c r="IN45" s="9" t="str">
        <f t="array" ref="IN45">IF(IN$11&gt;=0,MAX(INDEX(MMULT(inverseG,IM$12:IM$62),$A45+1,1),MAX(strike-$B45,0)),"")</f>
        <v/>
      </c>
      <c r="IO45" s="9" t="str">
        <f t="array" ref="IO45">IF(IO$11&gt;=0,MAX(INDEX(MMULT(inverseG,IN$12:IN$62),$A45+1,1),MAX(strike-$B45,0)),"")</f>
        <v/>
      </c>
      <c r="IP45" s="9" t="str">
        <f t="array" ref="IP45">IF(IP$11&gt;=0,MAX(INDEX(MMULT(inverseG,IO$12:IO$62),$A45+1,1),MAX(strike-$B45,0)),"")</f>
        <v/>
      </c>
      <c r="IQ45" s="9" t="str">
        <f t="array" ref="IQ45">IF(IQ$11&gt;=0,MAX(INDEX(MMULT(inverseG,IP$12:IP$62),$A45+1,1),MAX(strike-$B45,0)),"")</f>
        <v/>
      </c>
      <c r="IR45" s="9" t="str">
        <f t="array" ref="IR45">IF(IR$11&gt;=0,MAX(INDEX(MMULT(inverseG,IQ$12:IQ$62),$A45+1,1),MAX(strike-$B45,0)),"")</f>
        <v/>
      </c>
      <c r="IS45" s="9" t="str">
        <f t="array" ref="IS45">IF(IS$11&gt;=0,MAX(INDEX(MMULT(inverseG,IR$12:IR$62),$A45+1,1),MAX(strike-$B45,0)),"")</f>
        <v/>
      </c>
      <c r="IT45" s="9" t="str">
        <f t="array" ref="IT45">IF(IT$11&gt;=0,MAX(INDEX(MMULT(inverseG,IS$12:IS$62),$A45+1,1),MAX(strike-$B45,0)),"")</f>
        <v/>
      </c>
      <c r="IU45" s="9" t="str">
        <f t="array" ref="IU45">IF(IU$11&gt;=0,MAX(INDEX(MMULT(inverseG,IT$12:IT$62),$A45+1,1),MAX(strike-$B45,0)),"")</f>
        <v/>
      </c>
      <c r="IV45" s="9" t="str">
        <f t="array" ref="IV45">IF(IV$11&gt;=0,MAX(INDEX(MMULT(inverseG,IU$12:IU$62),$A45+1,1),MAX(strike-$B45,0)),"")</f>
        <v/>
      </c>
    </row>
    <row r="46" spans="1:256" x14ac:dyDescent="0.2">
      <c r="A46" s="8">
        <f t="shared" si="7"/>
        <v>34</v>
      </c>
      <c r="B46" s="6">
        <f t="shared" si="8"/>
        <v>8.5</v>
      </c>
      <c r="C46" s="30">
        <f t="shared" ca="1" si="6"/>
        <v>0.12807174272481991</v>
      </c>
      <c r="D46" s="9">
        <f t="shared" si="9"/>
        <v>0</v>
      </c>
      <c r="E46" s="9">
        <f t="array" ref="E46">IF(E$11&gt;=0,MAX(INDEX(MMULT(inverseG,D$12:D$62),$A46+1,1),MAX(strike-$B46,0)),"")</f>
        <v>1.6563058633224782E-7</v>
      </c>
      <c r="F46" s="9">
        <f t="array" ref="F46">IF(F$11&gt;=0,MAX(INDEX(MMULT(inverseG,E$12:E$62),$A46+1,1),MAX(strike-$B46,0)),"")</f>
        <v>1.2569334054247857E-6</v>
      </c>
      <c r="G46" s="9">
        <f t="array" ref="G46">IF(G$11&gt;=0,MAX(INDEX(MMULT(inverseG,F$12:F$62),$A46+1,1),MAX(strike-$B46,0)),"")</f>
        <v>5.1885783087386638E-6</v>
      </c>
      <c r="H46" s="9">
        <f t="array" ref="H46">IF(H$11&gt;=0,MAX(INDEX(MMULT(inverseG,G$12:G$62),$A46+1,1),MAX(strike-$B46,0)),"")</f>
        <v>1.5471384602813977E-5</v>
      </c>
      <c r="I46" s="9">
        <f t="array" ref="I46">IF(I$11&gt;=0,MAX(INDEX(MMULT(inverseG,H$12:H$62),$A46+1,1),MAX(strike-$B46,0)),"")</f>
        <v>3.7349527912205545E-5</v>
      </c>
      <c r="J46" s="9">
        <f t="array" ref="J46">IF(J$11&gt;=0,MAX(INDEX(MMULT(inverseG,I$12:I$62),$A46+1,1),MAX(strike-$B46,0)),"")</f>
        <v>7.759590993031273E-5</v>
      </c>
      <c r="K46" s="9">
        <f t="array" ref="K46">IF(K$11&gt;=0,MAX(INDEX(MMULT(inverseG,J$12:J$62),$A46+1,1),MAX(strike-$B46,0)),"")</f>
        <v>1.4405018509350487E-4</v>
      </c>
      <c r="L46" s="9">
        <f t="array" ref="L46">IF(L$11&gt;=0,MAX(INDEX(MMULT(inverseG,K$12:K$62),$A46+1,1),MAX(strike-$B46,0)),"")</f>
        <v>2.4503530772614031E-4</v>
      </c>
      <c r="M46" s="9">
        <f t="array" ref="M46">IF(M$11&gt;=0,MAX(INDEX(MMULT(inverseG,L$12:L$62),$A46+1,1),MAX(strike-$B46,0)),"")</f>
        <v>3.8877920962803077E-4</v>
      </c>
      <c r="N46" s="9">
        <f t="array" ref="N46">IF(N$11&gt;=0,MAX(INDEX(MMULT(inverseG,M$12:M$62),$A46+1,1),MAX(strike-$B46,0)),"")</f>
        <v>5.8292816159093987E-4</v>
      </c>
      <c r="O46" s="9">
        <f t="array" ref="O46">IF(O$11&gt;=0,MAX(INDEX(MMULT(inverseG,N$12:N$62),$A46+1,1),MAX(strike-$B46,0)),"")</f>
        <v>8.3419337339605008E-4</v>
      </c>
      <c r="P46" s="9">
        <f t="array" ref="P46">IF(P$11&gt;=0,MAX(INDEX(MMULT(inverseG,O$12:O$62),$A46+1,1),MAX(strike-$B46,0)),"")</f>
        <v>1.1481366638022941E-3</v>
      </c>
      <c r="Q46" s="9">
        <f t="array" ref="Q46">IF(Q$11&gt;=0,MAX(INDEX(MMULT(inverseG,P$12:P$62),$A46+1,1),MAX(strike-$B46,0)),"")</f>
        <v>1.5290787920056584E-3</v>
      </c>
      <c r="R46" s="9">
        <f t="array" ref="R46">IF(R$11&gt;=0,MAX(INDEX(MMULT(inverseG,Q$12:Q$62),$A46+1,1),MAX(strike-$B46,0)),"")</f>
        <v>1.9801037843089793E-3</v>
      </c>
      <c r="S46" s="9">
        <f t="array" ref="S46">IF(S$11&gt;=0,MAX(INDEX(MMULT(inverseG,R$12:R$62),$A46+1,1),MAX(strike-$B46,0)),"")</f>
        <v>2.5031307274085519E-3</v>
      </c>
      <c r="T46" s="9">
        <f t="array" ref="T46">IF(T$11&gt;=0,MAX(INDEX(MMULT(inverseG,S$12:S$62),$A46+1,1),MAX(strike-$B46,0)),"")</f>
        <v>3.0990274568057172E-3</v>
      </c>
      <c r="U46" s="9">
        <f t="array" ref="U46">IF(U$11&gt;=0,MAX(INDEX(MMULT(inverseG,T$12:T$62),$A46+1,1),MAX(strike-$B46,0)),"")</f>
        <v>3.7677456349048534E-3</v>
      </c>
      <c r="V46" s="9">
        <f t="array" ref="V46">IF(V$11&gt;=0,MAX(INDEX(MMULT(inverseG,U$12:U$62),$A46+1,1),MAX(strike-$B46,0)),"")</f>
        <v>4.5084621622618381E-3</v>
      </c>
      <c r="W46" s="9">
        <f t="array" ref="W46">IF(W$11&gt;=0,MAX(INDEX(MMULT(inverseG,V$12:V$62),$A46+1,1),MAX(strike-$B46,0)),"")</f>
        <v>5.3197167630900759E-3</v>
      </c>
      <c r="X46" s="9">
        <f t="array" ref="X46">IF(X$11&gt;=0,MAX(INDEX(MMULT(inverseG,W$12:W$62),$A46+1,1),MAX(strike-$B46,0)),"")</f>
        <v>6.199539537865487E-3</v>
      </c>
      <c r="Y46" s="9">
        <f t="array" ref="Y46">IF(Y$11&gt;=0,MAX(INDEX(MMULT(inverseG,X$12:X$62),$A46+1,1),MAX(strike-$B46,0)),"")</f>
        <v>7.1455652143882853E-3</v>
      </c>
      <c r="Z46" s="9">
        <f t="array" ref="Z46">IF(Z$11&gt;=0,MAX(INDEX(MMULT(inverseG,Y$12:Y$62),$A46+1,1),MAX(strike-$B46,0)),"")</f>
        <v>8.1551328611881597E-3</v>
      </c>
      <c r="AA46" s="9">
        <f t="array" ref="AA46">IF(AA$11&gt;=0,MAX(INDEX(MMULT(inverseG,Z$12:Z$62),$A46+1,1),MAX(strike-$B46,0)),"")</f>
        <v>9.2253711336540839E-3</v>
      </c>
      <c r="AB46" s="9">
        <f t="array" ref="AB46">IF(AB$11&gt;=0,MAX(INDEX(MMULT(inverseG,AA$12:AA$62),$A46+1,1),MAX(strike-$B46,0)),"")</f>
        <v>1.0353269893834411E-2</v>
      </c>
      <c r="AC46" s="9">
        <f t="array" ref="AC46">IF(AC$11&gt;=0,MAX(INDEX(MMULT(inverseG,AB$12:AB$62),$A46+1,1),MAX(strike-$B46,0)),"")</f>
        <v>1.1535739446324316E-2</v>
      </c>
      <c r="AD46" s="9">
        <f t="array" ref="AD46">IF(AD$11&gt;=0,MAX(INDEX(MMULT(inverseG,AC$12:AC$62),$A46+1,1),MAX(strike-$B46,0)),"")</f>
        <v>1.276965879554791E-2</v>
      </c>
      <c r="AE46" s="9">
        <f t="array" ref="AE46">IF(AE$11&gt;=0,MAX(INDEX(MMULT(inverseG,AD$12:AD$62),$A46+1,1),MAX(strike-$B46,0)),"")</f>
        <v>1.4051914347766882E-2</v>
      </c>
      <c r="AF46" s="9">
        <f t="array" ref="AF46">IF(AF$11&gt;=0,MAX(INDEX(MMULT(inverseG,AE$12:AE$62),$A46+1,1),MAX(strike-$B46,0)),"")</f>
        <v>1.5379430417080614E-2</v>
      </c>
      <c r="AG46" s="9">
        <f t="array" ref="AG46">IF(AG$11&gt;=0,MAX(INDEX(MMULT(inverseG,AF$12:AF$62),$A46+1,1),MAX(strike-$B46,0)),"")</f>
        <v>1.6749192788184975E-2</v>
      </c>
      <c r="AH46" s="9">
        <f t="array" ref="AH46">IF(AH$11&gt;=0,MAX(INDEX(MMULT(inverseG,AG$12:AG$62),$A46+1,1),MAX(strike-$B46,0)),"")</f>
        <v>1.8158266463587761E-2</v>
      </c>
      <c r="AI46" s="9">
        <f t="array" ref="AI46">IF(AI$11&gt;=0,MAX(INDEX(MMULT(inverseG,AH$12:AH$62),$A46+1,1),MAX(strike-$B46,0)),"")</f>
        <v>1.9603808593128803E-2</v>
      </c>
      <c r="AJ46" s="9">
        <f t="array" ref="AJ46">IF(AJ$11&gt;=0,MAX(INDEX(MMULT(inverseG,AI$12:AI$62),$A46+1,1),MAX(strike-$B46,0)),"")</f>
        <v>2.1083077456753224E-2</v>
      </c>
      <c r="AK46" s="9">
        <f t="array" ref="AK46">IF(AK$11&gt;=0,MAX(INDEX(MMULT(inverseG,AJ$12:AJ$62),$A46+1,1),MAX(strike-$B46,0)),"")</f>
        <v>2.2593438251759891E-2</v>
      </c>
      <c r="AL46" s="9">
        <f t="array" ref="AL46">IF(AL$11&gt;=0,MAX(INDEX(MMULT(inverseG,AK$12:AK$62),$A46+1,1),MAX(strike-$B46,0)),"")</f>
        <v>2.4132366325419093E-2</v>
      </c>
      <c r="AM46" s="9">
        <f t="array" ref="AM46">IF(AM$11&gt;=0,MAX(INDEX(MMULT(inverseG,AL$12:AL$62),$A46+1,1),MAX(strike-$B46,0)),"")</f>
        <v>2.5697448393992926E-2</v>
      </c>
      <c r="AN46" s="9">
        <f t="array" ref="AN46">IF(AN$11&gt;=0,MAX(INDEX(MMULT(inverseG,AM$12:AM$62),$A46+1,1),MAX(strike-$B46,0)),"")</f>
        <v>2.7286382200160546E-2</v>
      </c>
      <c r="AO46" s="9">
        <f t="array" ref="AO46">IF(AO$11&gt;=0,MAX(INDEX(MMULT(inverseG,AN$12:AN$62),$A46+1,1),MAX(strike-$B46,0)),"")</f>
        <v>2.8896974983151389E-2</v>
      </c>
      <c r="AP46" s="9">
        <f t="array" ref="AP46">IF(AP$11&gt;=0,MAX(INDEX(MMULT(inverseG,AO$12:AO$62),$A46+1,1),MAX(strike-$B46,0)),"")</f>
        <v>3.0527141070049696E-2</v>
      </c>
      <c r="AQ46" s="9">
        <f t="array" ref="AQ46">IF(AQ$11&gt;=0,MAX(INDEX(MMULT(inverseG,AP$12:AP$62),$A46+1,1),MAX(strike-$B46,0)),"")</f>
        <v>3.2174898842232416E-2</v>
      </c>
      <c r="AR46" s="9">
        <f t="array" ref="AR46">IF(AR$11&gt;=0,MAX(INDEX(MMULT(inverseG,AQ$12:AQ$62),$A46+1,1),MAX(strike-$B46,0)),"")</f>
        <v>3.3838367285638431E-2</v>
      </c>
      <c r="AS46" s="9">
        <f t="array" ref="AS46">IF(AS$11&gt;=0,MAX(INDEX(MMULT(inverseG,AR$12:AR$62),$A46+1,1),MAX(strike-$B46,0)),"")</f>
        <v>3.5515762294563033E-2</v>
      </c>
      <c r="AT46" s="9">
        <f t="array" ref="AT46">IF(AT$11&gt;=0,MAX(INDEX(MMULT(inverseG,AS$12:AS$62),$A46+1,1),MAX(strike-$B46,0)),"")</f>
        <v>3.720539286335834E-2</v>
      </c>
      <c r="AU46" s="9">
        <f t="array" ref="AU46">IF(AU$11&gt;=0,MAX(INDEX(MMULT(inverseG,AT$12:AT$62),$A46+1,1),MAX(strike-$B46,0)),"")</f>
        <v>3.8905657267547196E-2</v>
      </c>
      <c r="AV46" s="9">
        <f t="array" ref="AV46">IF(AV$11&gt;=0,MAX(INDEX(MMULT(inverseG,AU$12:AU$62),$A46+1,1),MAX(strike-$B46,0)),"")</f>
        <v>4.0615039305572351E-2</v>
      </c>
      <c r="AW46" s="9">
        <f t="array" ref="AW46">IF(AW$11&gt;=0,MAX(INDEX(MMULT(inverseG,AV$12:AV$62),$A46+1,1),MAX(strike-$B46,0)),"")</f>
        <v>4.2332104645717739E-2</v>
      </c>
      <c r="AX46" s="9">
        <f t="array" ref="AX46">IF(AX$11&gt;=0,MAX(INDEX(MMULT(inverseG,AW$12:AW$62),$A46+1,1),MAX(strike-$B46,0)),"")</f>
        <v>4.4055497300796935E-2</v>
      </c>
      <c r="AY46" s="9">
        <f t="array" ref="AY46">IF(AY$11&gt;=0,MAX(INDEX(MMULT(inverseG,AX$12:AX$62),$A46+1,1),MAX(strike-$B46,0)),"")</f>
        <v>4.578393623672581E-2</v>
      </c>
      <c r="AZ46" s="9">
        <f t="array" ref="AZ46">IF(AZ$11&gt;=0,MAX(INDEX(MMULT(inverseG,AY$12:AY$62),$A46+1,1),MAX(strike-$B46,0)),"")</f>
        <v>4.7516212110137297E-2</v>
      </c>
      <c r="BA46" s="9">
        <f t="array" ref="BA46">IF(BA$11&gt;=0,MAX(INDEX(MMULT(inverseG,AZ$12:AZ$62),$A46+1,1),MAX(strike-$B46,0)),"")</f>
        <v>4.9251184124184472E-2</v>
      </c>
      <c r="BB46" s="9">
        <f t="array" ref="BB46">IF(BB$11&gt;=0,MAX(INDEX(MMULT(inverseG,BA$12:BA$62),$A46+1,1),MAX(strike-$B46,0)),"")</f>
        <v>5.0987776989626372E-2</v>
      </c>
      <c r="BC46" s="9">
        <f t="array" ref="BC46">IF(BC$11&gt;=0,MAX(INDEX(MMULT(inverseG,BB$12:BB$62),$A46+1,1),MAX(strike-$B46,0)),"")</f>
        <v>5.2724977979034991E-2</v>
      </c>
      <c r="BD46" s="9">
        <f t="array" ref="BD46">IF(BD$11&gt;=0,MAX(INDEX(MMULT(inverseG,BC$12:BC$62),$A46+1,1),MAX(strike-$B46,0)),"")</f>
        <v>5.4461834064384006E-2</v>
      </c>
      <c r="BE46" s="9">
        <f t="array" ref="BE46">IF(BE$11&gt;=0,MAX(INDEX(MMULT(inverseG,BD$12:BD$62),$A46+1,1),MAX(strike-$B46,0)),"")</f>
        <v>5.6197449131438204E-2</v>
      </c>
      <c r="BF46" s="9">
        <f t="array" ref="BF46">IF(BF$11&gt;=0,MAX(INDEX(MMULT(inverseG,BE$12:BE$62),$A46+1,1),MAX(strike-$B46,0)),"")</f>
        <v>5.7930981267559911E-2</v>
      </c>
      <c r="BG46" s="9">
        <f t="array" ref="BG46">IF(BG$11&gt;=0,MAX(INDEX(MMULT(inverseG,BF$12:BF$62),$A46+1,1),MAX(strike-$B46,0)),"")</f>
        <v>5.9661640122332785E-2</v>
      </c>
      <c r="BH46" s="9">
        <f t="array" ref="BH46">IF(BH$11&gt;=0,MAX(INDEX(MMULT(inverseG,BG$12:BG$62),$A46+1,1),MAX(strike-$B46,0)),"")</f>
        <v>6.1388684342538628E-2</v>
      </c>
      <c r="BI46" s="9">
        <f t="array" ref="BI46">IF(BI$11&gt;=0,MAX(INDEX(MMULT(inverseG,BH$12:BH$62),$A46+1,1),MAX(strike-$B46,0)),"")</f>
        <v>6.3111419084433379E-2</v>
      </c>
      <c r="BJ46" s="9">
        <f t="array" ref="BJ46">IF(BJ$11&gt;=0,MAX(INDEX(MMULT(inverseG,BI$12:BI$62),$A46+1,1),MAX(strike-$B46,0)),"")</f>
        <v>6.4829193606992352E-2</v>
      </c>
      <c r="BK46" s="9">
        <f t="array" ref="BK46">IF(BK$11&gt;=0,MAX(INDEX(MMULT(inverseG,BJ$12:BJ$62),$A46+1,1),MAX(strike-$B46,0)),"")</f>
        <v>6.6541398949934855E-2</v>
      </c>
      <c r="BL46" s="9">
        <f t="array" ref="BL46">IF(BL$11&gt;=0,MAX(INDEX(MMULT(inverseG,BK$12:BK$62),$A46+1,1),MAX(strike-$B46,0)),"")</f>
        <v>6.8247465700025253E-2</v>
      </c>
      <c r="BM46" s="9">
        <f t="array" ref="BM46">IF(BM$11&gt;=0,MAX(INDEX(MMULT(inverseG,BL$12:BL$62),$A46+1,1),MAX(strike-$B46,0)),"")</f>
        <v>6.9946861848517991E-2</v>
      </c>
      <c r="BN46" s="9">
        <f t="array" ref="BN46">IF(BN$11&gt;=0,MAX(INDEX(MMULT(inverseG,BM$12:BM$62),$A46+1,1),MAX(strike-$B46,0)),"")</f>
        <v>7.1639090741789244E-2</v>
      </c>
      <c r="BO46" s="9">
        <f t="array" ref="BO46">IF(BO$11&gt;=0,MAX(INDEX(MMULT(inverseG,BN$12:BN$62),$A46+1,1),MAX(strike-$B46,0)),"")</f>
        <v>7.3323689126284758E-2</v>
      </c>
      <c r="BP46" s="9">
        <f t="array" ref="BP46">IF(BP$11&gt;=0,MAX(INDEX(MMULT(inverseG,BO$12:BO$62),$A46+1,1),MAX(strike-$B46,0)),"")</f>
        <v>7.5000225287989414E-2</v>
      </c>
      <c r="BQ46" s="9">
        <f t="array" ref="BQ46">IF(BQ$11&gt;=0,MAX(INDEX(MMULT(inverseG,BP$12:BP$62),$A46+1,1),MAX(strike-$B46,0)),"")</f>
        <v>7.6668297285749407E-2</v>
      </c>
      <c r="BR46" s="9">
        <f t="array" ref="BR46">IF(BR$11&gt;=0,MAX(INDEX(MMULT(inverseG,BQ$12:BQ$62),$A46+1,1),MAX(strike-$B46,0)),"")</f>
        <v>7.8327531276989631E-2</v>
      </c>
      <c r="BS46" s="9">
        <f t="array" ref="BS46">IF(BS$11&gt;=0,MAX(INDEX(MMULT(inverseG,BR$12:BR$62),$A46+1,1),MAX(strike-$B46,0)),"")</f>
        <v>7.9977579933691312E-2</v>
      </c>
      <c r="BT46" s="9">
        <f t="array" ref="BT46">IF(BT$11&gt;=0,MAX(INDEX(MMULT(inverseG,BS$12:BS$62),$A46+1,1),MAX(strike-$B46,0)),"")</f>
        <v>8.1618120945935096E-2</v>
      </c>
      <c r="BU46" s="9">
        <f t="array" ref="BU46">IF(BU$11&gt;=0,MAX(INDEX(MMULT(inverseG,BT$12:BT$62),$A46+1,1),MAX(strike-$B46,0)),"")</f>
        <v>8.3248855609874398E-2</v>
      </c>
      <c r="BV46" s="9">
        <f t="array" ref="BV46">IF(BV$11&gt;=0,MAX(INDEX(MMULT(inverseG,BU$12:BU$62),$A46+1,1),MAX(strike-$B46,0)),"")</f>
        <v>8.4869507496676988E-2</v>
      </c>
      <c r="BW46" s="9">
        <f t="array" ref="BW46">IF(BW$11&gt;=0,MAX(INDEX(MMULT(inverseG,BV$12:BV$62),$A46+1,1),MAX(strike-$B46,0)),"")</f>
        <v>8.6479821198746976E-2</v>
      </c>
      <c r="BX46" s="9">
        <f t="array" ref="BX46">IF(BX$11&gt;=0,MAX(INDEX(MMULT(inverseG,BW$12:BW$62),$A46+1,1),MAX(strike-$B46,0)),"")</f>
        <v>8.8079561149406155E-2</v>
      </c>
      <c r="BY46" s="9">
        <f t="array" ref="BY46">IF(BY$11&gt;=0,MAX(INDEX(MMULT(inverseG,BX$12:BX$62),$A46+1,1),MAX(strike-$B46,0)),"")</f>
        <v>8.9668510512154895E-2</v>
      </c>
      <c r="BZ46" s="9">
        <f t="array" ref="BZ46">IF(BZ$11&gt;=0,MAX(INDEX(MMULT(inverseG,BY$12:BY$62),$A46+1,1),MAX(strike-$B46,0)),"")</f>
        <v>9.1246470135640065E-2</v>
      </c>
      <c r="CA46" s="9">
        <f t="array" ref="CA46">IF(CA$11&gt;=0,MAX(INDEX(MMULT(inverseG,BZ$12:BZ$62),$A46+1,1),MAX(strike-$B46,0)),"")</f>
        <v>9.281325757051502E-2</v>
      </c>
      <c r="CB46" s="9">
        <f t="array" ref="CB46">IF(CB$11&gt;=0,MAX(INDEX(MMULT(inverseG,CA$12:CA$62),$A46+1,1),MAX(strike-$B46,0)),"")</f>
        <v>9.4368706144474984E-2</v>
      </c>
      <c r="CC46" s="9">
        <f t="array" ref="CC46">IF(CC$11&gt;=0,MAX(INDEX(MMULT(inverseG,CB$12:CB$62),$A46+1,1),MAX(strike-$B46,0)),"")</f>
        <v>9.5912664091880193E-2</v>
      </c>
      <c r="CD46" s="9">
        <f t="array" ref="CD46">IF(CD$11&gt;=0,MAX(INDEX(MMULT(inverseG,CC$12:CC$62),$A46+1,1),MAX(strike-$B46,0)),"")</f>
        <v>9.7444993734529486E-2</v>
      </c>
      <c r="CE46" s="9">
        <f t="array" ref="CE46">IF(CE$11&gt;=0,MAX(INDEX(MMULT(inverseG,CD$12:CD$62),$A46+1,1),MAX(strike-$B46,0)),"")</f>
        <v>9.8965570710312395E-2</v>
      </c>
      <c r="CF46" s="9">
        <f t="array" ref="CF46">IF(CF$11&gt;=0,MAX(INDEX(MMULT(inverseG,CE$12:CE$62),$A46+1,1),MAX(strike-$B46,0)),"")</f>
        <v>0.10047428324664211</v>
      </c>
      <c r="CG46" s="9">
        <f t="array" ref="CG46">IF(CG$11&gt;=0,MAX(INDEX(MMULT(inverseG,CF$12:CF$62),$A46+1,1),MAX(strike-$B46,0)),"")</f>
        <v>0.10197103147574943</v>
      </c>
      <c r="CH46" s="9">
        <f t="array" ref="CH46">IF(CH$11&gt;=0,MAX(INDEX(MMULT(inverseG,CG$12:CG$62),$A46+1,1),MAX(strike-$B46,0)),"")</f>
        <v>0.10345572678909627</v>
      </c>
      <c r="CI46" s="9">
        <f t="array" ref="CI46">IF(CI$11&gt;=0,MAX(INDEX(MMULT(inverseG,CH$12:CH$62),$A46+1,1),MAX(strike-$B46,0)),"")</f>
        <v>0.10492829122834291</v>
      </c>
      <c r="CJ46" s="9">
        <f t="array" ref="CJ46">IF(CJ$11&gt;=0,MAX(INDEX(MMULT(inverseG,CI$12:CI$62),$A46+1,1),MAX(strike-$B46,0)),"")</f>
        <v>0.10638865691047288</v>
      </c>
      <c r="CK46" s="9">
        <f t="array" ref="CK46">IF(CK$11&gt;=0,MAX(INDEX(MMULT(inverseG,CJ$12:CJ$62),$A46+1,1),MAX(strike-$B46,0)),"")</f>
        <v>0.10783676548484397</v>
      </c>
      <c r="CL46" s="9">
        <f t="array" ref="CL46">IF(CL$11&gt;=0,MAX(INDEX(MMULT(inverseG,CK$12:CK$62),$A46+1,1),MAX(strike-$B46,0)),"")</f>
        <v>0.10927256762009017</v>
      </c>
      <c r="CM46" s="9">
        <f t="array" ref="CM46">IF(CM$11&gt;=0,MAX(INDEX(MMULT(inverseG,CL$12:CL$62),$A46+1,1),MAX(strike-$B46,0)),"")</f>
        <v>0.11069602251894584</v>
      </c>
      <c r="CN46" s="9">
        <f t="array" ref="CN46">IF(CN$11&gt;=0,MAX(INDEX(MMULT(inverseG,CM$12:CM$62),$A46+1,1),MAX(strike-$B46,0)),"")</f>
        <v>0.11210709745920446</v>
      </c>
      <c r="CO46" s="9">
        <f t="array" ref="CO46">IF(CO$11&gt;=0,MAX(INDEX(MMULT(inverseG,CN$12:CN$62),$A46+1,1),MAX(strike-$B46,0)),"")</f>
        <v>0.11350576735915258</v>
      </c>
      <c r="CP46" s="9">
        <f t="array" ref="CP46">IF(CP$11&gt;=0,MAX(INDEX(MMULT(inverseG,CO$12:CO$62),$A46+1,1),MAX(strike-$B46,0)),"")</f>
        <v>0.11489201436594232</v>
      </c>
      <c r="CQ46" s="9">
        <f t="array" ref="CQ46">IF(CQ$11&gt;=0,MAX(INDEX(MMULT(inverseG,CP$12:CP$62),$A46+1,1),MAX(strike-$B46,0)),"")</f>
        <v>0.11626582746547778</v>
      </c>
      <c r="CR46" s="9">
        <f t="array" ref="CR46">IF(CR$11&gt;=0,MAX(INDEX(MMULT(inverseG,CQ$12:CQ$62),$A46+1,1),MAX(strike-$B46,0)),"")</f>
        <v>0.1176272021124955</v>
      </c>
      <c r="CS46" s="9">
        <f t="array" ref="CS46">IF(CS$11&gt;=0,MAX(INDEX(MMULT(inverseG,CR$12:CR$62),$A46+1,1),MAX(strike-$B46,0)),"")</f>
        <v>0.11897613987963919</v>
      </c>
      <c r="CT46" s="9">
        <f t="array" ref="CT46">IF(CT$11&gt;=0,MAX(INDEX(MMULT(inverseG,CS$12:CS$62),$A46+1,1),MAX(strike-$B46,0)),"")</f>
        <v>0.12031264812453052</v>
      </c>
      <c r="CU46" s="9">
        <f t="array" ref="CU46">IF(CU$11&gt;=0,MAX(INDEX(MMULT(inverseG,CT$12:CT$62),$A46+1,1),MAX(strike-$B46,0)),"")</f>
        <v>0.12163673967419594</v>
      </c>
      <c r="CV46" s="9">
        <f t="array" ref="CV46">IF(CV$11&gt;=0,MAX(INDEX(MMULT(inverseG,CU$12:CU$62),$A46+1,1),MAX(strike-$B46,0)),"")</f>
        <v>0.12294843252672526</v>
      </c>
      <c r="CW46" s="9">
        <f t="array" ref="CW46">IF(CW$11&gt;=0,MAX(INDEX(MMULT(inverseG,CV$12:CV$62),$A46+1,1),MAX(strike-$B46,0)),"")</f>
        <v>0.12424774957060558</v>
      </c>
      <c r="CX46" s="9">
        <f t="array" ref="CX46">IF(CX$11&gt;=0,MAX(INDEX(MMULT(inverseG,CW$12:CW$62),$A46+1,1),MAX(strike-$B46,0)),"")</f>
        <v>0.12553471832261626</v>
      </c>
      <c r="CY46" s="9">
        <f t="array" ref="CY46">IF(CY$11&gt;=0,MAX(INDEX(MMULT(inverseG,CX$12:CX$62),$A46+1,1),MAX(strike-$B46,0)),"")</f>
        <v>0.12680937068530584</v>
      </c>
      <c r="CZ46" s="9">
        <f t="array" ref="CZ46">IF(CZ$11&gt;=0,MAX(INDEX(MMULT(inverseG,CY$12:CY$62),$A46+1,1),MAX(strike-$B46,0)),"")</f>
        <v>0.12807174272481991</v>
      </c>
      <c r="DA46" s="9" t="str">
        <f t="array" ref="DA46">IF(DA$11&gt;=0,MAX(INDEX(MMULT(inverseG,CZ$12:CZ$62),$A46+1,1),MAX(strike-$B46,0)),"")</f>
        <v/>
      </c>
      <c r="DB46" s="9" t="str">
        <f t="array" ref="DB46">IF(DB$11&gt;=0,MAX(INDEX(MMULT(inverseG,DA$12:DA$62),$A46+1,1),MAX(strike-$B46,0)),"")</f>
        <v/>
      </c>
      <c r="DC46" s="9" t="str">
        <f t="array" ref="DC46">IF(DC$11&gt;=0,MAX(INDEX(MMULT(inverseG,DB$12:DB$62),$A46+1,1),MAX(strike-$B46,0)),"")</f>
        <v/>
      </c>
      <c r="DD46" s="9" t="str">
        <f t="array" ref="DD46">IF(DD$11&gt;=0,MAX(INDEX(MMULT(inverseG,DC$12:DC$62),$A46+1,1),MAX(strike-$B46,0)),"")</f>
        <v/>
      </c>
      <c r="DE46" s="9" t="str">
        <f t="array" ref="DE46">IF(DE$11&gt;=0,MAX(INDEX(MMULT(inverseG,DD$12:DD$62),$A46+1,1),MAX(strike-$B46,0)),"")</f>
        <v/>
      </c>
      <c r="DF46" s="9" t="str">
        <f t="array" ref="DF46">IF(DF$11&gt;=0,MAX(INDEX(MMULT(inverseG,DE$12:DE$62),$A46+1,1),MAX(strike-$B46,0)),"")</f>
        <v/>
      </c>
      <c r="DG46" s="9" t="str">
        <f t="array" ref="DG46">IF(DG$11&gt;=0,MAX(INDEX(MMULT(inverseG,DF$12:DF$62),$A46+1,1),MAX(strike-$B46,0)),"")</f>
        <v/>
      </c>
      <c r="DH46" s="9" t="str">
        <f t="array" ref="DH46">IF(DH$11&gt;=0,MAX(INDEX(MMULT(inverseG,DG$12:DG$62),$A46+1,1),MAX(strike-$B46,0)),"")</f>
        <v/>
      </c>
      <c r="DI46" s="9" t="str">
        <f t="array" ref="DI46">IF(DI$11&gt;=0,MAX(INDEX(MMULT(inverseG,DH$12:DH$62),$A46+1,1),MAX(strike-$B46,0)),"")</f>
        <v/>
      </c>
      <c r="DJ46" s="9" t="str">
        <f t="array" ref="DJ46">IF(DJ$11&gt;=0,MAX(INDEX(MMULT(inverseG,DI$12:DI$62),$A46+1,1),MAX(strike-$B46,0)),"")</f>
        <v/>
      </c>
      <c r="DK46" s="9" t="str">
        <f t="array" ref="DK46">IF(DK$11&gt;=0,MAX(INDEX(MMULT(inverseG,DJ$12:DJ$62),$A46+1,1),MAX(strike-$B46,0)),"")</f>
        <v/>
      </c>
      <c r="DL46" s="9" t="str">
        <f t="array" ref="DL46">IF(DL$11&gt;=0,MAX(INDEX(MMULT(inverseG,DK$12:DK$62),$A46+1,1),MAX(strike-$B46,0)),"")</f>
        <v/>
      </c>
      <c r="DM46" s="9" t="str">
        <f t="array" ref="DM46">IF(DM$11&gt;=0,MAX(INDEX(MMULT(inverseG,DL$12:DL$62),$A46+1,1),MAX(strike-$B46,0)),"")</f>
        <v/>
      </c>
      <c r="DN46" s="9" t="str">
        <f t="array" ref="DN46">IF(DN$11&gt;=0,MAX(INDEX(MMULT(inverseG,DM$12:DM$62),$A46+1,1),MAX(strike-$B46,0)),"")</f>
        <v/>
      </c>
      <c r="DO46" s="9" t="str">
        <f t="array" ref="DO46">IF(DO$11&gt;=0,MAX(INDEX(MMULT(inverseG,DN$12:DN$62),$A46+1,1),MAX(strike-$B46,0)),"")</f>
        <v/>
      </c>
      <c r="DP46" s="9" t="str">
        <f t="array" ref="DP46">IF(DP$11&gt;=0,MAX(INDEX(MMULT(inverseG,DO$12:DO$62),$A46+1,1),MAX(strike-$B46,0)),"")</f>
        <v/>
      </c>
      <c r="DQ46" s="9" t="str">
        <f t="array" ref="DQ46">IF(DQ$11&gt;=0,MAX(INDEX(MMULT(inverseG,DP$12:DP$62),$A46+1,1),MAX(strike-$B46,0)),"")</f>
        <v/>
      </c>
      <c r="DR46" s="9" t="str">
        <f t="array" ref="DR46">IF(DR$11&gt;=0,MAX(INDEX(MMULT(inverseG,DQ$12:DQ$62),$A46+1,1),MAX(strike-$B46,0)),"")</f>
        <v/>
      </c>
      <c r="DS46" s="9" t="str">
        <f t="array" ref="DS46">IF(DS$11&gt;=0,MAX(INDEX(MMULT(inverseG,DR$12:DR$62),$A46+1,1),MAX(strike-$B46,0)),"")</f>
        <v/>
      </c>
      <c r="DT46" s="9" t="str">
        <f t="array" ref="DT46">IF(DT$11&gt;=0,MAX(INDEX(MMULT(inverseG,DS$12:DS$62),$A46+1,1),MAX(strike-$B46,0)),"")</f>
        <v/>
      </c>
      <c r="DU46" s="9" t="str">
        <f t="array" ref="DU46">IF(DU$11&gt;=0,MAX(INDEX(MMULT(inverseG,DT$12:DT$62),$A46+1,1),MAX(strike-$B46,0)),"")</f>
        <v/>
      </c>
      <c r="DV46" s="9" t="str">
        <f t="array" ref="DV46">IF(DV$11&gt;=0,MAX(INDEX(MMULT(inverseG,DU$12:DU$62),$A46+1,1),MAX(strike-$B46,0)),"")</f>
        <v/>
      </c>
      <c r="DW46" s="9" t="str">
        <f t="array" ref="DW46">IF(DW$11&gt;=0,MAX(INDEX(MMULT(inverseG,DV$12:DV$62),$A46+1,1),MAX(strike-$B46,0)),"")</f>
        <v/>
      </c>
      <c r="DX46" s="9" t="str">
        <f t="array" ref="DX46">IF(DX$11&gt;=0,MAX(INDEX(MMULT(inverseG,DW$12:DW$62),$A46+1,1),MAX(strike-$B46,0)),"")</f>
        <v/>
      </c>
      <c r="DY46" s="9" t="str">
        <f t="array" ref="DY46">IF(DY$11&gt;=0,MAX(INDEX(MMULT(inverseG,DX$12:DX$62),$A46+1,1),MAX(strike-$B46,0)),"")</f>
        <v/>
      </c>
      <c r="DZ46" s="9" t="str">
        <f t="array" ref="DZ46">IF(DZ$11&gt;=0,MAX(INDEX(MMULT(inverseG,DY$12:DY$62),$A46+1,1),MAX(strike-$B46,0)),"")</f>
        <v/>
      </c>
      <c r="EA46" s="9" t="str">
        <f t="array" ref="EA46">IF(EA$11&gt;=0,MAX(INDEX(MMULT(inverseG,DZ$12:DZ$62),$A46+1,1),MAX(strike-$B46,0)),"")</f>
        <v/>
      </c>
      <c r="EB46" s="9" t="str">
        <f t="array" ref="EB46">IF(EB$11&gt;=0,MAX(INDEX(MMULT(inverseG,EA$12:EA$62),$A46+1,1),MAX(strike-$B46,0)),"")</f>
        <v/>
      </c>
      <c r="EC46" s="9" t="str">
        <f t="array" ref="EC46">IF(EC$11&gt;=0,MAX(INDEX(MMULT(inverseG,EB$12:EB$62),$A46+1,1),MAX(strike-$B46,0)),"")</f>
        <v/>
      </c>
      <c r="ED46" s="9" t="str">
        <f t="array" ref="ED46">IF(ED$11&gt;=0,MAX(INDEX(MMULT(inverseG,EC$12:EC$62),$A46+1,1),MAX(strike-$B46,0)),"")</f>
        <v/>
      </c>
      <c r="EE46" s="9" t="str">
        <f t="array" ref="EE46">IF(EE$11&gt;=0,MAX(INDEX(MMULT(inverseG,ED$12:ED$62),$A46+1,1),MAX(strike-$B46,0)),"")</f>
        <v/>
      </c>
      <c r="EF46" s="9" t="str">
        <f t="array" ref="EF46">IF(EF$11&gt;=0,MAX(INDEX(MMULT(inverseG,EE$12:EE$62),$A46+1,1),MAX(strike-$B46,0)),"")</f>
        <v/>
      </c>
      <c r="EG46" s="9" t="str">
        <f t="array" ref="EG46">IF(EG$11&gt;=0,MAX(INDEX(MMULT(inverseG,EF$12:EF$62),$A46+1,1),MAX(strike-$B46,0)),"")</f>
        <v/>
      </c>
      <c r="EH46" s="9" t="str">
        <f t="array" ref="EH46">IF(EH$11&gt;=0,MAX(INDEX(MMULT(inverseG,EG$12:EG$62),$A46+1,1),MAX(strike-$B46,0)),"")</f>
        <v/>
      </c>
      <c r="EI46" s="9" t="str">
        <f t="array" ref="EI46">IF(EI$11&gt;=0,MAX(INDEX(MMULT(inverseG,EH$12:EH$62),$A46+1,1),MAX(strike-$B46,0)),"")</f>
        <v/>
      </c>
      <c r="EJ46" s="9" t="str">
        <f t="array" ref="EJ46">IF(EJ$11&gt;=0,MAX(INDEX(MMULT(inverseG,EI$12:EI$62),$A46+1,1),MAX(strike-$B46,0)),"")</f>
        <v/>
      </c>
      <c r="EK46" s="9" t="str">
        <f t="array" ref="EK46">IF(EK$11&gt;=0,MAX(INDEX(MMULT(inverseG,EJ$12:EJ$62),$A46+1,1),MAX(strike-$B46,0)),"")</f>
        <v/>
      </c>
      <c r="EL46" s="9" t="str">
        <f t="array" ref="EL46">IF(EL$11&gt;=0,MAX(INDEX(MMULT(inverseG,EK$12:EK$62),$A46+1,1),MAX(strike-$B46,0)),"")</f>
        <v/>
      </c>
      <c r="EM46" s="9" t="str">
        <f t="array" ref="EM46">IF(EM$11&gt;=0,MAX(INDEX(MMULT(inverseG,EL$12:EL$62),$A46+1,1),MAX(strike-$B46,0)),"")</f>
        <v/>
      </c>
      <c r="EN46" s="9" t="str">
        <f t="array" ref="EN46">IF(EN$11&gt;=0,MAX(INDEX(MMULT(inverseG,EM$12:EM$62),$A46+1,1),MAX(strike-$B46,0)),"")</f>
        <v/>
      </c>
      <c r="EO46" s="9" t="str">
        <f t="array" ref="EO46">IF(EO$11&gt;=0,MAX(INDEX(MMULT(inverseG,EN$12:EN$62),$A46+1,1),MAX(strike-$B46,0)),"")</f>
        <v/>
      </c>
      <c r="EP46" s="9" t="str">
        <f t="array" ref="EP46">IF(EP$11&gt;=0,MAX(INDEX(MMULT(inverseG,EO$12:EO$62),$A46+1,1),MAX(strike-$B46,0)),"")</f>
        <v/>
      </c>
      <c r="EQ46" s="9" t="str">
        <f t="array" ref="EQ46">IF(EQ$11&gt;=0,MAX(INDEX(MMULT(inverseG,EP$12:EP$62),$A46+1,1),MAX(strike-$B46,0)),"")</f>
        <v/>
      </c>
      <c r="ER46" s="9" t="str">
        <f t="array" ref="ER46">IF(ER$11&gt;=0,MAX(INDEX(MMULT(inverseG,EQ$12:EQ$62),$A46+1,1),MAX(strike-$B46,0)),"")</f>
        <v/>
      </c>
      <c r="ES46" s="9" t="str">
        <f t="array" ref="ES46">IF(ES$11&gt;=0,MAX(INDEX(MMULT(inverseG,ER$12:ER$62),$A46+1,1),MAX(strike-$B46,0)),"")</f>
        <v/>
      </c>
      <c r="ET46" s="9" t="str">
        <f t="array" ref="ET46">IF(ET$11&gt;=0,MAX(INDEX(MMULT(inverseG,ES$12:ES$62),$A46+1,1),MAX(strike-$B46,0)),"")</f>
        <v/>
      </c>
      <c r="EU46" s="9" t="str">
        <f t="array" ref="EU46">IF(EU$11&gt;=0,MAX(INDEX(MMULT(inverseG,ET$12:ET$62),$A46+1,1),MAX(strike-$B46,0)),"")</f>
        <v/>
      </c>
      <c r="EV46" s="9" t="str">
        <f t="array" ref="EV46">IF(EV$11&gt;=0,MAX(INDEX(MMULT(inverseG,EU$12:EU$62),$A46+1,1),MAX(strike-$B46,0)),"")</f>
        <v/>
      </c>
      <c r="EW46" s="9" t="str">
        <f t="array" ref="EW46">IF(EW$11&gt;=0,MAX(INDEX(MMULT(inverseG,EV$12:EV$62),$A46+1,1),MAX(strike-$B46,0)),"")</f>
        <v/>
      </c>
      <c r="EX46" s="9" t="str">
        <f t="array" ref="EX46">IF(EX$11&gt;=0,MAX(INDEX(MMULT(inverseG,EW$12:EW$62),$A46+1,1),MAX(strike-$B46,0)),"")</f>
        <v/>
      </c>
      <c r="EY46" s="9" t="str">
        <f t="array" ref="EY46">IF(EY$11&gt;=0,MAX(INDEX(MMULT(inverseG,EX$12:EX$62),$A46+1,1),MAX(strike-$B46,0)),"")</f>
        <v/>
      </c>
      <c r="EZ46" s="9" t="str">
        <f t="array" ref="EZ46">IF(EZ$11&gt;=0,MAX(INDEX(MMULT(inverseG,EY$12:EY$62),$A46+1,1),MAX(strike-$B46,0)),"")</f>
        <v/>
      </c>
      <c r="FA46" s="9" t="str">
        <f t="array" ref="FA46">IF(FA$11&gt;=0,MAX(INDEX(MMULT(inverseG,EZ$12:EZ$62),$A46+1,1),MAX(strike-$B46,0)),"")</f>
        <v/>
      </c>
      <c r="FB46" s="9" t="str">
        <f t="array" ref="FB46">IF(FB$11&gt;=0,MAX(INDEX(MMULT(inverseG,FA$12:FA$62),$A46+1,1),MAX(strike-$B46,0)),"")</f>
        <v/>
      </c>
      <c r="FC46" s="9" t="str">
        <f t="array" ref="FC46">IF(FC$11&gt;=0,MAX(INDEX(MMULT(inverseG,FB$12:FB$62),$A46+1,1),MAX(strike-$B46,0)),"")</f>
        <v/>
      </c>
      <c r="FD46" s="9" t="str">
        <f t="array" ref="FD46">IF(FD$11&gt;=0,MAX(INDEX(MMULT(inverseG,FC$12:FC$62),$A46+1,1),MAX(strike-$B46,0)),"")</f>
        <v/>
      </c>
      <c r="FE46" s="9" t="str">
        <f t="array" ref="FE46">IF(FE$11&gt;=0,MAX(INDEX(MMULT(inverseG,FD$12:FD$62),$A46+1,1),MAX(strike-$B46,0)),"")</f>
        <v/>
      </c>
      <c r="FF46" s="9" t="str">
        <f t="array" ref="FF46">IF(FF$11&gt;=0,MAX(INDEX(MMULT(inverseG,FE$12:FE$62),$A46+1,1),MAX(strike-$B46,0)),"")</f>
        <v/>
      </c>
      <c r="FG46" s="9" t="str">
        <f t="array" ref="FG46">IF(FG$11&gt;=0,MAX(INDEX(MMULT(inverseG,FF$12:FF$62),$A46+1,1),MAX(strike-$B46,0)),"")</f>
        <v/>
      </c>
      <c r="FH46" s="9" t="str">
        <f t="array" ref="FH46">IF(FH$11&gt;=0,MAX(INDEX(MMULT(inverseG,FG$12:FG$62),$A46+1,1),MAX(strike-$B46,0)),"")</f>
        <v/>
      </c>
      <c r="FI46" s="9" t="str">
        <f t="array" ref="FI46">IF(FI$11&gt;=0,MAX(INDEX(MMULT(inverseG,FH$12:FH$62),$A46+1,1),MAX(strike-$B46,0)),"")</f>
        <v/>
      </c>
      <c r="FJ46" s="9" t="str">
        <f t="array" ref="FJ46">IF(FJ$11&gt;=0,MAX(INDEX(MMULT(inverseG,FI$12:FI$62),$A46+1,1),MAX(strike-$B46,0)),"")</f>
        <v/>
      </c>
      <c r="FK46" s="9" t="str">
        <f t="array" ref="FK46">IF(FK$11&gt;=0,MAX(INDEX(MMULT(inverseG,FJ$12:FJ$62),$A46+1,1),MAX(strike-$B46,0)),"")</f>
        <v/>
      </c>
      <c r="FL46" s="9" t="str">
        <f t="array" ref="FL46">IF(FL$11&gt;=0,MAX(INDEX(MMULT(inverseG,FK$12:FK$62),$A46+1,1),MAX(strike-$B46,0)),"")</f>
        <v/>
      </c>
      <c r="FM46" s="9" t="str">
        <f t="array" ref="FM46">IF(FM$11&gt;=0,MAX(INDEX(MMULT(inverseG,FL$12:FL$62),$A46+1,1),MAX(strike-$B46,0)),"")</f>
        <v/>
      </c>
      <c r="FN46" s="9" t="str">
        <f t="array" ref="FN46">IF(FN$11&gt;=0,MAX(INDEX(MMULT(inverseG,FM$12:FM$62),$A46+1,1),MAX(strike-$B46,0)),"")</f>
        <v/>
      </c>
      <c r="FO46" s="9" t="str">
        <f t="array" ref="FO46">IF(FO$11&gt;=0,MAX(INDEX(MMULT(inverseG,FN$12:FN$62),$A46+1,1),MAX(strike-$B46,0)),"")</f>
        <v/>
      </c>
      <c r="FP46" s="9" t="str">
        <f t="array" ref="FP46">IF(FP$11&gt;=0,MAX(INDEX(MMULT(inverseG,FO$12:FO$62),$A46+1,1),MAX(strike-$B46,0)),"")</f>
        <v/>
      </c>
      <c r="FQ46" s="9" t="str">
        <f t="array" ref="FQ46">IF(FQ$11&gt;=0,MAX(INDEX(MMULT(inverseG,FP$12:FP$62),$A46+1,1),MAX(strike-$B46,0)),"")</f>
        <v/>
      </c>
      <c r="FR46" s="9" t="str">
        <f t="array" ref="FR46">IF(FR$11&gt;=0,MAX(INDEX(MMULT(inverseG,FQ$12:FQ$62),$A46+1,1),MAX(strike-$B46,0)),"")</f>
        <v/>
      </c>
      <c r="FS46" s="9" t="str">
        <f t="array" ref="FS46">IF(FS$11&gt;=0,MAX(INDEX(MMULT(inverseG,FR$12:FR$62),$A46+1,1),MAX(strike-$B46,0)),"")</f>
        <v/>
      </c>
      <c r="FT46" s="9" t="str">
        <f t="array" ref="FT46">IF(FT$11&gt;=0,MAX(INDEX(MMULT(inverseG,FS$12:FS$62),$A46+1,1),MAX(strike-$B46,0)),"")</f>
        <v/>
      </c>
      <c r="FU46" s="9" t="str">
        <f t="array" ref="FU46">IF(FU$11&gt;=0,MAX(INDEX(MMULT(inverseG,FT$12:FT$62),$A46+1,1),MAX(strike-$B46,0)),"")</f>
        <v/>
      </c>
      <c r="FV46" s="9" t="str">
        <f t="array" ref="FV46">IF(FV$11&gt;=0,MAX(INDEX(MMULT(inverseG,FU$12:FU$62),$A46+1,1),MAX(strike-$B46,0)),"")</f>
        <v/>
      </c>
      <c r="FW46" s="9" t="str">
        <f t="array" ref="FW46">IF(FW$11&gt;=0,MAX(INDEX(MMULT(inverseG,FV$12:FV$62),$A46+1,1),MAX(strike-$B46,0)),"")</f>
        <v/>
      </c>
      <c r="FX46" s="9" t="str">
        <f t="array" ref="FX46">IF(FX$11&gt;=0,MAX(INDEX(MMULT(inverseG,FW$12:FW$62),$A46+1,1),MAX(strike-$B46,0)),"")</f>
        <v/>
      </c>
      <c r="FY46" s="9" t="str">
        <f t="array" ref="FY46">IF(FY$11&gt;=0,MAX(INDEX(MMULT(inverseG,FX$12:FX$62),$A46+1,1),MAX(strike-$B46,0)),"")</f>
        <v/>
      </c>
      <c r="FZ46" s="9" t="str">
        <f t="array" ref="FZ46">IF(FZ$11&gt;=0,MAX(INDEX(MMULT(inverseG,FY$12:FY$62),$A46+1,1),MAX(strike-$B46,0)),"")</f>
        <v/>
      </c>
      <c r="GA46" s="9" t="str">
        <f t="array" ref="GA46">IF(GA$11&gt;=0,MAX(INDEX(MMULT(inverseG,FZ$12:FZ$62),$A46+1,1),MAX(strike-$B46,0)),"")</f>
        <v/>
      </c>
      <c r="GB46" s="9" t="str">
        <f t="array" ref="GB46">IF(GB$11&gt;=0,MAX(INDEX(MMULT(inverseG,GA$12:GA$62),$A46+1,1),MAX(strike-$B46,0)),"")</f>
        <v/>
      </c>
      <c r="GC46" s="9" t="str">
        <f t="array" ref="GC46">IF(GC$11&gt;=0,MAX(INDEX(MMULT(inverseG,GB$12:GB$62),$A46+1,1),MAX(strike-$B46,0)),"")</f>
        <v/>
      </c>
      <c r="GD46" s="9" t="str">
        <f t="array" ref="GD46">IF(GD$11&gt;=0,MAX(INDEX(MMULT(inverseG,GC$12:GC$62),$A46+1,1),MAX(strike-$B46,0)),"")</f>
        <v/>
      </c>
      <c r="GE46" s="9" t="str">
        <f t="array" ref="GE46">IF(GE$11&gt;=0,MAX(INDEX(MMULT(inverseG,GD$12:GD$62),$A46+1,1),MAX(strike-$B46,0)),"")</f>
        <v/>
      </c>
      <c r="GF46" s="9" t="str">
        <f t="array" ref="GF46">IF(GF$11&gt;=0,MAX(INDEX(MMULT(inverseG,GE$12:GE$62),$A46+1,1),MAX(strike-$B46,0)),"")</f>
        <v/>
      </c>
      <c r="GG46" s="9" t="str">
        <f t="array" ref="GG46">IF(GG$11&gt;=0,MAX(INDEX(MMULT(inverseG,GF$12:GF$62),$A46+1,1),MAX(strike-$B46,0)),"")</f>
        <v/>
      </c>
      <c r="GH46" s="9" t="str">
        <f t="array" ref="GH46">IF(GH$11&gt;=0,MAX(INDEX(MMULT(inverseG,GG$12:GG$62),$A46+1,1),MAX(strike-$B46,0)),"")</f>
        <v/>
      </c>
      <c r="GI46" s="9" t="str">
        <f t="array" ref="GI46">IF(GI$11&gt;=0,MAX(INDEX(MMULT(inverseG,GH$12:GH$62),$A46+1,1),MAX(strike-$B46,0)),"")</f>
        <v/>
      </c>
      <c r="GJ46" s="9" t="str">
        <f t="array" ref="GJ46">IF(GJ$11&gt;=0,MAX(INDEX(MMULT(inverseG,GI$12:GI$62),$A46+1,1),MAX(strike-$B46,0)),"")</f>
        <v/>
      </c>
      <c r="GK46" s="9" t="str">
        <f t="array" ref="GK46">IF(GK$11&gt;=0,MAX(INDEX(MMULT(inverseG,GJ$12:GJ$62),$A46+1,1),MAX(strike-$B46,0)),"")</f>
        <v/>
      </c>
      <c r="GL46" s="9" t="str">
        <f t="array" ref="GL46">IF(GL$11&gt;=0,MAX(INDEX(MMULT(inverseG,GK$12:GK$62),$A46+1,1),MAX(strike-$B46,0)),"")</f>
        <v/>
      </c>
      <c r="GM46" s="9" t="str">
        <f t="array" ref="GM46">IF(GM$11&gt;=0,MAX(INDEX(MMULT(inverseG,GL$12:GL$62),$A46+1,1),MAX(strike-$B46,0)),"")</f>
        <v/>
      </c>
      <c r="GN46" s="9" t="str">
        <f t="array" ref="GN46">IF(GN$11&gt;=0,MAX(INDEX(MMULT(inverseG,GM$12:GM$62),$A46+1,1),MAX(strike-$B46,0)),"")</f>
        <v/>
      </c>
      <c r="GO46" s="9" t="str">
        <f t="array" ref="GO46">IF(GO$11&gt;=0,MAX(INDEX(MMULT(inverseG,GN$12:GN$62),$A46+1,1),MAX(strike-$B46,0)),"")</f>
        <v/>
      </c>
      <c r="GP46" s="9" t="str">
        <f t="array" ref="GP46">IF(GP$11&gt;=0,MAX(INDEX(MMULT(inverseG,GO$12:GO$62),$A46+1,1),MAX(strike-$B46,0)),"")</f>
        <v/>
      </c>
      <c r="GQ46" s="9" t="str">
        <f t="array" ref="GQ46">IF(GQ$11&gt;=0,MAX(INDEX(MMULT(inverseG,GP$12:GP$62),$A46+1,1),MAX(strike-$B46,0)),"")</f>
        <v/>
      </c>
      <c r="GR46" s="9" t="str">
        <f t="array" ref="GR46">IF(GR$11&gt;=0,MAX(INDEX(MMULT(inverseG,GQ$12:GQ$62),$A46+1,1),MAX(strike-$B46,0)),"")</f>
        <v/>
      </c>
      <c r="GS46" s="9" t="str">
        <f t="array" ref="GS46">IF(GS$11&gt;=0,MAX(INDEX(MMULT(inverseG,GR$12:GR$62),$A46+1,1),MAX(strike-$B46,0)),"")</f>
        <v/>
      </c>
      <c r="GT46" s="9" t="str">
        <f t="array" ref="GT46">IF(GT$11&gt;=0,MAX(INDEX(MMULT(inverseG,GS$12:GS$62),$A46+1,1),MAX(strike-$B46,0)),"")</f>
        <v/>
      </c>
      <c r="GU46" s="9" t="str">
        <f t="array" ref="GU46">IF(GU$11&gt;=0,MAX(INDEX(MMULT(inverseG,GT$12:GT$62),$A46+1,1),MAX(strike-$B46,0)),"")</f>
        <v/>
      </c>
      <c r="GV46" s="9" t="str">
        <f t="array" ref="GV46">IF(GV$11&gt;=0,MAX(INDEX(MMULT(inverseG,GU$12:GU$62),$A46+1,1),MAX(strike-$B46,0)),"")</f>
        <v/>
      </c>
      <c r="GW46" s="9" t="str">
        <f t="array" ref="GW46">IF(GW$11&gt;=0,MAX(INDEX(MMULT(inverseG,GV$12:GV$62),$A46+1,1),MAX(strike-$B46,0)),"")</f>
        <v/>
      </c>
      <c r="GX46" s="9" t="str">
        <f t="array" ref="GX46">IF(GX$11&gt;=0,MAX(INDEX(MMULT(inverseG,GW$12:GW$62),$A46+1,1),MAX(strike-$B46,0)),"")</f>
        <v/>
      </c>
      <c r="GY46" s="9" t="str">
        <f t="array" ref="GY46">IF(GY$11&gt;=0,MAX(INDEX(MMULT(inverseG,GX$12:GX$62),$A46+1,1),MAX(strike-$B46,0)),"")</f>
        <v/>
      </c>
      <c r="GZ46" s="9" t="str">
        <f t="array" ref="GZ46">IF(GZ$11&gt;=0,MAX(INDEX(MMULT(inverseG,GY$12:GY$62),$A46+1,1),MAX(strike-$B46,0)),"")</f>
        <v/>
      </c>
      <c r="HA46" s="9" t="str">
        <f t="array" ref="HA46">IF(HA$11&gt;=0,MAX(INDEX(MMULT(inverseG,GZ$12:GZ$62),$A46+1,1),MAX(strike-$B46,0)),"")</f>
        <v/>
      </c>
      <c r="HB46" s="9" t="str">
        <f t="array" ref="HB46">IF(HB$11&gt;=0,MAX(INDEX(MMULT(inverseG,HA$12:HA$62),$A46+1,1),MAX(strike-$B46,0)),"")</f>
        <v/>
      </c>
      <c r="HC46" s="9" t="str">
        <f t="array" ref="HC46">IF(HC$11&gt;=0,MAX(INDEX(MMULT(inverseG,HB$12:HB$62),$A46+1,1),MAX(strike-$B46,0)),"")</f>
        <v/>
      </c>
      <c r="HD46" s="9" t="str">
        <f t="array" ref="HD46">IF(HD$11&gt;=0,MAX(INDEX(MMULT(inverseG,HC$12:HC$62),$A46+1,1),MAX(strike-$B46,0)),"")</f>
        <v/>
      </c>
      <c r="HE46" s="9" t="str">
        <f t="array" ref="HE46">IF(HE$11&gt;=0,MAX(INDEX(MMULT(inverseG,HD$12:HD$62),$A46+1,1),MAX(strike-$B46,0)),"")</f>
        <v/>
      </c>
      <c r="HF46" s="9" t="str">
        <f t="array" ref="HF46">IF(HF$11&gt;=0,MAX(INDEX(MMULT(inverseG,HE$12:HE$62),$A46+1,1),MAX(strike-$B46,0)),"")</f>
        <v/>
      </c>
      <c r="HG46" s="9" t="str">
        <f t="array" ref="HG46">IF(HG$11&gt;=0,MAX(INDEX(MMULT(inverseG,HF$12:HF$62),$A46+1,1),MAX(strike-$B46,0)),"")</f>
        <v/>
      </c>
      <c r="HH46" s="9" t="str">
        <f t="array" ref="HH46">IF(HH$11&gt;=0,MAX(INDEX(MMULT(inverseG,HG$12:HG$62),$A46+1,1),MAX(strike-$B46,0)),"")</f>
        <v/>
      </c>
      <c r="HI46" s="9" t="str">
        <f t="array" ref="HI46">IF(HI$11&gt;=0,MAX(INDEX(MMULT(inverseG,HH$12:HH$62),$A46+1,1),MAX(strike-$B46,0)),"")</f>
        <v/>
      </c>
      <c r="HJ46" s="9" t="str">
        <f t="array" ref="HJ46">IF(HJ$11&gt;=0,MAX(INDEX(MMULT(inverseG,HI$12:HI$62),$A46+1,1),MAX(strike-$B46,0)),"")</f>
        <v/>
      </c>
      <c r="HK46" s="9" t="str">
        <f t="array" ref="HK46">IF(HK$11&gt;=0,MAX(INDEX(MMULT(inverseG,HJ$12:HJ$62),$A46+1,1),MAX(strike-$B46,0)),"")</f>
        <v/>
      </c>
      <c r="HL46" s="9" t="str">
        <f t="array" ref="HL46">IF(HL$11&gt;=0,MAX(INDEX(MMULT(inverseG,HK$12:HK$62),$A46+1,1),MAX(strike-$B46,0)),"")</f>
        <v/>
      </c>
      <c r="HM46" s="9" t="str">
        <f t="array" ref="HM46">IF(HM$11&gt;=0,MAX(INDEX(MMULT(inverseG,HL$12:HL$62),$A46+1,1),MAX(strike-$B46,0)),"")</f>
        <v/>
      </c>
      <c r="HN46" s="9" t="str">
        <f t="array" ref="HN46">IF(HN$11&gt;=0,MAX(INDEX(MMULT(inverseG,HM$12:HM$62),$A46+1,1),MAX(strike-$B46,0)),"")</f>
        <v/>
      </c>
      <c r="HO46" s="9" t="str">
        <f t="array" ref="HO46">IF(HO$11&gt;=0,MAX(INDEX(MMULT(inverseG,HN$12:HN$62),$A46+1,1),MAX(strike-$B46,0)),"")</f>
        <v/>
      </c>
      <c r="HP46" s="9" t="str">
        <f t="array" ref="HP46">IF(HP$11&gt;=0,MAX(INDEX(MMULT(inverseG,HO$12:HO$62),$A46+1,1),MAX(strike-$B46,0)),"")</f>
        <v/>
      </c>
      <c r="HQ46" s="9" t="str">
        <f t="array" ref="HQ46">IF(HQ$11&gt;=0,MAX(INDEX(MMULT(inverseG,HP$12:HP$62),$A46+1,1),MAX(strike-$B46,0)),"")</f>
        <v/>
      </c>
      <c r="HR46" s="9" t="str">
        <f t="array" ref="HR46">IF(HR$11&gt;=0,MAX(INDEX(MMULT(inverseG,HQ$12:HQ$62),$A46+1,1),MAX(strike-$B46,0)),"")</f>
        <v/>
      </c>
      <c r="HS46" s="9" t="str">
        <f t="array" ref="HS46">IF(HS$11&gt;=0,MAX(INDEX(MMULT(inverseG,HR$12:HR$62),$A46+1,1),MAX(strike-$B46,0)),"")</f>
        <v/>
      </c>
      <c r="HT46" s="9" t="str">
        <f t="array" ref="HT46">IF(HT$11&gt;=0,MAX(INDEX(MMULT(inverseG,HS$12:HS$62),$A46+1,1),MAX(strike-$B46,0)),"")</f>
        <v/>
      </c>
      <c r="HU46" s="9" t="str">
        <f t="array" ref="HU46">IF(HU$11&gt;=0,MAX(INDEX(MMULT(inverseG,HT$12:HT$62),$A46+1,1),MAX(strike-$B46,0)),"")</f>
        <v/>
      </c>
      <c r="HV46" s="9" t="str">
        <f t="array" ref="HV46">IF(HV$11&gt;=0,MAX(INDEX(MMULT(inverseG,HU$12:HU$62),$A46+1,1),MAX(strike-$B46,0)),"")</f>
        <v/>
      </c>
      <c r="HW46" s="9" t="str">
        <f t="array" ref="HW46">IF(HW$11&gt;=0,MAX(INDEX(MMULT(inverseG,HV$12:HV$62),$A46+1,1),MAX(strike-$B46,0)),"")</f>
        <v/>
      </c>
      <c r="HX46" s="9" t="str">
        <f t="array" ref="HX46">IF(HX$11&gt;=0,MAX(INDEX(MMULT(inverseG,HW$12:HW$62),$A46+1,1),MAX(strike-$B46,0)),"")</f>
        <v/>
      </c>
      <c r="HY46" s="9" t="str">
        <f t="array" ref="HY46">IF(HY$11&gt;=0,MAX(INDEX(MMULT(inverseG,HX$12:HX$62),$A46+1,1),MAX(strike-$B46,0)),"")</f>
        <v/>
      </c>
      <c r="HZ46" s="9" t="str">
        <f t="array" ref="HZ46">IF(HZ$11&gt;=0,MAX(INDEX(MMULT(inverseG,HY$12:HY$62),$A46+1,1),MAX(strike-$B46,0)),"")</f>
        <v/>
      </c>
      <c r="IA46" s="9" t="str">
        <f t="array" ref="IA46">IF(IA$11&gt;=0,MAX(INDEX(MMULT(inverseG,HZ$12:HZ$62),$A46+1,1),MAX(strike-$B46,0)),"")</f>
        <v/>
      </c>
      <c r="IB46" s="9" t="str">
        <f t="array" ref="IB46">IF(IB$11&gt;=0,MAX(INDEX(MMULT(inverseG,IA$12:IA$62),$A46+1,1),MAX(strike-$B46,0)),"")</f>
        <v/>
      </c>
      <c r="IC46" s="9" t="str">
        <f t="array" ref="IC46">IF(IC$11&gt;=0,MAX(INDEX(MMULT(inverseG,IB$12:IB$62),$A46+1,1),MAX(strike-$B46,0)),"")</f>
        <v/>
      </c>
      <c r="ID46" s="9" t="str">
        <f t="array" ref="ID46">IF(ID$11&gt;=0,MAX(INDEX(MMULT(inverseG,IC$12:IC$62),$A46+1,1),MAX(strike-$B46,0)),"")</f>
        <v/>
      </c>
      <c r="IE46" s="9" t="str">
        <f t="array" ref="IE46">IF(IE$11&gt;=0,MAX(INDEX(MMULT(inverseG,ID$12:ID$62),$A46+1,1),MAX(strike-$B46,0)),"")</f>
        <v/>
      </c>
      <c r="IF46" s="9" t="str">
        <f t="array" ref="IF46">IF(IF$11&gt;=0,MAX(INDEX(MMULT(inverseG,IE$12:IE$62),$A46+1,1),MAX(strike-$B46,0)),"")</f>
        <v/>
      </c>
      <c r="IG46" s="9" t="str">
        <f t="array" ref="IG46">IF(IG$11&gt;=0,MAX(INDEX(MMULT(inverseG,IF$12:IF$62),$A46+1,1),MAX(strike-$B46,0)),"")</f>
        <v/>
      </c>
      <c r="IH46" s="9" t="str">
        <f t="array" ref="IH46">IF(IH$11&gt;=0,MAX(INDEX(MMULT(inverseG,IG$12:IG$62),$A46+1,1),MAX(strike-$B46,0)),"")</f>
        <v/>
      </c>
      <c r="II46" s="9" t="str">
        <f t="array" ref="II46">IF(II$11&gt;=0,MAX(INDEX(MMULT(inverseG,IH$12:IH$62),$A46+1,1),MAX(strike-$B46,0)),"")</f>
        <v/>
      </c>
      <c r="IJ46" s="9" t="str">
        <f t="array" ref="IJ46">IF(IJ$11&gt;=0,MAX(INDEX(MMULT(inverseG,II$12:II$62),$A46+1,1),MAX(strike-$B46,0)),"")</f>
        <v/>
      </c>
      <c r="IK46" s="9" t="str">
        <f t="array" ref="IK46">IF(IK$11&gt;=0,MAX(INDEX(MMULT(inverseG,IJ$12:IJ$62),$A46+1,1),MAX(strike-$B46,0)),"")</f>
        <v/>
      </c>
      <c r="IL46" s="9" t="str">
        <f t="array" ref="IL46">IF(IL$11&gt;=0,MAX(INDEX(MMULT(inverseG,IK$12:IK$62),$A46+1,1),MAX(strike-$B46,0)),"")</f>
        <v/>
      </c>
      <c r="IM46" s="9" t="str">
        <f t="array" ref="IM46">IF(IM$11&gt;=0,MAX(INDEX(MMULT(inverseG,IL$12:IL$62),$A46+1,1),MAX(strike-$B46,0)),"")</f>
        <v/>
      </c>
      <c r="IN46" s="9" t="str">
        <f t="array" ref="IN46">IF(IN$11&gt;=0,MAX(INDEX(MMULT(inverseG,IM$12:IM$62),$A46+1,1),MAX(strike-$B46,0)),"")</f>
        <v/>
      </c>
      <c r="IO46" s="9" t="str">
        <f t="array" ref="IO46">IF(IO$11&gt;=0,MAX(INDEX(MMULT(inverseG,IN$12:IN$62),$A46+1,1),MAX(strike-$B46,0)),"")</f>
        <v/>
      </c>
      <c r="IP46" s="9" t="str">
        <f t="array" ref="IP46">IF(IP$11&gt;=0,MAX(INDEX(MMULT(inverseG,IO$12:IO$62),$A46+1,1),MAX(strike-$B46,0)),"")</f>
        <v/>
      </c>
      <c r="IQ46" s="9" t="str">
        <f t="array" ref="IQ46">IF(IQ$11&gt;=0,MAX(INDEX(MMULT(inverseG,IP$12:IP$62),$A46+1,1),MAX(strike-$B46,0)),"")</f>
        <v/>
      </c>
      <c r="IR46" s="9" t="str">
        <f t="array" ref="IR46">IF(IR$11&gt;=0,MAX(INDEX(MMULT(inverseG,IQ$12:IQ$62),$A46+1,1),MAX(strike-$B46,0)),"")</f>
        <v/>
      </c>
      <c r="IS46" s="9" t="str">
        <f t="array" ref="IS46">IF(IS$11&gt;=0,MAX(INDEX(MMULT(inverseG,IR$12:IR$62),$A46+1,1),MAX(strike-$B46,0)),"")</f>
        <v/>
      </c>
      <c r="IT46" s="9" t="str">
        <f t="array" ref="IT46">IF(IT$11&gt;=0,MAX(INDEX(MMULT(inverseG,IS$12:IS$62),$A46+1,1),MAX(strike-$B46,0)),"")</f>
        <v/>
      </c>
      <c r="IU46" s="9" t="str">
        <f t="array" ref="IU46">IF(IU$11&gt;=0,MAX(INDEX(MMULT(inverseG,IT$12:IT$62),$A46+1,1),MAX(strike-$B46,0)),"")</f>
        <v/>
      </c>
      <c r="IV46" s="9" t="str">
        <f t="array" ref="IV46">IF(IV$11&gt;=0,MAX(INDEX(MMULT(inverseG,IU$12:IU$62),$A46+1,1),MAX(strike-$B46,0)),"")</f>
        <v/>
      </c>
    </row>
    <row r="47" spans="1:256" x14ac:dyDescent="0.2">
      <c r="A47" s="8">
        <f t="shared" si="7"/>
        <v>35</v>
      </c>
      <c r="B47" s="6">
        <f t="shared" si="8"/>
        <v>8.75</v>
      </c>
      <c r="C47" s="30">
        <f t="shared" ca="1" si="6"/>
        <v>0.11399943614014267</v>
      </c>
      <c r="D47" s="9">
        <f t="shared" si="9"/>
        <v>0</v>
      </c>
      <c r="E47" s="9">
        <f t="array" ref="E47">IF(E$11&gt;=0,MAX(INDEX(MMULT(inverseG,D$12:D$62),$A47+1,1),MAX(strike-$B47,0)),"")</f>
        <v>8.0164103671130494E-8</v>
      </c>
      <c r="F47" s="9">
        <f t="array" ref="F47">IF(F$11&gt;=0,MAX(INDEX(MMULT(inverseG,E$12:E$62),$A47+1,1),MAX(strike-$B47,0)),"")</f>
        <v>6.3578241578438456E-7</v>
      </c>
      <c r="G47" s="9">
        <f t="array" ref="G47">IF(G$11&gt;=0,MAX(INDEX(MMULT(inverseG,F$12:F$62),$A47+1,1),MAX(strike-$B47,0)),"")</f>
        <v>2.7318023025444858E-6</v>
      </c>
      <c r="H47" s="9">
        <f t="array" ref="H47">IF(H$11&gt;=0,MAX(INDEX(MMULT(inverseG,G$12:G$62),$A47+1,1),MAX(strike-$B47,0)),"")</f>
        <v>8.4482360828879642E-6</v>
      </c>
      <c r="I47" s="9">
        <f t="array" ref="I47">IF(I$11&gt;=0,MAX(INDEX(MMULT(inverseG,H$12:H$62),$A47+1,1),MAX(strike-$B47,0)),"")</f>
        <v>2.1083859020007499E-5</v>
      </c>
      <c r="J47" s="9">
        <f t="array" ref="J47">IF(J$11&gt;=0,MAX(INDEX(MMULT(inverseG,I$12:I$62),$A47+1,1),MAX(strike-$B47,0)),"")</f>
        <v>4.5150897250570161E-5</v>
      </c>
      <c r="K47" s="9">
        <f t="array" ref="K47">IF(K$11&gt;=0,MAX(INDEX(MMULT(inverseG,J$12:J$62),$A47+1,1),MAX(strike-$B47,0)),"")</f>
        <v>8.6171786742547492E-5</v>
      </c>
      <c r="L47" s="9">
        <f t="array" ref="L47">IF(L$11&gt;=0,MAX(INDEX(MMULT(inverseG,K$12:K$62),$A47+1,1),MAX(strike-$B47,0)),"")</f>
        <v>1.5034125029289043E-4</v>
      </c>
      <c r="M47" s="9">
        <f t="array" ref="M47">IF(M$11&gt;=0,MAX(INDEX(MMULT(inverseG,L$12:L$62),$A47+1,1),MAX(strike-$B47,0)),"")</f>
        <v>2.4413319702978656E-4</v>
      </c>
      <c r="N47" s="9">
        <f t="array" ref="N47">IF(N$11&gt;=0,MAX(INDEX(MMULT(inverseG,M$12:M$62),$A47+1,1),MAX(strike-$B47,0)),"")</f>
        <v>3.7392151469037418E-4</v>
      </c>
      <c r="O47" s="9">
        <f t="array" ref="O47">IF(O$11&gt;=0,MAX(INDEX(MMULT(inverseG,N$12:N$62),$A47+1,1),MAX(strike-$B47,0)),"")</f>
        <v>5.4566099954401202E-4</v>
      </c>
      <c r="P47" s="9">
        <f t="array" ref="P47">IF(P$11&gt;=0,MAX(INDEX(MMULT(inverseG,O$12:O$62),$A47+1,1),MAX(strike-$B47,0)),"")</f>
        <v>7.6465075134915885E-4</v>
      </c>
      <c r="Q47" s="9">
        <f t="array" ref="Q47">IF(Q$11&gt;=0,MAX(INDEX(MMULT(inverseG,P$12:P$62),$A47+1,1),MAX(strike-$B47,0)),"")</f>
        <v>1.0353834294618673E-3</v>
      </c>
      <c r="R47" s="9">
        <f t="array" ref="R47">IF(R$11&gt;=0,MAX(INDEX(MMULT(inverseG,Q$12:Q$62),$A47+1,1),MAX(strike-$B47,0)),"")</f>
        <v>1.3614716198554369E-3</v>
      </c>
      <c r="S47" s="9">
        <f t="array" ref="S47">IF(S$11&gt;=0,MAX(INDEX(MMULT(inverseG,R$12:R$62),$A47+1,1),MAX(strike-$B47,0)),"")</f>
        <v>1.7456365194402433E-3</v>
      </c>
      <c r="T47" s="9">
        <f t="array" ref="T47">IF(T$11&gt;=0,MAX(INDEX(MMULT(inverseG,S$12:S$62),$A47+1,1),MAX(strike-$B47,0)),"")</f>
        <v>2.1897425479526721E-3</v>
      </c>
      <c r="U47" s="9">
        <f t="array" ref="U47">IF(U$11&gt;=0,MAX(INDEX(MMULT(inverseG,T$12:T$62),$A47+1,1),MAX(strike-$B47,0)),"")</f>
        <v>2.6948626324437737E-3</v>
      </c>
      <c r="V47" s="9">
        <f t="array" ref="V47">IF(V$11&gt;=0,MAX(INDEX(MMULT(inverseG,U$12:U$62),$A47+1,1),MAX(strike-$B47,0)),"")</f>
        <v>3.2613614023203489E-3</v>
      </c>
      <c r="W47" s="9">
        <f t="array" ref="W47">IF(W$11&gt;=0,MAX(INDEX(MMULT(inverseG,V$12:V$62),$A47+1,1),MAX(strike-$B47,0)),"")</f>
        <v>3.8889864452104151E-3</v>
      </c>
      <c r="X47" s="9">
        <f t="array" ref="X47">IF(X$11&gt;=0,MAX(INDEX(MMULT(inverseG,W$12:W$62),$A47+1,1),MAX(strike-$B47,0)),"")</f>
        <v>4.5769605463908203E-3</v>
      </c>
      <c r="Y47" s="9">
        <f t="array" ref="Y47">IF(Y$11&gt;=0,MAX(INDEX(MMULT(inverseG,X$12:X$62),$A47+1,1),MAX(strike-$B47,0)),"")</f>
        <v>5.3240701897747378E-3</v>
      </c>
      <c r="Z47" s="9">
        <f t="array" ref="Z47">IF(Z$11&gt;=0,MAX(INDEX(MMULT(inverseG,Y$12:Y$62),$A47+1,1),MAX(strike-$B47,0)),"")</f>
        <v>6.1287474460805192E-3</v>
      </c>
      <c r="AA47" s="9">
        <f t="array" ref="AA47">IF(AA$11&gt;=0,MAX(INDEX(MMULT(inverseG,Z$12:Z$62),$A47+1,1),MAX(strike-$B47,0)),"")</f>
        <v>6.989143733331051E-3</v>
      </c>
      <c r="AB47" s="9">
        <f t="array" ref="AB47">IF(AB$11&gt;=0,MAX(INDEX(MMULT(inverseG,AA$12:AA$62),$A47+1,1),MAX(strike-$B47,0)),"")</f>
        <v>7.9031948796741136E-3</v>
      </c>
      <c r="AC47" s="9">
        <f t="array" ref="AC47">IF(AC$11&gt;=0,MAX(INDEX(MMULT(inverseG,AB$12:AB$62),$A47+1,1),MAX(strike-$B47,0)),"")</f>
        <v>8.8686775389881338E-3</v>
      </c>
      <c r="AD47" s="9">
        <f t="array" ref="AD47">IF(AD$11&gt;=0,MAX(INDEX(MMULT(inverseG,AC$12:AC$62),$A47+1,1),MAX(strike-$B47,0)),"")</f>
        <v>9.8832573917535596E-3</v>
      </c>
      <c r="AE47" s="9">
        <f t="array" ref="AE47">IF(AE$11&gt;=0,MAX(INDEX(MMULT(inverseG,AD$12:AD$62),$A47+1,1),MAX(strike-$B47,0)),"")</f>
        <v>1.0944529778848085E-2</v>
      </c>
      <c r="AF47" s="9">
        <f t="array" ref="AF47">IF(AF$11&gt;=0,MAX(INDEX(MMULT(inverseG,AE$12:AE$62),$A47+1,1),MAX(strike-$B47,0)),"")</f>
        <v>1.2050053519076023E-2</v>
      </c>
      <c r="AG47" s="9">
        <f t="array" ref="AG47">IF(AG$11&gt;=0,MAX(INDEX(MMULT(inverseG,AF$12:AF$62),$A47+1,1),MAX(strike-$B47,0)),"")</f>
        <v>1.319737869183682E-2</v>
      </c>
      <c r="AH47" s="9">
        <f t="array" ref="AH47">IF(AH$11&gt;=0,MAX(INDEX(MMULT(inverseG,AG$12:AG$62),$A47+1,1),MAX(strike-$B47,0)),"")</f>
        <v>1.4384069151575172E-2</v>
      </c>
      <c r="AI47" s="9">
        <f t="array" ref="AI47">IF(AI$11&gt;=0,MAX(INDEX(MMULT(inverseG,AH$12:AH$62),$A47+1,1),MAX(strike-$B47,0)),"")</f>
        <v>1.5607720498729185E-2</v>
      </c>
      <c r="AJ47" s="9">
        <f t="array" ref="AJ47">IF(AJ$11&gt;=0,MAX(INDEX(MMULT(inverseG,AI$12:AI$62),$A47+1,1),MAX(strike-$B47,0)),"")</f>
        <v>1.6865974174768188E-2</v>
      </c>
      <c r="AK47" s="9">
        <f t="array" ref="AK47">IF(AK$11&gt;=0,MAX(INDEX(MMULT(inverseG,AJ$12:AJ$62),$A47+1,1),MAX(strike-$B47,0)),"")</f>
        <v>1.8156528284400883E-2</v>
      </c>
      <c r="AL47" s="9">
        <f t="array" ref="AL47">IF(AL$11&gt;=0,MAX(INDEX(MMULT(inverseG,AK$12:AK$62),$A47+1,1),MAX(strike-$B47,0)),"")</f>
        <v>1.9477145681241072E-2</v>
      </c>
      <c r="AM47" s="9">
        <f t="array" ref="AM47">IF(AM$11&gt;=0,MAX(INDEX(MMULT(inverseG,AL$12:AL$62),$A47+1,1),MAX(strike-$B47,0)),"")</f>
        <v>2.0825659787469433E-2</v>
      </c>
      <c r="AN47" s="9">
        <f t="array" ref="AN47">IF(AN$11&gt;=0,MAX(INDEX(MMULT(inverseG,AM$12:AM$62),$A47+1,1),MAX(strike-$B47,0)),"")</f>
        <v>2.219997855546765E-2</v>
      </c>
      <c r="AO47" s="9">
        <f t="array" ref="AO47">IF(AO$11&gt;=0,MAX(INDEX(MMULT(inverseG,AN$12:AN$62),$A47+1,1),MAX(strike-$B47,0)),"")</f>
        <v>2.3598086921646371E-2</v>
      </c>
      <c r="AP47" s="9">
        <f t="array" ref="AP47">IF(AP$11&gt;=0,MAX(INDEX(MMULT(inverseG,AO$12:AO$62),$A47+1,1),MAX(strike-$B47,0)),"")</f>
        <v>2.5018048051045499E-2</v>
      </c>
      <c r="AQ47" s="9">
        <f t="array" ref="AQ47">IF(AQ$11&gt;=0,MAX(INDEX(MMULT(inverseG,AP$12:AP$62),$A47+1,1),MAX(strike-$B47,0)),"")</f>
        <v>2.6458003626345088E-2</v>
      </c>
      <c r="AR47" s="9">
        <f t="array" ref="AR47">IF(AR$11&gt;=0,MAX(INDEX(MMULT(inverseG,AQ$12:AQ$62),$A47+1,1),MAX(strike-$B47,0)),"")</f>
        <v>2.7916173396194382E-2</v>
      </c>
      <c r="AS47" s="9">
        <f t="array" ref="AS47">IF(AS$11&gt;=0,MAX(INDEX(MMULT(inverseG,AR$12:AR$62),$A47+1,1),MAX(strike-$B47,0)),"")</f>
        <v>2.9390854163886496E-2</v>
      </c>
      <c r="AT47" s="9">
        <f t="array" ref="AT47">IF(AT$11&gt;=0,MAX(INDEX(MMULT(inverseG,AS$12:AS$62),$A47+1,1),MAX(strike-$B47,0)),"")</f>
        <v>3.0880418366833397E-2</v>
      </c>
      <c r="AU47" s="9">
        <f t="array" ref="AU47">IF(AU$11&gt;=0,MAX(INDEX(MMULT(inverseG,AT$12:AT$62),$A47+1,1),MAX(strike-$B47,0)),"")</f>
        <v>3.2383312368980295E-2</v>
      </c>
      <c r="AV47" s="9">
        <f t="array" ref="AV47">IF(AV$11&gt;=0,MAX(INDEX(MMULT(inverseG,AU$12:AU$62),$A47+1,1),MAX(strike-$B47,0)),"")</f>
        <v>3.3898054561972354E-2</v>
      </c>
      <c r="AW47" s="9">
        <f t="array" ref="AW47">IF(AW$11&gt;=0,MAX(INDEX(MMULT(inverseG,AV$12:AV$62),$A47+1,1),MAX(strike-$B47,0)),"")</f>
        <v>3.5423233346951147E-2</v>
      </c>
      <c r="AX47" s="9">
        <f t="array" ref="AX47">IF(AX$11&gt;=0,MAX(INDEX(MMULT(inverseG,AW$12:AW$62),$A47+1,1),MAX(strike-$B47,0)),"")</f>
        <v>3.6957505048010444E-2</v>
      </c>
      <c r="AY47" s="9">
        <f t="array" ref="AY47">IF(AY$11&gt;=0,MAX(INDEX(MMULT(inverseG,AX$12:AX$62),$A47+1,1),MAX(strike-$B47,0)),"")</f>
        <v>3.8499591791206489E-2</v>
      </c>
      <c r="AZ47" s="9">
        <f t="array" ref="AZ47">IF(AZ$11&gt;=0,MAX(INDEX(MMULT(inverseG,AY$12:AY$62),$A47+1,1),MAX(strike-$B47,0)),"")</f>
        <v>4.0048279369890492E-2</v>
      </c>
      <c r="BA47" s="9">
        <f t="array" ref="BA47">IF(BA$11&gt;=0,MAX(INDEX(MMULT(inverseG,AZ$12:AZ$62),$A47+1,1),MAX(strike-$B47,0)),"")</f>
        <v>4.1602415107903828E-2</v>
      </c>
      <c r="BB47" s="9">
        <f t="array" ref="BB47">IF(BB$11&gt;=0,MAX(INDEX(MMULT(inverseG,BA$12:BA$62),$A47+1,1),MAX(strike-$B47,0)),"")</f>
        <v>4.3160905726389621E-2</v>
      </c>
      <c r="BC47" s="9">
        <f t="array" ref="BC47">IF(BC$11&gt;=0,MAX(INDEX(MMULT(inverseG,BB$12:BB$62),$A47+1,1),MAX(strike-$B47,0)),"")</f>
        <v>4.4722715216950648E-2</v>
      </c>
      <c r="BD47" s="9">
        <f t="array" ref="BD47">IF(BD$11&gt;=0,MAX(INDEX(MMULT(inverseG,BC$12:BC$62),$A47+1,1),MAX(strike-$B47,0)),"")</f>
        <v>4.628686272285977E-2</v>
      </c>
      <c r="BE47" s="9">
        <f t="array" ref="BE47">IF(BE$11&gt;=0,MAX(INDEX(MMULT(inverseG,BD$12:BD$62),$A47+1,1),MAX(strike-$B47,0)),"")</f>
        <v>4.7852420430289894E-2</v>
      </c>
      <c r="BF47" s="9">
        <f t="array" ref="BF47">IF(BF$11&gt;=0,MAX(INDEX(MMULT(inverseG,BE$12:BE$62),$A47+1,1),MAX(strike-$B47,0)),"")</f>
        <v>4.9418511472459244E-2</v>
      </c>
      <c r="BG47" s="9">
        <f t="array" ref="BG47">IF(BG$11&gt;=0,MAX(INDEX(MMULT(inverseG,BF$12:BF$62),$A47+1,1),MAX(strike-$B47,0)),"")</f>
        <v>5.0984307850728078E-2</v>
      </c>
      <c r="BH47" s="9">
        <f t="array" ref="BH47">IF(BH$11&gt;=0,MAX(INDEX(MMULT(inverseG,BG$12:BG$62),$A47+1,1),MAX(strike-$B47,0)),"")</f>
        <v>5.2549028377719631E-2</v>
      </c>
      <c r="BI47" s="9">
        <f t="array" ref="BI47">IF(BI$11&gt;=0,MAX(INDEX(MMULT(inverseG,BH$12:BH$62),$A47+1,1),MAX(strike-$B47,0)),"")</f>
        <v>5.4111936648291621E-2</v>
      </c>
      <c r="BJ47" s="9">
        <f t="array" ref="BJ47">IF(BJ$11&gt;=0,MAX(INDEX(MMULT(inverseG,BI$12:BI$62),$A47+1,1),MAX(strike-$B47,0)),"")</f>
        <v>5.5672339044578086E-2</v>
      </c>
      <c r="BK47" s="9">
        <f t="array" ref="BK47">IF(BK$11&gt;=0,MAX(INDEX(MMULT(inverseG,BJ$12:BJ$62),$A47+1,1),MAX(strike-$B47,0)),"")</f>
        <v>5.7229582781350749E-2</v>
      </c>
      <c r="BL47" s="9">
        <f t="array" ref="BL47">IF(BL$11&gt;=0,MAX(INDEX(MMULT(inverseG,BK$12:BK$62),$A47+1,1),MAX(strike-$B47,0)),"")</f>
        <v>5.8783053997657944E-2</v>
      </c>
      <c r="BM47" s="9">
        <f t="array" ref="BM47">IF(BM$11&gt;=0,MAX(INDEX(MMULT(inverseG,BL$12:BL$62),$A47+1,1),MAX(strike-$B47,0)),"")</f>
        <v>6.0332175900154168E-2</v>
      </c>
      <c r="BN47" s="9">
        <f t="array" ref="BN47">IF(BN$11&gt;=0,MAX(INDEX(MMULT(inverseG,BM$12:BM$62),$A47+1,1),MAX(strike-$B47,0)),"")</f>
        <v>6.1876406962807252E-2</v>
      </c>
      <c r="BO47" s="9">
        <f t="array" ref="BO47">IF(BO$11&gt;=0,MAX(INDEX(MMULT(inverseG,BN$12:BN$62),$A47+1,1),MAX(strike-$B47,0)),"")</f>
        <v>6.3415239186838529E-2</v>
      </c>
      <c r="BP47" s="9">
        <f t="array" ref="BP47">IF(BP$11&gt;=0,MAX(INDEX(MMULT(inverseG,BO$12:BO$62),$A47+1,1),MAX(strike-$B47,0)),"")</f>
        <v>6.4948196423872839E-2</v>
      </c>
      <c r="BQ47" s="9">
        <f t="array" ref="BQ47">IF(BQ$11&gt;=0,MAX(INDEX(MMULT(inverseG,BP$12:BP$62),$A47+1,1),MAX(strike-$B47,0)),"")</f>
        <v>6.647483276440258E-2</v>
      </c>
      <c r="BR47" s="9">
        <f t="array" ref="BR47">IF(BR$11&gt;=0,MAX(INDEX(MMULT(inverseG,BQ$12:BQ$62),$A47+1,1),MAX(strike-$B47,0)),"")</f>
        <v>6.7994730992841923E-2</v>
      </c>
      <c r="BS47" s="9">
        <f t="array" ref="BS47">IF(BS$11&gt;=0,MAX(INDEX(MMULT(inverseG,BR$12:BR$62),$A47+1,1),MAX(strike-$B47,0)),"")</f>
        <v>6.9507501109686565E-2</v>
      </c>
      <c r="BT47" s="9">
        <f t="array" ref="BT47">IF(BT$11&gt;=0,MAX(INDEX(MMULT(inverseG,BS$12:BS$62),$A47+1,1),MAX(strike-$B47,0)),"")</f>
        <v>7.1012778920621647E-2</v>
      </c>
      <c r="BU47" s="9">
        <f t="array" ref="BU47">IF(BU$11&gt;=0,MAX(INDEX(MMULT(inverseG,BT$12:BT$62),$A47+1,1),MAX(strike-$B47,0)),"")</f>
        <v>7.2510224691839334E-2</v>
      </c>
      <c r="BV47" s="9">
        <f t="array" ref="BV47">IF(BV$11&gt;=0,MAX(INDEX(MMULT(inverseG,BU$12:BU$62),$A47+1,1),MAX(strike-$B47,0)),"")</f>
        <v>7.399952187034102E-2</v>
      </c>
      <c r="BW47" s="9">
        <f t="array" ref="BW47">IF(BW$11&gt;=0,MAX(INDEX(MMULT(inverseG,BV$12:BV$62),$A47+1,1),MAX(strike-$B47,0)),"")</f>
        <v>7.5480375867606114E-2</v>
      </c>
      <c r="BX47" s="9">
        <f t="array" ref="BX47">IF(BX$11&gt;=0,MAX(INDEX(MMULT(inverseG,BW$12:BW$62),$A47+1,1),MAX(strike-$B47,0)),"")</f>
        <v>7.6952512904697248E-2</v>
      </c>
      <c r="BY47" s="9">
        <f t="array" ref="BY47">IF(BY$11&gt;=0,MAX(INDEX(MMULT(inverseG,BX$12:BX$62),$A47+1,1),MAX(strike-$B47,0)),"")</f>
        <v>7.8415678916641904E-2</v>
      </c>
      <c r="BZ47" s="9">
        <f t="array" ref="BZ47">IF(BZ$11&gt;=0,MAX(INDEX(MMULT(inverseG,BY$12:BY$62),$A47+1,1),MAX(strike-$B47,0)),"")</f>
        <v>7.9869638513763525E-2</v>
      </c>
      <c r="CA47" s="9">
        <f t="array" ref="CA47">IF(CA$11&gt;=0,MAX(INDEX(MMULT(inverseG,BZ$12:BZ$62),$A47+1,1),MAX(strike-$B47,0)),"")</f>
        <v>8.1314173997529479E-2</v>
      </c>
      <c r="CB47" s="9">
        <f t="array" ref="CB47">IF(CB$11&gt;=0,MAX(INDEX(MMULT(inverseG,CA$12:CA$62),$A47+1,1),MAX(strike-$B47,0)),"")</f>
        <v>8.2749084428426392E-2</v>
      </c>
      <c r="CC47" s="9">
        <f t="array" ref="CC47">IF(CC$11&gt;=0,MAX(INDEX(MMULT(inverseG,CB$12:CB$62),$A47+1,1),MAX(strike-$B47,0)),"")</f>
        <v>8.4174184743357014E-2</v>
      </c>
      <c r="CD47" s="9">
        <f t="array" ref="CD47">IF(CD$11&gt;=0,MAX(INDEX(MMULT(inverseG,CC$12:CC$62),$A47+1,1),MAX(strike-$B47,0)),"")</f>
        <v>8.5589304920069414E-2</v>
      </c>
      <c r="CE47" s="9">
        <f t="array" ref="CE47">IF(CE$11&gt;=0,MAX(INDEX(MMULT(inverseG,CD$12:CD$62),$A47+1,1),MAX(strike-$B47,0)),"")</f>
        <v>8.6994289186172746E-2</v>
      </c>
      <c r="CF47" s="9">
        <f t="array" ref="CF47">IF(CF$11&gt;=0,MAX(INDEX(MMULT(inverseG,CE$12:CE$62),$A47+1,1),MAX(strike-$B47,0)),"")</f>
        <v>8.8388995270357318E-2</v>
      </c>
      <c r="CG47" s="9">
        <f t="array" ref="CG47">IF(CG$11&gt;=0,MAX(INDEX(MMULT(inverseG,CF$12:CF$62),$A47+1,1),MAX(strike-$B47,0)),"")</f>
        <v>8.9773293693515194E-2</v>
      </c>
      <c r="CH47" s="9">
        <f t="array" ref="CH47">IF(CH$11&gt;=0,MAX(INDEX(MMULT(inverseG,CG$12:CG$62),$A47+1,1),MAX(strike-$B47,0)),"")</f>
        <v>9.1147067097545706E-2</v>
      </c>
      <c r="CI47" s="9">
        <f t="array" ref="CI47">IF(CI$11&gt;=0,MAX(INDEX(MMULT(inverseG,CH$12:CH$62),$A47+1,1),MAX(strike-$B47,0)),"")</f>
        <v>9.2510209609729097E-2</v>
      </c>
      <c r="CJ47" s="9">
        <f t="array" ref="CJ47">IF(CJ$11&gt;=0,MAX(INDEX(MMULT(inverseG,CI$12:CI$62),$A47+1,1),MAX(strike-$B47,0)),"")</f>
        <v>9.3862626240649255E-2</v>
      </c>
      <c r="CK47" s="9">
        <f t="array" ref="CK47">IF(CK$11&gt;=0,MAX(INDEX(MMULT(inverseG,CJ$12:CJ$62),$A47+1,1),MAX(strike-$B47,0)),"")</f>
        <v>9.5204232313751705E-2</v>
      </c>
      <c r="CL47" s="9">
        <f t="array" ref="CL47">IF(CL$11&gt;=0,MAX(INDEX(MMULT(inverseG,CK$12:CK$62),$A47+1,1),MAX(strike-$B47,0)),"")</f>
        <v>9.6534952924723652E-2</v>
      </c>
      <c r="CM47" s="9">
        <f t="array" ref="CM47">IF(CM$11&gt;=0,MAX(INDEX(MMULT(inverseG,CL$12:CL$62),$A47+1,1),MAX(strike-$B47,0)),"")</f>
        <v>9.7854722428985463E-2</v>
      </c>
      <c r="CN47" s="9">
        <f t="array" ref="CN47">IF(CN$11&gt;=0,MAX(INDEX(MMULT(inverseG,CM$12:CM$62),$A47+1,1),MAX(strike-$B47,0)),"")</f>
        <v>9.9163483955680976E-2</v>
      </c>
      <c r="CO47" s="9">
        <f t="array" ref="CO47">IF(CO$11&gt;=0,MAX(INDEX(MMULT(inverseG,CN$12:CN$62),$A47+1,1),MAX(strike-$B47,0)),"")</f>
        <v>0.10046118894664904</v>
      </c>
      <c r="CP47" s="9">
        <f t="array" ref="CP47">IF(CP$11&gt;=0,MAX(INDEX(MMULT(inverseG,CO$12:CO$62),$A47+1,1),MAX(strike-$B47,0)),"")</f>
        <v>0.10174779671895159</v>
      </c>
      <c r="CQ47" s="9">
        <f t="array" ref="CQ47">IF(CQ$11&gt;=0,MAX(INDEX(MMULT(inverseG,CP$12:CP$62),$A47+1,1),MAX(strike-$B47,0)),"")</f>
        <v>0.10302327404961943</v>
      </c>
      <c r="CR47" s="9">
        <f t="array" ref="CR47">IF(CR$11&gt;=0,MAX(INDEX(MMULT(inverseG,CQ$12:CQ$62),$A47+1,1),MAX(strike-$B47,0)),"")</f>
        <v>0.10428759478136007</v>
      </c>
      <c r="CS47" s="9">
        <f t="array" ref="CS47">IF(CS$11&gt;=0,MAX(INDEX(MMULT(inverseG,CR$12:CR$62),$A47+1,1),MAX(strike-$B47,0)),"")</f>
        <v>0.10554073944806276</v>
      </c>
      <c r="CT47" s="9">
        <f t="array" ref="CT47">IF(CT$11&gt;=0,MAX(INDEX(MMULT(inverseG,CS$12:CS$62),$A47+1,1),MAX(strike-$B47,0)),"")</f>
        <v>0.10678269491906588</v>
      </c>
      <c r="CU47" s="9">
        <f t="array" ref="CU47">IF(CU$11&gt;=0,MAX(INDEX(MMULT(inverseG,CT$12:CT$62),$A47+1,1),MAX(strike-$B47,0)),"")</f>
        <v>0.10801345406137733</v>
      </c>
      <c r="CV47" s="9">
        <f t="array" ref="CV47">IF(CV$11&gt;=0,MAX(INDEX(MMULT(inverseG,CU$12:CU$62),$A47+1,1),MAX(strike-$B47,0)),"")</f>
        <v>0.10923301541936997</v>
      </c>
      <c r="CW47" s="9">
        <f t="array" ref="CW47">IF(CW$11&gt;=0,MAX(INDEX(MMULT(inverseG,CV$12:CV$62),$A47+1,1),MAX(strike-$B47,0)),"")</f>
        <v>0.1104413829118763</v>
      </c>
      <c r="CX47" s="9">
        <f t="array" ref="CX47">IF(CX$11&gt;=0,MAX(INDEX(MMULT(inverseG,CW$12:CW$62),$A47+1,1),MAX(strike-$B47,0)),"")</f>
        <v>0.11163856554697481</v>
      </c>
      <c r="CY47" s="9">
        <f t="array" ref="CY47">IF(CY$11&gt;=0,MAX(INDEX(MMULT(inverseG,CX$12:CX$62),$A47+1,1),MAX(strike-$B47,0)),"")</f>
        <v>0.11282457715498216</v>
      </c>
      <c r="CZ47" s="9">
        <f t="array" ref="CZ47">IF(CZ$11&gt;=0,MAX(INDEX(MMULT(inverseG,CY$12:CY$62),$A47+1,1),MAX(strike-$B47,0)),"")</f>
        <v>0.11399943614014267</v>
      </c>
      <c r="DA47" s="9" t="str">
        <f t="array" ref="DA47">IF(DA$11&gt;=0,MAX(INDEX(MMULT(inverseG,CZ$12:CZ$62),$A47+1,1),MAX(strike-$B47,0)),"")</f>
        <v/>
      </c>
      <c r="DB47" s="9" t="str">
        <f t="array" ref="DB47">IF(DB$11&gt;=0,MAX(INDEX(MMULT(inverseG,DA$12:DA$62),$A47+1,1),MAX(strike-$B47,0)),"")</f>
        <v/>
      </c>
      <c r="DC47" s="9" t="str">
        <f t="array" ref="DC47">IF(DC$11&gt;=0,MAX(INDEX(MMULT(inverseG,DB$12:DB$62),$A47+1,1),MAX(strike-$B47,0)),"")</f>
        <v/>
      </c>
      <c r="DD47" s="9" t="str">
        <f t="array" ref="DD47">IF(DD$11&gt;=0,MAX(INDEX(MMULT(inverseG,DC$12:DC$62),$A47+1,1),MAX(strike-$B47,0)),"")</f>
        <v/>
      </c>
      <c r="DE47" s="9" t="str">
        <f t="array" ref="DE47">IF(DE$11&gt;=0,MAX(INDEX(MMULT(inverseG,DD$12:DD$62),$A47+1,1),MAX(strike-$B47,0)),"")</f>
        <v/>
      </c>
      <c r="DF47" s="9" t="str">
        <f t="array" ref="DF47">IF(DF$11&gt;=0,MAX(INDEX(MMULT(inverseG,DE$12:DE$62),$A47+1,1),MAX(strike-$B47,0)),"")</f>
        <v/>
      </c>
      <c r="DG47" s="9" t="str">
        <f t="array" ref="DG47">IF(DG$11&gt;=0,MAX(INDEX(MMULT(inverseG,DF$12:DF$62),$A47+1,1),MAX(strike-$B47,0)),"")</f>
        <v/>
      </c>
      <c r="DH47" s="9" t="str">
        <f t="array" ref="DH47">IF(DH$11&gt;=0,MAX(INDEX(MMULT(inverseG,DG$12:DG$62),$A47+1,1),MAX(strike-$B47,0)),"")</f>
        <v/>
      </c>
      <c r="DI47" s="9" t="str">
        <f t="array" ref="DI47">IF(DI$11&gt;=0,MAX(INDEX(MMULT(inverseG,DH$12:DH$62),$A47+1,1),MAX(strike-$B47,0)),"")</f>
        <v/>
      </c>
      <c r="DJ47" s="9" t="str">
        <f t="array" ref="DJ47">IF(DJ$11&gt;=0,MAX(INDEX(MMULT(inverseG,DI$12:DI$62),$A47+1,1),MAX(strike-$B47,0)),"")</f>
        <v/>
      </c>
      <c r="DK47" s="9" t="str">
        <f t="array" ref="DK47">IF(DK$11&gt;=0,MAX(INDEX(MMULT(inverseG,DJ$12:DJ$62),$A47+1,1),MAX(strike-$B47,0)),"")</f>
        <v/>
      </c>
      <c r="DL47" s="9" t="str">
        <f t="array" ref="DL47">IF(DL$11&gt;=0,MAX(INDEX(MMULT(inverseG,DK$12:DK$62),$A47+1,1),MAX(strike-$B47,0)),"")</f>
        <v/>
      </c>
      <c r="DM47" s="9" t="str">
        <f t="array" ref="DM47">IF(DM$11&gt;=0,MAX(INDEX(MMULT(inverseG,DL$12:DL$62),$A47+1,1),MAX(strike-$B47,0)),"")</f>
        <v/>
      </c>
      <c r="DN47" s="9" t="str">
        <f t="array" ref="DN47">IF(DN$11&gt;=0,MAX(INDEX(MMULT(inverseG,DM$12:DM$62),$A47+1,1),MAX(strike-$B47,0)),"")</f>
        <v/>
      </c>
      <c r="DO47" s="9" t="str">
        <f t="array" ref="DO47">IF(DO$11&gt;=0,MAX(INDEX(MMULT(inverseG,DN$12:DN$62),$A47+1,1),MAX(strike-$B47,0)),"")</f>
        <v/>
      </c>
      <c r="DP47" s="9" t="str">
        <f t="array" ref="DP47">IF(DP$11&gt;=0,MAX(INDEX(MMULT(inverseG,DO$12:DO$62),$A47+1,1),MAX(strike-$B47,0)),"")</f>
        <v/>
      </c>
      <c r="DQ47" s="9" t="str">
        <f t="array" ref="DQ47">IF(DQ$11&gt;=0,MAX(INDEX(MMULT(inverseG,DP$12:DP$62),$A47+1,1),MAX(strike-$B47,0)),"")</f>
        <v/>
      </c>
      <c r="DR47" s="9" t="str">
        <f t="array" ref="DR47">IF(DR$11&gt;=0,MAX(INDEX(MMULT(inverseG,DQ$12:DQ$62),$A47+1,1),MAX(strike-$B47,0)),"")</f>
        <v/>
      </c>
      <c r="DS47" s="9" t="str">
        <f t="array" ref="DS47">IF(DS$11&gt;=0,MAX(INDEX(MMULT(inverseG,DR$12:DR$62),$A47+1,1),MAX(strike-$B47,0)),"")</f>
        <v/>
      </c>
      <c r="DT47" s="9" t="str">
        <f t="array" ref="DT47">IF(DT$11&gt;=0,MAX(INDEX(MMULT(inverseG,DS$12:DS$62),$A47+1,1),MAX(strike-$B47,0)),"")</f>
        <v/>
      </c>
      <c r="DU47" s="9" t="str">
        <f t="array" ref="DU47">IF(DU$11&gt;=0,MAX(INDEX(MMULT(inverseG,DT$12:DT$62),$A47+1,1),MAX(strike-$B47,0)),"")</f>
        <v/>
      </c>
      <c r="DV47" s="9" t="str">
        <f t="array" ref="DV47">IF(DV$11&gt;=0,MAX(INDEX(MMULT(inverseG,DU$12:DU$62),$A47+1,1),MAX(strike-$B47,0)),"")</f>
        <v/>
      </c>
      <c r="DW47" s="9" t="str">
        <f t="array" ref="DW47">IF(DW$11&gt;=0,MAX(INDEX(MMULT(inverseG,DV$12:DV$62),$A47+1,1),MAX(strike-$B47,0)),"")</f>
        <v/>
      </c>
      <c r="DX47" s="9" t="str">
        <f t="array" ref="DX47">IF(DX$11&gt;=0,MAX(INDEX(MMULT(inverseG,DW$12:DW$62),$A47+1,1),MAX(strike-$B47,0)),"")</f>
        <v/>
      </c>
      <c r="DY47" s="9" t="str">
        <f t="array" ref="DY47">IF(DY$11&gt;=0,MAX(INDEX(MMULT(inverseG,DX$12:DX$62),$A47+1,1),MAX(strike-$B47,0)),"")</f>
        <v/>
      </c>
      <c r="DZ47" s="9" t="str">
        <f t="array" ref="DZ47">IF(DZ$11&gt;=0,MAX(INDEX(MMULT(inverseG,DY$12:DY$62),$A47+1,1),MAX(strike-$B47,0)),"")</f>
        <v/>
      </c>
      <c r="EA47" s="9" t="str">
        <f t="array" ref="EA47">IF(EA$11&gt;=0,MAX(INDEX(MMULT(inverseG,DZ$12:DZ$62),$A47+1,1),MAX(strike-$B47,0)),"")</f>
        <v/>
      </c>
      <c r="EB47" s="9" t="str">
        <f t="array" ref="EB47">IF(EB$11&gt;=0,MAX(INDEX(MMULT(inverseG,EA$12:EA$62),$A47+1,1),MAX(strike-$B47,0)),"")</f>
        <v/>
      </c>
      <c r="EC47" s="9" t="str">
        <f t="array" ref="EC47">IF(EC$11&gt;=0,MAX(INDEX(MMULT(inverseG,EB$12:EB$62),$A47+1,1),MAX(strike-$B47,0)),"")</f>
        <v/>
      </c>
      <c r="ED47" s="9" t="str">
        <f t="array" ref="ED47">IF(ED$11&gt;=0,MAX(INDEX(MMULT(inverseG,EC$12:EC$62),$A47+1,1),MAX(strike-$B47,0)),"")</f>
        <v/>
      </c>
      <c r="EE47" s="9" t="str">
        <f t="array" ref="EE47">IF(EE$11&gt;=0,MAX(INDEX(MMULT(inverseG,ED$12:ED$62),$A47+1,1),MAX(strike-$B47,0)),"")</f>
        <v/>
      </c>
      <c r="EF47" s="9" t="str">
        <f t="array" ref="EF47">IF(EF$11&gt;=0,MAX(INDEX(MMULT(inverseG,EE$12:EE$62),$A47+1,1),MAX(strike-$B47,0)),"")</f>
        <v/>
      </c>
      <c r="EG47" s="9" t="str">
        <f t="array" ref="EG47">IF(EG$11&gt;=0,MAX(INDEX(MMULT(inverseG,EF$12:EF$62),$A47+1,1),MAX(strike-$B47,0)),"")</f>
        <v/>
      </c>
      <c r="EH47" s="9" t="str">
        <f t="array" ref="EH47">IF(EH$11&gt;=0,MAX(INDEX(MMULT(inverseG,EG$12:EG$62),$A47+1,1),MAX(strike-$B47,0)),"")</f>
        <v/>
      </c>
      <c r="EI47" s="9" t="str">
        <f t="array" ref="EI47">IF(EI$11&gt;=0,MAX(INDEX(MMULT(inverseG,EH$12:EH$62),$A47+1,1),MAX(strike-$B47,0)),"")</f>
        <v/>
      </c>
      <c r="EJ47" s="9" t="str">
        <f t="array" ref="EJ47">IF(EJ$11&gt;=0,MAX(INDEX(MMULT(inverseG,EI$12:EI$62),$A47+1,1),MAX(strike-$B47,0)),"")</f>
        <v/>
      </c>
      <c r="EK47" s="9" t="str">
        <f t="array" ref="EK47">IF(EK$11&gt;=0,MAX(INDEX(MMULT(inverseG,EJ$12:EJ$62),$A47+1,1),MAX(strike-$B47,0)),"")</f>
        <v/>
      </c>
      <c r="EL47" s="9" t="str">
        <f t="array" ref="EL47">IF(EL$11&gt;=0,MAX(INDEX(MMULT(inverseG,EK$12:EK$62),$A47+1,1),MAX(strike-$B47,0)),"")</f>
        <v/>
      </c>
      <c r="EM47" s="9" t="str">
        <f t="array" ref="EM47">IF(EM$11&gt;=0,MAX(INDEX(MMULT(inverseG,EL$12:EL$62),$A47+1,1),MAX(strike-$B47,0)),"")</f>
        <v/>
      </c>
      <c r="EN47" s="9" t="str">
        <f t="array" ref="EN47">IF(EN$11&gt;=0,MAX(INDEX(MMULT(inverseG,EM$12:EM$62),$A47+1,1),MAX(strike-$B47,0)),"")</f>
        <v/>
      </c>
      <c r="EO47" s="9" t="str">
        <f t="array" ref="EO47">IF(EO$11&gt;=0,MAX(INDEX(MMULT(inverseG,EN$12:EN$62),$A47+1,1),MAX(strike-$B47,0)),"")</f>
        <v/>
      </c>
      <c r="EP47" s="9" t="str">
        <f t="array" ref="EP47">IF(EP$11&gt;=0,MAX(INDEX(MMULT(inverseG,EO$12:EO$62),$A47+1,1),MAX(strike-$B47,0)),"")</f>
        <v/>
      </c>
      <c r="EQ47" s="9" t="str">
        <f t="array" ref="EQ47">IF(EQ$11&gt;=0,MAX(INDEX(MMULT(inverseG,EP$12:EP$62),$A47+1,1),MAX(strike-$B47,0)),"")</f>
        <v/>
      </c>
      <c r="ER47" s="9" t="str">
        <f t="array" ref="ER47">IF(ER$11&gt;=0,MAX(INDEX(MMULT(inverseG,EQ$12:EQ$62),$A47+1,1),MAX(strike-$B47,0)),"")</f>
        <v/>
      </c>
      <c r="ES47" s="9" t="str">
        <f t="array" ref="ES47">IF(ES$11&gt;=0,MAX(INDEX(MMULT(inverseG,ER$12:ER$62),$A47+1,1),MAX(strike-$B47,0)),"")</f>
        <v/>
      </c>
      <c r="ET47" s="9" t="str">
        <f t="array" ref="ET47">IF(ET$11&gt;=0,MAX(INDEX(MMULT(inverseG,ES$12:ES$62),$A47+1,1),MAX(strike-$B47,0)),"")</f>
        <v/>
      </c>
      <c r="EU47" s="9" t="str">
        <f t="array" ref="EU47">IF(EU$11&gt;=0,MAX(INDEX(MMULT(inverseG,ET$12:ET$62),$A47+1,1),MAX(strike-$B47,0)),"")</f>
        <v/>
      </c>
      <c r="EV47" s="9" t="str">
        <f t="array" ref="EV47">IF(EV$11&gt;=0,MAX(INDEX(MMULT(inverseG,EU$12:EU$62),$A47+1,1),MAX(strike-$B47,0)),"")</f>
        <v/>
      </c>
      <c r="EW47" s="9" t="str">
        <f t="array" ref="EW47">IF(EW$11&gt;=0,MAX(INDEX(MMULT(inverseG,EV$12:EV$62),$A47+1,1),MAX(strike-$B47,0)),"")</f>
        <v/>
      </c>
      <c r="EX47" s="9" t="str">
        <f t="array" ref="EX47">IF(EX$11&gt;=0,MAX(INDEX(MMULT(inverseG,EW$12:EW$62),$A47+1,1),MAX(strike-$B47,0)),"")</f>
        <v/>
      </c>
      <c r="EY47" s="9" t="str">
        <f t="array" ref="EY47">IF(EY$11&gt;=0,MAX(INDEX(MMULT(inverseG,EX$12:EX$62),$A47+1,1),MAX(strike-$B47,0)),"")</f>
        <v/>
      </c>
      <c r="EZ47" s="9" t="str">
        <f t="array" ref="EZ47">IF(EZ$11&gt;=0,MAX(INDEX(MMULT(inverseG,EY$12:EY$62),$A47+1,1),MAX(strike-$B47,0)),"")</f>
        <v/>
      </c>
      <c r="FA47" s="9" t="str">
        <f t="array" ref="FA47">IF(FA$11&gt;=0,MAX(INDEX(MMULT(inverseG,EZ$12:EZ$62),$A47+1,1),MAX(strike-$B47,0)),"")</f>
        <v/>
      </c>
      <c r="FB47" s="9" t="str">
        <f t="array" ref="FB47">IF(FB$11&gt;=0,MAX(INDEX(MMULT(inverseG,FA$12:FA$62),$A47+1,1),MAX(strike-$B47,0)),"")</f>
        <v/>
      </c>
      <c r="FC47" s="9" t="str">
        <f t="array" ref="FC47">IF(FC$11&gt;=0,MAX(INDEX(MMULT(inverseG,FB$12:FB$62),$A47+1,1),MAX(strike-$B47,0)),"")</f>
        <v/>
      </c>
      <c r="FD47" s="9" t="str">
        <f t="array" ref="FD47">IF(FD$11&gt;=0,MAX(INDEX(MMULT(inverseG,FC$12:FC$62),$A47+1,1),MAX(strike-$B47,0)),"")</f>
        <v/>
      </c>
      <c r="FE47" s="9" t="str">
        <f t="array" ref="FE47">IF(FE$11&gt;=0,MAX(INDEX(MMULT(inverseG,FD$12:FD$62),$A47+1,1),MAX(strike-$B47,0)),"")</f>
        <v/>
      </c>
      <c r="FF47" s="9" t="str">
        <f t="array" ref="FF47">IF(FF$11&gt;=0,MAX(INDEX(MMULT(inverseG,FE$12:FE$62),$A47+1,1),MAX(strike-$B47,0)),"")</f>
        <v/>
      </c>
      <c r="FG47" s="9" t="str">
        <f t="array" ref="FG47">IF(FG$11&gt;=0,MAX(INDEX(MMULT(inverseG,FF$12:FF$62),$A47+1,1),MAX(strike-$B47,0)),"")</f>
        <v/>
      </c>
      <c r="FH47" s="9" t="str">
        <f t="array" ref="FH47">IF(FH$11&gt;=0,MAX(INDEX(MMULT(inverseG,FG$12:FG$62),$A47+1,1),MAX(strike-$B47,0)),"")</f>
        <v/>
      </c>
      <c r="FI47" s="9" t="str">
        <f t="array" ref="FI47">IF(FI$11&gt;=0,MAX(INDEX(MMULT(inverseG,FH$12:FH$62),$A47+1,1),MAX(strike-$B47,0)),"")</f>
        <v/>
      </c>
      <c r="FJ47" s="9" t="str">
        <f t="array" ref="FJ47">IF(FJ$11&gt;=0,MAX(INDEX(MMULT(inverseG,FI$12:FI$62),$A47+1,1),MAX(strike-$B47,0)),"")</f>
        <v/>
      </c>
      <c r="FK47" s="9" t="str">
        <f t="array" ref="FK47">IF(FK$11&gt;=0,MAX(INDEX(MMULT(inverseG,FJ$12:FJ$62),$A47+1,1),MAX(strike-$B47,0)),"")</f>
        <v/>
      </c>
      <c r="FL47" s="9" t="str">
        <f t="array" ref="FL47">IF(FL$11&gt;=0,MAX(INDEX(MMULT(inverseG,FK$12:FK$62),$A47+1,1),MAX(strike-$B47,0)),"")</f>
        <v/>
      </c>
      <c r="FM47" s="9" t="str">
        <f t="array" ref="FM47">IF(FM$11&gt;=0,MAX(INDEX(MMULT(inverseG,FL$12:FL$62),$A47+1,1),MAX(strike-$B47,0)),"")</f>
        <v/>
      </c>
      <c r="FN47" s="9" t="str">
        <f t="array" ref="FN47">IF(FN$11&gt;=0,MAX(INDEX(MMULT(inverseG,FM$12:FM$62),$A47+1,1),MAX(strike-$B47,0)),"")</f>
        <v/>
      </c>
      <c r="FO47" s="9" t="str">
        <f t="array" ref="FO47">IF(FO$11&gt;=0,MAX(INDEX(MMULT(inverseG,FN$12:FN$62),$A47+1,1),MAX(strike-$B47,0)),"")</f>
        <v/>
      </c>
      <c r="FP47" s="9" t="str">
        <f t="array" ref="FP47">IF(FP$11&gt;=0,MAX(INDEX(MMULT(inverseG,FO$12:FO$62),$A47+1,1),MAX(strike-$B47,0)),"")</f>
        <v/>
      </c>
      <c r="FQ47" s="9" t="str">
        <f t="array" ref="FQ47">IF(FQ$11&gt;=0,MAX(INDEX(MMULT(inverseG,FP$12:FP$62),$A47+1,1),MAX(strike-$B47,0)),"")</f>
        <v/>
      </c>
      <c r="FR47" s="9" t="str">
        <f t="array" ref="FR47">IF(FR$11&gt;=0,MAX(INDEX(MMULT(inverseG,FQ$12:FQ$62),$A47+1,1),MAX(strike-$B47,0)),"")</f>
        <v/>
      </c>
      <c r="FS47" s="9" t="str">
        <f t="array" ref="FS47">IF(FS$11&gt;=0,MAX(INDEX(MMULT(inverseG,FR$12:FR$62),$A47+1,1),MAX(strike-$B47,0)),"")</f>
        <v/>
      </c>
      <c r="FT47" s="9" t="str">
        <f t="array" ref="FT47">IF(FT$11&gt;=0,MAX(INDEX(MMULT(inverseG,FS$12:FS$62),$A47+1,1),MAX(strike-$B47,0)),"")</f>
        <v/>
      </c>
      <c r="FU47" s="9" t="str">
        <f t="array" ref="FU47">IF(FU$11&gt;=0,MAX(INDEX(MMULT(inverseG,FT$12:FT$62),$A47+1,1),MAX(strike-$B47,0)),"")</f>
        <v/>
      </c>
      <c r="FV47" s="9" t="str">
        <f t="array" ref="FV47">IF(FV$11&gt;=0,MAX(INDEX(MMULT(inverseG,FU$12:FU$62),$A47+1,1),MAX(strike-$B47,0)),"")</f>
        <v/>
      </c>
      <c r="FW47" s="9" t="str">
        <f t="array" ref="FW47">IF(FW$11&gt;=0,MAX(INDEX(MMULT(inverseG,FV$12:FV$62),$A47+1,1),MAX(strike-$B47,0)),"")</f>
        <v/>
      </c>
      <c r="FX47" s="9" t="str">
        <f t="array" ref="FX47">IF(FX$11&gt;=0,MAX(INDEX(MMULT(inverseG,FW$12:FW$62),$A47+1,1),MAX(strike-$B47,0)),"")</f>
        <v/>
      </c>
      <c r="FY47" s="9" t="str">
        <f t="array" ref="FY47">IF(FY$11&gt;=0,MAX(INDEX(MMULT(inverseG,FX$12:FX$62),$A47+1,1),MAX(strike-$B47,0)),"")</f>
        <v/>
      </c>
      <c r="FZ47" s="9" t="str">
        <f t="array" ref="FZ47">IF(FZ$11&gt;=0,MAX(INDEX(MMULT(inverseG,FY$12:FY$62),$A47+1,1),MAX(strike-$B47,0)),"")</f>
        <v/>
      </c>
      <c r="GA47" s="9" t="str">
        <f t="array" ref="GA47">IF(GA$11&gt;=0,MAX(INDEX(MMULT(inverseG,FZ$12:FZ$62),$A47+1,1),MAX(strike-$B47,0)),"")</f>
        <v/>
      </c>
      <c r="GB47" s="9" t="str">
        <f t="array" ref="GB47">IF(GB$11&gt;=0,MAX(INDEX(MMULT(inverseG,GA$12:GA$62),$A47+1,1),MAX(strike-$B47,0)),"")</f>
        <v/>
      </c>
      <c r="GC47" s="9" t="str">
        <f t="array" ref="GC47">IF(GC$11&gt;=0,MAX(INDEX(MMULT(inverseG,GB$12:GB$62),$A47+1,1),MAX(strike-$B47,0)),"")</f>
        <v/>
      </c>
      <c r="GD47" s="9" t="str">
        <f t="array" ref="GD47">IF(GD$11&gt;=0,MAX(INDEX(MMULT(inverseG,GC$12:GC$62),$A47+1,1),MAX(strike-$B47,0)),"")</f>
        <v/>
      </c>
      <c r="GE47" s="9" t="str">
        <f t="array" ref="GE47">IF(GE$11&gt;=0,MAX(INDEX(MMULT(inverseG,GD$12:GD$62),$A47+1,1),MAX(strike-$B47,0)),"")</f>
        <v/>
      </c>
      <c r="GF47" s="9" t="str">
        <f t="array" ref="GF47">IF(GF$11&gt;=0,MAX(INDEX(MMULT(inverseG,GE$12:GE$62),$A47+1,1),MAX(strike-$B47,0)),"")</f>
        <v/>
      </c>
      <c r="GG47" s="9" t="str">
        <f t="array" ref="GG47">IF(GG$11&gt;=0,MAX(INDEX(MMULT(inverseG,GF$12:GF$62),$A47+1,1),MAX(strike-$B47,0)),"")</f>
        <v/>
      </c>
      <c r="GH47" s="9" t="str">
        <f t="array" ref="GH47">IF(GH$11&gt;=0,MAX(INDEX(MMULT(inverseG,GG$12:GG$62),$A47+1,1),MAX(strike-$B47,0)),"")</f>
        <v/>
      </c>
      <c r="GI47" s="9" t="str">
        <f t="array" ref="GI47">IF(GI$11&gt;=0,MAX(INDEX(MMULT(inverseG,GH$12:GH$62),$A47+1,1),MAX(strike-$B47,0)),"")</f>
        <v/>
      </c>
      <c r="GJ47" s="9" t="str">
        <f t="array" ref="GJ47">IF(GJ$11&gt;=0,MAX(INDEX(MMULT(inverseG,GI$12:GI$62),$A47+1,1),MAX(strike-$B47,0)),"")</f>
        <v/>
      </c>
      <c r="GK47" s="9" t="str">
        <f t="array" ref="GK47">IF(GK$11&gt;=0,MAX(INDEX(MMULT(inverseG,GJ$12:GJ$62),$A47+1,1),MAX(strike-$B47,0)),"")</f>
        <v/>
      </c>
      <c r="GL47" s="9" t="str">
        <f t="array" ref="GL47">IF(GL$11&gt;=0,MAX(INDEX(MMULT(inverseG,GK$12:GK$62),$A47+1,1),MAX(strike-$B47,0)),"")</f>
        <v/>
      </c>
      <c r="GM47" s="9" t="str">
        <f t="array" ref="GM47">IF(GM$11&gt;=0,MAX(INDEX(MMULT(inverseG,GL$12:GL$62),$A47+1,1),MAX(strike-$B47,0)),"")</f>
        <v/>
      </c>
      <c r="GN47" s="9" t="str">
        <f t="array" ref="GN47">IF(GN$11&gt;=0,MAX(INDEX(MMULT(inverseG,GM$12:GM$62),$A47+1,1),MAX(strike-$B47,0)),"")</f>
        <v/>
      </c>
      <c r="GO47" s="9" t="str">
        <f t="array" ref="GO47">IF(GO$11&gt;=0,MAX(INDEX(MMULT(inverseG,GN$12:GN$62),$A47+1,1),MAX(strike-$B47,0)),"")</f>
        <v/>
      </c>
      <c r="GP47" s="9" t="str">
        <f t="array" ref="GP47">IF(GP$11&gt;=0,MAX(INDEX(MMULT(inverseG,GO$12:GO$62),$A47+1,1),MAX(strike-$B47,0)),"")</f>
        <v/>
      </c>
      <c r="GQ47" s="9" t="str">
        <f t="array" ref="GQ47">IF(GQ$11&gt;=0,MAX(INDEX(MMULT(inverseG,GP$12:GP$62),$A47+1,1),MAX(strike-$B47,0)),"")</f>
        <v/>
      </c>
      <c r="GR47" s="9" t="str">
        <f t="array" ref="GR47">IF(GR$11&gt;=0,MAX(INDEX(MMULT(inverseG,GQ$12:GQ$62),$A47+1,1),MAX(strike-$B47,0)),"")</f>
        <v/>
      </c>
      <c r="GS47" s="9" t="str">
        <f t="array" ref="GS47">IF(GS$11&gt;=0,MAX(INDEX(MMULT(inverseG,GR$12:GR$62),$A47+1,1),MAX(strike-$B47,0)),"")</f>
        <v/>
      </c>
      <c r="GT47" s="9" t="str">
        <f t="array" ref="GT47">IF(GT$11&gt;=0,MAX(INDEX(MMULT(inverseG,GS$12:GS$62),$A47+1,1),MAX(strike-$B47,0)),"")</f>
        <v/>
      </c>
      <c r="GU47" s="9" t="str">
        <f t="array" ref="GU47">IF(GU$11&gt;=0,MAX(INDEX(MMULT(inverseG,GT$12:GT$62),$A47+1,1),MAX(strike-$B47,0)),"")</f>
        <v/>
      </c>
      <c r="GV47" s="9" t="str">
        <f t="array" ref="GV47">IF(GV$11&gt;=0,MAX(INDEX(MMULT(inverseG,GU$12:GU$62),$A47+1,1),MAX(strike-$B47,0)),"")</f>
        <v/>
      </c>
      <c r="GW47" s="9" t="str">
        <f t="array" ref="GW47">IF(GW$11&gt;=0,MAX(INDEX(MMULT(inverseG,GV$12:GV$62),$A47+1,1),MAX(strike-$B47,0)),"")</f>
        <v/>
      </c>
      <c r="GX47" s="9" t="str">
        <f t="array" ref="GX47">IF(GX$11&gt;=0,MAX(INDEX(MMULT(inverseG,GW$12:GW$62),$A47+1,1),MAX(strike-$B47,0)),"")</f>
        <v/>
      </c>
      <c r="GY47" s="9" t="str">
        <f t="array" ref="GY47">IF(GY$11&gt;=0,MAX(INDEX(MMULT(inverseG,GX$12:GX$62),$A47+1,1),MAX(strike-$B47,0)),"")</f>
        <v/>
      </c>
      <c r="GZ47" s="9" t="str">
        <f t="array" ref="GZ47">IF(GZ$11&gt;=0,MAX(INDEX(MMULT(inverseG,GY$12:GY$62),$A47+1,1),MAX(strike-$B47,0)),"")</f>
        <v/>
      </c>
      <c r="HA47" s="9" t="str">
        <f t="array" ref="HA47">IF(HA$11&gt;=0,MAX(INDEX(MMULT(inverseG,GZ$12:GZ$62),$A47+1,1),MAX(strike-$B47,0)),"")</f>
        <v/>
      </c>
      <c r="HB47" s="9" t="str">
        <f t="array" ref="HB47">IF(HB$11&gt;=0,MAX(INDEX(MMULT(inverseG,HA$12:HA$62),$A47+1,1),MAX(strike-$B47,0)),"")</f>
        <v/>
      </c>
      <c r="HC47" s="9" t="str">
        <f t="array" ref="HC47">IF(HC$11&gt;=0,MAX(INDEX(MMULT(inverseG,HB$12:HB$62),$A47+1,1),MAX(strike-$B47,0)),"")</f>
        <v/>
      </c>
      <c r="HD47" s="9" t="str">
        <f t="array" ref="HD47">IF(HD$11&gt;=0,MAX(INDEX(MMULT(inverseG,HC$12:HC$62),$A47+1,1),MAX(strike-$B47,0)),"")</f>
        <v/>
      </c>
      <c r="HE47" s="9" t="str">
        <f t="array" ref="HE47">IF(HE$11&gt;=0,MAX(INDEX(MMULT(inverseG,HD$12:HD$62),$A47+1,1),MAX(strike-$B47,0)),"")</f>
        <v/>
      </c>
      <c r="HF47" s="9" t="str">
        <f t="array" ref="HF47">IF(HF$11&gt;=0,MAX(INDEX(MMULT(inverseG,HE$12:HE$62),$A47+1,1),MAX(strike-$B47,0)),"")</f>
        <v/>
      </c>
      <c r="HG47" s="9" t="str">
        <f t="array" ref="HG47">IF(HG$11&gt;=0,MAX(INDEX(MMULT(inverseG,HF$12:HF$62),$A47+1,1),MAX(strike-$B47,0)),"")</f>
        <v/>
      </c>
      <c r="HH47" s="9" t="str">
        <f t="array" ref="HH47">IF(HH$11&gt;=0,MAX(INDEX(MMULT(inverseG,HG$12:HG$62),$A47+1,1),MAX(strike-$B47,0)),"")</f>
        <v/>
      </c>
      <c r="HI47" s="9" t="str">
        <f t="array" ref="HI47">IF(HI$11&gt;=0,MAX(INDEX(MMULT(inverseG,HH$12:HH$62),$A47+1,1),MAX(strike-$B47,0)),"")</f>
        <v/>
      </c>
      <c r="HJ47" s="9" t="str">
        <f t="array" ref="HJ47">IF(HJ$11&gt;=0,MAX(INDEX(MMULT(inverseG,HI$12:HI$62),$A47+1,1),MAX(strike-$B47,0)),"")</f>
        <v/>
      </c>
      <c r="HK47" s="9" t="str">
        <f t="array" ref="HK47">IF(HK$11&gt;=0,MAX(INDEX(MMULT(inverseG,HJ$12:HJ$62),$A47+1,1),MAX(strike-$B47,0)),"")</f>
        <v/>
      </c>
      <c r="HL47" s="9" t="str">
        <f t="array" ref="HL47">IF(HL$11&gt;=0,MAX(INDEX(MMULT(inverseG,HK$12:HK$62),$A47+1,1),MAX(strike-$B47,0)),"")</f>
        <v/>
      </c>
      <c r="HM47" s="9" t="str">
        <f t="array" ref="HM47">IF(HM$11&gt;=0,MAX(INDEX(MMULT(inverseG,HL$12:HL$62),$A47+1,1),MAX(strike-$B47,0)),"")</f>
        <v/>
      </c>
      <c r="HN47" s="9" t="str">
        <f t="array" ref="HN47">IF(HN$11&gt;=0,MAX(INDEX(MMULT(inverseG,HM$12:HM$62),$A47+1,1),MAX(strike-$B47,0)),"")</f>
        <v/>
      </c>
      <c r="HO47" s="9" t="str">
        <f t="array" ref="HO47">IF(HO$11&gt;=0,MAX(INDEX(MMULT(inverseG,HN$12:HN$62),$A47+1,1),MAX(strike-$B47,0)),"")</f>
        <v/>
      </c>
      <c r="HP47" s="9" t="str">
        <f t="array" ref="HP47">IF(HP$11&gt;=0,MAX(INDEX(MMULT(inverseG,HO$12:HO$62),$A47+1,1),MAX(strike-$B47,0)),"")</f>
        <v/>
      </c>
      <c r="HQ47" s="9" t="str">
        <f t="array" ref="HQ47">IF(HQ$11&gt;=0,MAX(INDEX(MMULT(inverseG,HP$12:HP$62),$A47+1,1),MAX(strike-$B47,0)),"")</f>
        <v/>
      </c>
      <c r="HR47" s="9" t="str">
        <f t="array" ref="HR47">IF(HR$11&gt;=0,MAX(INDEX(MMULT(inverseG,HQ$12:HQ$62),$A47+1,1),MAX(strike-$B47,0)),"")</f>
        <v/>
      </c>
      <c r="HS47" s="9" t="str">
        <f t="array" ref="HS47">IF(HS$11&gt;=0,MAX(INDEX(MMULT(inverseG,HR$12:HR$62),$A47+1,1),MAX(strike-$B47,0)),"")</f>
        <v/>
      </c>
      <c r="HT47" s="9" t="str">
        <f t="array" ref="HT47">IF(HT$11&gt;=0,MAX(INDEX(MMULT(inverseG,HS$12:HS$62),$A47+1,1),MAX(strike-$B47,0)),"")</f>
        <v/>
      </c>
      <c r="HU47" s="9" t="str">
        <f t="array" ref="HU47">IF(HU$11&gt;=0,MAX(INDEX(MMULT(inverseG,HT$12:HT$62),$A47+1,1),MAX(strike-$B47,0)),"")</f>
        <v/>
      </c>
      <c r="HV47" s="9" t="str">
        <f t="array" ref="HV47">IF(HV$11&gt;=0,MAX(INDEX(MMULT(inverseG,HU$12:HU$62),$A47+1,1),MAX(strike-$B47,0)),"")</f>
        <v/>
      </c>
      <c r="HW47" s="9" t="str">
        <f t="array" ref="HW47">IF(HW$11&gt;=0,MAX(INDEX(MMULT(inverseG,HV$12:HV$62),$A47+1,1),MAX(strike-$B47,0)),"")</f>
        <v/>
      </c>
      <c r="HX47" s="9" t="str">
        <f t="array" ref="HX47">IF(HX$11&gt;=0,MAX(INDEX(MMULT(inverseG,HW$12:HW$62),$A47+1,1),MAX(strike-$B47,0)),"")</f>
        <v/>
      </c>
      <c r="HY47" s="9" t="str">
        <f t="array" ref="HY47">IF(HY$11&gt;=0,MAX(INDEX(MMULT(inverseG,HX$12:HX$62),$A47+1,1),MAX(strike-$B47,0)),"")</f>
        <v/>
      </c>
      <c r="HZ47" s="9" t="str">
        <f t="array" ref="HZ47">IF(HZ$11&gt;=0,MAX(INDEX(MMULT(inverseG,HY$12:HY$62),$A47+1,1),MAX(strike-$B47,0)),"")</f>
        <v/>
      </c>
      <c r="IA47" s="9" t="str">
        <f t="array" ref="IA47">IF(IA$11&gt;=0,MAX(INDEX(MMULT(inverseG,HZ$12:HZ$62),$A47+1,1),MAX(strike-$B47,0)),"")</f>
        <v/>
      </c>
      <c r="IB47" s="9" t="str">
        <f t="array" ref="IB47">IF(IB$11&gt;=0,MAX(INDEX(MMULT(inverseG,IA$12:IA$62),$A47+1,1),MAX(strike-$B47,0)),"")</f>
        <v/>
      </c>
      <c r="IC47" s="9" t="str">
        <f t="array" ref="IC47">IF(IC$11&gt;=0,MAX(INDEX(MMULT(inverseG,IB$12:IB$62),$A47+1,1),MAX(strike-$B47,0)),"")</f>
        <v/>
      </c>
      <c r="ID47" s="9" t="str">
        <f t="array" ref="ID47">IF(ID$11&gt;=0,MAX(INDEX(MMULT(inverseG,IC$12:IC$62),$A47+1,1),MAX(strike-$B47,0)),"")</f>
        <v/>
      </c>
      <c r="IE47" s="9" t="str">
        <f t="array" ref="IE47">IF(IE$11&gt;=0,MAX(INDEX(MMULT(inverseG,ID$12:ID$62),$A47+1,1),MAX(strike-$B47,0)),"")</f>
        <v/>
      </c>
      <c r="IF47" s="9" t="str">
        <f t="array" ref="IF47">IF(IF$11&gt;=0,MAX(INDEX(MMULT(inverseG,IE$12:IE$62),$A47+1,1),MAX(strike-$B47,0)),"")</f>
        <v/>
      </c>
      <c r="IG47" s="9" t="str">
        <f t="array" ref="IG47">IF(IG$11&gt;=0,MAX(INDEX(MMULT(inverseG,IF$12:IF$62),$A47+1,1),MAX(strike-$B47,0)),"")</f>
        <v/>
      </c>
      <c r="IH47" s="9" t="str">
        <f t="array" ref="IH47">IF(IH$11&gt;=0,MAX(INDEX(MMULT(inverseG,IG$12:IG$62),$A47+1,1),MAX(strike-$B47,0)),"")</f>
        <v/>
      </c>
      <c r="II47" s="9" t="str">
        <f t="array" ref="II47">IF(II$11&gt;=0,MAX(INDEX(MMULT(inverseG,IH$12:IH$62),$A47+1,1),MAX(strike-$B47,0)),"")</f>
        <v/>
      </c>
      <c r="IJ47" s="9" t="str">
        <f t="array" ref="IJ47">IF(IJ$11&gt;=0,MAX(INDEX(MMULT(inverseG,II$12:II$62),$A47+1,1),MAX(strike-$B47,0)),"")</f>
        <v/>
      </c>
      <c r="IK47" s="9" t="str">
        <f t="array" ref="IK47">IF(IK$11&gt;=0,MAX(INDEX(MMULT(inverseG,IJ$12:IJ$62),$A47+1,1),MAX(strike-$B47,0)),"")</f>
        <v/>
      </c>
      <c r="IL47" s="9" t="str">
        <f t="array" ref="IL47">IF(IL$11&gt;=0,MAX(INDEX(MMULT(inverseG,IK$12:IK$62),$A47+1,1),MAX(strike-$B47,0)),"")</f>
        <v/>
      </c>
      <c r="IM47" s="9" t="str">
        <f t="array" ref="IM47">IF(IM$11&gt;=0,MAX(INDEX(MMULT(inverseG,IL$12:IL$62),$A47+1,1),MAX(strike-$B47,0)),"")</f>
        <v/>
      </c>
      <c r="IN47" s="9" t="str">
        <f t="array" ref="IN47">IF(IN$11&gt;=0,MAX(INDEX(MMULT(inverseG,IM$12:IM$62),$A47+1,1),MAX(strike-$B47,0)),"")</f>
        <v/>
      </c>
      <c r="IO47" s="9" t="str">
        <f t="array" ref="IO47">IF(IO$11&gt;=0,MAX(INDEX(MMULT(inverseG,IN$12:IN$62),$A47+1,1),MAX(strike-$B47,0)),"")</f>
        <v/>
      </c>
      <c r="IP47" s="9" t="str">
        <f t="array" ref="IP47">IF(IP$11&gt;=0,MAX(INDEX(MMULT(inverseG,IO$12:IO$62),$A47+1,1),MAX(strike-$B47,0)),"")</f>
        <v/>
      </c>
      <c r="IQ47" s="9" t="str">
        <f t="array" ref="IQ47">IF(IQ$11&gt;=0,MAX(INDEX(MMULT(inverseG,IP$12:IP$62),$A47+1,1),MAX(strike-$B47,0)),"")</f>
        <v/>
      </c>
      <c r="IR47" s="9" t="str">
        <f t="array" ref="IR47">IF(IR$11&gt;=0,MAX(INDEX(MMULT(inverseG,IQ$12:IQ$62),$A47+1,1),MAX(strike-$B47,0)),"")</f>
        <v/>
      </c>
      <c r="IS47" s="9" t="str">
        <f t="array" ref="IS47">IF(IS$11&gt;=0,MAX(INDEX(MMULT(inverseG,IR$12:IR$62),$A47+1,1),MAX(strike-$B47,0)),"")</f>
        <v/>
      </c>
      <c r="IT47" s="9" t="str">
        <f t="array" ref="IT47">IF(IT$11&gt;=0,MAX(INDEX(MMULT(inverseG,IS$12:IS$62),$A47+1,1),MAX(strike-$B47,0)),"")</f>
        <v/>
      </c>
      <c r="IU47" s="9" t="str">
        <f t="array" ref="IU47">IF(IU$11&gt;=0,MAX(INDEX(MMULT(inverseG,IT$12:IT$62),$A47+1,1),MAX(strike-$B47,0)),"")</f>
        <v/>
      </c>
      <c r="IV47" s="9" t="str">
        <f t="array" ref="IV47">IF(IV$11&gt;=0,MAX(INDEX(MMULT(inverseG,IU$12:IU$62),$A47+1,1),MAX(strike-$B47,0)),"")</f>
        <v/>
      </c>
    </row>
    <row r="48" spans="1:256" x14ac:dyDescent="0.2">
      <c r="A48" s="8">
        <f t="shared" si="7"/>
        <v>36</v>
      </c>
      <c r="B48" s="6">
        <f t="shared" si="8"/>
        <v>9</v>
      </c>
      <c r="C48" s="30">
        <f t="shared" ca="1" si="6"/>
        <v>0.1013017169593512</v>
      </c>
      <c r="D48" s="9">
        <f t="shared" si="9"/>
        <v>0</v>
      </c>
      <c r="E48" s="9">
        <f t="array" ref="E48">IF(E$11&gt;=0,MAX(INDEX(MMULT(inverseG,D$12:D$62),$A48+1,1),MAX(strike-$B48,0)),"")</f>
        <v>3.9565467733412911E-8</v>
      </c>
      <c r="F48" s="9">
        <f t="array" ref="F48">IF(F$11&gt;=0,MAX(INDEX(MMULT(inverseG,E$12:E$62),$A48+1,1),MAX(strike-$B48,0)),"")</f>
        <v>3.2699968395531591E-7</v>
      </c>
      <c r="G48" s="9">
        <f t="array" ref="G48">IF(G$11&gt;=0,MAX(INDEX(MMULT(inverseG,F$12:F$62),$A48+1,1),MAX(strike-$B48,0)),"")</f>
        <v>1.4589074356618879E-6</v>
      </c>
      <c r="H48" s="9">
        <f t="array" ref="H48">IF(H$11&gt;=0,MAX(INDEX(MMULT(inverseG,G$12:G$62),$A48+1,1),MAX(strike-$B48,0)),"")</f>
        <v>4.6695657068312985E-6</v>
      </c>
      <c r="I48" s="9">
        <f t="array" ref="I48">IF(I$11&gt;=0,MAX(INDEX(MMULT(inverseG,H$12:H$62),$A48+1,1),MAX(strike-$B48,0)),"")</f>
        <v>1.2026019586829096E-5</v>
      </c>
      <c r="J48" s="9">
        <f t="array" ref="J48">IF(J$11&gt;=0,MAX(INDEX(MMULT(inverseG,I$12:I$62),$A48+1,1),MAX(strike-$B48,0)),"")</f>
        <v>2.650641658457589E-5</v>
      </c>
      <c r="K48" s="9">
        <f t="array" ref="K48">IF(K$11&gt;=0,MAX(INDEX(MMULT(inverseG,J$12:J$62),$A48+1,1),MAX(strike-$B48,0)),"")</f>
        <v>5.1942577889840078E-5</v>
      </c>
      <c r="L48" s="9">
        <f t="array" ref="L48">IF(L$11&gt;=0,MAX(INDEX(MMULT(inverseG,K$12:K$62),$A48+1,1),MAX(strike-$B48,0)),"")</f>
        <v>9.2847408253854497E-5</v>
      </c>
      <c r="M48" s="9">
        <f t="array" ref="M48">IF(M$11&gt;=0,MAX(INDEX(MMULT(inverseG,L$12:L$62),$A48+1,1),MAX(strike-$B48,0)),"")</f>
        <v>1.5417005413015595E-4</v>
      </c>
      <c r="N48" s="9">
        <f t="array" ref="N48">IF(N$11&gt;=0,MAX(INDEX(MMULT(inverseG,M$12:M$62),$A48+1,1),MAX(strike-$B48,0)),"")</f>
        <v>2.4102593718542889E-4</v>
      </c>
      <c r="O48" s="9">
        <f t="array" ref="O48">IF(O$11&gt;=0,MAX(INDEX(MMULT(inverseG,N$12:N$62),$A48+1,1),MAX(strike-$B48,0)),"")</f>
        <v>3.5844078917267081E-4</v>
      </c>
      <c r="P48" s="9">
        <f t="array" ref="P48">IF(P$11&gt;=0,MAX(INDEX(MMULT(inverseG,O$12:O$62),$A48+1,1),MAX(strike-$B48,0)),"")</f>
        <v>5.111345862661977E-4</v>
      </c>
      <c r="Q48" s="9">
        <f t="array" ref="Q48">IF(Q$11&gt;=0,MAX(INDEX(MMULT(inverseG,P$12:P$62),$A48+1,1),MAX(strike-$B48,0)),"")</f>
        <v>7.033580332243205E-4</v>
      </c>
      <c r="R48" s="9">
        <f t="array" ref="R48">IF(R$11&gt;=0,MAX(INDEX(MMULT(inverseG,Q$12:Q$62),$A48+1,1),MAX(strike-$B48,0)),"")</f>
        <v>9.3878374722396239E-4</v>
      </c>
      <c r="S48" s="9">
        <f t="array" ref="S48">IF(S$11&gt;=0,MAX(INDEX(MMULT(inverseG,R$12:R$62),$A48+1,1),MAX(strike-$B48,0)),"")</f>
        <v>1.2204473631970787E-3</v>
      </c>
      <c r="T48" s="9">
        <f t="array" ref="T48">IF(T$11&gt;=0,MAX(INDEX(MMULT(inverseG,S$12:S$62),$A48+1,1),MAX(strike-$B48,0)),"")</f>
        <v>1.5507301061550528E-3</v>
      </c>
      <c r="U48" s="9">
        <f t="array" ref="U48">IF(U$11&gt;=0,MAX(INDEX(MMULT(inverseG,T$12:T$62),$A48+1,1),MAX(strike-$B48,0)),"")</f>
        <v>1.9313731514703522E-3</v>
      </c>
      <c r="V48" s="9">
        <f t="array" ref="V48">IF(V$11&gt;=0,MAX(INDEX(MMULT(inverseG,U$12:U$62),$A48+1,1),MAX(strike-$B48,0)),"")</f>
        <v>2.3635144600336454E-3</v>
      </c>
      <c r="W48" s="9">
        <f t="array" ref="W48">IF(W$11&gt;=0,MAX(INDEX(MMULT(inverseG,V$12:V$62),$A48+1,1),MAX(strike-$B48,0)),"")</f>
        <v>2.8477400088656626E-3</v>
      </c>
      <c r="X48" s="9">
        <f t="array" ref="X48">IF(X$11&gt;=0,MAX(INDEX(MMULT(inverseG,W$12:W$62),$A48+1,1),MAX(strike-$B48,0)),"")</f>
        <v>3.3841429157719107E-3</v>
      </c>
      <c r="Y48" s="9">
        <f t="array" ref="Y48">IF(Y$11&gt;=0,MAX(INDEX(MMULT(inverseG,X$12:X$62),$A48+1,1),MAX(strike-$B48,0)),"")</f>
        <v>3.9723855446086856E-3</v>
      </c>
      <c r="Z48" s="9">
        <f t="array" ref="Z48">IF(Z$11&gt;=0,MAX(INDEX(MMULT(inverseG,Y$12:Y$62),$A48+1,1),MAX(strike-$B48,0)),"")</f>
        <v>4.6117610917832995E-3</v>
      </c>
      <c r="AA48" s="9">
        <f t="array" ref="AA48">IF(AA$11&gt;=0,MAX(INDEX(MMULT(inverseG,Z$12:Z$62),$A48+1,1),MAX(strike-$B48,0)),"")</f>
        <v>5.3012523172312961E-3</v>
      </c>
      <c r="AB48" s="9">
        <f t="array" ref="AB48">IF(AB$11&gt;=0,MAX(INDEX(MMULT(inverseG,AA$12:AA$62),$A48+1,1),MAX(strike-$B48,0)),"")</f>
        <v>6.0395859838378533E-3</v>
      </c>
      <c r="AC48" s="9">
        <f t="array" ref="AC48">IF(AC$11&gt;=0,MAX(INDEX(MMULT(inverseG,AB$12:AB$62),$A48+1,1),MAX(strike-$B48,0)),"")</f>
        <v>6.8252822340734761E-3</v>
      </c>
      <c r="AD48" s="9">
        <f t="array" ref="AD48">IF(AD$11&gt;=0,MAX(INDEX(MMULT(inverseG,AC$12:AC$62),$A48+1,1),MAX(strike-$B48,0)),"")</f>
        <v>7.6566986026512691E-3</v>
      </c>
      <c r="AE48" s="9">
        <f t="array" ref="AE48">IF(AE$11&gt;=0,MAX(INDEX(MMULT(inverseG,AD$12:AD$62),$A48+1,1),MAX(strike-$B48,0)),"")</f>
        <v>8.5320686825917855E-3</v>
      </c>
      <c r="AF48" s="9">
        <f t="array" ref="AF48">IF(AF$11&gt;=0,MAX(INDEX(MMULT(inverseG,AE$12:AE$62),$A48+1,1),MAX(strike-$B48,0)),"")</f>
        <v>9.4495356678907898E-3</v>
      </c>
      <c r="AG48" s="9">
        <f t="array" ref="AG48">IF(AG$11&gt;=0,MAX(INDEX(MMULT(inverseG,AF$12:AF$62),$A48+1,1),MAX(strike-$B48,0)),"")</f>
        <v>1.040718112052407E-2</v>
      </c>
      <c r="AH48" s="9">
        <f t="array" ref="AH48">IF(AH$11&gt;=0,MAX(INDEX(MMULT(inverseG,AG$12:AG$62),$A48+1,1),MAX(strike-$B48,0)),"")</f>
        <v>1.1403049376951061E-2</v>
      </c>
      <c r="AI48" s="9">
        <f t="array" ref="AI48">IF(AI$11&gt;=0,MAX(INDEX(MMULT(inverseG,AH$12:AH$62),$A48+1,1),MAX(strike-$B48,0)),"")</f>
        <v>1.2435168037420478E-2</v>
      </c>
      <c r="AJ48" s="9">
        <f t="array" ref="AJ48">IF(AJ$11&gt;=0,MAX(INDEX(MMULT(inverseG,AI$12:AI$62),$A48+1,1),MAX(strike-$B48,0)),"")</f>
        <v>1.3501564983075056E-2</v>
      </c>
      <c r="AK48" s="9">
        <f t="array" ref="AK48">IF(AK$11&gt;=0,MAX(INDEX(MMULT(inverseG,AJ$12:AJ$62),$A48+1,1),MAX(strike-$B48,0)),"")</f>
        <v>1.4600282350235843E-2</v>
      </c>
      <c r="AL48" s="9">
        <f t="array" ref="AL48">IF(AL$11&gt;=0,MAX(INDEX(MMULT(inverseG,AK$12:AK$62),$A48+1,1),MAX(strike-$B48,0)),"")</f>
        <v>1.5729387864789845E-2</v>
      </c>
      <c r="AM48" s="9">
        <f t="array" ref="AM48">IF(AM$11&gt;=0,MAX(INDEX(MMULT(inverseG,AL$12:AL$62),$A48+1,1),MAX(strike-$B48,0)),"")</f>
        <v>1.6886983906892798E-2</v>
      </c>
      <c r="AN48" s="9">
        <f t="array" ref="AN48">IF(AN$11&gt;=0,MAX(INDEX(MMULT(inverseG,AM$12:AM$62),$A48+1,1),MAX(strike-$B48,0)),"")</f>
        <v>1.8071214640471792E-2</v>
      </c>
      <c r="AO48" s="9">
        <f t="array" ref="AO48">IF(AO$11&gt;=0,MAX(INDEX(MMULT(inverseG,AN$12:AN$62),$A48+1,1),MAX(strike-$B48,0)),"")</f>
        <v>1.9280271505690661E-2</v>
      </c>
      <c r="AP48" s="9">
        <f t="array" ref="AP48">IF(AP$11&gt;=0,MAX(INDEX(MMULT(inverseG,AO$12:AO$62),$A48+1,1),MAX(strike-$B48,0)),"")</f>
        <v>2.0512397337517252E-2</v>
      </c>
      <c r="AQ48" s="9">
        <f t="array" ref="AQ48">IF(AQ$11&gt;=0,MAX(INDEX(MMULT(inverseG,AP$12:AP$62),$A48+1,1),MAX(strike-$B48,0)),"")</f>
        <v>2.1765889341091093E-2</v>
      </c>
      <c r="AR48" s="9">
        <f t="array" ref="AR48">IF(AR$11&gt;=0,MAX(INDEX(MMULT(inverseG,AQ$12:AQ$62),$A48+1,1),MAX(strike-$B48,0)),"")</f>
        <v>2.303910112522306E-2</v>
      </c>
      <c r="AS48" s="9">
        <f t="array" ref="AS48">IF(AS$11&gt;=0,MAX(INDEX(MMULT(inverseG,AR$12:AR$62),$A48+1,1),MAX(strike-$B48,0)),"")</f>
        <v>2.4330443968806945E-2</v>
      </c>
      <c r="AT48" s="9">
        <f t="array" ref="AT48">IF(AT$11&gt;=0,MAX(INDEX(MMULT(inverseG,AS$12:AS$62),$A48+1,1),MAX(strike-$B48,0)),"")</f>
        <v>2.5638387470530585E-2</v>
      </c>
      <c r="AU48" s="9">
        <f t="array" ref="AU48">IF(AU$11&gt;=0,MAX(INDEX(MMULT(inverseG,AT$12:AT$62),$A48+1,1),MAX(strike-$B48,0)),"")</f>
        <v>2.6961459709427038E-2</v>
      </c>
      <c r="AV48" s="9">
        <f t="array" ref="AV48">IF(AV$11&gt;=0,MAX(INDEX(MMULT(inverseG,AU$12:AU$62),$A48+1,1),MAX(strike-$B48,0)),"")</f>
        <v>2.8298247022247605E-2</v>
      </c>
      <c r="AW48" s="9">
        <f t="array" ref="AW48">IF(AW$11&gt;=0,MAX(INDEX(MMULT(inverseG,AV$12:AV$62),$A48+1,1),MAX(strike-$B48,0)),"")</f>
        <v>2.964739348351773E-2</v>
      </c>
      <c r="AX48" s="9">
        <f t="array" ref="AX48">IF(AX$11&gt;=0,MAX(INDEX(MMULT(inverseG,AW$12:AW$62),$A48+1,1),MAX(strike-$B48,0)),"")</f>
        <v>3.1007600155887015E-2</v>
      </c>
      <c r="AY48" s="9">
        <f t="array" ref="AY48">IF(AY$11&gt;=0,MAX(INDEX(MMULT(inverseG,AX$12:AX$62),$A48+1,1),MAX(strike-$B48,0)),"")</f>
        <v>3.2377624162495219E-2</v>
      </c>
      <c r="AZ48" s="9">
        <f t="array" ref="AZ48">IF(AZ$11&gt;=0,MAX(INDEX(MMULT(inverseG,AY$12:AY$62),$A48+1,1),MAX(strike-$B48,0)),"")</f>
        <v>3.3756277619909791E-2</v>
      </c>
      <c r="BA48" s="9">
        <f t="array" ref="BA48">IF(BA$11&gt;=0,MAX(INDEX(MMULT(inverseG,AZ$12:AZ$62),$A48+1,1),MAX(strike-$B48,0)),"")</f>
        <v>3.5142426459869647E-2</v>
      </c>
      <c r="BB48" s="9">
        <f t="array" ref="BB48">IF(BB$11&gt;=0,MAX(INDEX(MMULT(inverseG,BA$12:BA$62),$A48+1,1),MAX(strike-$B48,0)),"")</f>
        <v>3.6534989160466817E-2</v>
      </c>
      <c r="BC48" s="9">
        <f t="array" ref="BC48">IF(BC$11&gt;=0,MAX(INDEX(MMULT(inverseG,BB$12:BB$62),$A48+1,1),MAX(strike-$B48,0)),"")</f>
        <v>3.7932935402179062E-2</v>
      </c>
      <c r="BD48" s="9">
        <f t="array" ref="BD48">IF(BD$11&gt;=0,MAX(INDEX(MMULT(inverseG,BC$12:BC$62),$A48+1,1),MAX(strike-$B48,0)),"")</f>
        <v>3.9335284660875672E-2</v>
      </c>
      <c r="BE48" s="9">
        <f t="array" ref="BE48">IF(BE$11&gt;=0,MAX(INDEX(MMULT(inverseG,BD$12:BD$62),$A48+1,1),MAX(strike-$B48,0)),"")</f>
        <v>4.0741104748062619E-2</v>
      </c>
      <c r="BF48" s="9">
        <f t="array" ref="BF48">IF(BF$11&gt;=0,MAX(INDEX(MMULT(inverseG,BE$12:BE$62),$A48+1,1),MAX(strike-$B48,0)),"")</f>
        <v>4.2149510307741611E-2</v>
      </c>
      <c r="BG48" s="9">
        <f t="array" ref="BG48">IF(BG$11&gt;=0,MAX(INDEX(MMULT(inverseG,BF$12:BF$62),$A48+1,1),MAX(strike-$B48,0)),"")</f>
        <v>4.3559661278934257E-2</v>
      </c>
      <c r="BH48" s="9">
        <f t="array" ref="BH48">IF(BH$11&gt;=0,MAX(INDEX(MMULT(inverseG,BG$12:BG$62),$A48+1,1),MAX(strike-$B48,0)),"")</f>
        <v>4.4970761332859731E-2</v>
      </c>
      <c r="BI48" s="9">
        <f t="array" ref="BI48">IF(BI$11&gt;=0,MAX(INDEX(MMULT(inverseG,BH$12:BH$62),$A48+1,1),MAX(strike-$B48,0)),"")</f>
        <v>4.6382056293735853E-2</v>
      </c>
      <c r="BJ48" s="9">
        <f t="array" ref="BJ48">IF(BJ$11&gt;=0,MAX(INDEX(MMULT(inverseG,BI$12:BI$62),$A48+1,1),MAX(strike-$B48,0)),"")</f>
        <v>4.7792832552067975E-2</v>
      </c>
      <c r="BK48" s="9">
        <f t="array" ref="BK48">IF(BK$11&gt;=0,MAX(INDEX(MMULT(inverseG,BJ$12:BJ$62),$A48+1,1),MAX(strike-$B48,0)),"")</f>
        <v>4.9202415479027914E-2</v>
      </c>
      <c r="BL48" s="9">
        <f t="array" ref="BL48">IF(BL$11&gt;=0,MAX(INDEX(MMULT(inverseG,BK$12:BK$62),$A48+1,1),MAX(strike-$B48,0)),"")</f>
        <v>5.061016785009146E-2</v>
      </c>
      <c r="BM48" s="9">
        <f t="array" ref="BM48">IF(BM$11&gt;=0,MAX(INDEX(MMULT(inverseG,BL$12:BL$62),$A48+1,1),MAX(strike-$B48,0)),"")</f>
        <v>5.2015488285506332E-2</v>
      </c>
      <c r="BN48" s="9">
        <f t="array" ref="BN48">IF(BN$11&gt;=0,MAX(INDEX(MMULT(inverseG,BM$12:BM$62),$A48+1,1),MAX(strike-$B48,0)),"")</f>
        <v>5.3417809714440871E-2</v>
      </c>
      <c r="BO48" s="9">
        <f t="array" ref="BO48">IF(BO$11&gt;=0,MAX(INDEX(MMULT(inverseG,BN$12:BN$62),$A48+1,1),MAX(strike-$B48,0)),"")</f>
        <v>5.4816597868851152E-2</v>
      </c>
      <c r="BP48" s="9">
        <f t="array" ref="BP48">IF(BP$11&gt;=0,MAX(INDEX(MMULT(inverseG,BO$12:BO$62),$A48+1,1),MAX(strike-$B48,0)),"")</f>
        <v>5.6211349812246819E-2</v>
      </c>
      <c r="BQ48" s="9">
        <f t="array" ref="BQ48">IF(BQ$11&gt;=0,MAX(INDEX(MMULT(inverseG,BP$12:BP$62),$A48+1,1),MAX(strike-$B48,0)),"")</f>
        <v>5.7601592507666735E-2</v>
      </c>
      <c r="BR48" s="9">
        <f t="array" ref="BR48">IF(BR$11&gt;=0,MAX(INDEX(MMULT(inverseG,BQ$12:BQ$62),$A48+1,1),MAX(strike-$B48,0)),"")</f>
        <v>5.8986881428328738E-2</v>
      </c>
      <c r="BS48" s="9">
        <f t="array" ref="BS48">IF(BS$11&gt;=0,MAX(INDEX(MMULT(inverseG,BR$12:BR$62),$A48+1,1),MAX(strike-$B48,0)),"")</f>
        <v>6.0366799213615048E-2</v>
      </c>
      <c r="BT48" s="9">
        <f t="array" ref="BT48">IF(BT$11&gt;=0,MAX(INDEX(MMULT(inverseG,BS$12:BS$62),$A48+1,1),MAX(strike-$B48,0)),"")</f>
        <v>6.1740954372314645E-2</v>
      </c>
      <c r="BU48" s="9">
        <f t="array" ref="BU48">IF(BU$11&gt;=0,MAX(INDEX(MMULT(inverseG,BT$12:BT$62),$A48+1,1),MAX(strike-$B48,0)),"")</f>
        <v>6.3108980034375817E-2</v>
      </c>
      <c r="BV48" s="9">
        <f t="array" ref="BV48">IF(BV$11&gt;=0,MAX(INDEX(MMULT(inverseG,BU$12:BU$62),$A48+1,1),MAX(strike-$B48,0)),"")</f>
        <v>6.4470532751833107E-2</v>
      </c>
      <c r="BW48" s="9">
        <f t="array" ref="BW48">IF(BW$11&gt;=0,MAX(INDEX(MMULT(inverseG,BV$12:BV$62),$A48+1,1),MAX(strike-$B48,0)),"")</f>
        <v>6.58252913490604E-2</v>
      </c>
      <c r="BX48" s="9">
        <f t="array" ref="BX48">IF(BX$11&gt;=0,MAX(INDEX(MMULT(inverseG,BW$12:BW$62),$A48+1,1),MAX(strike-$B48,0)),"")</f>
        <v>6.7172955822070946E-2</v>
      </c>
      <c r="BY48" s="9">
        <f t="array" ref="BY48">IF(BY$11&gt;=0,MAX(INDEX(MMULT(inverseG,BX$12:BX$62),$A48+1,1),MAX(strike-$B48,0)),"")</f>
        <v>6.851324628622063E-2</v>
      </c>
      <c r="BZ48" s="9">
        <f t="array" ref="BZ48">IF(BZ$11&gt;=0,MAX(INDEX(MMULT(inverseG,BY$12:BY$62),$A48+1,1),MAX(strike-$B48,0)),"")</f>
        <v>6.9845901971380131E-2</v>
      </c>
      <c r="CA48" s="9">
        <f t="array" ref="CA48">IF(CA$11&gt;=0,MAX(INDEX(MMULT(inverseG,BZ$12:BZ$62),$A48+1,1),MAX(strike-$B48,0)),"")</f>
        <v>7.1170680263405395E-2</v>
      </c>
      <c r="CB48" s="9">
        <f t="array" ref="CB48">IF(CB$11&gt;=0,MAX(INDEX(MMULT(inverseG,CA$12:CA$62),$A48+1,1),MAX(strike-$B48,0)),"")</f>
        <v>7.248735579055679E-2</v>
      </c>
      <c r="CC48" s="9">
        <f t="array" ref="CC48">IF(CC$11&gt;=0,MAX(INDEX(MMULT(inverseG,CB$12:CB$62),$A48+1,1),MAX(strike-$B48,0)),"")</f>
        <v>7.3795719553383238E-2</v>
      </c>
      <c r="CD48" s="9">
        <f t="array" ref="CD48">IF(CD$11&gt;=0,MAX(INDEX(MMULT(inverseG,CC$12:CC$62),$A48+1,1),MAX(strike-$B48,0)),"")</f>
        <v>7.5095578096493532E-2</v>
      </c>
      <c r="CE48" s="9">
        <f t="array" ref="CE48">IF(CE$11&gt;=0,MAX(INDEX(MMULT(inverseG,CD$12:CD$62),$A48+1,1),MAX(strike-$B48,0)),"")</f>
        <v>7.6386752720577211E-2</v>
      </c>
      <c r="CF48" s="9">
        <f t="array" ref="CF48">IF(CF$11&gt;=0,MAX(INDEX(MMULT(inverseG,CE$12:CE$62),$A48+1,1),MAX(strike-$B48,0)),"")</f>
        <v>7.7669078733005228E-2</v>
      </c>
      <c r="CG48" s="9">
        <f t="array" ref="CG48">IF(CG$11&gt;=0,MAX(INDEX(MMULT(inverseG,CF$12:CF$62),$A48+1,1),MAX(strike-$B48,0)),"")</f>
        <v>7.8942404735331803E-2</v>
      </c>
      <c r="CH48" s="9">
        <f t="array" ref="CH48">IF(CH$11&gt;=0,MAX(INDEX(MMULT(inverseG,CG$12:CG$62),$A48+1,1),MAX(strike-$B48,0)),"")</f>
        <v>8.0206591946028999E-2</v>
      </c>
      <c r="CI48" s="9">
        <f t="array" ref="CI48">IF(CI$11&gt;=0,MAX(INDEX(MMULT(inverseG,CH$12:CH$62),$A48+1,1),MAX(strike-$B48,0)),"")</f>
        <v>8.1461513556809848E-2</v>
      </c>
      <c r="CJ48" s="9">
        <f t="array" ref="CJ48">IF(CJ$11&gt;=0,MAX(INDEX(MMULT(inverseG,CI$12:CI$62),$A48+1,1),MAX(strike-$B48,0)),"")</f>
        <v>8.2707054120932641E-2</v>
      </c>
      <c r="CK48" s="9">
        <f t="array" ref="CK48">IF(CK$11&gt;=0,MAX(INDEX(MMULT(inverseG,CJ$12:CJ$62),$A48+1,1),MAX(strike-$B48,0)),"")</f>
        <v>8.3943108971924141E-2</v>
      </c>
      <c r="CL48" s="9">
        <f t="array" ref="CL48">IF(CL$11&gt;=0,MAX(INDEX(MMULT(inverseG,CK$12:CK$62),$A48+1,1),MAX(strike-$B48,0)),"")</f>
        <v>8.5169583671210344E-2</v>
      </c>
      <c r="CM48" s="9">
        <f t="array" ref="CM48">IF(CM$11&gt;=0,MAX(INDEX(MMULT(inverseG,CL$12:CL$62),$A48+1,1),MAX(strike-$B48,0)),"")</f>
        <v>8.6386393483200499E-2</v>
      </c>
      <c r="CN48" s="9">
        <f t="array" ref="CN48">IF(CN$11&gt;=0,MAX(INDEX(MMULT(inverseG,CM$12:CM$62),$A48+1,1),MAX(strike-$B48,0)),"")</f>
        <v>8.759346287642851E-2</v>
      </c>
      <c r="CO48" s="9">
        <f t="array" ref="CO48">IF(CO$11&gt;=0,MAX(INDEX(MMULT(inverseG,CN$12:CN$62),$A48+1,1),MAX(strike-$B48,0)),"")</f>
        <v>8.8790725049416402E-2</v>
      </c>
      <c r="CP48" s="9">
        <f t="array" ref="CP48">IF(CP$11&gt;=0,MAX(INDEX(MMULT(inverseG,CO$12:CO$62),$A48+1,1),MAX(strike-$B48,0)),"")</f>
        <v>8.9978121479986031E-2</v>
      </c>
      <c r="CQ48" s="9">
        <f t="array" ref="CQ48">IF(CQ$11&gt;=0,MAX(INDEX(MMULT(inverseG,CP$12:CP$62),$A48+1,1),MAX(strike-$B48,0)),"")</f>
        <v>9.1155601496805655E-2</v>
      </c>
      <c r="CR48" s="9">
        <f t="array" ref="CR48">IF(CR$11&gt;=0,MAX(INDEX(MMULT(inverseG,CQ$12:CQ$62),$A48+1,1),MAX(strike-$B48,0)),"")</f>
        <v>9.2323121872018576E-2</v>
      </c>
      <c r="CS48" s="9">
        <f t="array" ref="CS48">IF(CS$11&gt;=0,MAX(INDEX(MMULT(inverseG,CR$12:CR$62),$A48+1,1),MAX(strike-$B48,0)),"")</f>
        <v>9.3480646433864528E-2</v>
      </c>
      <c r="CT48" s="9">
        <f t="array" ref="CT48">IF(CT$11&gt;=0,MAX(INDEX(MMULT(inverseG,CS$12:CS$62),$A48+1,1),MAX(strike-$B48,0)),"")</f>
        <v>9.4628145698292768E-2</v>
      </c>
      <c r="CU48" s="9">
        <f t="array" ref="CU48">IF(CU$11&gt;=0,MAX(INDEX(MMULT(inverseG,CT$12:CT$62),$A48+1,1),MAX(strike-$B48,0)),"")</f>
        <v>9.5765596518706655E-2</v>
      </c>
      <c r="CV48" s="9">
        <f t="array" ref="CV48">IF(CV$11&gt;=0,MAX(INDEX(MMULT(inverseG,CU$12:CU$62),$A48+1,1),MAX(strike-$B48,0)),"")</f>
        <v>9.689298175319451E-2</v>
      </c>
      <c r="CW48" s="9">
        <f t="array" ref="CW48">IF(CW$11&gt;=0,MAX(INDEX(MMULT(inverseG,CV$12:CV$62),$A48+1,1),MAX(strike-$B48,0)),"")</f>
        <v>9.8010289948878712E-2</v>
      </c>
      <c r="CX48" s="9">
        <f t="array" ref="CX48">IF(CX$11&gt;=0,MAX(INDEX(MMULT(inverseG,CW$12:CW$62),$A48+1,1),MAX(strike-$B48,0)),"")</f>
        <v>9.9117515043299964E-2</v>
      </c>
      <c r="CY48" s="9">
        <f t="array" ref="CY48">IF(CY$11&gt;=0,MAX(INDEX(MMULT(inverseG,CX$12:CX$62),$A48+1,1),MAX(strike-$B48,0)),"")</f>
        <v>0.10021465608297517</v>
      </c>
      <c r="CZ48" s="9">
        <f t="array" ref="CZ48">IF(CZ$11&gt;=0,MAX(INDEX(MMULT(inverseG,CY$12:CY$62),$A48+1,1),MAX(strike-$B48,0)),"")</f>
        <v>0.1013017169593512</v>
      </c>
      <c r="DA48" s="9" t="str">
        <f t="array" ref="DA48">IF(DA$11&gt;=0,MAX(INDEX(MMULT(inverseG,CZ$12:CZ$62),$A48+1,1),MAX(strike-$B48,0)),"")</f>
        <v/>
      </c>
      <c r="DB48" s="9" t="str">
        <f t="array" ref="DB48">IF(DB$11&gt;=0,MAX(INDEX(MMULT(inverseG,DA$12:DA$62),$A48+1,1),MAX(strike-$B48,0)),"")</f>
        <v/>
      </c>
      <c r="DC48" s="9" t="str">
        <f t="array" ref="DC48">IF(DC$11&gt;=0,MAX(INDEX(MMULT(inverseG,DB$12:DB$62),$A48+1,1),MAX(strike-$B48,0)),"")</f>
        <v/>
      </c>
      <c r="DD48" s="9" t="str">
        <f t="array" ref="DD48">IF(DD$11&gt;=0,MAX(INDEX(MMULT(inverseG,DC$12:DC$62),$A48+1,1),MAX(strike-$B48,0)),"")</f>
        <v/>
      </c>
      <c r="DE48" s="9" t="str">
        <f t="array" ref="DE48">IF(DE$11&gt;=0,MAX(INDEX(MMULT(inverseG,DD$12:DD$62),$A48+1,1),MAX(strike-$B48,0)),"")</f>
        <v/>
      </c>
      <c r="DF48" s="9" t="str">
        <f t="array" ref="DF48">IF(DF$11&gt;=0,MAX(INDEX(MMULT(inverseG,DE$12:DE$62),$A48+1,1),MAX(strike-$B48,0)),"")</f>
        <v/>
      </c>
      <c r="DG48" s="9" t="str">
        <f t="array" ref="DG48">IF(DG$11&gt;=0,MAX(INDEX(MMULT(inverseG,DF$12:DF$62),$A48+1,1),MAX(strike-$B48,0)),"")</f>
        <v/>
      </c>
      <c r="DH48" s="9" t="str">
        <f t="array" ref="DH48">IF(DH$11&gt;=0,MAX(INDEX(MMULT(inverseG,DG$12:DG$62),$A48+1,1),MAX(strike-$B48,0)),"")</f>
        <v/>
      </c>
      <c r="DI48" s="9" t="str">
        <f t="array" ref="DI48">IF(DI$11&gt;=0,MAX(INDEX(MMULT(inverseG,DH$12:DH$62),$A48+1,1),MAX(strike-$B48,0)),"")</f>
        <v/>
      </c>
      <c r="DJ48" s="9" t="str">
        <f t="array" ref="DJ48">IF(DJ$11&gt;=0,MAX(INDEX(MMULT(inverseG,DI$12:DI$62),$A48+1,1),MAX(strike-$B48,0)),"")</f>
        <v/>
      </c>
      <c r="DK48" s="9" t="str">
        <f t="array" ref="DK48">IF(DK$11&gt;=0,MAX(INDEX(MMULT(inverseG,DJ$12:DJ$62),$A48+1,1),MAX(strike-$B48,0)),"")</f>
        <v/>
      </c>
      <c r="DL48" s="9" t="str">
        <f t="array" ref="DL48">IF(DL$11&gt;=0,MAX(INDEX(MMULT(inverseG,DK$12:DK$62),$A48+1,1),MAX(strike-$B48,0)),"")</f>
        <v/>
      </c>
      <c r="DM48" s="9" t="str">
        <f t="array" ref="DM48">IF(DM$11&gt;=0,MAX(INDEX(MMULT(inverseG,DL$12:DL$62),$A48+1,1),MAX(strike-$B48,0)),"")</f>
        <v/>
      </c>
      <c r="DN48" s="9" t="str">
        <f t="array" ref="DN48">IF(DN$11&gt;=0,MAX(INDEX(MMULT(inverseG,DM$12:DM$62),$A48+1,1),MAX(strike-$B48,0)),"")</f>
        <v/>
      </c>
      <c r="DO48" s="9" t="str">
        <f t="array" ref="DO48">IF(DO$11&gt;=0,MAX(INDEX(MMULT(inverseG,DN$12:DN$62),$A48+1,1),MAX(strike-$B48,0)),"")</f>
        <v/>
      </c>
      <c r="DP48" s="9" t="str">
        <f t="array" ref="DP48">IF(DP$11&gt;=0,MAX(INDEX(MMULT(inverseG,DO$12:DO$62),$A48+1,1),MAX(strike-$B48,0)),"")</f>
        <v/>
      </c>
      <c r="DQ48" s="9" t="str">
        <f t="array" ref="DQ48">IF(DQ$11&gt;=0,MAX(INDEX(MMULT(inverseG,DP$12:DP$62),$A48+1,1),MAX(strike-$B48,0)),"")</f>
        <v/>
      </c>
      <c r="DR48" s="9" t="str">
        <f t="array" ref="DR48">IF(DR$11&gt;=0,MAX(INDEX(MMULT(inverseG,DQ$12:DQ$62),$A48+1,1),MAX(strike-$B48,0)),"")</f>
        <v/>
      </c>
      <c r="DS48" s="9" t="str">
        <f t="array" ref="DS48">IF(DS$11&gt;=0,MAX(INDEX(MMULT(inverseG,DR$12:DR$62),$A48+1,1),MAX(strike-$B48,0)),"")</f>
        <v/>
      </c>
      <c r="DT48" s="9" t="str">
        <f t="array" ref="DT48">IF(DT$11&gt;=0,MAX(INDEX(MMULT(inverseG,DS$12:DS$62),$A48+1,1),MAX(strike-$B48,0)),"")</f>
        <v/>
      </c>
      <c r="DU48" s="9" t="str">
        <f t="array" ref="DU48">IF(DU$11&gt;=0,MAX(INDEX(MMULT(inverseG,DT$12:DT$62),$A48+1,1),MAX(strike-$B48,0)),"")</f>
        <v/>
      </c>
      <c r="DV48" s="9" t="str">
        <f t="array" ref="DV48">IF(DV$11&gt;=0,MAX(INDEX(MMULT(inverseG,DU$12:DU$62),$A48+1,1),MAX(strike-$B48,0)),"")</f>
        <v/>
      </c>
      <c r="DW48" s="9" t="str">
        <f t="array" ref="DW48">IF(DW$11&gt;=0,MAX(INDEX(MMULT(inverseG,DV$12:DV$62),$A48+1,1),MAX(strike-$B48,0)),"")</f>
        <v/>
      </c>
      <c r="DX48" s="9" t="str">
        <f t="array" ref="DX48">IF(DX$11&gt;=0,MAX(INDEX(MMULT(inverseG,DW$12:DW$62),$A48+1,1),MAX(strike-$B48,0)),"")</f>
        <v/>
      </c>
      <c r="DY48" s="9" t="str">
        <f t="array" ref="DY48">IF(DY$11&gt;=0,MAX(INDEX(MMULT(inverseG,DX$12:DX$62),$A48+1,1),MAX(strike-$B48,0)),"")</f>
        <v/>
      </c>
      <c r="DZ48" s="9" t="str">
        <f t="array" ref="DZ48">IF(DZ$11&gt;=0,MAX(INDEX(MMULT(inverseG,DY$12:DY$62),$A48+1,1),MAX(strike-$B48,0)),"")</f>
        <v/>
      </c>
      <c r="EA48" s="9" t="str">
        <f t="array" ref="EA48">IF(EA$11&gt;=0,MAX(INDEX(MMULT(inverseG,DZ$12:DZ$62),$A48+1,1),MAX(strike-$B48,0)),"")</f>
        <v/>
      </c>
      <c r="EB48" s="9" t="str">
        <f t="array" ref="EB48">IF(EB$11&gt;=0,MAX(INDEX(MMULT(inverseG,EA$12:EA$62),$A48+1,1),MAX(strike-$B48,0)),"")</f>
        <v/>
      </c>
      <c r="EC48" s="9" t="str">
        <f t="array" ref="EC48">IF(EC$11&gt;=0,MAX(INDEX(MMULT(inverseG,EB$12:EB$62),$A48+1,1),MAX(strike-$B48,0)),"")</f>
        <v/>
      </c>
      <c r="ED48" s="9" t="str">
        <f t="array" ref="ED48">IF(ED$11&gt;=0,MAX(INDEX(MMULT(inverseG,EC$12:EC$62),$A48+1,1),MAX(strike-$B48,0)),"")</f>
        <v/>
      </c>
      <c r="EE48" s="9" t="str">
        <f t="array" ref="EE48">IF(EE$11&gt;=0,MAX(INDEX(MMULT(inverseG,ED$12:ED$62),$A48+1,1),MAX(strike-$B48,0)),"")</f>
        <v/>
      </c>
      <c r="EF48" s="9" t="str">
        <f t="array" ref="EF48">IF(EF$11&gt;=0,MAX(INDEX(MMULT(inverseG,EE$12:EE$62),$A48+1,1),MAX(strike-$B48,0)),"")</f>
        <v/>
      </c>
      <c r="EG48" s="9" t="str">
        <f t="array" ref="EG48">IF(EG$11&gt;=0,MAX(INDEX(MMULT(inverseG,EF$12:EF$62),$A48+1,1),MAX(strike-$B48,0)),"")</f>
        <v/>
      </c>
      <c r="EH48" s="9" t="str">
        <f t="array" ref="EH48">IF(EH$11&gt;=0,MAX(INDEX(MMULT(inverseG,EG$12:EG$62),$A48+1,1),MAX(strike-$B48,0)),"")</f>
        <v/>
      </c>
      <c r="EI48" s="9" t="str">
        <f t="array" ref="EI48">IF(EI$11&gt;=0,MAX(INDEX(MMULT(inverseG,EH$12:EH$62),$A48+1,1),MAX(strike-$B48,0)),"")</f>
        <v/>
      </c>
      <c r="EJ48" s="9" t="str">
        <f t="array" ref="EJ48">IF(EJ$11&gt;=0,MAX(INDEX(MMULT(inverseG,EI$12:EI$62),$A48+1,1),MAX(strike-$B48,0)),"")</f>
        <v/>
      </c>
      <c r="EK48" s="9" t="str">
        <f t="array" ref="EK48">IF(EK$11&gt;=0,MAX(INDEX(MMULT(inverseG,EJ$12:EJ$62),$A48+1,1),MAX(strike-$B48,0)),"")</f>
        <v/>
      </c>
      <c r="EL48" s="9" t="str">
        <f t="array" ref="EL48">IF(EL$11&gt;=0,MAX(INDEX(MMULT(inverseG,EK$12:EK$62),$A48+1,1),MAX(strike-$B48,0)),"")</f>
        <v/>
      </c>
      <c r="EM48" s="9" t="str">
        <f t="array" ref="EM48">IF(EM$11&gt;=0,MAX(INDEX(MMULT(inverseG,EL$12:EL$62),$A48+1,1),MAX(strike-$B48,0)),"")</f>
        <v/>
      </c>
      <c r="EN48" s="9" t="str">
        <f t="array" ref="EN48">IF(EN$11&gt;=0,MAX(INDEX(MMULT(inverseG,EM$12:EM$62),$A48+1,1),MAX(strike-$B48,0)),"")</f>
        <v/>
      </c>
      <c r="EO48" s="9" t="str">
        <f t="array" ref="EO48">IF(EO$11&gt;=0,MAX(INDEX(MMULT(inverseG,EN$12:EN$62),$A48+1,1),MAX(strike-$B48,0)),"")</f>
        <v/>
      </c>
      <c r="EP48" s="9" t="str">
        <f t="array" ref="EP48">IF(EP$11&gt;=0,MAX(INDEX(MMULT(inverseG,EO$12:EO$62),$A48+1,1),MAX(strike-$B48,0)),"")</f>
        <v/>
      </c>
      <c r="EQ48" s="9" t="str">
        <f t="array" ref="EQ48">IF(EQ$11&gt;=0,MAX(INDEX(MMULT(inverseG,EP$12:EP$62),$A48+1,1),MAX(strike-$B48,0)),"")</f>
        <v/>
      </c>
      <c r="ER48" s="9" t="str">
        <f t="array" ref="ER48">IF(ER$11&gt;=0,MAX(INDEX(MMULT(inverseG,EQ$12:EQ$62),$A48+1,1),MAX(strike-$B48,0)),"")</f>
        <v/>
      </c>
      <c r="ES48" s="9" t="str">
        <f t="array" ref="ES48">IF(ES$11&gt;=0,MAX(INDEX(MMULT(inverseG,ER$12:ER$62),$A48+1,1),MAX(strike-$B48,0)),"")</f>
        <v/>
      </c>
      <c r="ET48" s="9" t="str">
        <f t="array" ref="ET48">IF(ET$11&gt;=0,MAX(INDEX(MMULT(inverseG,ES$12:ES$62),$A48+1,1),MAX(strike-$B48,0)),"")</f>
        <v/>
      </c>
      <c r="EU48" s="9" t="str">
        <f t="array" ref="EU48">IF(EU$11&gt;=0,MAX(INDEX(MMULT(inverseG,ET$12:ET$62),$A48+1,1),MAX(strike-$B48,0)),"")</f>
        <v/>
      </c>
      <c r="EV48" s="9" t="str">
        <f t="array" ref="EV48">IF(EV$11&gt;=0,MAX(INDEX(MMULT(inverseG,EU$12:EU$62),$A48+1,1),MAX(strike-$B48,0)),"")</f>
        <v/>
      </c>
      <c r="EW48" s="9" t="str">
        <f t="array" ref="EW48">IF(EW$11&gt;=0,MAX(INDEX(MMULT(inverseG,EV$12:EV$62),$A48+1,1),MAX(strike-$B48,0)),"")</f>
        <v/>
      </c>
      <c r="EX48" s="9" t="str">
        <f t="array" ref="EX48">IF(EX$11&gt;=0,MAX(INDEX(MMULT(inverseG,EW$12:EW$62),$A48+1,1),MAX(strike-$B48,0)),"")</f>
        <v/>
      </c>
      <c r="EY48" s="9" t="str">
        <f t="array" ref="EY48">IF(EY$11&gt;=0,MAX(INDEX(MMULT(inverseG,EX$12:EX$62),$A48+1,1),MAX(strike-$B48,0)),"")</f>
        <v/>
      </c>
      <c r="EZ48" s="9" t="str">
        <f t="array" ref="EZ48">IF(EZ$11&gt;=0,MAX(INDEX(MMULT(inverseG,EY$12:EY$62),$A48+1,1),MAX(strike-$B48,0)),"")</f>
        <v/>
      </c>
      <c r="FA48" s="9" t="str">
        <f t="array" ref="FA48">IF(FA$11&gt;=0,MAX(INDEX(MMULT(inverseG,EZ$12:EZ$62),$A48+1,1),MAX(strike-$B48,0)),"")</f>
        <v/>
      </c>
      <c r="FB48" s="9" t="str">
        <f t="array" ref="FB48">IF(FB$11&gt;=0,MAX(INDEX(MMULT(inverseG,FA$12:FA$62),$A48+1,1),MAX(strike-$B48,0)),"")</f>
        <v/>
      </c>
      <c r="FC48" s="9" t="str">
        <f t="array" ref="FC48">IF(FC$11&gt;=0,MAX(INDEX(MMULT(inverseG,FB$12:FB$62),$A48+1,1),MAX(strike-$B48,0)),"")</f>
        <v/>
      </c>
      <c r="FD48" s="9" t="str">
        <f t="array" ref="FD48">IF(FD$11&gt;=0,MAX(INDEX(MMULT(inverseG,FC$12:FC$62),$A48+1,1),MAX(strike-$B48,0)),"")</f>
        <v/>
      </c>
      <c r="FE48" s="9" t="str">
        <f t="array" ref="FE48">IF(FE$11&gt;=0,MAX(INDEX(MMULT(inverseG,FD$12:FD$62),$A48+1,1),MAX(strike-$B48,0)),"")</f>
        <v/>
      </c>
      <c r="FF48" s="9" t="str">
        <f t="array" ref="FF48">IF(FF$11&gt;=0,MAX(INDEX(MMULT(inverseG,FE$12:FE$62),$A48+1,1),MAX(strike-$B48,0)),"")</f>
        <v/>
      </c>
      <c r="FG48" s="9" t="str">
        <f t="array" ref="FG48">IF(FG$11&gt;=0,MAX(INDEX(MMULT(inverseG,FF$12:FF$62),$A48+1,1),MAX(strike-$B48,0)),"")</f>
        <v/>
      </c>
      <c r="FH48" s="9" t="str">
        <f t="array" ref="FH48">IF(FH$11&gt;=0,MAX(INDEX(MMULT(inverseG,FG$12:FG$62),$A48+1,1),MAX(strike-$B48,0)),"")</f>
        <v/>
      </c>
      <c r="FI48" s="9" t="str">
        <f t="array" ref="FI48">IF(FI$11&gt;=0,MAX(INDEX(MMULT(inverseG,FH$12:FH$62),$A48+1,1),MAX(strike-$B48,0)),"")</f>
        <v/>
      </c>
      <c r="FJ48" s="9" t="str">
        <f t="array" ref="FJ48">IF(FJ$11&gt;=0,MAX(INDEX(MMULT(inverseG,FI$12:FI$62),$A48+1,1),MAX(strike-$B48,0)),"")</f>
        <v/>
      </c>
      <c r="FK48" s="9" t="str">
        <f t="array" ref="FK48">IF(FK$11&gt;=0,MAX(INDEX(MMULT(inverseG,FJ$12:FJ$62),$A48+1,1),MAX(strike-$B48,0)),"")</f>
        <v/>
      </c>
      <c r="FL48" s="9" t="str">
        <f t="array" ref="FL48">IF(FL$11&gt;=0,MAX(INDEX(MMULT(inverseG,FK$12:FK$62),$A48+1,1),MAX(strike-$B48,0)),"")</f>
        <v/>
      </c>
      <c r="FM48" s="9" t="str">
        <f t="array" ref="FM48">IF(FM$11&gt;=0,MAX(INDEX(MMULT(inverseG,FL$12:FL$62),$A48+1,1),MAX(strike-$B48,0)),"")</f>
        <v/>
      </c>
      <c r="FN48" s="9" t="str">
        <f t="array" ref="FN48">IF(FN$11&gt;=0,MAX(INDEX(MMULT(inverseG,FM$12:FM$62),$A48+1,1),MAX(strike-$B48,0)),"")</f>
        <v/>
      </c>
      <c r="FO48" s="9" t="str">
        <f t="array" ref="FO48">IF(FO$11&gt;=0,MAX(INDEX(MMULT(inverseG,FN$12:FN$62),$A48+1,1),MAX(strike-$B48,0)),"")</f>
        <v/>
      </c>
      <c r="FP48" s="9" t="str">
        <f t="array" ref="FP48">IF(FP$11&gt;=0,MAX(INDEX(MMULT(inverseG,FO$12:FO$62),$A48+1,1),MAX(strike-$B48,0)),"")</f>
        <v/>
      </c>
      <c r="FQ48" s="9" t="str">
        <f t="array" ref="FQ48">IF(FQ$11&gt;=0,MAX(INDEX(MMULT(inverseG,FP$12:FP$62),$A48+1,1),MAX(strike-$B48,0)),"")</f>
        <v/>
      </c>
      <c r="FR48" s="9" t="str">
        <f t="array" ref="FR48">IF(FR$11&gt;=0,MAX(INDEX(MMULT(inverseG,FQ$12:FQ$62),$A48+1,1),MAX(strike-$B48,0)),"")</f>
        <v/>
      </c>
      <c r="FS48" s="9" t="str">
        <f t="array" ref="FS48">IF(FS$11&gt;=0,MAX(INDEX(MMULT(inverseG,FR$12:FR$62),$A48+1,1),MAX(strike-$B48,0)),"")</f>
        <v/>
      </c>
      <c r="FT48" s="9" t="str">
        <f t="array" ref="FT48">IF(FT$11&gt;=0,MAX(INDEX(MMULT(inverseG,FS$12:FS$62),$A48+1,1),MAX(strike-$B48,0)),"")</f>
        <v/>
      </c>
      <c r="FU48" s="9" t="str">
        <f t="array" ref="FU48">IF(FU$11&gt;=0,MAX(INDEX(MMULT(inverseG,FT$12:FT$62),$A48+1,1),MAX(strike-$B48,0)),"")</f>
        <v/>
      </c>
      <c r="FV48" s="9" t="str">
        <f t="array" ref="FV48">IF(FV$11&gt;=0,MAX(INDEX(MMULT(inverseG,FU$12:FU$62),$A48+1,1),MAX(strike-$B48,0)),"")</f>
        <v/>
      </c>
      <c r="FW48" s="9" t="str">
        <f t="array" ref="FW48">IF(FW$11&gt;=0,MAX(INDEX(MMULT(inverseG,FV$12:FV$62),$A48+1,1),MAX(strike-$B48,0)),"")</f>
        <v/>
      </c>
      <c r="FX48" s="9" t="str">
        <f t="array" ref="FX48">IF(FX$11&gt;=0,MAX(INDEX(MMULT(inverseG,FW$12:FW$62),$A48+1,1),MAX(strike-$B48,0)),"")</f>
        <v/>
      </c>
      <c r="FY48" s="9" t="str">
        <f t="array" ref="FY48">IF(FY$11&gt;=0,MAX(INDEX(MMULT(inverseG,FX$12:FX$62),$A48+1,1),MAX(strike-$B48,0)),"")</f>
        <v/>
      </c>
      <c r="FZ48" s="9" t="str">
        <f t="array" ref="FZ48">IF(FZ$11&gt;=0,MAX(INDEX(MMULT(inverseG,FY$12:FY$62),$A48+1,1),MAX(strike-$B48,0)),"")</f>
        <v/>
      </c>
      <c r="GA48" s="9" t="str">
        <f t="array" ref="GA48">IF(GA$11&gt;=0,MAX(INDEX(MMULT(inverseG,FZ$12:FZ$62),$A48+1,1),MAX(strike-$B48,0)),"")</f>
        <v/>
      </c>
      <c r="GB48" s="9" t="str">
        <f t="array" ref="GB48">IF(GB$11&gt;=0,MAX(INDEX(MMULT(inverseG,GA$12:GA$62),$A48+1,1),MAX(strike-$B48,0)),"")</f>
        <v/>
      </c>
      <c r="GC48" s="9" t="str">
        <f t="array" ref="GC48">IF(GC$11&gt;=0,MAX(INDEX(MMULT(inverseG,GB$12:GB$62),$A48+1,1),MAX(strike-$B48,0)),"")</f>
        <v/>
      </c>
      <c r="GD48" s="9" t="str">
        <f t="array" ref="GD48">IF(GD$11&gt;=0,MAX(INDEX(MMULT(inverseG,GC$12:GC$62),$A48+1,1),MAX(strike-$B48,0)),"")</f>
        <v/>
      </c>
      <c r="GE48" s="9" t="str">
        <f t="array" ref="GE48">IF(GE$11&gt;=0,MAX(INDEX(MMULT(inverseG,GD$12:GD$62),$A48+1,1),MAX(strike-$B48,0)),"")</f>
        <v/>
      </c>
      <c r="GF48" s="9" t="str">
        <f t="array" ref="GF48">IF(GF$11&gt;=0,MAX(INDEX(MMULT(inverseG,GE$12:GE$62),$A48+1,1),MAX(strike-$B48,0)),"")</f>
        <v/>
      </c>
      <c r="GG48" s="9" t="str">
        <f t="array" ref="GG48">IF(GG$11&gt;=0,MAX(INDEX(MMULT(inverseG,GF$12:GF$62),$A48+1,1),MAX(strike-$B48,0)),"")</f>
        <v/>
      </c>
      <c r="GH48" s="9" t="str">
        <f t="array" ref="GH48">IF(GH$11&gt;=0,MAX(INDEX(MMULT(inverseG,GG$12:GG$62),$A48+1,1),MAX(strike-$B48,0)),"")</f>
        <v/>
      </c>
      <c r="GI48" s="9" t="str">
        <f t="array" ref="GI48">IF(GI$11&gt;=0,MAX(INDEX(MMULT(inverseG,GH$12:GH$62),$A48+1,1),MAX(strike-$B48,0)),"")</f>
        <v/>
      </c>
      <c r="GJ48" s="9" t="str">
        <f t="array" ref="GJ48">IF(GJ$11&gt;=0,MAX(INDEX(MMULT(inverseG,GI$12:GI$62),$A48+1,1),MAX(strike-$B48,0)),"")</f>
        <v/>
      </c>
      <c r="GK48" s="9" t="str">
        <f t="array" ref="GK48">IF(GK$11&gt;=0,MAX(INDEX(MMULT(inverseG,GJ$12:GJ$62),$A48+1,1),MAX(strike-$B48,0)),"")</f>
        <v/>
      </c>
      <c r="GL48" s="9" t="str">
        <f t="array" ref="GL48">IF(GL$11&gt;=0,MAX(INDEX(MMULT(inverseG,GK$12:GK$62),$A48+1,1),MAX(strike-$B48,0)),"")</f>
        <v/>
      </c>
      <c r="GM48" s="9" t="str">
        <f t="array" ref="GM48">IF(GM$11&gt;=0,MAX(INDEX(MMULT(inverseG,GL$12:GL$62),$A48+1,1),MAX(strike-$B48,0)),"")</f>
        <v/>
      </c>
      <c r="GN48" s="9" t="str">
        <f t="array" ref="GN48">IF(GN$11&gt;=0,MAX(INDEX(MMULT(inverseG,GM$12:GM$62),$A48+1,1),MAX(strike-$B48,0)),"")</f>
        <v/>
      </c>
      <c r="GO48" s="9" t="str">
        <f t="array" ref="GO48">IF(GO$11&gt;=0,MAX(INDEX(MMULT(inverseG,GN$12:GN$62),$A48+1,1),MAX(strike-$B48,0)),"")</f>
        <v/>
      </c>
      <c r="GP48" s="9" t="str">
        <f t="array" ref="GP48">IF(GP$11&gt;=0,MAX(INDEX(MMULT(inverseG,GO$12:GO$62),$A48+1,1),MAX(strike-$B48,0)),"")</f>
        <v/>
      </c>
      <c r="GQ48" s="9" t="str">
        <f t="array" ref="GQ48">IF(GQ$11&gt;=0,MAX(INDEX(MMULT(inverseG,GP$12:GP$62),$A48+1,1),MAX(strike-$B48,0)),"")</f>
        <v/>
      </c>
      <c r="GR48" s="9" t="str">
        <f t="array" ref="GR48">IF(GR$11&gt;=0,MAX(INDEX(MMULT(inverseG,GQ$12:GQ$62),$A48+1,1),MAX(strike-$B48,0)),"")</f>
        <v/>
      </c>
      <c r="GS48" s="9" t="str">
        <f t="array" ref="GS48">IF(GS$11&gt;=0,MAX(INDEX(MMULT(inverseG,GR$12:GR$62),$A48+1,1),MAX(strike-$B48,0)),"")</f>
        <v/>
      </c>
      <c r="GT48" s="9" t="str">
        <f t="array" ref="GT48">IF(GT$11&gt;=0,MAX(INDEX(MMULT(inverseG,GS$12:GS$62),$A48+1,1),MAX(strike-$B48,0)),"")</f>
        <v/>
      </c>
      <c r="GU48" s="9" t="str">
        <f t="array" ref="GU48">IF(GU$11&gt;=0,MAX(INDEX(MMULT(inverseG,GT$12:GT$62),$A48+1,1),MAX(strike-$B48,0)),"")</f>
        <v/>
      </c>
      <c r="GV48" s="9" t="str">
        <f t="array" ref="GV48">IF(GV$11&gt;=0,MAX(INDEX(MMULT(inverseG,GU$12:GU$62),$A48+1,1),MAX(strike-$B48,0)),"")</f>
        <v/>
      </c>
      <c r="GW48" s="9" t="str">
        <f t="array" ref="GW48">IF(GW$11&gt;=0,MAX(INDEX(MMULT(inverseG,GV$12:GV$62),$A48+1,1),MAX(strike-$B48,0)),"")</f>
        <v/>
      </c>
      <c r="GX48" s="9" t="str">
        <f t="array" ref="GX48">IF(GX$11&gt;=0,MAX(INDEX(MMULT(inverseG,GW$12:GW$62),$A48+1,1),MAX(strike-$B48,0)),"")</f>
        <v/>
      </c>
      <c r="GY48" s="9" t="str">
        <f t="array" ref="GY48">IF(GY$11&gt;=0,MAX(INDEX(MMULT(inverseG,GX$12:GX$62),$A48+1,1),MAX(strike-$B48,0)),"")</f>
        <v/>
      </c>
      <c r="GZ48" s="9" t="str">
        <f t="array" ref="GZ48">IF(GZ$11&gt;=0,MAX(INDEX(MMULT(inverseG,GY$12:GY$62),$A48+1,1),MAX(strike-$B48,0)),"")</f>
        <v/>
      </c>
      <c r="HA48" s="9" t="str">
        <f t="array" ref="HA48">IF(HA$11&gt;=0,MAX(INDEX(MMULT(inverseG,GZ$12:GZ$62),$A48+1,1),MAX(strike-$B48,0)),"")</f>
        <v/>
      </c>
      <c r="HB48" s="9" t="str">
        <f t="array" ref="HB48">IF(HB$11&gt;=0,MAX(INDEX(MMULT(inverseG,HA$12:HA$62),$A48+1,1),MAX(strike-$B48,0)),"")</f>
        <v/>
      </c>
      <c r="HC48" s="9" t="str">
        <f t="array" ref="HC48">IF(HC$11&gt;=0,MAX(INDEX(MMULT(inverseG,HB$12:HB$62),$A48+1,1),MAX(strike-$B48,0)),"")</f>
        <v/>
      </c>
      <c r="HD48" s="9" t="str">
        <f t="array" ref="HD48">IF(HD$11&gt;=0,MAX(INDEX(MMULT(inverseG,HC$12:HC$62),$A48+1,1),MAX(strike-$B48,0)),"")</f>
        <v/>
      </c>
      <c r="HE48" s="9" t="str">
        <f t="array" ref="HE48">IF(HE$11&gt;=0,MAX(INDEX(MMULT(inverseG,HD$12:HD$62),$A48+1,1),MAX(strike-$B48,0)),"")</f>
        <v/>
      </c>
      <c r="HF48" s="9" t="str">
        <f t="array" ref="HF48">IF(HF$11&gt;=0,MAX(INDEX(MMULT(inverseG,HE$12:HE$62),$A48+1,1),MAX(strike-$B48,0)),"")</f>
        <v/>
      </c>
      <c r="HG48" s="9" t="str">
        <f t="array" ref="HG48">IF(HG$11&gt;=0,MAX(INDEX(MMULT(inverseG,HF$12:HF$62),$A48+1,1),MAX(strike-$B48,0)),"")</f>
        <v/>
      </c>
      <c r="HH48" s="9" t="str">
        <f t="array" ref="HH48">IF(HH$11&gt;=0,MAX(INDEX(MMULT(inverseG,HG$12:HG$62),$A48+1,1),MAX(strike-$B48,0)),"")</f>
        <v/>
      </c>
      <c r="HI48" s="9" t="str">
        <f t="array" ref="HI48">IF(HI$11&gt;=0,MAX(INDEX(MMULT(inverseG,HH$12:HH$62),$A48+1,1),MAX(strike-$B48,0)),"")</f>
        <v/>
      </c>
      <c r="HJ48" s="9" t="str">
        <f t="array" ref="HJ48">IF(HJ$11&gt;=0,MAX(INDEX(MMULT(inverseG,HI$12:HI$62),$A48+1,1),MAX(strike-$B48,0)),"")</f>
        <v/>
      </c>
      <c r="HK48" s="9" t="str">
        <f t="array" ref="HK48">IF(HK$11&gt;=0,MAX(INDEX(MMULT(inverseG,HJ$12:HJ$62),$A48+1,1),MAX(strike-$B48,0)),"")</f>
        <v/>
      </c>
      <c r="HL48" s="9" t="str">
        <f t="array" ref="HL48">IF(HL$11&gt;=0,MAX(INDEX(MMULT(inverseG,HK$12:HK$62),$A48+1,1),MAX(strike-$B48,0)),"")</f>
        <v/>
      </c>
      <c r="HM48" s="9" t="str">
        <f t="array" ref="HM48">IF(HM$11&gt;=0,MAX(INDEX(MMULT(inverseG,HL$12:HL$62),$A48+1,1),MAX(strike-$B48,0)),"")</f>
        <v/>
      </c>
      <c r="HN48" s="9" t="str">
        <f t="array" ref="HN48">IF(HN$11&gt;=0,MAX(INDEX(MMULT(inverseG,HM$12:HM$62),$A48+1,1),MAX(strike-$B48,0)),"")</f>
        <v/>
      </c>
      <c r="HO48" s="9" t="str">
        <f t="array" ref="HO48">IF(HO$11&gt;=0,MAX(INDEX(MMULT(inverseG,HN$12:HN$62),$A48+1,1),MAX(strike-$B48,0)),"")</f>
        <v/>
      </c>
      <c r="HP48" s="9" t="str">
        <f t="array" ref="HP48">IF(HP$11&gt;=0,MAX(INDEX(MMULT(inverseG,HO$12:HO$62),$A48+1,1),MAX(strike-$B48,0)),"")</f>
        <v/>
      </c>
      <c r="HQ48" s="9" t="str">
        <f t="array" ref="HQ48">IF(HQ$11&gt;=0,MAX(INDEX(MMULT(inverseG,HP$12:HP$62),$A48+1,1),MAX(strike-$B48,0)),"")</f>
        <v/>
      </c>
      <c r="HR48" s="9" t="str">
        <f t="array" ref="HR48">IF(HR$11&gt;=0,MAX(INDEX(MMULT(inverseG,HQ$12:HQ$62),$A48+1,1),MAX(strike-$B48,0)),"")</f>
        <v/>
      </c>
      <c r="HS48" s="9" t="str">
        <f t="array" ref="HS48">IF(HS$11&gt;=0,MAX(INDEX(MMULT(inverseG,HR$12:HR$62),$A48+1,1),MAX(strike-$B48,0)),"")</f>
        <v/>
      </c>
      <c r="HT48" s="9" t="str">
        <f t="array" ref="HT48">IF(HT$11&gt;=0,MAX(INDEX(MMULT(inverseG,HS$12:HS$62),$A48+1,1),MAX(strike-$B48,0)),"")</f>
        <v/>
      </c>
      <c r="HU48" s="9" t="str">
        <f t="array" ref="HU48">IF(HU$11&gt;=0,MAX(INDEX(MMULT(inverseG,HT$12:HT$62),$A48+1,1),MAX(strike-$B48,0)),"")</f>
        <v/>
      </c>
      <c r="HV48" s="9" t="str">
        <f t="array" ref="HV48">IF(HV$11&gt;=0,MAX(INDEX(MMULT(inverseG,HU$12:HU$62),$A48+1,1),MAX(strike-$B48,0)),"")</f>
        <v/>
      </c>
      <c r="HW48" s="9" t="str">
        <f t="array" ref="HW48">IF(HW$11&gt;=0,MAX(INDEX(MMULT(inverseG,HV$12:HV$62),$A48+1,1),MAX(strike-$B48,0)),"")</f>
        <v/>
      </c>
      <c r="HX48" s="9" t="str">
        <f t="array" ref="HX48">IF(HX$11&gt;=0,MAX(INDEX(MMULT(inverseG,HW$12:HW$62),$A48+1,1),MAX(strike-$B48,0)),"")</f>
        <v/>
      </c>
      <c r="HY48" s="9" t="str">
        <f t="array" ref="HY48">IF(HY$11&gt;=0,MAX(INDEX(MMULT(inverseG,HX$12:HX$62),$A48+1,1),MAX(strike-$B48,0)),"")</f>
        <v/>
      </c>
      <c r="HZ48" s="9" t="str">
        <f t="array" ref="HZ48">IF(HZ$11&gt;=0,MAX(INDEX(MMULT(inverseG,HY$12:HY$62),$A48+1,1),MAX(strike-$B48,0)),"")</f>
        <v/>
      </c>
      <c r="IA48" s="9" t="str">
        <f t="array" ref="IA48">IF(IA$11&gt;=0,MAX(INDEX(MMULT(inverseG,HZ$12:HZ$62),$A48+1,1),MAX(strike-$B48,0)),"")</f>
        <v/>
      </c>
      <c r="IB48" s="9" t="str">
        <f t="array" ref="IB48">IF(IB$11&gt;=0,MAX(INDEX(MMULT(inverseG,IA$12:IA$62),$A48+1,1),MAX(strike-$B48,0)),"")</f>
        <v/>
      </c>
      <c r="IC48" s="9" t="str">
        <f t="array" ref="IC48">IF(IC$11&gt;=0,MAX(INDEX(MMULT(inverseG,IB$12:IB$62),$A48+1,1),MAX(strike-$B48,0)),"")</f>
        <v/>
      </c>
      <c r="ID48" s="9" t="str">
        <f t="array" ref="ID48">IF(ID$11&gt;=0,MAX(INDEX(MMULT(inverseG,IC$12:IC$62),$A48+1,1),MAX(strike-$B48,0)),"")</f>
        <v/>
      </c>
      <c r="IE48" s="9" t="str">
        <f t="array" ref="IE48">IF(IE$11&gt;=0,MAX(INDEX(MMULT(inverseG,ID$12:ID$62),$A48+1,1),MAX(strike-$B48,0)),"")</f>
        <v/>
      </c>
      <c r="IF48" s="9" t="str">
        <f t="array" ref="IF48">IF(IF$11&gt;=0,MAX(INDEX(MMULT(inverseG,IE$12:IE$62),$A48+1,1),MAX(strike-$B48,0)),"")</f>
        <v/>
      </c>
      <c r="IG48" s="9" t="str">
        <f t="array" ref="IG48">IF(IG$11&gt;=0,MAX(INDEX(MMULT(inverseG,IF$12:IF$62),$A48+1,1),MAX(strike-$B48,0)),"")</f>
        <v/>
      </c>
      <c r="IH48" s="9" t="str">
        <f t="array" ref="IH48">IF(IH$11&gt;=0,MAX(INDEX(MMULT(inverseG,IG$12:IG$62),$A48+1,1),MAX(strike-$B48,0)),"")</f>
        <v/>
      </c>
      <c r="II48" s="9" t="str">
        <f t="array" ref="II48">IF(II$11&gt;=0,MAX(INDEX(MMULT(inverseG,IH$12:IH$62),$A48+1,1),MAX(strike-$B48,0)),"")</f>
        <v/>
      </c>
      <c r="IJ48" s="9" t="str">
        <f t="array" ref="IJ48">IF(IJ$11&gt;=0,MAX(INDEX(MMULT(inverseG,II$12:II$62),$A48+1,1),MAX(strike-$B48,0)),"")</f>
        <v/>
      </c>
      <c r="IK48" s="9" t="str">
        <f t="array" ref="IK48">IF(IK$11&gt;=0,MAX(INDEX(MMULT(inverseG,IJ$12:IJ$62),$A48+1,1),MAX(strike-$B48,0)),"")</f>
        <v/>
      </c>
      <c r="IL48" s="9" t="str">
        <f t="array" ref="IL48">IF(IL$11&gt;=0,MAX(INDEX(MMULT(inverseG,IK$12:IK$62),$A48+1,1),MAX(strike-$B48,0)),"")</f>
        <v/>
      </c>
      <c r="IM48" s="9" t="str">
        <f t="array" ref="IM48">IF(IM$11&gt;=0,MAX(INDEX(MMULT(inverseG,IL$12:IL$62),$A48+1,1),MAX(strike-$B48,0)),"")</f>
        <v/>
      </c>
      <c r="IN48" s="9" t="str">
        <f t="array" ref="IN48">IF(IN$11&gt;=0,MAX(INDEX(MMULT(inverseG,IM$12:IM$62),$A48+1,1),MAX(strike-$B48,0)),"")</f>
        <v/>
      </c>
      <c r="IO48" s="9" t="str">
        <f t="array" ref="IO48">IF(IO$11&gt;=0,MAX(INDEX(MMULT(inverseG,IN$12:IN$62),$A48+1,1),MAX(strike-$B48,0)),"")</f>
        <v/>
      </c>
      <c r="IP48" s="9" t="str">
        <f t="array" ref="IP48">IF(IP$11&gt;=0,MAX(INDEX(MMULT(inverseG,IO$12:IO$62),$A48+1,1),MAX(strike-$B48,0)),"")</f>
        <v/>
      </c>
      <c r="IQ48" s="9" t="str">
        <f t="array" ref="IQ48">IF(IQ$11&gt;=0,MAX(INDEX(MMULT(inverseG,IP$12:IP$62),$A48+1,1),MAX(strike-$B48,0)),"")</f>
        <v/>
      </c>
      <c r="IR48" s="9" t="str">
        <f t="array" ref="IR48">IF(IR$11&gt;=0,MAX(INDEX(MMULT(inverseG,IQ$12:IQ$62),$A48+1,1),MAX(strike-$B48,0)),"")</f>
        <v/>
      </c>
      <c r="IS48" s="9" t="str">
        <f t="array" ref="IS48">IF(IS$11&gt;=0,MAX(INDEX(MMULT(inverseG,IR$12:IR$62),$A48+1,1),MAX(strike-$B48,0)),"")</f>
        <v/>
      </c>
      <c r="IT48" s="9" t="str">
        <f t="array" ref="IT48">IF(IT$11&gt;=0,MAX(INDEX(MMULT(inverseG,IS$12:IS$62),$A48+1,1),MAX(strike-$B48,0)),"")</f>
        <v/>
      </c>
      <c r="IU48" s="9" t="str">
        <f t="array" ref="IU48">IF(IU$11&gt;=0,MAX(INDEX(MMULT(inverseG,IT$12:IT$62),$A48+1,1),MAX(strike-$B48,0)),"")</f>
        <v/>
      </c>
      <c r="IV48" s="9" t="str">
        <f t="array" ref="IV48">IF(IV$11&gt;=0,MAX(INDEX(MMULT(inverseG,IU$12:IU$62),$A48+1,1),MAX(strike-$B48,0)),"")</f>
        <v/>
      </c>
    </row>
    <row r="49" spans="1:256" x14ac:dyDescent="0.2">
      <c r="A49" s="8">
        <f t="shared" si="7"/>
        <v>37</v>
      </c>
      <c r="B49" s="6">
        <f t="shared" si="8"/>
        <v>9.25</v>
      </c>
      <c r="C49" s="30">
        <f t="shared" ca="1" si="6"/>
        <v>8.9803567776166354E-2</v>
      </c>
      <c r="D49" s="9">
        <f t="shared" si="9"/>
        <v>0</v>
      </c>
      <c r="E49" s="9">
        <f t="array" ref="E49">IF(E$11&gt;=0,MAX(INDEX(MMULT(inverseG,D$12:D$62),$A49+1,1),MAX(strike-$B49,0)),"")</f>
        <v>1.9893526789483253E-8</v>
      </c>
      <c r="F49" s="9">
        <f t="array" ref="F49">IF(F$11&gt;=0,MAX(INDEX(MMULT(inverseG,E$12:E$62),$A49+1,1),MAX(strike-$B49,0)),"")</f>
        <v>1.7089432473320755E-7</v>
      </c>
      <c r="G49" s="9">
        <f t="array" ref="G49">IF(G$11&gt;=0,MAX(INDEX(MMULT(inverseG,F$12:F$62),$A49+1,1),MAX(strike-$B49,0)),"")</f>
        <v>7.8993312835183096E-7</v>
      </c>
      <c r="H49" s="9">
        <f t="array" ref="H49">IF(H$11&gt;=0,MAX(INDEX(MMULT(inverseG,G$12:G$62),$A49+1,1),MAX(strike-$B49,0)),"")</f>
        <v>2.6118675623116363E-6</v>
      </c>
      <c r="I49" s="9">
        <f t="array" ref="I49">IF(I$11&gt;=0,MAX(INDEX(MMULT(inverseG,H$12:H$62),$A49+1,1),MAX(strike-$B49,0)),"")</f>
        <v>6.9303658917912387E-6</v>
      </c>
      <c r="J49" s="9">
        <f t="array" ref="J49">IF(J$11&gt;=0,MAX(INDEX(MMULT(inverseG,I$12:I$62),$A49+1,1),MAX(strike-$B49,0)),"")</f>
        <v>1.5699938961648146E-5</v>
      </c>
      <c r="K49" s="9">
        <f t="array" ref="K49">IF(K$11&gt;=0,MAX(INDEX(MMULT(inverseG,J$12:J$62),$A49+1,1),MAX(strike-$B49,0)),"")</f>
        <v>3.155232872154447E-5</v>
      </c>
      <c r="L49" s="9">
        <f t="array" ref="L49">IF(L$11&gt;=0,MAX(INDEX(MMULT(inverseG,K$12:K$62),$A49+1,1),MAX(strike-$B49,0)),"")</f>
        <v>5.7726220643882392E-5</v>
      </c>
      <c r="M49" s="9">
        <f t="array" ref="M49">IF(M$11&gt;=0,MAX(INDEX(MMULT(inverseG,L$12:L$62),$A49+1,1),MAX(strike-$B49,0)),"")</f>
        <v>9.7929014550618784E-5</v>
      </c>
      <c r="N49" s="9">
        <f t="array" ref="N49">IF(N$11&gt;=0,MAX(INDEX(MMULT(inverseG,M$12:M$62),$A49+1,1),MAX(strike-$B49,0)),"")</f>
        <v>1.5615888618950846E-4</v>
      </c>
      <c r="O49" s="9">
        <f t="array" ref="O49">IF(O$11&gt;=0,MAX(INDEX(MMULT(inverseG,N$12:N$62),$A49+1,1),MAX(strike-$B49,0)),"")</f>
        <v>2.3651563817021545E-4</v>
      </c>
      <c r="P49" s="9">
        <f t="array" ref="P49">IF(P$11&gt;=0,MAX(INDEX(MMULT(inverseG,O$12:O$62),$A49+1,1),MAX(strike-$B49,0)),"")</f>
        <v>3.4302329481447294E-4</v>
      </c>
      <c r="Q49" s="9">
        <f t="array" ref="Q49">IF(Q$11&gt;=0,MAX(INDEX(MMULT(inverseG,P$12:P$62),$A49+1,1),MAX(strike-$B49,0)),"")</f>
        <v>4.7947955858221471E-4</v>
      </c>
      <c r="R49" s="9">
        <f t="array" ref="R49">IF(R$11&gt;=0,MAX(INDEX(MMULT(inverseG,Q$12:Q$62),$A49+1,1),MAX(strike-$B49,0)),"")</f>
        <v>6.493396339666593E-4</v>
      </c>
      <c r="S49" s="9">
        <f t="array" ref="S49">IF(S$11&gt;=0,MAX(INDEX(MMULT(inverseG,R$12:R$62),$A49+1,1),MAX(strike-$B49,0)),"")</f>
        <v>8.5563586803748617E-4</v>
      </c>
      <c r="T49" s="9">
        <f t="array" ref="T49">IF(T$11&gt;=0,MAX(INDEX(MMULT(inverseG,S$12:S$62),$A49+1,1),MAX(strike-$B49,0)),"")</f>
        <v>1.1009305571038812E-3</v>
      </c>
      <c r="U49" s="9">
        <f t="array" ref="U49">IF(U$11&gt;=0,MAX(INDEX(MMULT(inverseG,T$12:T$62),$A49+1,1),MAX(strike-$B49,0)),"")</f>
        <v>1.3872969707295791E-3</v>
      </c>
      <c r="V49" s="9">
        <f t="array" ref="V49">IF(V$11&gt;=0,MAX(INDEX(MMULT(inverseG,U$12:U$62),$A49+1,1),MAX(strike-$B49,0)),"")</f>
        <v>1.7163227445678034E-3</v>
      </c>
      <c r="W49" s="9">
        <f t="array" ref="W49">IF(W$11&gt;=0,MAX(INDEX(MMULT(inverseG,V$12:V$62),$A49+1,1),MAX(strike-$B49,0)),"")</f>
        <v>2.0891298421466141E-3</v>
      </c>
      <c r="X49" s="9">
        <f t="array" ref="X49">IF(X$11&gt;=0,MAX(INDEX(MMULT(inverseG,W$12:W$62),$A49+1,1),MAX(strike-$B49,0)),"")</f>
        <v>2.5064058894773392E-3</v>
      </c>
      <c r="Y49" s="9">
        <f t="array" ref="Y49">IF(Y$11&gt;=0,MAX(INDEX(MMULT(inverseG,X$12:X$62),$A49+1,1),MAX(strike-$B49,0)),"")</f>
        <v>2.9684425471543405E-3</v>
      </c>
      <c r="Z49" s="9">
        <f t="array" ref="Z49">IF(Z$11&gt;=0,MAX(INDEX(MMULT(inverseG,Y$12:Y$62),$A49+1,1),MAX(strike-$B49,0)),"")</f>
        <v>3.4751775016362372E-3</v>
      </c>
      <c r="AA49" s="9">
        <f t="array" ref="AA49">IF(AA$11&gt;=0,MAX(INDEX(MMULT(inverseG,Z$12:Z$62),$A49+1,1),MAX(strike-$B49,0)),"")</f>
        <v>4.0262375116098268E-3</v>
      </c>
      <c r="AB49" s="9">
        <f t="array" ref="AB49">IF(AB$11&gt;=0,MAX(INDEX(MMULT(inverseG,AA$12:AA$62),$A49+1,1),MAX(strike-$B49,0)),"")</f>
        <v>4.6209806784322308E-3</v>
      </c>
      <c r="AC49" s="9">
        <f t="array" ref="AC49">IF(AC$11&gt;=0,MAX(INDEX(MMULT(inverseG,AB$12:AB$62),$A49+1,1),MAX(strike-$B49,0)),"")</f>
        <v>5.2585367036820669E-3</v>
      </c>
      <c r="AD49" s="9">
        <f t="array" ref="AD49">IF(AD$11&gt;=0,MAX(INDEX(MMULT(inverseG,AC$12:AC$62),$A49+1,1),MAX(strike-$B49,0)),"")</f>
        <v>5.9378443575603974E-3</v>
      </c>
      <c r="AE49" s="9">
        <f t="array" ref="AE49">IF(AE$11&gt;=0,MAX(INDEX(MMULT(inverseG,AD$12:AD$62),$A49+1,1),MAX(strike-$B49,0)),"")</f>
        <v>6.6576857265818884E-3</v>
      </c>
      <c r="AF49" s="9">
        <f t="array" ref="AF49">IF(AF$11&gt;=0,MAX(INDEX(MMULT(inverseG,AE$12:AE$62),$A49+1,1),MAX(strike-$B49,0)),"")</f>
        <v>7.4167170587709679E-3</v>
      </c>
      <c r="AG49" s="9">
        <f t="array" ref="AG49">IF(AG$11&gt;=0,MAX(INDEX(MMULT(inverseG,AF$12:AF$62),$A49+1,1),MAX(strike-$B49,0)),"")</f>
        <v>8.213496199864799E-3</v>
      </c>
      <c r="AH49" s="9">
        <f t="array" ref="AH49">IF(AH$11&gt;=0,MAX(INDEX(MMULT(inverseG,AG$12:AG$62),$A49+1,1),MAX(strike-$B49,0)),"")</f>
        <v>9.0465067325615177E-3</v>
      </c>
      <c r="AI49" s="9">
        <f t="array" ref="AI49">IF(AI$11&gt;=0,MAX(INDEX(MMULT(inverseG,AH$12:AH$62),$A49+1,1),MAX(strike-$B49,0)),"")</f>
        <v>9.914179007068662E-3</v>
      </c>
      <c r="AJ49" s="9">
        <f t="array" ref="AJ49">IF(AJ$11&gt;=0,MAX(INDEX(MMULT(inverseG,AI$12:AI$62),$A49+1,1),MAX(strike-$B49,0)),"")</f>
        <v>1.0814908296389003E-2</v>
      </c>
      <c r="AK49" s="9">
        <f t="array" ref="AK49">IF(AK$11&gt;=0,MAX(INDEX(MMULT(inverseG,AJ$12:AJ$62),$A49+1,1),MAX(strike-$B49,0)),"")</f>
        <v>1.1747070332549658E-2</v>
      </c>
      <c r="AL49" s="9">
        <f t="array" ref="AL49">IF(AL$11&gt;=0,MAX(INDEX(MMULT(inverseG,AK$12:AK$62),$A49+1,1),MAX(strike-$B49,0)),"")</f>
        <v>1.2709034486839377E-2</v>
      </c>
      <c r="AM49" s="9">
        <f t="array" ref="AM49">IF(AM$11&gt;=0,MAX(INDEX(MMULT(inverseG,AL$12:AL$62),$A49+1,1),MAX(strike-$B49,0)),"")</f>
        <v>1.369917485294519E-2</v>
      </c>
      <c r="AN49" s="9">
        <f t="array" ref="AN49">IF(AN$11&gt;=0,MAX(INDEX(MMULT(inverseG,AM$12:AM$62),$A49+1,1),MAX(strike-$B49,0)),"")</f>
        <v>1.471587948032126E-2</v>
      </c>
      <c r="AO49" s="9">
        <f t="array" ref="AO49">IF(AO$11&gt;=0,MAX(INDEX(MMULT(inverseG,AN$12:AN$62),$A49+1,1),MAX(strike-$B49,0)),"")</f>
        <v>1.575755798897124E-2</v>
      </c>
      <c r="AP49" s="9">
        <f t="array" ref="AP49">IF(AP$11&gt;=0,MAX(INDEX(MMULT(inverseG,AO$12:AO$62),$A49+1,1),MAX(strike-$B49,0)),"")</f>
        <v>1.6822647778282688E-2</v>
      </c>
      <c r="AQ49" s="9">
        <f t="array" ref="AQ49">IF(AQ$11&gt;=0,MAX(INDEX(MMULT(inverseG,AP$12:AP$62),$A49+1,1),MAX(strike-$B49,0)),"")</f>
        <v>1.7909619023276462E-2</v>
      </c>
      <c r="AR49" s="9">
        <f t="array" ref="AR49">IF(AR$11&gt;=0,MAX(INDEX(MMULT(inverseG,AQ$12:AQ$62),$A49+1,1),MAX(strike-$B49,0)),"")</f>
        <v>1.9016978632673182E-2</v>
      </c>
      <c r="AS49" s="9">
        <f t="array" ref="AS49">IF(AS$11&gt;=0,MAX(INDEX(MMULT(inverseG,AR$12:AR$62),$A49+1,1),MAX(strike-$B49,0)),"")</f>
        <v>2.0143273324965596E-2</v>
      </c>
      <c r="AT49" s="9">
        <f t="array" ref="AT49">IF(AT$11&gt;=0,MAX(INDEX(MMULT(inverseG,AS$12:AS$62),$A49+1,1),MAX(strike-$B49,0)),"")</f>
        <v>2.1287091961216777E-2</v>
      </c>
      <c r="AU49" s="9">
        <f t="array" ref="AU49">IF(AU$11&gt;=0,MAX(INDEX(MMULT(inverseG,AT$12:AT$62),$A49+1,1),MAX(strike-$B49,0)),"")</f>
        <v>2.244706725640995E-2</v>
      </c>
      <c r="AV49" s="9">
        <f t="array" ref="AV49">IF(AV$11&gt;=0,MAX(INDEX(MMULT(inverseG,AU$12:AU$62),$A49+1,1),MAX(strike-$B49,0)),"")</f>
        <v>2.3621876974769921E-2</v>
      </c>
      <c r="AW49" s="9">
        <f t="array" ref="AW49">IF(AW$11&gt;=0,MAX(INDEX(MMULT(inverseG,AV$12:AV$62),$A49+1,1),MAX(strike-$B49,0)),"")</f>
        <v>2.4810244698677524E-2</v>
      </c>
      <c r="AX49" s="9">
        <f t="array" ref="AX49">IF(AX$11&gt;=0,MAX(INDEX(MMULT(inverseG,AW$12:AW$62),$A49+1,1),MAX(strike-$B49,0)),"")</f>
        <v>2.601094024591338E-2</v>
      </c>
      <c r="AY49" s="9">
        <f t="array" ref="AY49">IF(AY$11&gt;=0,MAX(INDEX(MMULT(inverseG,AX$12:AX$62),$A49+1,1),MAX(strike-$B49,0)),"")</f>
        <v>2.7222779796391875E-2</v>
      </c>
      <c r="AZ49" s="9">
        <f t="array" ref="AZ49">IF(AZ$11&gt;=0,MAX(INDEX(MMULT(inverseG,AY$12:AY$62),$A49+1,1),MAX(strike-$B49,0)),"")</f>
        <v>2.8444625777640491E-2</v>
      </c>
      <c r="BA49" s="9">
        <f t="array" ref="BA49">IF(BA$11&gt;=0,MAX(INDEX(MMULT(inverseG,AZ$12:AZ$62),$A49+1,1),MAX(strike-$B49,0)),"")</f>
        <v>2.9675386548276353E-2</v>
      </c>
      <c r="BB49" s="9">
        <f t="array" ref="BB49">IF(BB$11&gt;=0,MAX(INDEX(MMULT(inverseG,BA$12:BA$62),$A49+1,1),MAX(strike-$B49,0)),"")</f>
        <v>3.0914015910694453E-2</v>
      </c>
      <c r="BC49" s="9">
        <f t="array" ref="BC49">IF(BC$11&gt;=0,MAX(INDEX(MMULT(inverseG,BB$12:BB$62),$A49+1,1),MAX(strike-$B49,0)),"")</f>
        <v>3.2159512478009959E-2</v>
      </c>
      <c r="BD49" s="9">
        <f t="array" ref="BD49">IF(BD$11&gt;=0,MAX(INDEX(MMULT(inverseG,BC$12:BC$62),$A49+1,1),MAX(strike-$B49,0)),"")</f>
        <v>3.3410918915764677E-2</v>
      </c>
      <c r="BE49" s="9">
        <f t="array" ref="BE49">IF(BE$11&gt;=0,MAX(INDEX(MMULT(inverseG,BD$12:BD$62),$A49+1,1),MAX(strike-$B49,0)),"")</f>
        <v>3.4667321075718224E-2</v>
      </c>
      <c r="BF49" s="9">
        <f t="array" ref="BF49">IF(BF$11&gt;=0,MAX(INDEX(MMULT(inverseG,BE$12:BE$62),$A49+1,1),MAX(strike-$B49,0)),"")</f>
        <v>3.5927847036875647E-2</v>
      </c>
      <c r="BG49" s="9">
        <f t="array" ref="BG49">IF(BG$11&gt;=0,MAX(INDEX(MMULT(inverseG,BF$12:BF$62),$A49+1,1),MAX(strike-$B49,0)),"")</f>
        <v>3.7191666067455165E-2</v>
      </c>
      <c r="BH49" s="9">
        <f t="array" ref="BH49">IF(BH$11&gt;=0,MAX(INDEX(MMULT(inverseG,BG$12:BG$62),$A49+1,1),MAX(strike-$B49,0)),"")</f>
        <v>3.8457987520509523E-2</v>
      </c>
      <c r="BI49" s="9">
        <f t="array" ref="BI49">IF(BI$11&gt;=0,MAX(INDEX(MMULT(inverseG,BH$12:BH$62),$A49+1,1),MAX(strike-$B49,0)),"")</f>
        <v>3.9726059675180364E-2</v>
      </c>
      <c r="BJ49" s="9">
        <f t="array" ref="BJ49">IF(BJ$11&gt;=0,MAX(INDEX(MMULT(inverseG,BI$12:BI$62),$A49+1,1),MAX(strike-$B49,0)),"")</f>
        <v>4.0995168534938585E-2</v>
      </c>
      <c r="BK49" s="9">
        <f t="array" ref="BK49">IF(BK$11&gt;=0,MAX(INDEX(MMULT(inverseG,BJ$12:BJ$62),$A49+1,1),MAX(strike-$B49,0)),"")</f>
        <v>4.2264636593548836E-2</v>
      </c>
      <c r="BL49" s="9">
        <f t="array" ref="BL49">IF(BL$11&gt;=0,MAX(INDEX(MMULT(inverseG,BK$12:BK$62),$A49+1,1),MAX(strike-$B49,0)),"")</f>
        <v>4.3533821578838845E-2</v>
      </c>
      <c r="BM49" s="9">
        <f t="array" ref="BM49">IF(BM$11&gt;=0,MAX(INDEX(MMULT(inverseG,BL$12:BL$62),$A49+1,1),MAX(strike-$B49,0)),"")</f>
        <v>4.4802115183634805E-2</v>
      </c>
      <c r="BN49" s="9">
        <f t="array" ref="BN49">IF(BN$11&gt;=0,MAX(INDEX(MMULT(inverseG,BM$12:BM$62),$A49+1,1),MAX(strike-$B49,0)),"")</f>
        <v>4.6068941792438561E-2</v>
      </c>
      <c r="BO49" s="9">
        <f t="array" ref="BO49">IF(BO$11&gt;=0,MAX(INDEX(MMULT(inverseG,BN$12:BN$62),$A49+1,1),MAX(strike-$B49,0)),"")</f>
        <v>4.7333757211589035E-2</v>
      </c>
      <c r="BP49" s="9">
        <f t="array" ref="BP49">IF(BP$11&gt;=0,MAX(INDEX(MMULT(inverseG,BO$12:BO$62),$A49+1,1),MAX(strike-$B49,0)),"")</f>
        <v>4.8596047409786326E-2</v>
      </c>
      <c r="BQ49" s="9">
        <f t="array" ref="BQ49">IF(BQ$11&gt;=0,MAX(INDEX(MMULT(inverseG,BP$12:BP$62),$A49+1,1),MAX(strike-$B49,0)),"")</f>
        <v>4.9855327274986566E-2</v>
      </c>
      <c r="BR49" s="9">
        <f t="array" ref="BR49">IF(BR$11&gt;=0,MAX(INDEX(MMULT(inverseG,BQ$12:BQ$62),$A49+1,1),MAX(strike-$B49,0)),"")</f>
        <v>5.1111139392819888E-2</v>
      </c>
      <c r="BS49" s="9">
        <f t="array" ref="BS49">IF(BS$11&gt;=0,MAX(INDEX(MMULT(inverseG,BR$12:BR$62),$A49+1,1),MAX(strike-$B49,0)),"")</f>
        <v>5.236305285086084E-2</v>
      </c>
      <c r="BT49" s="9">
        <f t="array" ref="BT49">IF(BT$11&gt;=0,MAX(INDEX(MMULT(inverseG,BS$12:BS$62),$A49+1,1),MAX(strike-$B49,0)),"")</f>
        <v>5.3610662072306151E-2</v>
      </c>
      <c r="BU49" s="9">
        <f t="array" ref="BU49">IF(BU$11&gt;=0,MAX(INDEX(MMULT(inverseG,BT$12:BT$62),$A49+1,1),MAX(strike-$B49,0)),"")</f>
        <v>5.4853585681897285E-2</v>
      </c>
      <c r="BV49" s="9">
        <f t="array" ref="BV49">IF(BV$11&gt;=0,MAX(INDEX(MMULT(inverseG,BU$12:BU$62),$A49+1,1),MAX(strike-$B49,0)),"")</f>
        <v>5.6091465406273189E-2</v>
      </c>
      <c r="BW49" s="9">
        <f t="array" ref="BW49">IF(BW$11&gt;=0,MAX(INDEX(MMULT(inverseG,BV$12:BV$62),$A49+1,1),MAX(strike-$B49,0)),"")</f>
        <v>5.7323965010354826E-2</v>
      </c>
      <c r="BX49" s="9">
        <f t="array" ref="BX49">IF(BX$11&gt;=0,MAX(INDEX(MMULT(inverseG,BW$12:BW$62),$A49+1,1),MAX(strike-$B49,0)),"")</f>
        <v>5.8550769270846625E-2</v>
      </c>
      <c r="BY49" s="9">
        <f t="array" ref="BY49">IF(BY$11&gt;=0,MAX(INDEX(MMULT(inverseG,BX$12:BX$62),$A49+1,1),MAX(strike-$B49,0)),"")</f>
        <v>5.977158298749171E-2</v>
      </c>
      <c r="BZ49" s="9">
        <f t="array" ref="BZ49">IF(BZ$11&gt;=0,MAX(INDEX(MMULT(inverseG,BY$12:BY$62),$A49+1,1),MAX(strike-$B49,0)),"")</f>
        <v>6.0986130032331283E-2</v>
      </c>
      <c r="CA49" s="9">
        <f t="array" ref="CA49">IF(CA$11&gt;=0,MAX(INDEX(MMULT(inverseG,BZ$12:BZ$62),$A49+1,1),MAX(strike-$B49,0)),"")</f>
        <v>6.2194152436892407E-2</v>
      </c>
      <c r="CB49" s="9">
        <f t="array" ref="CB49">IF(CB$11&gt;=0,MAX(INDEX(MMULT(inverseG,CA$12:CA$62),$A49+1,1),MAX(strike-$B49,0)),"")</f>
        <v>6.3395409516955797E-2</v>
      </c>
      <c r="CC49" s="9">
        <f t="array" ref="CC49">IF(CC$11&gt;=0,MAX(INDEX(MMULT(inverseG,CB$12:CB$62),$A49+1,1),MAX(strike-$B49,0)),"")</f>
        <v>6.4589677034330911E-2</v>
      </c>
      <c r="CD49" s="9">
        <f t="array" ref="CD49">IF(CD$11&gt;=0,MAX(INDEX(MMULT(inverseG,CC$12:CC$62),$A49+1,1),MAX(strike-$B49,0)),"")</f>
        <v>6.5776746394885413E-2</v>
      </c>
      <c r="CE49" s="9">
        <f t="array" ref="CE49">IF(CE$11&gt;=0,MAX(INDEX(MMULT(inverseG,CD$12:CD$62),$A49+1,1),MAX(strike-$B49,0)),"")</f>
        <v>6.6956423881932764E-2</v>
      </c>
      <c r="CF49" s="9">
        <f t="array" ref="CF49">IF(CF$11&gt;=0,MAX(INDEX(MMULT(inverseG,CE$12:CE$62),$A49+1,1),MAX(strike-$B49,0)),"")</f>
        <v>6.8128529923973044E-2</v>
      </c>
      <c r="CG49" s="9">
        <f t="array" ref="CG49">IF(CG$11&gt;=0,MAX(INDEX(MMULT(inverseG,CF$12:CF$62),$A49+1,1),MAX(strike-$B49,0)),"")</f>
        <v>6.9292898395699881E-2</v>
      </c>
      <c r="CH49" s="9">
        <f t="array" ref="CH49">IF(CH$11&gt;=0,MAX(INDEX(MMULT(inverseG,CG$12:CG$62),$A49+1,1),MAX(strike-$B49,0)),"")</f>
        <v>7.0449375951130086E-2</v>
      </c>
      <c r="CI49" s="9">
        <f t="array" ref="CI49">IF(CI$11&gt;=0,MAX(INDEX(MMULT(inverseG,CH$12:CH$62),$A49+1,1),MAX(strike-$B49,0)),"")</f>
        <v>7.1597821387675897E-2</v>
      </c>
      <c r="CJ49" s="9">
        <f t="array" ref="CJ49">IF(CJ$11&gt;=0,MAX(INDEX(MMULT(inverseG,CI$12:CI$62),$A49+1,1),MAX(strike-$B49,0)),"")</f>
        <v>7.2738105039959838E-2</v>
      </c>
      <c r="CK49" s="9">
        <f t="array" ref="CK49">IF(CK$11&gt;=0,MAX(INDEX(MMULT(inverseG,CJ$12:CJ$62),$A49+1,1),MAX(strike-$B49,0)),"")</f>
        <v>7.3870108202167079E-2</v>
      </c>
      <c r="CL49" s="9">
        <f t="array" ref="CL49">IF(CL$11&gt;=0,MAX(INDEX(MMULT(inverseG,CK$12:CK$62),$A49+1,1),MAX(strike-$B49,0)),"")</f>
        <v>7.4993722577735927E-2</v>
      </c>
      <c r="CM49" s="9">
        <f t="array" ref="CM49">IF(CM$11&gt;=0,MAX(INDEX(MMULT(inverseG,CL$12:CL$62),$A49+1,1),MAX(strike-$B49,0)),"")</f>
        <v>7.6108849755202379E-2</v>
      </c>
      <c r="CN49" s="9">
        <f t="array" ref="CN49">IF(CN$11&gt;=0,MAX(INDEX(MMULT(inverseG,CM$12:CM$62),$A49+1,1),MAX(strike-$B49,0)),"")</f>
        <v>7.7215400709036777E-2</v>
      </c>
      <c r="CO49" s="9">
        <f t="array" ref="CO49">IF(CO$11&gt;=0,MAX(INDEX(MMULT(inverseG,CN$12:CN$62),$A49+1,1),MAX(strike-$B49,0)),"")</f>
        <v>7.8313295324339491E-2</v>
      </c>
      <c r="CP49" s="9">
        <f t="array" ref="CP49">IF(CP$11&gt;=0,MAX(INDEX(MMULT(inverseG,CO$12:CO$62),$A49+1,1),MAX(strike-$B49,0)),"")</f>
        <v>7.9402461944294053E-2</v>
      </c>
      <c r="CQ49" s="9">
        <f t="array" ref="CQ49">IF(CQ$11&gt;=0,MAX(INDEX(MMULT(inverseG,CP$12:CP$62),$A49+1,1),MAX(strike-$B49,0)),"")</f>
        <v>8.0482836939313074E-2</v>
      </c>
      <c r="CR49" s="9">
        <f t="array" ref="CR49">IF(CR$11&gt;=0,MAX(INDEX(MMULT(inverseG,CQ$12:CQ$62),$A49+1,1),MAX(strike-$B49,0)),"")</f>
        <v>8.1554364296847939E-2</v>
      </c>
      <c r="CS49" s="9">
        <f t="array" ref="CS49">IF(CS$11&gt;=0,MAX(INDEX(MMULT(inverseG,CR$12:CR$62),$A49+1,1),MAX(strike-$B49,0)),"")</f>
        <v>8.2616995230878107E-2</v>
      </c>
      <c r="CT49" s="9">
        <f t="array" ref="CT49">IF(CT$11&gt;=0,MAX(INDEX(MMULT(inverseG,CS$12:CS$62),$A49+1,1),MAX(strike-$B49,0)),"")</f>
        <v>8.3670687810149427E-2</v>
      </c>
      <c r="CU49" s="9">
        <f t="array" ref="CU49">IF(CU$11&gt;=0,MAX(INDEX(MMULT(inverseG,CT$12:CT$62),$A49+1,1),MAX(strike-$B49,0)),"")</f>
        <v>8.4715406604321475E-2</v>
      </c>
      <c r="CV49" s="9">
        <f t="array" ref="CV49">IF(CV$11&gt;=0,MAX(INDEX(MMULT(inverseG,CU$12:CU$62),$A49+1,1),MAX(strike-$B49,0)),"")</f>
        <v>8.575112234732174E-2</v>
      </c>
      <c r="CW49" s="9">
        <f t="array" ref="CW49">IF(CW$11&gt;=0,MAX(INDEX(MMULT(inverseG,CV$12:CV$62),$A49+1,1),MAX(strike-$B49,0)),"")</f>
        <v>8.6777811617391357E-2</v>
      </c>
      <c r="CX49" s="9">
        <f t="array" ref="CX49">IF(CX$11&gt;=0,MAX(INDEX(MMULT(inverseG,CW$12:CW$62),$A49+1,1),MAX(strike-$B49,0)),"")</f>
        <v>8.7795456533518862E-2</v>
      </c>
      <c r="CY49" s="9">
        <f t="array" ref="CY49">IF(CY$11&gt;=0,MAX(INDEX(MMULT(inverseG,CX$12:CX$62),$A49+1,1),MAX(strike-$B49,0)),"")</f>
        <v>8.8804044468148477E-2</v>
      </c>
      <c r="CZ49" s="9">
        <f t="array" ref="CZ49">IF(CZ$11&gt;=0,MAX(INDEX(MMULT(inverseG,CY$12:CY$62),$A49+1,1),MAX(strike-$B49,0)),"")</f>
        <v>8.9803567776166354E-2</v>
      </c>
      <c r="DA49" s="9" t="str">
        <f t="array" ref="DA49">IF(DA$11&gt;=0,MAX(INDEX(MMULT(inverseG,CZ$12:CZ$62),$A49+1,1),MAX(strike-$B49,0)),"")</f>
        <v/>
      </c>
      <c r="DB49" s="9" t="str">
        <f t="array" ref="DB49">IF(DB$11&gt;=0,MAX(INDEX(MMULT(inverseG,DA$12:DA$62),$A49+1,1),MAX(strike-$B49,0)),"")</f>
        <v/>
      </c>
      <c r="DC49" s="9" t="str">
        <f t="array" ref="DC49">IF(DC$11&gt;=0,MAX(INDEX(MMULT(inverseG,DB$12:DB$62),$A49+1,1),MAX(strike-$B49,0)),"")</f>
        <v/>
      </c>
      <c r="DD49" s="9" t="str">
        <f t="array" ref="DD49">IF(DD$11&gt;=0,MAX(INDEX(MMULT(inverseG,DC$12:DC$62),$A49+1,1),MAX(strike-$B49,0)),"")</f>
        <v/>
      </c>
      <c r="DE49" s="9" t="str">
        <f t="array" ref="DE49">IF(DE$11&gt;=0,MAX(INDEX(MMULT(inverseG,DD$12:DD$62),$A49+1,1),MAX(strike-$B49,0)),"")</f>
        <v/>
      </c>
      <c r="DF49" s="9" t="str">
        <f t="array" ref="DF49">IF(DF$11&gt;=0,MAX(INDEX(MMULT(inverseG,DE$12:DE$62),$A49+1,1),MAX(strike-$B49,0)),"")</f>
        <v/>
      </c>
      <c r="DG49" s="9" t="str">
        <f t="array" ref="DG49">IF(DG$11&gt;=0,MAX(INDEX(MMULT(inverseG,DF$12:DF$62),$A49+1,1),MAX(strike-$B49,0)),"")</f>
        <v/>
      </c>
      <c r="DH49" s="9" t="str">
        <f t="array" ref="DH49">IF(DH$11&gt;=0,MAX(INDEX(MMULT(inverseG,DG$12:DG$62),$A49+1,1),MAX(strike-$B49,0)),"")</f>
        <v/>
      </c>
      <c r="DI49" s="9" t="str">
        <f t="array" ref="DI49">IF(DI$11&gt;=0,MAX(INDEX(MMULT(inverseG,DH$12:DH$62),$A49+1,1),MAX(strike-$B49,0)),"")</f>
        <v/>
      </c>
      <c r="DJ49" s="9" t="str">
        <f t="array" ref="DJ49">IF(DJ$11&gt;=0,MAX(INDEX(MMULT(inverseG,DI$12:DI$62),$A49+1,1),MAX(strike-$B49,0)),"")</f>
        <v/>
      </c>
      <c r="DK49" s="9" t="str">
        <f t="array" ref="DK49">IF(DK$11&gt;=0,MAX(INDEX(MMULT(inverseG,DJ$12:DJ$62),$A49+1,1),MAX(strike-$B49,0)),"")</f>
        <v/>
      </c>
      <c r="DL49" s="9" t="str">
        <f t="array" ref="DL49">IF(DL$11&gt;=0,MAX(INDEX(MMULT(inverseG,DK$12:DK$62),$A49+1,1),MAX(strike-$B49,0)),"")</f>
        <v/>
      </c>
      <c r="DM49" s="9" t="str">
        <f t="array" ref="DM49">IF(DM$11&gt;=0,MAX(INDEX(MMULT(inverseG,DL$12:DL$62),$A49+1,1),MAX(strike-$B49,0)),"")</f>
        <v/>
      </c>
      <c r="DN49" s="9" t="str">
        <f t="array" ref="DN49">IF(DN$11&gt;=0,MAX(INDEX(MMULT(inverseG,DM$12:DM$62),$A49+1,1),MAX(strike-$B49,0)),"")</f>
        <v/>
      </c>
      <c r="DO49" s="9" t="str">
        <f t="array" ref="DO49">IF(DO$11&gt;=0,MAX(INDEX(MMULT(inverseG,DN$12:DN$62),$A49+1,1),MAX(strike-$B49,0)),"")</f>
        <v/>
      </c>
      <c r="DP49" s="9" t="str">
        <f t="array" ref="DP49">IF(DP$11&gt;=0,MAX(INDEX(MMULT(inverseG,DO$12:DO$62),$A49+1,1),MAX(strike-$B49,0)),"")</f>
        <v/>
      </c>
      <c r="DQ49" s="9" t="str">
        <f t="array" ref="DQ49">IF(DQ$11&gt;=0,MAX(INDEX(MMULT(inverseG,DP$12:DP$62),$A49+1,1),MAX(strike-$B49,0)),"")</f>
        <v/>
      </c>
      <c r="DR49" s="9" t="str">
        <f t="array" ref="DR49">IF(DR$11&gt;=0,MAX(INDEX(MMULT(inverseG,DQ$12:DQ$62),$A49+1,1),MAX(strike-$B49,0)),"")</f>
        <v/>
      </c>
      <c r="DS49" s="9" t="str">
        <f t="array" ref="DS49">IF(DS$11&gt;=0,MAX(INDEX(MMULT(inverseG,DR$12:DR$62),$A49+1,1),MAX(strike-$B49,0)),"")</f>
        <v/>
      </c>
      <c r="DT49" s="9" t="str">
        <f t="array" ref="DT49">IF(DT$11&gt;=0,MAX(INDEX(MMULT(inverseG,DS$12:DS$62),$A49+1,1),MAX(strike-$B49,0)),"")</f>
        <v/>
      </c>
      <c r="DU49" s="9" t="str">
        <f t="array" ref="DU49">IF(DU$11&gt;=0,MAX(INDEX(MMULT(inverseG,DT$12:DT$62),$A49+1,1),MAX(strike-$B49,0)),"")</f>
        <v/>
      </c>
      <c r="DV49" s="9" t="str">
        <f t="array" ref="DV49">IF(DV$11&gt;=0,MAX(INDEX(MMULT(inverseG,DU$12:DU$62),$A49+1,1),MAX(strike-$B49,0)),"")</f>
        <v/>
      </c>
      <c r="DW49" s="9" t="str">
        <f t="array" ref="DW49">IF(DW$11&gt;=0,MAX(INDEX(MMULT(inverseG,DV$12:DV$62),$A49+1,1),MAX(strike-$B49,0)),"")</f>
        <v/>
      </c>
      <c r="DX49" s="9" t="str">
        <f t="array" ref="DX49">IF(DX$11&gt;=0,MAX(INDEX(MMULT(inverseG,DW$12:DW$62),$A49+1,1),MAX(strike-$B49,0)),"")</f>
        <v/>
      </c>
      <c r="DY49" s="9" t="str">
        <f t="array" ref="DY49">IF(DY$11&gt;=0,MAX(INDEX(MMULT(inverseG,DX$12:DX$62),$A49+1,1),MAX(strike-$B49,0)),"")</f>
        <v/>
      </c>
      <c r="DZ49" s="9" t="str">
        <f t="array" ref="DZ49">IF(DZ$11&gt;=0,MAX(INDEX(MMULT(inverseG,DY$12:DY$62),$A49+1,1),MAX(strike-$B49,0)),"")</f>
        <v/>
      </c>
      <c r="EA49" s="9" t="str">
        <f t="array" ref="EA49">IF(EA$11&gt;=0,MAX(INDEX(MMULT(inverseG,DZ$12:DZ$62),$A49+1,1),MAX(strike-$B49,0)),"")</f>
        <v/>
      </c>
      <c r="EB49" s="9" t="str">
        <f t="array" ref="EB49">IF(EB$11&gt;=0,MAX(INDEX(MMULT(inverseG,EA$12:EA$62),$A49+1,1),MAX(strike-$B49,0)),"")</f>
        <v/>
      </c>
      <c r="EC49" s="9" t="str">
        <f t="array" ref="EC49">IF(EC$11&gt;=0,MAX(INDEX(MMULT(inverseG,EB$12:EB$62),$A49+1,1),MAX(strike-$B49,0)),"")</f>
        <v/>
      </c>
      <c r="ED49" s="9" t="str">
        <f t="array" ref="ED49">IF(ED$11&gt;=0,MAX(INDEX(MMULT(inverseG,EC$12:EC$62),$A49+1,1),MAX(strike-$B49,0)),"")</f>
        <v/>
      </c>
      <c r="EE49" s="9" t="str">
        <f t="array" ref="EE49">IF(EE$11&gt;=0,MAX(INDEX(MMULT(inverseG,ED$12:ED$62),$A49+1,1),MAX(strike-$B49,0)),"")</f>
        <v/>
      </c>
      <c r="EF49" s="9" t="str">
        <f t="array" ref="EF49">IF(EF$11&gt;=0,MAX(INDEX(MMULT(inverseG,EE$12:EE$62),$A49+1,1),MAX(strike-$B49,0)),"")</f>
        <v/>
      </c>
      <c r="EG49" s="9" t="str">
        <f t="array" ref="EG49">IF(EG$11&gt;=0,MAX(INDEX(MMULT(inverseG,EF$12:EF$62),$A49+1,1),MAX(strike-$B49,0)),"")</f>
        <v/>
      </c>
      <c r="EH49" s="9" t="str">
        <f t="array" ref="EH49">IF(EH$11&gt;=0,MAX(INDEX(MMULT(inverseG,EG$12:EG$62),$A49+1,1),MAX(strike-$B49,0)),"")</f>
        <v/>
      </c>
      <c r="EI49" s="9" t="str">
        <f t="array" ref="EI49">IF(EI$11&gt;=0,MAX(INDEX(MMULT(inverseG,EH$12:EH$62),$A49+1,1),MAX(strike-$B49,0)),"")</f>
        <v/>
      </c>
      <c r="EJ49" s="9" t="str">
        <f t="array" ref="EJ49">IF(EJ$11&gt;=0,MAX(INDEX(MMULT(inverseG,EI$12:EI$62),$A49+1,1),MAX(strike-$B49,0)),"")</f>
        <v/>
      </c>
      <c r="EK49" s="9" t="str">
        <f t="array" ref="EK49">IF(EK$11&gt;=0,MAX(INDEX(MMULT(inverseG,EJ$12:EJ$62),$A49+1,1),MAX(strike-$B49,0)),"")</f>
        <v/>
      </c>
      <c r="EL49" s="9" t="str">
        <f t="array" ref="EL49">IF(EL$11&gt;=0,MAX(INDEX(MMULT(inverseG,EK$12:EK$62),$A49+1,1),MAX(strike-$B49,0)),"")</f>
        <v/>
      </c>
      <c r="EM49" s="9" t="str">
        <f t="array" ref="EM49">IF(EM$11&gt;=0,MAX(INDEX(MMULT(inverseG,EL$12:EL$62),$A49+1,1),MAX(strike-$B49,0)),"")</f>
        <v/>
      </c>
      <c r="EN49" s="9" t="str">
        <f t="array" ref="EN49">IF(EN$11&gt;=0,MAX(INDEX(MMULT(inverseG,EM$12:EM$62),$A49+1,1),MAX(strike-$B49,0)),"")</f>
        <v/>
      </c>
      <c r="EO49" s="9" t="str">
        <f t="array" ref="EO49">IF(EO$11&gt;=0,MAX(INDEX(MMULT(inverseG,EN$12:EN$62),$A49+1,1),MAX(strike-$B49,0)),"")</f>
        <v/>
      </c>
      <c r="EP49" s="9" t="str">
        <f t="array" ref="EP49">IF(EP$11&gt;=0,MAX(INDEX(MMULT(inverseG,EO$12:EO$62),$A49+1,1),MAX(strike-$B49,0)),"")</f>
        <v/>
      </c>
      <c r="EQ49" s="9" t="str">
        <f t="array" ref="EQ49">IF(EQ$11&gt;=0,MAX(INDEX(MMULT(inverseG,EP$12:EP$62),$A49+1,1),MAX(strike-$B49,0)),"")</f>
        <v/>
      </c>
      <c r="ER49" s="9" t="str">
        <f t="array" ref="ER49">IF(ER$11&gt;=0,MAX(INDEX(MMULT(inverseG,EQ$12:EQ$62),$A49+1,1),MAX(strike-$B49,0)),"")</f>
        <v/>
      </c>
      <c r="ES49" s="9" t="str">
        <f t="array" ref="ES49">IF(ES$11&gt;=0,MAX(INDEX(MMULT(inverseG,ER$12:ER$62),$A49+1,1),MAX(strike-$B49,0)),"")</f>
        <v/>
      </c>
      <c r="ET49" s="9" t="str">
        <f t="array" ref="ET49">IF(ET$11&gt;=0,MAX(INDEX(MMULT(inverseG,ES$12:ES$62),$A49+1,1),MAX(strike-$B49,0)),"")</f>
        <v/>
      </c>
      <c r="EU49" s="9" t="str">
        <f t="array" ref="EU49">IF(EU$11&gt;=0,MAX(INDEX(MMULT(inverseG,ET$12:ET$62),$A49+1,1),MAX(strike-$B49,0)),"")</f>
        <v/>
      </c>
      <c r="EV49" s="9" t="str">
        <f t="array" ref="EV49">IF(EV$11&gt;=0,MAX(INDEX(MMULT(inverseG,EU$12:EU$62),$A49+1,1),MAX(strike-$B49,0)),"")</f>
        <v/>
      </c>
      <c r="EW49" s="9" t="str">
        <f t="array" ref="EW49">IF(EW$11&gt;=0,MAX(INDEX(MMULT(inverseG,EV$12:EV$62),$A49+1,1),MAX(strike-$B49,0)),"")</f>
        <v/>
      </c>
      <c r="EX49" s="9" t="str">
        <f t="array" ref="EX49">IF(EX$11&gt;=0,MAX(INDEX(MMULT(inverseG,EW$12:EW$62),$A49+1,1),MAX(strike-$B49,0)),"")</f>
        <v/>
      </c>
      <c r="EY49" s="9" t="str">
        <f t="array" ref="EY49">IF(EY$11&gt;=0,MAX(INDEX(MMULT(inverseG,EX$12:EX$62),$A49+1,1),MAX(strike-$B49,0)),"")</f>
        <v/>
      </c>
      <c r="EZ49" s="9" t="str">
        <f t="array" ref="EZ49">IF(EZ$11&gt;=0,MAX(INDEX(MMULT(inverseG,EY$12:EY$62),$A49+1,1),MAX(strike-$B49,0)),"")</f>
        <v/>
      </c>
      <c r="FA49" s="9" t="str">
        <f t="array" ref="FA49">IF(FA$11&gt;=0,MAX(INDEX(MMULT(inverseG,EZ$12:EZ$62),$A49+1,1),MAX(strike-$B49,0)),"")</f>
        <v/>
      </c>
      <c r="FB49" s="9" t="str">
        <f t="array" ref="FB49">IF(FB$11&gt;=0,MAX(INDEX(MMULT(inverseG,FA$12:FA$62),$A49+1,1),MAX(strike-$B49,0)),"")</f>
        <v/>
      </c>
      <c r="FC49" s="9" t="str">
        <f t="array" ref="FC49">IF(FC$11&gt;=0,MAX(INDEX(MMULT(inverseG,FB$12:FB$62),$A49+1,1),MAX(strike-$B49,0)),"")</f>
        <v/>
      </c>
      <c r="FD49" s="9" t="str">
        <f t="array" ref="FD49">IF(FD$11&gt;=0,MAX(INDEX(MMULT(inverseG,FC$12:FC$62),$A49+1,1),MAX(strike-$B49,0)),"")</f>
        <v/>
      </c>
      <c r="FE49" s="9" t="str">
        <f t="array" ref="FE49">IF(FE$11&gt;=0,MAX(INDEX(MMULT(inverseG,FD$12:FD$62),$A49+1,1),MAX(strike-$B49,0)),"")</f>
        <v/>
      </c>
      <c r="FF49" s="9" t="str">
        <f t="array" ref="FF49">IF(FF$11&gt;=0,MAX(INDEX(MMULT(inverseG,FE$12:FE$62),$A49+1,1),MAX(strike-$B49,0)),"")</f>
        <v/>
      </c>
      <c r="FG49" s="9" t="str">
        <f t="array" ref="FG49">IF(FG$11&gt;=0,MAX(INDEX(MMULT(inverseG,FF$12:FF$62),$A49+1,1),MAX(strike-$B49,0)),"")</f>
        <v/>
      </c>
      <c r="FH49" s="9" t="str">
        <f t="array" ref="FH49">IF(FH$11&gt;=0,MAX(INDEX(MMULT(inverseG,FG$12:FG$62),$A49+1,1),MAX(strike-$B49,0)),"")</f>
        <v/>
      </c>
      <c r="FI49" s="9" t="str">
        <f t="array" ref="FI49">IF(FI$11&gt;=0,MAX(INDEX(MMULT(inverseG,FH$12:FH$62),$A49+1,1),MAX(strike-$B49,0)),"")</f>
        <v/>
      </c>
      <c r="FJ49" s="9" t="str">
        <f t="array" ref="FJ49">IF(FJ$11&gt;=0,MAX(INDEX(MMULT(inverseG,FI$12:FI$62),$A49+1,1),MAX(strike-$B49,0)),"")</f>
        <v/>
      </c>
      <c r="FK49" s="9" t="str">
        <f t="array" ref="FK49">IF(FK$11&gt;=0,MAX(INDEX(MMULT(inverseG,FJ$12:FJ$62),$A49+1,1),MAX(strike-$B49,0)),"")</f>
        <v/>
      </c>
      <c r="FL49" s="9" t="str">
        <f t="array" ref="FL49">IF(FL$11&gt;=0,MAX(INDEX(MMULT(inverseG,FK$12:FK$62),$A49+1,1),MAX(strike-$B49,0)),"")</f>
        <v/>
      </c>
      <c r="FM49" s="9" t="str">
        <f t="array" ref="FM49">IF(FM$11&gt;=0,MAX(INDEX(MMULT(inverseG,FL$12:FL$62),$A49+1,1),MAX(strike-$B49,0)),"")</f>
        <v/>
      </c>
      <c r="FN49" s="9" t="str">
        <f t="array" ref="FN49">IF(FN$11&gt;=0,MAX(INDEX(MMULT(inverseG,FM$12:FM$62),$A49+1,1),MAX(strike-$B49,0)),"")</f>
        <v/>
      </c>
      <c r="FO49" s="9" t="str">
        <f t="array" ref="FO49">IF(FO$11&gt;=0,MAX(INDEX(MMULT(inverseG,FN$12:FN$62),$A49+1,1),MAX(strike-$B49,0)),"")</f>
        <v/>
      </c>
      <c r="FP49" s="9" t="str">
        <f t="array" ref="FP49">IF(FP$11&gt;=0,MAX(INDEX(MMULT(inverseG,FO$12:FO$62),$A49+1,1),MAX(strike-$B49,0)),"")</f>
        <v/>
      </c>
      <c r="FQ49" s="9" t="str">
        <f t="array" ref="FQ49">IF(FQ$11&gt;=0,MAX(INDEX(MMULT(inverseG,FP$12:FP$62),$A49+1,1),MAX(strike-$B49,0)),"")</f>
        <v/>
      </c>
      <c r="FR49" s="9" t="str">
        <f t="array" ref="FR49">IF(FR$11&gt;=0,MAX(INDEX(MMULT(inverseG,FQ$12:FQ$62),$A49+1,1),MAX(strike-$B49,0)),"")</f>
        <v/>
      </c>
      <c r="FS49" s="9" t="str">
        <f t="array" ref="FS49">IF(FS$11&gt;=0,MAX(INDEX(MMULT(inverseG,FR$12:FR$62),$A49+1,1),MAX(strike-$B49,0)),"")</f>
        <v/>
      </c>
      <c r="FT49" s="9" t="str">
        <f t="array" ref="FT49">IF(FT$11&gt;=0,MAX(INDEX(MMULT(inverseG,FS$12:FS$62),$A49+1,1),MAX(strike-$B49,0)),"")</f>
        <v/>
      </c>
      <c r="FU49" s="9" t="str">
        <f t="array" ref="FU49">IF(FU$11&gt;=0,MAX(INDEX(MMULT(inverseG,FT$12:FT$62),$A49+1,1),MAX(strike-$B49,0)),"")</f>
        <v/>
      </c>
      <c r="FV49" s="9" t="str">
        <f t="array" ref="FV49">IF(FV$11&gt;=0,MAX(INDEX(MMULT(inverseG,FU$12:FU$62),$A49+1,1),MAX(strike-$B49,0)),"")</f>
        <v/>
      </c>
      <c r="FW49" s="9" t="str">
        <f t="array" ref="FW49">IF(FW$11&gt;=0,MAX(INDEX(MMULT(inverseG,FV$12:FV$62),$A49+1,1),MAX(strike-$B49,0)),"")</f>
        <v/>
      </c>
      <c r="FX49" s="9" t="str">
        <f t="array" ref="FX49">IF(FX$11&gt;=0,MAX(INDEX(MMULT(inverseG,FW$12:FW$62),$A49+1,1),MAX(strike-$B49,0)),"")</f>
        <v/>
      </c>
      <c r="FY49" s="9" t="str">
        <f t="array" ref="FY49">IF(FY$11&gt;=0,MAX(INDEX(MMULT(inverseG,FX$12:FX$62),$A49+1,1),MAX(strike-$B49,0)),"")</f>
        <v/>
      </c>
      <c r="FZ49" s="9" t="str">
        <f t="array" ref="FZ49">IF(FZ$11&gt;=0,MAX(INDEX(MMULT(inverseG,FY$12:FY$62),$A49+1,1),MAX(strike-$B49,0)),"")</f>
        <v/>
      </c>
      <c r="GA49" s="9" t="str">
        <f t="array" ref="GA49">IF(GA$11&gt;=0,MAX(INDEX(MMULT(inverseG,FZ$12:FZ$62),$A49+1,1),MAX(strike-$B49,0)),"")</f>
        <v/>
      </c>
      <c r="GB49" s="9" t="str">
        <f t="array" ref="GB49">IF(GB$11&gt;=0,MAX(INDEX(MMULT(inverseG,GA$12:GA$62),$A49+1,1),MAX(strike-$B49,0)),"")</f>
        <v/>
      </c>
      <c r="GC49" s="9" t="str">
        <f t="array" ref="GC49">IF(GC$11&gt;=0,MAX(INDEX(MMULT(inverseG,GB$12:GB$62),$A49+1,1),MAX(strike-$B49,0)),"")</f>
        <v/>
      </c>
      <c r="GD49" s="9" t="str">
        <f t="array" ref="GD49">IF(GD$11&gt;=0,MAX(INDEX(MMULT(inverseG,GC$12:GC$62),$A49+1,1),MAX(strike-$B49,0)),"")</f>
        <v/>
      </c>
      <c r="GE49" s="9" t="str">
        <f t="array" ref="GE49">IF(GE$11&gt;=0,MAX(INDEX(MMULT(inverseG,GD$12:GD$62),$A49+1,1),MAX(strike-$B49,0)),"")</f>
        <v/>
      </c>
      <c r="GF49" s="9" t="str">
        <f t="array" ref="GF49">IF(GF$11&gt;=0,MAX(INDEX(MMULT(inverseG,GE$12:GE$62),$A49+1,1),MAX(strike-$B49,0)),"")</f>
        <v/>
      </c>
      <c r="GG49" s="9" t="str">
        <f t="array" ref="GG49">IF(GG$11&gt;=0,MAX(INDEX(MMULT(inverseG,GF$12:GF$62),$A49+1,1),MAX(strike-$B49,0)),"")</f>
        <v/>
      </c>
      <c r="GH49" s="9" t="str">
        <f t="array" ref="GH49">IF(GH$11&gt;=0,MAX(INDEX(MMULT(inverseG,GG$12:GG$62),$A49+1,1),MAX(strike-$B49,0)),"")</f>
        <v/>
      </c>
      <c r="GI49" s="9" t="str">
        <f t="array" ref="GI49">IF(GI$11&gt;=0,MAX(INDEX(MMULT(inverseG,GH$12:GH$62),$A49+1,1),MAX(strike-$B49,0)),"")</f>
        <v/>
      </c>
      <c r="GJ49" s="9" t="str">
        <f t="array" ref="GJ49">IF(GJ$11&gt;=0,MAX(INDEX(MMULT(inverseG,GI$12:GI$62),$A49+1,1),MAX(strike-$B49,0)),"")</f>
        <v/>
      </c>
      <c r="GK49" s="9" t="str">
        <f t="array" ref="GK49">IF(GK$11&gt;=0,MAX(INDEX(MMULT(inverseG,GJ$12:GJ$62),$A49+1,1),MAX(strike-$B49,0)),"")</f>
        <v/>
      </c>
      <c r="GL49" s="9" t="str">
        <f t="array" ref="GL49">IF(GL$11&gt;=0,MAX(INDEX(MMULT(inverseG,GK$12:GK$62),$A49+1,1),MAX(strike-$B49,0)),"")</f>
        <v/>
      </c>
      <c r="GM49" s="9" t="str">
        <f t="array" ref="GM49">IF(GM$11&gt;=0,MAX(INDEX(MMULT(inverseG,GL$12:GL$62),$A49+1,1),MAX(strike-$B49,0)),"")</f>
        <v/>
      </c>
      <c r="GN49" s="9" t="str">
        <f t="array" ref="GN49">IF(GN$11&gt;=0,MAX(INDEX(MMULT(inverseG,GM$12:GM$62),$A49+1,1),MAX(strike-$B49,0)),"")</f>
        <v/>
      </c>
      <c r="GO49" s="9" t="str">
        <f t="array" ref="GO49">IF(GO$11&gt;=0,MAX(INDEX(MMULT(inverseG,GN$12:GN$62),$A49+1,1),MAX(strike-$B49,0)),"")</f>
        <v/>
      </c>
      <c r="GP49" s="9" t="str">
        <f t="array" ref="GP49">IF(GP$11&gt;=0,MAX(INDEX(MMULT(inverseG,GO$12:GO$62),$A49+1,1),MAX(strike-$B49,0)),"")</f>
        <v/>
      </c>
      <c r="GQ49" s="9" t="str">
        <f t="array" ref="GQ49">IF(GQ$11&gt;=0,MAX(INDEX(MMULT(inverseG,GP$12:GP$62),$A49+1,1),MAX(strike-$B49,0)),"")</f>
        <v/>
      </c>
      <c r="GR49" s="9" t="str">
        <f t="array" ref="GR49">IF(GR$11&gt;=0,MAX(INDEX(MMULT(inverseG,GQ$12:GQ$62),$A49+1,1),MAX(strike-$B49,0)),"")</f>
        <v/>
      </c>
      <c r="GS49" s="9" t="str">
        <f t="array" ref="GS49">IF(GS$11&gt;=0,MAX(INDEX(MMULT(inverseG,GR$12:GR$62),$A49+1,1),MAX(strike-$B49,0)),"")</f>
        <v/>
      </c>
      <c r="GT49" s="9" t="str">
        <f t="array" ref="GT49">IF(GT$11&gt;=0,MAX(INDEX(MMULT(inverseG,GS$12:GS$62),$A49+1,1),MAX(strike-$B49,0)),"")</f>
        <v/>
      </c>
      <c r="GU49" s="9" t="str">
        <f t="array" ref="GU49">IF(GU$11&gt;=0,MAX(INDEX(MMULT(inverseG,GT$12:GT$62),$A49+1,1),MAX(strike-$B49,0)),"")</f>
        <v/>
      </c>
      <c r="GV49" s="9" t="str">
        <f t="array" ref="GV49">IF(GV$11&gt;=0,MAX(INDEX(MMULT(inverseG,GU$12:GU$62),$A49+1,1),MAX(strike-$B49,0)),"")</f>
        <v/>
      </c>
      <c r="GW49" s="9" t="str">
        <f t="array" ref="GW49">IF(GW$11&gt;=0,MAX(INDEX(MMULT(inverseG,GV$12:GV$62),$A49+1,1),MAX(strike-$B49,0)),"")</f>
        <v/>
      </c>
      <c r="GX49" s="9" t="str">
        <f t="array" ref="GX49">IF(GX$11&gt;=0,MAX(INDEX(MMULT(inverseG,GW$12:GW$62),$A49+1,1),MAX(strike-$B49,0)),"")</f>
        <v/>
      </c>
      <c r="GY49" s="9" t="str">
        <f t="array" ref="GY49">IF(GY$11&gt;=0,MAX(INDEX(MMULT(inverseG,GX$12:GX$62),$A49+1,1),MAX(strike-$B49,0)),"")</f>
        <v/>
      </c>
      <c r="GZ49" s="9" t="str">
        <f t="array" ref="GZ49">IF(GZ$11&gt;=0,MAX(INDEX(MMULT(inverseG,GY$12:GY$62),$A49+1,1),MAX(strike-$B49,0)),"")</f>
        <v/>
      </c>
      <c r="HA49" s="9" t="str">
        <f t="array" ref="HA49">IF(HA$11&gt;=0,MAX(INDEX(MMULT(inverseG,GZ$12:GZ$62),$A49+1,1),MAX(strike-$B49,0)),"")</f>
        <v/>
      </c>
      <c r="HB49" s="9" t="str">
        <f t="array" ref="HB49">IF(HB$11&gt;=0,MAX(INDEX(MMULT(inverseG,HA$12:HA$62),$A49+1,1),MAX(strike-$B49,0)),"")</f>
        <v/>
      </c>
      <c r="HC49" s="9" t="str">
        <f t="array" ref="HC49">IF(HC$11&gt;=0,MAX(INDEX(MMULT(inverseG,HB$12:HB$62),$A49+1,1),MAX(strike-$B49,0)),"")</f>
        <v/>
      </c>
      <c r="HD49" s="9" t="str">
        <f t="array" ref="HD49">IF(HD$11&gt;=0,MAX(INDEX(MMULT(inverseG,HC$12:HC$62),$A49+1,1),MAX(strike-$B49,0)),"")</f>
        <v/>
      </c>
      <c r="HE49" s="9" t="str">
        <f t="array" ref="HE49">IF(HE$11&gt;=0,MAX(INDEX(MMULT(inverseG,HD$12:HD$62),$A49+1,1),MAX(strike-$B49,0)),"")</f>
        <v/>
      </c>
      <c r="HF49" s="9" t="str">
        <f t="array" ref="HF49">IF(HF$11&gt;=0,MAX(INDEX(MMULT(inverseG,HE$12:HE$62),$A49+1,1),MAX(strike-$B49,0)),"")</f>
        <v/>
      </c>
      <c r="HG49" s="9" t="str">
        <f t="array" ref="HG49">IF(HG$11&gt;=0,MAX(INDEX(MMULT(inverseG,HF$12:HF$62),$A49+1,1),MAX(strike-$B49,0)),"")</f>
        <v/>
      </c>
      <c r="HH49" s="9" t="str">
        <f t="array" ref="HH49">IF(HH$11&gt;=0,MAX(INDEX(MMULT(inverseG,HG$12:HG$62),$A49+1,1),MAX(strike-$B49,0)),"")</f>
        <v/>
      </c>
      <c r="HI49" s="9" t="str">
        <f t="array" ref="HI49">IF(HI$11&gt;=0,MAX(INDEX(MMULT(inverseG,HH$12:HH$62),$A49+1,1),MAX(strike-$B49,0)),"")</f>
        <v/>
      </c>
      <c r="HJ49" s="9" t="str">
        <f t="array" ref="HJ49">IF(HJ$11&gt;=0,MAX(INDEX(MMULT(inverseG,HI$12:HI$62),$A49+1,1),MAX(strike-$B49,0)),"")</f>
        <v/>
      </c>
      <c r="HK49" s="9" t="str">
        <f t="array" ref="HK49">IF(HK$11&gt;=0,MAX(INDEX(MMULT(inverseG,HJ$12:HJ$62),$A49+1,1),MAX(strike-$B49,0)),"")</f>
        <v/>
      </c>
      <c r="HL49" s="9" t="str">
        <f t="array" ref="HL49">IF(HL$11&gt;=0,MAX(INDEX(MMULT(inverseG,HK$12:HK$62),$A49+1,1),MAX(strike-$B49,0)),"")</f>
        <v/>
      </c>
      <c r="HM49" s="9" t="str">
        <f t="array" ref="HM49">IF(HM$11&gt;=0,MAX(INDEX(MMULT(inverseG,HL$12:HL$62),$A49+1,1),MAX(strike-$B49,0)),"")</f>
        <v/>
      </c>
      <c r="HN49" s="9" t="str">
        <f t="array" ref="HN49">IF(HN$11&gt;=0,MAX(INDEX(MMULT(inverseG,HM$12:HM$62),$A49+1,1),MAX(strike-$B49,0)),"")</f>
        <v/>
      </c>
      <c r="HO49" s="9" t="str">
        <f t="array" ref="HO49">IF(HO$11&gt;=0,MAX(INDEX(MMULT(inverseG,HN$12:HN$62),$A49+1,1),MAX(strike-$B49,0)),"")</f>
        <v/>
      </c>
      <c r="HP49" s="9" t="str">
        <f t="array" ref="HP49">IF(HP$11&gt;=0,MAX(INDEX(MMULT(inverseG,HO$12:HO$62),$A49+1,1),MAX(strike-$B49,0)),"")</f>
        <v/>
      </c>
      <c r="HQ49" s="9" t="str">
        <f t="array" ref="HQ49">IF(HQ$11&gt;=0,MAX(INDEX(MMULT(inverseG,HP$12:HP$62),$A49+1,1),MAX(strike-$B49,0)),"")</f>
        <v/>
      </c>
      <c r="HR49" s="9" t="str">
        <f t="array" ref="HR49">IF(HR$11&gt;=0,MAX(INDEX(MMULT(inverseG,HQ$12:HQ$62),$A49+1,1),MAX(strike-$B49,0)),"")</f>
        <v/>
      </c>
      <c r="HS49" s="9" t="str">
        <f t="array" ref="HS49">IF(HS$11&gt;=0,MAX(INDEX(MMULT(inverseG,HR$12:HR$62),$A49+1,1),MAX(strike-$B49,0)),"")</f>
        <v/>
      </c>
      <c r="HT49" s="9" t="str">
        <f t="array" ref="HT49">IF(HT$11&gt;=0,MAX(INDEX(MMULT(inverseG,HS$12:HS$62),$A49+1,1),MAX(strike-$B49,0)),"")</f>
        <v/>
      </c>
      <c r="HU49" s="9" t="str">
        <f t="array" ref="HU49">IF(HU$11&gt;=0,MAX(INDEX(MMULT(inverseG,HT$12:HT$62),$A49+1,1),MAX(strike-$B49,0)),"")</f>
        <v/>
      </c>
      <c r="HV49" s="9" t="str">
        <f t="array" ref="HV49">IF(HV$11&gt;=0,MAX(INDEX(MMULT(inverseG,HU$12:HU$62),$A49+1,1),MAX(strike-$B49,0)),"")</f>
        <v/>
      </c>
      <c r="HW49" s="9" t="str">
        <f t="array" ref="HW49">IF(HW$11&gt;=0,MAX(INDEX(MMULT(inverseG,HV$12:HV$62),$A49+1,1),MAX(strike-$B49,0)),"")</f>
        <v/>
      </c>
      <c r="HX49" s="9" t="str">
        <f t="array" ref="HX49">IF(HX$11&gt;=0,MAX(INDEX(MMULT(inverseG,HW$12:HW$62),$A49+1,1),MAX(strike-$B49,0)),"")</f>
        <v/>
      </c>
      <c r="HY49" s="9" t="str">
        <f t="array" ref="HY49">IF(HY$11&gt;=0,MAX(INDEX(MMULT(inverseG,HX$12:HX$62),$A49+1,1),MAX(strike-$B49,0)),"")</f>
        <v/>
      </c>
      <c r="HZ49" s="9" t="str">
        <f t="array" ref="HZ49">IF(HZ$11&gt;=0,MAX(INDEX(MMULT(inverseG,HY$12:HY$62),$A49+1,1),MAX(strike-$B49,0)),"")</f>
        <v/>
      </c>
      <c r="IA49" s="9" t="str">
        <f t="array" ref="IA49">IF(IA$11&gt;=0,MAX(INDEX(MMULT(inverseG,HZ$12:HZ$62),$A49+1,1),MAX(strike-$B49,0)),"")</f>
        <v/>
      </c>
      <c r="IB49" s="9" t="str">
        <f t="array" ref="IB49">IF(IB$11&gt;=0,MAX(INDEX(MMULT(inverseG,IA$12:IA$62),$A49+1,1),MAX(strike-$B49,0)),"")</f>
        <v/>
      </c>
      <c r="IC49" s="9" t="str">
        <f t="array" ref="IC49">IF(IC$11&gt;=0,MAX(INDEX(MMULT(inverseG,IB$12:IB$62),$A49+1,1),MAX(strike-$B49,0)),"")</f>
        <v/>
      </c>
      <c r="ID49" s="9" t="str">
        <f t="array" ref="ID49">IF(ID$11&gt;=0,MAX(INDEX(MMULT(inverseG,IC$12:IC$62),$A49+1,1),MAX(strike-$B49,0)),"")</f>
        <v/>
      </c>
      <c r="IE49" s="9" t="str">
        <f t="array" ref="IE49">IF(IE$11&gt;=0,MAX(INDEX(MMULT(inverseG,ID$12:ID$62),$A49+1,1),MAX(strike-$B49,0)),"")</f>
        <v/>
      </c>
      <c r="IF49" s="9" t="str">
        <f t="array" ref="IF49">IF(IF$11&gt;=0,MAX(INDEX(MMULT(inverseG,IE$12:IE$62),$A49+1,1),MAX(strike-$B49,0)),"")</f>
        <v/>
      </c>
      <c r="IG49" s="9" t="str">
        <f t="array" ref="IG49">IF(IG$11&gt;=0,MAX(INDEX(MMULT(inverseG,IF$12:IF$62),$A49+1,1),MAX(strike-$B49,0)),"")</f>
        <v/>
      </c>
      <c r="IH49" s="9" t="str">
        <f t="array" ref="IH49">IF(IH$11&gt;=0,MAX(INDEX(MMULT(inverseG,IG$12:IG$62),$A49+1,1),MAX(strike-$B49,0)),"")</f>
        <v/>
      </c>
      <c r="II49" s="9" t="str">
        <f t="array" ref="II49">IF(II$11&gt;=0,MAX(INDEX(MMULT(inverseG,IH$12:IH$62),$A49+1,1),MAX(strike-$B49,0)),"")</f>
        <v/>
      </c>
      <c r="IJ49" s="9" t="str">
        <f t="array" ref="IJ49">IF(IJ$11&gt;=0,MAX(INDEX(MMULT(inverseG,II$12:II$62),$A49+1,1),MAX(strike-$B49,0)),"")</f>
        <v/>
      </c>
      <c r="IK49" s="9" t="str">
        <f t="array" ref="IK49">IF(IK$11&gt;=0,MAX(INDEX(MMULT(inverseG,IJ$12:IJ$62),$A49+1,1),MAX(strike-$B49,0)),"")</f>
        <v/>
      </c>
      <c r="IL49" s="9" t="str">
        <f t="array" ref="IL49">IF(IL$11&gt;=0,MAX(INDEX(MMULT(inverseG,IK$12:IK$62),$A49+1,1),MAX(strike-$B49,0)),"")</f>
        <v/>
      </c>
      <c r="IM49" s="9" t="str">
        <f t="array" ref="IM49">IF(IM$11&gt;=0,MAX(INDEX(MMULT(inverseG,IL$12:IL$62),$A49+1,1),MAX(strike-$B49,0)),"")</f>
        <v/>
      </c>
      <c r="IN49" s="9" t="str">
        <f t="array" ref="IN49">IF(IN$11&gt;=0,MAX(INDEX(MMULT(inverseG,IM$12:IM$62),$A49+1,1),MAX(strike-$B49,0)),"")</f>
        <v/>
      </c>
      <c r="IO49" s="9" t="str">
        <f t="array" ref="IO49">IF(IO$11&gt;=0,MAX(INDEX(MMULT(inverseG,IN$12:IN$62),$A49+1,1),MAX(strike-$B49,0)),"")</f>
        <v/>
      </c>
      <c r="IP49" s="9" t="str">
        <f t="array" ref="IP49">IF(IP$11&gt;=0,MAX(INDEX(MMULT(inverseG,IO$12:IO$62),$A49+1,1),MAX(strike-$B49,0)),"")</f>
        <v/>
      </c>
      <c r="IQ49" s="9" t="str">
        <f t="array" ref="IQ49">IF(IQ$11&gt;=0,MAX(INDEX(MMULT(inverseG,IP$12:IP$62),$A49+1,1),MAX(strike-$B49,0)),"")</f>
        <v/>
      </c>
      <c r="IR49" s="9" t="str">
        <f t="array" ref="IR49">IF(IR$11&gt;=0,MAX(INDEX(MMULT(inverseG,IQ$12:IQ$62),$A49+1,1),MAX(strike-$B49,0)),"")</f>
        <v/>
      </c>
      <c r="IS49" s="9" t="str">
        <f t="array" ref="IS49">IF(IS$11&gt;=0,MAX(INDEX(MMULT(inverseG,IR$12:IR$62),$A49+1,1),MAX(strike-$B49,0)),"")</f>
        <v/>
      </c>
      <c r="IT49" s="9" t="str">
        <f t="array" ref="IT49">IF(IT$11&gt;=0,MAX(INDEX(MMULT(inverseG,IS$12:IS$62),$A49+1,1),MAX(strike-$B49,0)),"")</f>
        <v/>
      </c>
      <c r="IU49" s="9" t="str">
        <f t="array" ref="IU49">IF(IU$11&gt;=0,MAX(INDEX(MMULT(inverseG,IT$12:IT$62),$A49+1,1),MAX(strike-$B49,0)),"")</f>
        <v/>
      </c>
      <c r="IV49" s="9" t="str">
        <f t="array" ref="IV49">IF(IV$11&gt;=0,MAX(INDEX(MMULT(inverseG,IU$12:IU$62),$A49+1,1),MAX(strike-$B49,0)),"")</f>
        <v/>
      </c>
    </row>
    <row r="50" spans="1:256" x14ac:dyDescent="0.2">
      <c r="A50" s="8">
        <f t="shared" si="7"/>
        <v>38</v>
      </c>
      <c r="B50" s="6">
        <f t="shared" si="8"/>
        <v>9.5</v>
      </c>
      <c r="C50" s="30">
        <f t="shared" ca="1" si="6"/>
        <v>7.9352230445704136E-2</v>
      </c>
      <c r="D50" s="9">
        <f t="shared" si="9"/>
        <v>0</v>
      </c>
      <c r="E50" s="9">
        <f t="array" ref="E50">IF(E$11&gt;=0,MAX(INDEX(MMULT(inverseG,D$12:D$62),$A50+1,1),MAX(strike-$B50,0)),"")</f>
        <v>1.0180305774062899E-8</v>
      </c>
      <c r="F50" s="9">
        <f t="array" ref="F50">IF(F$11&gt;=0,MAX(INDEX(MMULT(inverseG,E$12:E$62),$A50+1,1),MAX(strike-$B50,0)),"")</f>
        <v>9.0690137303967336E-8</v>
      </c>
      <c r="G50" s="9">
        <f t="array" ref="G50">IF(G$11&gt;=0,MAX(INDEX(MMULT(inverseG,F$12:F$62),$A50+1,1),MAX(strike-$B50,0)),"")</f>
        <v>4.3345131804880749E-7</v>
      </c>
      <c r="H50" s="9">
        <f t="array" ref="H50">IF(H$11&gt;=0,MAX(INDEX(MMULT(inverseG,G$12:G$62),$A50+1,1),MAX(strike-$B50,0)),"")</f>
        <v>1.4779737621288375E-6</v>
      </c>
      <c r="I50" s="9">
        <f t="array" ref="I50">IF(I$11&gt;=0,MAX(INDEX(MMULT(inverseG,H$12:H$62),$A50+1,1),MAX(strike-$B50,0)),"")</f>
        <v>4.0344764002712208E-6</v>
      </c>
      <c r="J50" s="9">
        <f t="array" ref="J50">IF(J$11&gt;=0,MAX(INDEX(MMULT(inverseG,I$12:I$62),$A50+1,1),MAX(strike-$B50,0)),"")</f>
        <v>9.3817997788207685E-6</v>
      </c>
      <c r="K50" s="9">
        <f t="array" ref="K50">IF(K$11&gt;=0,MAX(INDEX(MMULT(inverseG,J$12:J$62),$A50+1,1),MAX(strike-$B50,0)),"")</f>
        <v>1.9315315591466508E-5</v>
      </c>
      <c r="L50" s="9">
        <f t="array" ref="L50">IF(L$11&gt;=0,MAX(INDEX(MMULT(inverseG,K$12:K$62),$A50+1,1),MAX(strike-$B50,0)),"")</f>
        <v>3.6134867932978529E-5</v>
      </c>
      <c r="M50" s="9">
        <f t="array" ref="M50">IF(M$11&gt;=0,MAX(INDEX(MMULT(inverseG,L$12:L$62),$A50+1,1),MAX(strike-$B50,0)),"")</f>
        <v>6.2577395868193715E-5</v>
      </c>
      <c r="N50" s="9">
        <f t="array" ref="N50">IF(N$11&gt;=0,MAX(INDEX(MMULT(inverseG,M$12:M$62),$A50+1,1),MAX(strike-$B50,0)),"")</f>
        <v>1.0170875317281808E-4</v>
      </c>
      <c r="O50" s="9">
        <f t="array" ref="O50">IF(O$11&gt;=0,MAX(INDEX(MMULT(inverseG,N$12:N$62),$A50+1,1),MAX(strike-$B50,0)),"")</f>
        <v>1.5679320075854397E-4</v>
      </c>
      <c r="P50" s="9">
        <f t="array" ref="P50">IF(P$11&gt;=0,MAX(INDEX(MMULT(inverseG,O$12:O$62),$A50+1,1),MAX(strike-$B50,0)),"")</f>
        <v>2.3115819668319005E-4</v>
      </c>
      <c r="Q50" s="9">
        <f t="array" ref="Q50">IF(Q$11&gt;=0,MAX(INDEX(MMULT(inverseG,P$12:P$62),$A50+1,1),MAX(strike-$B50,0)),"")</f>
        <v>3.2806839539720829E-4</v>
      </c>
      <c r="R50" s="9">
        <f t="array" ref="R50">IF(R$11&gt;=0,MAX(INDEX(MMULT(inverseG,Q$12:Q$62),$A50+1,1),MAX(strike-$B50,0)),"")</f>
        <v>4.506180168949877E-4</v>
      </c>
      <c r="S50" s="9">
        <f t="array" ref="S50">IF(S$11&gt;=0,MAX(INDEX(MMULT(inverseG,R$12:R$62),$A50+1,1),MAX(strike-$B50,0)),"")</f>
        <v>6.0164622881071024E-4</v>
      </c>
      <c r="T50" s="9">
        <f t="array" ref="T50">IF(T$11&gt;=0,MAX(INDEX(MMULT(inverseG,S$12:S$62),$A50+1,1),MAX(strike-$B50,0)),"")</f>
        <v>7.8367657018461922E-4</v>
      </c>
      <c r="U50" s="9">
        <f t="array" ref="U50">IF(U$11&gt;=0,MAX(INDEX(MMULT(inverseG,T$12:T$62),$A50+1,1),MAX(strike-$B50,0)),"")</f>
        <v>9.9887894083498666E-4</v>
      </c>
      <c r="V50" s="9">
        <f t="array" ref="V50">IF(V$11&gt;=0,MAX(INDEX(MMULT(inverseG,U$12:U$62),$A50+1,1),MAX(strike-$B50,0)),"")</f>
        <v>1.2490512072825344E-3</v>
      </c>
      <c r="W50" s="9">
        <f t="array" ref="W50">IF(W$11&gt;=0,MAX(INDEX(MMULT(inverseG,V$12:V$62),$A50+1,1),MAX(strike-$B50,0)),"")</f>
        <v>1.5356168240530771E-3</v>
      </c>
      <c r="X50" s="9">
        <f t="array" ref="X50">IF(X$11&gt;=0,MAX(INDEX(MMULT(inverseG,W$12:W$62),$A50+1,1),MAX(strike-$B50,0)),"")</f>
        <v>1.8596347945938E-3</v>
      </c>
      <c r="Y50" s="9">
        <f t="array" ref="Y50">IF(Y$11&gt;=0,MAX(INDEX(MMULT(inverseG,X$12:X$62),$A50+1,1),MAX(strike-$B50,0)),"")</f>
        <v>2.2218185790422122E-3</v>
      </c>
      <c r="Z50" s="9">
        <f t="array" ref="Z50">IF(Z$11&gt;=0,MAX(INDEX(MMULT(inverseG,Y$12:Y$62),$A50+1,1),MAX(strike-$B50,0)),"")</f>
        <v>2.6225610238928203E-3</v>
      </c>
      <c r="AA50" s="9">
        <f t="array" ref="AA50">IF(AA$11&gt;=0,MAX(INDEX(MMULT(inverseG,Z$12:Z$62),$A50+1,1),MAX(strike-$B50,0)),"")</f>
        <v>3.0619629196981125E-3</v>
      </c>
      <c r="AB50" s="9">
        <f t="array" ref="AB50">IF(AB$11&gt;=0,MAX(INDEX(MMULT(inverseG,AA$12:AA$62),$A50+1,1),MAX(strike-$B50,0)),"")</f>
        <v>3.5398633109158108E-3</v>
      </c>
      <c r="AC50" s="9">
        <f t="array" ref="AC50">IF(AC$11&gt;=0,MAX(INDEX(MMULT(inverseG,AB$12:AB$62),$A50+1,1),MAX(strike-$B50,0)),"")</f>
        <v>4.0558701453233762E-3</v>
      </c>
      <c r="AD50" s="9">
        <f t="array" ref="AD50">IF(AD$11&gt;=0,MAX(INDEX(MMULT(inverseG,AC$12:AC$62),$A50+1,1),MAX(strike-$B50,0)),"")</f>
        <v>4.6093902417156376E-3</v>
      </c>
      <c r="AE50" s="9">
        <f t="array" ref="AE50">IF(AE$11&gt;=0,MAX(INDEX(MMULT(inverseG,AD$12:AD$62),$A50+1,1),MAX(strike-$B50,0)),"")</f>
        <v>5.1996578716245277E-3</v>
      </c>
      <c r="AF50" s="9">
        <f t="array" ref="AF50">IF(AF$11&gt;=0,MAX(INDEX(MMULT(inverseG,AE$12:AE$62),$A50+1,1),MAX(strike-$B50,0)),"")</f>
        <v>5.8257614995259766E-3</v>
      </c>
      <c r="AG50" s="9">
        <f t="array" ref="AG50">IF(AG$11&gt;=0,MAX(INDEX(MMULT(inverseG,AF$12:AF$62),$A50+1,1),MAX(strike-$B50,0)),"")</f>
        <v>6.4866684160015233E-3</v>
      </c>
      <c r="AH50" s="9">
        <f t="array" ref="AH50">IF(AH$11&gt;=0,MAX(INDEX(MMULT(inverseG,AG$12:AG$62),$A50+1,1),MAX(strike-$B50,0)),"")</f>
        <v>7.1812471399708127E-3</v>
      </c>
      <c r="AI50" s="9">
        <f t="array" ref="AI50">IF(AI$11&gt;=0,MAX(INDEX(MMULT(inverseG,AH$12:AH$62),$A50+1,1),MAX(strike-$B50,0)),"")</f>
        <v>7.9082875690897215E-3</v>
      </c>
      <c r="AJ50" s="9">
        <f t="array" ref="AJ50">IF(AJ$11&gt;=0,MAX(INDEX(MMULT(inverseG,AI$12:AI$62),$A50+1,1),MAX(strike-$B50,0)),"")</f>
        <v>8.6665189300883707E-3</v>
      </c>
      <c r="AK50" s="9">
        <f t="array" ref="AK50">IF(AK$11&gt;=0,MAX(INDEX(MMULT(inverseG,AJ$12:AJ$62),$A50+1,1),MAX(strike-$B50,0)),"")</f>
        <v>9.4546256301229672E-3</v>
      </c>
      <c r="AL50" s="9">
        <f t="array" ref="AL50">IF(AL$11&gt;=0,MAX(INDEX(MMULT(inverseG,AK$12:AK$62),$A50+1,1),MAX(strike-$B50,0)),"")</f>
        <v>1.0271261141706749E-2</v>
      </c>
      <c r="AM50" s="9">
        <f t="array" ref="AM50">IF(AM$11&gt;=0,MAX(INDEX(MMULT(inverseG,AL$12:AL$62),$A50+1,1),MAX(strike-$B50,0)),"")</f>
        <v>1.1115060071889145E-2</v>
      </c>
      <c r="AN50" s="9">
        <f t="array" ref="AN50">IF(AN$11&gt;=0,MAX(INDEX(MMULT(inverseG,AM$12:AM$62),$A50+1,1),MAX(strike-$B50,0)),"")</f>
        <v>1.1984648574546609E-2</v>
      </c>
      <c r="AO50" s="9">
        <f t="array" ref="AO50">IF(AO$11&gt;=0,MAX(INDEX(MMULT(inverseG,AN$12:AN$62),$A50+1,1),MAX(strike-$B50,0)),"")</f>
        <v>1.2878653265693936E-2</v>
      </c>
      <c r="AP50" s="9">
        <f t="array" ref="AP50">IF(AP$11&gt;=0,MAX(INDEX(MMULT(inverseG,AO$12:AO$62),$A50+1,1),MAX(strike-$B50,0)),"")</f>
        <v>1.3795708797849244E-2</v>
      </c>
      <c r="AQ50" s="9">
        <f t="array" ref="AQ50">IF(AQ$11&gt;=0,MAX(INDEX(MMULT(inverseG,AP$12:AP$62),$A50+1,1),MAX(strike-$B50,0)),"")</f>
        <v>1.4734464242461586E-2</v>
      </c>
      <c r="AR50" s="9">
        <f t="array" ref="AR50">IF(AR$11&gt;=0,MAX(INDEX(MMULT(inverseG,AQ$12:AQ$62),$A50+1,1),MAX(strike-$B50,0)),"")</f>
        <v>1.5693588420535972E-2</v>
      </c>
      <c r="AS50" s="9">
        <f t="array" ref="AS50">IF(AS$11&gt;=0,MAX(INDEX(MMULT(inverseG,AR$12:AR$62),$A50+1,1),MAX(strike-$B50,0)),"")</f>
        <v>1.6671774311685168E-2</v>
      </c>
      <c r="AT50" s="9">
        <f t="array" ref="AT50">IF(AT$11&gt;=0,MAX(INDEX(MMULT(inverseG,AS$12:AS$62),$A50+1,1),MAX(strike-$B50,0)),"")</f>
        <v>1.7667742661319576E-2</v>
      </c>
      <c r="AU50" s="9">
        <f t="array" ref="AU50">IF(AU$11&gt;=0,MAX(INDEX(MMULT(inverseG,AT$12:AT$62),$A50+1,1),MAX(strike-$B50,0)),"")</f>
        <v>1.8680244894735961E-2</v>
      </c>
      <c r="AV50" s="9">
        <f t="array" ref="AV50">IF(AV$11&gt;=0,MAX(INDEX(MMULT(inverseG,AU$12:AU$62),$A50+1,1),MAX(strike-$B50,0)),"")</f>
        <v>1.9708065435601021E-2</v>
      </c>
      <c r="AW50" s="9">
        <f t="array" ref="AW50">IF(AW$11&gt;=0,MAX(INDEX(MMULT(inverseG,AV$12:AV$62),$A50+1,1),MAX(strike-$B50,0)),"")</f>
        <v>2.0750023514925036E-2</v>
      </c>
      <c r="AX50" s="9">
        <f t="array" ref="AX50">IF(AX$11&gt;=0,MAX(INDEX(MMULT(inverseG,AW$12:AW$62),$A50+1,1),MAX(strike-$B50,0)),"")</f>
        <v>2.1804974545359783E-2</v>
      </c>
      <c r="AY50" s="9">
        <f t="array" ref="AY50">IF(AY$11&gt;=0,MAX(INDEX(MMULT(inverseG,AX$12:AX$62),$A50+1,1),MAX(strike-$B50,0)),"")</f>
        <v>2.2871811124878693E-2</v>
      </c>
      <c r="AZ50" s="9">
        <f t="array" ref="AZ50">IF(AZ$11&gt;=0,MAX(INDEX(MMULT(inverseG,AY$12:AY$62),$A50+1,1),MAX(strike-$B50,0)),"")</f>
        <v>2.394946372394955E-2</v>
      </c>
      <c r="BA50" s="9">
        <f t="array" ref="BA50">IF(BA$11&gt;=0,MAX(INDEX(MMULT(inverseG,AZ$12:AZ$62),$A50+1,1),MAX(strike-$B50,0)),"")</f>
        <v>2.5036901101469645E-2</v>
      </c>
      <c r="BB50" s="9">
        <f t="array" ref="BB50">IF(BB$11&gt;=0,MAX(INDEX(MMULT(inverseG,BA$12:BA$62),$A50+1,1),MAX(strike-$B50,0)),"")</f>
        <v>2.6133130487170638E-2</v>
      </c>
      <c r="BC50" s="9">
        <f t="array" ref="BC50">IF(BC$11&gt;=0,MAX(INDEX(MMULT(inverseG,BB$12:BB$62),$A50+1,1),MAX(strike-$B50,0)),"")</f>
        <v>2.7237197561961503E-2</v>
      </c>
      <c r="BD50" s="9">
        <f t="array" ref="BD50">IF(BD$11&gt;=0,MAX(INDEX(MMULT(inverseG,BC$12:BC$62),$A50+1,1),MAX(strike-$B50,0)),"")</f>
        <v>2.8348186262702055E-2</v>
      </c>
      <c r="BE50" s="9">
        <f t="array" ref="BE50">IF(BE$11&gt;=0,MAX(INDEX(MMULT(inverseG,BD$12:BD$62),$A50+1,1),MAX(strike-$B50,0)),"")</f>
        <v>2.9465218434043212E-2</v>
      </c>
      <c r="BF50" s="9">
        <f t="array" ref="BF50">IF(BF$11&gt;=0,MAX(INDEX(MMULT(inverseG,BE$12:BE$62),$A50+1,1),MAX(strike-$B50,0)),"")</f>
        <v>3.0587453347044272E-2</v>
      </c>
      <c r="BG50" s="9">
        <f t="array" ref="BG50">IF(BG$11&gt;=0,MAX(INDEX(MMULT(inverseG,BF$12:BF$62),$A50+1,1),MAX(strike-$B50,0)),"")</f>
        <v>3.1714087102078153E-2</v>
      </c>
      <c r="BH50" s="9">
        <f t="array" ref="BH50">IF(BH$11&gt;=0,MAX(INDEX(MMULT(inverseG,BG$12:BG$62),$A50+1,1),MAX(strike-$B50,0)),"")</f>
        <v>3.2844351931867841E-2</v>
      </c>
      <c r="BI50" s="9">
        <f t="array" ref="BI50">IF(BI$11&gt;=0,MAX(INDEX(MMULT(inverseG,BH$12:BH$62),$A50+1,1),MAX(strike-$B50,0)),"")</f>
        <v>3.3977515419193208E-2</v>
      </c>
      <c r="BJ50" s="9">
        <f t="array" ref="BJ50">IF(BJ$11&gt;=0,MAX(INDEX(MMULT(inverseG,BI$12:BI$62),$A50+1,1),MAX(strike-$B50,0)),"")</f>
        <v>3.5112879642730743E-2</v>
      </c>
      <c r="BK50" s="9">
        <f t="array" ref="BK50">IF(BK$11&gt;=0,MAX(INDEX(MMULT(inverseG,BJ$12:BJ$62),$A50+1,1),MAX(strike-$B50,0)),"")</f>
        <v>3.6249780263539935E-2</v>
      </c>
      <c r="BL50" s="9">
        <f t="array" ref="BL50">IF(BL$11&gt;=0,MAX(INDEX(MMULT(inverseG,BK$12:BK$62),$A50+1,1),MAX(strike-$B50,0)),"")</f>
        <v>3.7387585563820977E-2</v>
      </c>
      <c r="BM50" s="9">
        <f t="array" ref="BM50">IF(BM$11&gt;=0,MAX(INDEX(MMULT(inverseG,BL$12:BL$62),$A50+1,1),MAX(strike-$B50,0)),"")</f>
        <v>3.8525695448697383E-2</v>
      </c>
      <c r="BN50" s="9">
        <f t="array" ref="BN50">IF(BN$11&gt;=0,MAX(INDEX(MMULT(inverseG,BM$12:BM$62),$A50+1,1),MAX(strike-$B50,0)),"")</f>
        <v>3.9663540420904475E-2</v>
      </c>
      <c r="BO50" s="9">
        <f t="array" ref="BO50">IF(BO$11&gt;=0,MAX(INDEX(MMULT(inverseG,BN$12:BN$62),$A50+1,1),MAX(strike-$B50,0)),"")</f>
        <v>4.0800580537384792E-2</v>
      </c>
      <c r="BP50" s="9">
        <f t="array" ref="BP50">IF(BP$11&gt;=0,MAX(INDEX(MMULT(inverseG,BO$12:BO$62),$A50+1,1),MAX(strike-$B50,0)),"")</f>
        <v>4.1936304355908394E-2</v>
      </c>
      <c r="BQ50" s="9">
        <f t="array" ref="BQ50">IF(BQ$11&gt;=0,MAX(INDEX(MMULT(inverseG,BP$12:BP$62),$A50+1,1),MAX(strike-$B50,0)),"")</f>
        <v>4.3070227878959359E-2</v>
      </c>
      <c r="BR50" s="9">
        <f t="array" ref="BR50">IF(BR$11&gt;=0,MAX(INDEX(MMULT(inverseG,BQ$12:BQ$62),$A50+1,1),MAX(strike-$B50,0)),"")</f>
        <v>4.4201893501272113E-2</v>
      </c>
      <c r="BS50" s="9">
        <f t="array" ref="BS50">IF(BS$11&gt;=0,MAX(INDEX(MMULT(inverseG,BR$12:BR$62),$A50+1,1),MAX(strike-$B50,0)),"")</f>
        <v>4.5330868966572672E-2</v>
      </c>
      <c r="BT50" s="9">
        <f t="array" ref="BT50">IF(BT$11&gt;=0,MAX(INDEX(MMULT(inverseG,BS$12:BS$62),$A50+1,1),MAX(strike-$B50,0)),"")</f>
        <v>4.6456746338293109E-2</v>
      </c>
      <c r="BU50" s="9">
        <f t="array" ref="BU50">IF(BU$11&gt;=0,MAX(INDEX(MMULT(inverseG,BT$12:BT$62),$A50+1,1),MAX(strike-$B50,0)),"")</f>
        <v>4.7579140988289116E-2</v>
      </c>
      <c r="BV50" s="9">
        <f t="array" ref="BV50">IF(BV$11&gt;=0,MAX(INDEX(MMULT(inverseG,BU$12:BU$62),$A50+1,1),MAX(strike-$B50,0)),"")</f>
        <v>4.8697690606907894E-2</v>
      </c>
      <c r="BW50" s="9">
        <f t="array" ref="BW50">IF(BW$11&gt;=0,MAX(INDEX(MMULT(inverseG,BV$12:BV$62),$A50+1,1),MAX(strike-$B50,0)),"")</f>
        <v>4.9812054237129109E-2</v>
      </c>
      <c r="BX50" s="9">
        <f t="array" ref="BX50">IF(BX$11&gt;=0,MAX(INDEX(MMULT(inverseG,BW$12:BW$62),$A50+1,1),MAX(strike-$B50,0)),"")</f>
        <v>5.0921911334938022E-2</v>
      </c>
      <c r="BY50" s="9">
        <f t="array" ref="BY50">IF(BY$11&gt;=0,MAX(INDEX(MMULT(inverseG,BX$12:BX$62),$A50+1,1),MAX(strike-$B50,0)),"")</f>
        <v>5.2026960857587054E-2</v>
      </c>
      <c r="BZ50" s="9">
        <f t="array" ref="BZ50">IF(BZ$11&gt;=0,MAX(INDEX(MMULT(inverseG,BY$12:BY$62),$A50+1,1),MAX(strike-$B50,0)),"")</f>
        <v>5.3126920380956351E-2</v>
      </c>
      <c r="CA50" s="9">
        <f t="array" ref="CA50">IF(CA$11&gt;=0,MAX(INDEX(MMULT(inverseG,BZ$12:BZ$62),$A50+1,1),MAX(strike-$B50,0)),"")</f>
        <v>5.4221525246835663E-2</v>
      </c>
      <c r="CB50" s="9">
        <f t="array" ref="CB50">IF(CB$11&gt;=0,MAX(INDEX(MMULT(inverseG,CA$12:CA$62),$A50+1,1),MAX(strike-$B50,0)),"")</f>
        <v>5.5310527740612667E-2</v>
      </c>
      <c r="CC50" s="9">
        <f t="array" ref="CC50">IF(CC$11&gt;=0,MAX(INDEX(MMULT(inverseG,CB$12:CB$62),$A50+1,1),MAX(strike-$B50,0)),"")</f>
        <v>5.6393696299564963E-2</v>
      </c>
      <c r="CD50" s="9">
        <f t="array" ref="CD50">IF(CD$11&gt;=0,MAX(INDEX(MMULT(inverseG,CC$12:CC$62),$A50+1,1),MAX(strike-$B50,0)),"")</f>
        <v>5.7470814751708503E-2</v>
      </c>
      <c r="CE50" s="9">
        <f t="array" ref="CE50">IF(CE$11&gt;=0,MAX(INDEX(MMULT(inverseG,CD$12:CD$62),$A50+1,1),MAX(strike-$B50,0)),"")</f>
        <v>5.8541681584950801E-2</v>
      </c>
      <c r="CF50" s="9">
        <f t="array" ref="CF50">IF(CF$11&gt;=0,MAX(INDEX(MMULT(inverseG,CE$12:CE$62),$A50+1,1),MAX(strike-$B50,0)),"")</f>
        <v>5.96061092461284E-2</v>
      </c>
      <c r="CG50" s="9">
        <f t="array" ref="CG50">IF(CG$11&gt;=0,MAX(INDEX(MMULT(inverseG,CF$12:CF$62),$A50+1,1),MAX(strike-$B50,0)),"")</f>
        <v>6.0663923469370162E-2</v>
      </c>
      <c r="CH50" s="9">
        <f t="array" ref="CH50">IF(CH$11&gt;=0,MAX(INDEX(MMULT(inverseG,CG$12:CG$62),$A50+1,1),MAX(strike-$B50,0)),"")</f>
        <v>6.1714962633118861E-2</v>
      </c>
      <c r="CI50" s="9">
        <f t="array" ref="CI50">IF(CI$11&gt;=0,MAX(INDEX(MMULT(inverseG,CH$12:CH$62),$A50+1,1),MAX(strike-$B50,0)),"")</f>
        <v>6.2759077145055825E-2</v>
      </c>
      <c r="CJ50" s="9">
        <f t="array" ref="CJ50">IF(CJ$11&gt;=0,MAX(INDEX(MMULT(inverseG,CI$12:CI$62),$A50+1,1),MAX(strike-$B50,0)),"")</f>
        <v>6.3796128854110123E-2</v>
      </c>
      <c r="CK50" s="9">
        <f t="array" ref="CK50">IF(CK$11&gt;=0,MAX(INDEX(MMULT(inverseG,CJ$12:CJ$62),$A50+1,1),MAX(strike-$B50,0)),"")</f>
        <v>6.4825990488684593E-2</v>
      </c>
      <c r="CL50" s="9">
        <f t="array" ref="CL50">IF(CL$11&gt;=0,MAX(INDEX(MMULT(inverseG,CK$12:CK$62),$A50+1,1),MAX(strike-$B50,0)),"")</f>
        <v>6.5848545120198984E-2</v>
      </c>
      <c r="CM50" s="9">
        <f t="array" ref="CM50">IF(CM$11&gt;=0,MAX(INDEX(MMULT(inverseG,CL$12:CL$62),$A50+1,1),MAX(strike-$B50,0)),"")</f>
        <v>6.6863685651031221E-2</v>
      </c>
      <c r="CN50" s="9">
        <f t="array" ref="CN50">IF(CN$11&gt;=0,MAX(INDEX(MMULT(inverseG,CM$12:CM$62),$A50+1,1),MAX(strike-$B50,0)),"")</f>
        <v>6.7871314325927953E-2</v>
      </c>
      <c r="CO50" s="9">
        <f t="array" ref="CO50">IF(CO$11&gt;=0,MAX(INDEX(MMULT(inverseG,CN$12:CN$62),$A50+1,1),MAX(strike-$B50,0)),"")</f>
        <v>6.8871342265955815E-2</v>
      </c>
      <c r="CP50" s="9">
        <f t="array" ref="CP50">IF(CP$11&gt;=0,MAX(INDEX(MMULT(inverseG,CO$12:CO$62),$A50+1,1),MAX(strike-$B50,0)),"")</f>
        <v>6.9863689024071002E-2</v>
      </c>
      <c r="CQ50" s="9">
        <f t="array" ref="CQ50">IF(CQ$11&gt;=0,MAX(INDEX(MMULT(inverseG,CP$12:CP$62),$A50+1,1),MAX(strike-$B50,0)),"")</f>
        <v>7.0848282161399101E-2</v>
      </c>
      <c r="CR50" s="9">
        <f t="array" ref="CR50">IF(CR$11&gt;=0,MAX(INDEX(MMULT(inverseG,CQ$12:CQ$62),$A50+1,1),MAX(strike-$B50,0)),"")</f>
        <v>7.1825056843332791E-2</v>
      </c>
      <c r="CS50" s="9">
        <f t="array" ref="CS50">IF(CS$11&gt;=0,MAX(INDEX(MMULT(inverseG,CR$12:CR$62),$A50+1,1),MAX(strike-$B50,0)),"")</f>
        <v>7.2793955454579465E-2</v>
      </c>
      <c r="CT50" s="9">
        <f t="array" ref="CT50">IF(CT$11&gt;=0,MAX(INDEX(MMULT(inverseG,CS$12:CS$62),$A50+1,1),MAX(strike-$B50,0)),"")</f>
        <v>7.375492723232209E-2</v>
      </c>
      <c r="CU50" s="9">
        <f t="array" ref="CU50">IF(CU$11&gt;=0,MAX(INDEX(MMULT(inverseG,CT$12:CT$62),$A50+1,1),MAX(strike-$B50,0)),"")</f>
        <v>7.4707927916712116E-2</v>
      </c>
      <c r="CV50" s="9">
        <f t="array" ref="CV50">IF(CV$11&gt;=0,MAX(INDEX(MMULT(inverseG,CU$12:CU$62),$A50+1,1),MAX(strike-$B50,0)),"")</f>
        <v>7.5652919417999509E-2</v>
      </c>
      <c r="CW50" s="9">
        <f t="array" ref="CW50">IF(CW$11&gt;=0,MAX(INDEX(MMULT(inverseG,CV$12:CV$62),$A50+1,1),MAX(strike-$B50,0)),"")</f>
        <v>7.658986949972954E-2</v>
      </c>
      <c r="CX50" s="9">
        <f t="array" ref="CX50">IF(CX$11&gt;=0,MAX(INDEX(MMULT(inverseG,CW$12:CW$62),$A50+1,1),MAX(strike-$B50,0)),"")</f>
        <v>7.7518751477587633E-2</v>
      </c>
      <c r="CY50" s="9">
        <f t="array" ref="CY50">IF(CY$11&gt;=0,MAX(INDEX(MMULT(inverseG,CX$12:CX$62),$A50+1,1),MAX(strike-$B50,0)),"")</f>
        <v>7.843954393362329E-2</v>
      </c>
      <c r="CZ50" s="9">
        <f t="array" ref="CZ50">IF(CZ$11&gt;=0,MAX(INDEX(MMULT(inverseG,CY$12:CY$62),$A50+1,1),MAX(strike-$B50,0)),"")</f>
        <v>7.9352230445704136E-2</v>
      </c>
      <c r="DA50" s="9" t="str">
        <f t="array" ref="DA50">IF(DA$11&gt;=0,MAX(INDEX(MMULT(inverseG,CZ$12:CZ$62),$A50+1,1),MAX(strike-$B50,0)),"")</f>
        <v/>
      </c>
      <c r="DB50" s="9" t="str">
        <f t="array" ref="DB50">IF(DB$11&gt;=0,MAX(INDEX(MMULT(inverseG,DA$12:DA$62),$A50+1,1),MAX(strike-$B50,0)),"")</f>
        <v/>
      </c>
      <c r="DC50" s="9" t="str">
        <f t="array" ref="DC50">IF(DC$11&gt;=0,MAX(INDEX(MMULT(inverseG,DB$12:DB$62),$A50+1,1),MAX(strike-$B50,0)),"")</f>
        <v/>
      </c>
      <c r="DD50" s="9" t="str">
        <f t="array" ref="DD50">IF(DD$11&gt;=0,MAX(INDEX(MMULT(inverseG,DC$12:DC$62),$A50+1,1),MAX(strike-$B50,0)),"")</f>
        <v/>
      </c>
      <c r="DE50" s="9" t="str">
        <f t="array" ref="DE50">IF(DE$11&gt;=0,MAX(INDEX(MMULT(inverseG,DD$12:DD$62),$A50+1,1),MAX(strike-$B50,0)),"")</f>
        <v/>
      </c>
      <c r="DF50" s="9" t="str">
        <f t="array" ref="DF50">IF(DF$11&gt;=0,MAX(INDEX(MMULT(inverseG,DE$12:DE$62),$A50+1,1),MAX(strike-$B50,0)),"")</f>
        <v/>
      </c>
      <c r="DG50" s="9" t="str">
        <f t="array" ref="DG50">IF(DG$11&gt;=0,MAX(INDEX(MMULT(inverseG,DF$12:DF$62),$A50+1,1),MAX(strike-$B50,0)),"")</f>
        <v/>
      </c>
      <c r="DH50" s="9" t="str">
        <f t="array" ref="DH50">IF(DH$11&gt;=0,MAX(INDEX(MMULT(inverseG,DG$12:DG$62),$A50+1,1),MAX(strike-$B50,0)),"")</f>
        <v/>
      </c>
      <c r="DI50" s="9" t="str">
        <f t="array" ref="DI50">IF(DI$11&gt;=0,MAX(INDEX(MMULT(inverseG,DH$12:DH$62),$A50+1,1),MAX(strike-$B50,0)),"")</f>
        <v/>
      </c>
      <c r="DJ50" s="9" t="str">
        <f t="array" ref="DJ50">IF(DJ$11&gt;=0,MAX(INDEX(MMULT(inverseG,DI$12:DI$62),$A50+1,1),MAX(strike-$B50,0)),"")</f>
        <v/>
      </c>
      <c r="DK50" s="9" t="str">
        <f t="array" ref="DK50">IF(DK$11&gt;=0,MAX(INDEX(MMULT(inverseG,DJ$12:DJ$62),$A50+1,1),MAX(strike-$B50,0)),"")</f>
        <v/>
      </c>
      <c r="DL50" s="9" t="str">
        <f t="array" ref="DL50">IF(DL$11&gt;=0,MAX(INDEX(MMULT(inverseG,DK$12:DK$62),$A50+1,1),MAX(strike-$B50,0)),"")</f>
        <v/>
      </c>
      <c r="DM50" s="9" t="str">
        <f t="array" ref="DM50">IF(DM$11&gt;=0,MAX(INDEX(MMULT(inverseG,DL$12:DL$62),$A50+1,1),MAX(strike-$B50,0)),"")</f>
        <v/>
      </c>
      <c r="DN50" s="9" t="str">
        <f t="array" ref="DN50">IF(DN$11&gt;=0,MAX(INDEX(MMULT(inverseG,DM$12:DM$62),$A50+1,1),MAX(strike-$B50,0)),"")</f>
        <v/>
      </c>
      <c r="DO50" s="9" t="str">
        <f t="array" ref="DO50">IF(DO$11&gt;=0,MAX(INDEX(MMULT(inverseG,DN$12:DN$62),$A50+1,1),MAX(strike-$B50,0)),"")</f>
        <v/>
      </c>
      <c r="DP50" s="9" t="str">
        <f t="array" ref="DP50">IF(DP$11&gt;=0,MAX(INDEX(MMULT(inverseG,DO$12:DO$62),$A50+1,1),MAX(strike-$B50,0)),"")</f>
        <v/>
      </c>
      <c r="DQ50" s="9" t="str">
        <f t="array" ref="DQ50">IF(DQ$11&gt;=0,MAX(INDEX(MMULT(inverseG,DP$12:DP$62),$A50+1,1),MAX(strike-$B50,0)),"")</f>
        <v/>
      </c>
      <c r="DR50" s="9" t="str">
        <f t="array" ref="DR50">IF(DR$11&gt;=0,MAX(INDEX(MMULT(inverseG,DQ$12:DQ$62),$A50+1,1),MAX(strike-$B50,0)),"")</f>
        <v/>
      </c>
      <c r="DS50" s="9" t="str">
        <f t="array" ref="DS50">IF(DS$11&gt;=0,MAX(INDEX(MMULT(inverseG,DR$12:DR$62),$A50+1,1),MAX(strike-$B50,0)),"")</f>
        <v/>
      </c>
      <c r="DT50" s="9" t="str">
        <f t="array" ref="DT50">IF(DT$11&gt;=0,MAX(INDEX(MMULT(inverseG,DS$12:DS$62),$A50+1,1),MAX(strike-$B50,0)),"")</f>
        <v/>
      </c>
      <c r="DU50" s="9" t="str">
        <f t="array" ref="DU50">IF(DU$11&gt;=0,MAX(INDEX(MMULT(inverseG,DT$12:DT$62),$A50+1,1),MAX(strike-$B50,0)),"")</f>
        <v/>
      </c>
      <c r="DV50" s="9" t="str">
        <f t="array" ref="DV50">IF(DV$11&gt;=0,MAX(INDEX(MMULT(inverseG,DU$12:DU$62),$A50+1,1),MAX(strike-$B50,0)),"")</f>
        <v/>
      </c>
      <c r="DW50" s="9" t="str">
        <f t="array" ref="DW50">IF(DW$11&gt;=0,MAX(INDEX(MMULT(inverseG,DV$12:DV$62),$A50+1,1),MAX(strike-$B50,0)),"")</f>
        <v/>
      </c>
      <c r="DX50" s="9" t="str">
        <f t="array" ref="DX50">IF(DX$11&gt;=0,MAX(INDEX(MMULT(inverseG,DW$12:DW$62),$A50+1,1),MAX(strike-$B50,0)),"")</f>
        <v/>
      </c>
      <c r="DY50" s="9" t="str">
        <f t="array" ref="DY50">IF(DY$11&gt;=0,MAX(INDEX(MMULT(inverseG,DX$12:DX$62),$A50+1,1),MAX(strike-$B50,0)),"")</f>
        <v/>
      </c>
      <c r="DZ50" s="9" t="str">
        <f t="array" ref="DZ50">IF(DZ$11&gt;=0,MAX(INDEX(MMULT(inverseG,DY$12:DY$62),$A50+1,1),MAX(strike-$B50,0)),"")</f>
        <v/>
      </c>
      <c r="EA50" s="9" t="str">
        <f t="array" ref="EA50">IF(EA$11&gt;=0,MAX(INDEX(MMULT(inverseG,DZ$12:DZ$62),$A50+1,1),MAX(strike-$B50,0)),"")</f>
        <v/>
      </c>
      <c r="EB50" s="9" t="str">
        <f t="array" ref="EB50">IF(EB$11&gt;=0,MAX(INDEX(MMULT(inverseG,EA$12:EA$62),$A50+1,1),MAX(strike-$B50,0)),"")</f>
        <v/>
      </c>
      <c r="EC50" s="9" t="str">
        <f t="array" ref="EC50">IF(EC$11&gt;=0,MAX(INDEX(MMULT(inverseG,EB$12:EB$62),$A50+1,1),MAX(strike-$B50,0)),"")</f>
        <v/>
      </c>
      <c r="ED50" s="9" t="str">
        <f t="array" ref="ED50">IF(ED$11&gt;=0,MAX(INDEX(MMULT(inverseG,EC$12:EC$62),$A50+1,1),MAX(strike-$B50,0)),"")</f>
        <v/>
      </c>
      <c r="EE50" s="9" t="str">
        <f t="array" ref="EE50">IF(EE$11&gt;=0,MAX(INDEX(MMULT(inverseG,ED$12:ED$62),$A50+1,1),MAX(strike-$B50,0)),"")</f>
        <v/>
      </c>
      <c r="EF50" s="9" t="str">
        <f t="array" ref="EF50">IF(EF$11&gt;=0,MAX(INDEX(MMULT(inverseG,EE$12:EE$62),$A50+1,1),MAX(strike-$B50,0)),"")</f>
        <v/>
      </c>
      <c r="EG50" s="9" t="str">
        <f t="array" ref="EG50">IF(EG$11&gt;=0,MAX(INDEX(MMULT(inverseG,EF$12:EF$62),$A50+1,1),MAX(strike-$B50,0)),"")</f>
        <v/>
      </c>
      <c r="EH50" s="9" t="str">
        <f t="array" ref="EH50">IF(EH$11&gt;=0,MAX(INDEX(MMULT(inverseG,EG$12:EG$62),$A50+1,1),MAX(strike-$B50,0)),"")</f>
        <v/>
      </c>
      <c r="EI50" s="9" t="str">
        <f t="array" ref="EI50">IF(EI$11&gt;=0,MAX(INDEX(MMULT(inverseG,EH$12:EH$62),$A50+1,1),MAX(strike-$B50,0)),"")</f>
        <v/>
      </c>
      <c r="EJ50" s="9" t="str">
        <f t="array" ref="EJ50">IF(EJ$11&gt;=0,MAX(INDEX(MMULT(inverseG,EI$12:EI$62),$A50+1,1),MAX(strike-$B50,0)),"")</f>
        <v/>
      </c>
      <c r="EK50" s="9" t="str">
        <f t="array" ref="EK50">IF(EK$11&gt;=0,MAX(INDEX(MMULT(inverseG,EJ$12:EJ$62),$A50+1,1),MAX(strike-$B50,0)),"")</f>
        <v/>
      </c>
      <c r="EL50" s="9" t="str">
        <f t="array" ref="EL50">IF(EL$11&gt;=0,MAX(INDEX(MMULT(inverseG,EK$12:EK$62),$A50+1,1),MAX(strike-$B50,0)),"")</f>
        <v/>
      </c>
      <c r="EM50" s="9" t="str">
        <f t="array" ref="EM50">IF(EM$11&gt;=0,MAX(INDEX(MMULT(inverseG,EL$12:EL$62),$A50+1,1),MAX(strike-$B50,0)),"")</f>
        <v/>
      </c>
      <c r="EN50" s="9" t="str">
        <f t="array" ref="EN50">IF(EN$11&gt;=0,MAX(INDEX(MMULT(inverseG,EM$12:EM$62),$A50+1,1),MAX(strike-$B50,0)),"")</f>
        <v/>
      </c>
      <c r="EO50" s="9" t="str">
        <f t="array" ref="EO50">IF(EO$11&gt;=0,MAX(INDEX(MMULT(inverseG,EN$12:EN$62),$A50+1,1),MAX(strike-$B50,0)),"")</f>
        <v/>
      </c>
      <c r="EP50" s="9" t="str">
        <f t="array" ref="EP50">IF(EP$11&gt;=0,MAX(INDEX(MMULT(inverseG,EO$12:EO$62),$A50+1,1),MAX(strike-$B50,0)),"")</f>
        <v/>
      </c>
      <c r="EQ50" s="9" t="str">
        <f t="array" ref="EQ50">IF(EQ$11&gt;=0,MAX(INDEX(MMULT(inverseG,EP$12:EP$62),$A50+1,1),MAX(strike-$B50,0)),"")</f>
        <v/>
      </c>
      <c r="ER50" s="9" t="str">
        <f t="array" ref="ER50">IF(ER$11&gt;=0,MAX(INDEX(MMULT(inverseG,EQ$12:EQ$62),$A50+1,1),MAX(strike-$B50,0)),"")</f>
        <v/>
      </c>
      <c r="ES50" s="9" t="str">
        <f t="array" ref="ES50">IF(ES$11&gt;=0,MAX(INDEX(MMULT(inverseG,ER$12:ER$62),$A50+1,1),MAX(strike-$B50,0)),"")</f>
        <v/>
      </c>
      <c r="ET50" s="9" t="str">
        <f t="array" ref="ET50">IF(ET$11&gt;=0,MAX(INDEX(MMULT(inverseG,ES$12:ES$62),$A50+1,1),MAX(strike-$B50,0)),"")</f>
        <v/>
      </c>
      <c r="EU50" s="9" t="str">
        <f t="array" ref="EU50">IF(EU$11&gt;=0,MAX(INDEX(MMULT(inverseG,ET$12:ET$62),$A50+1,1),MAX(strike-$B50,0)),"")</f>
        <v/>
      </c>
      <c r="EV50" s="9" t="str">
        <f t="array" ref="EV50">IF(EV$11&gt;=0,MAX(INDEX(MMULT(inverseG,EU$12:EU$62),$A50+1,1),MAX(strike-$B50,0)),"")</f>
        <v/>
      </c>
      <c r="EW50" s="9" t="str">
        <f t="array" ref="EW50">IF(EW$11&gt;=0,MAX(INDEX(MMULT(inverseG,EV$12:EV$62),$A50+1,1),MAX(strike-$B50,0)),"")</f>
        <v/>
      </c>
      <c r="EX50" s="9" t="str">
        <f t="array" ref="EX50">IF(EX$11&gt;=0,MAX(INDEX(MMULT(inverseG,EW$12:EW$62),$A50+1,1),MAX(strike-$B50,0)),"")</f>
        <v/>
      </c>
      <c r="EY50" s="9" t="str">
        <f t="array" ref="EY50">IF(EY$11&gt;=0,MAX(INDEX(MMULT(inverseG,EX$12:EX$62),$A50+1,1),MAX(strike-$B50,0)),"")</f>
        <v/>
      </c>
      <c r="EZ50" s="9" t="str">
        <f t="array" ref="EZ50">IF(EZ$11&gt;=0,MAX(INDEX(MMULT(inverseG,EY$12:EY$62),$A50+1,1),MAX(strike-$B50,0)),"")</f>
        <v/>
      </c>
      <c r="FA50" s="9" t="str">
        <f t="array" ref="FA50">IF(FA$11&gt;=0,MAX(INDEX(MMULT(inverseG,EZ$12:EZ$62),$A50+1,1),MAX(strike-$B50,0)),"")</f>
        <v/>
      </c>
      <c r="FB50" s="9" t="str">
        <f t="array" ref="FB50">IF(FB$11&gt;=0,MAX(INDEX(MMULT(inverseG,FA$12:FA$62),$A50+1,1),MAX(strike-$B50,0)),"")</f>
        <v/>
      </c>
      <c r="FC50" s="9" t="str">
        <f t="array" ref="FC50">IF(FC$11&gt;=0,MAX(INDEX(MMULT(inverseG,FB$12:FB$62),$A50+1,1),MAX(strike-$B50,0)),"")</f>
        <v/>
      </c>
      <c r="FD50" s="9" t="str">
        <f t="array" ref="FD50">IF(FD$11&gt;=0,MAX(INDEX(MMULT(inverseG,FC$12:FC$62),$A50+1,1),MAX(strike-$B50,0)),"")</f>
        <v/>
      </c>
      <c r="FE50" s="9" t="str">
        <f t="array" ref="FE50">IF(FE$11&gt;=0,MAX(INDEX(MMULT(inverseG,FD$12:FD$62),$A50+1,1),MAX(strike-$B50,0)),"")</f>
        <v/>
      </c>
      <c r="FF50" s="9" t="str">
        <f t="array" ref="FF50">IF(FF$11&gt;=0,MAX(INDEX(MMULT(inverseG,FE$12:FE$62),$A50+1,1),MAX(strike-$B50,0)),"")</f>
        <v/>
      </c>
      <c r="FG50" s="9" t="str">
        <f t="array" ref="FG50">IF(FG$11&gt;=0,MAX(INDEX(MMULT(inverseG,FF$12:FF$62),$A50+1,1),MAX(strike-$B50,0)),"")</f>
        <v/>
      </c>
      <c r="FH50" s="9" t="str">
        <f t="array" ref="FH50">IF(FH$11&gt;=0,MAX(INDEX(MMULT(inverseG,FG$12:FG$62),$A50+1,1),MAX(strike-$B50,0)),"")</f>
        <v/>
      </c>
      <c r="FI50" s="9" t="str">
        <f t="array" ref="FI50">IF(FI$11&gt;=0,MAX(INDEX(MMULT(inverseG,FH$12:FH$62),$A50+1,1),MAX(strike-$B50,0)),"")</f>
        <v/>
      </c>
      <c r="FJ50" s="9" t="str">
        <f t="array" ref="FJ50">IF(FJ$11&gt;=0,MAX(INDEX(MMULT(inverseG,FI$12:FI$62),$A50+1,1),MAX(strike-$B50,0)),"")</f>
        <v/>
      </c>
      <c r="FK50" s="9" t="str">
        <f t="array" ref="FK50">IF(FK$11&gt;=0,MAX(INDEX(MMULT(inverseG,FJ$12:FJ$62),$A50+1,1),MAX(strike-$B50,0)),"")</f>
        <v/>
      </c>
      <c r="FL50" s="9" t="str">
        <f t="array" ref="FL50">IF(FL$11&gt;=0,MAX(INDEX(MMULT(inverseG,FK$12:FK$62),$A50+1,1),MAX(strike-$B50,0)),"")</f>
        <v/>
      </c>
      <c r="FM50" s="9" t="str">
        <f t="array" ref="FM50">IF(FM$11&gt;=0,MAX(INDEX(MMULT(inverseG,FL$12:FL$62),$A50+1,1),MAX(strike-$B50,0)),"")</f>
        <v/>
      </c>
      <c r="FN50" s="9" t="str">
        <f t="array" ref="FN50">IF(FN$11&gt;=0,MAX(INDEX(MMULT(inverseG,FM$12:FM$62),$A50+1,1),MAX(strike-$B50,0)),"")</f>
        <v/>
      </c>
      <c r="FO50" s="9" t="str">
        <f t="array" ref="FO50">IF(FO$11&gt;=0,MAX(INDEX(MMULT(inverseG,FN$12:FN$62),$A50+1,1),MAX(strike-$B50,0)),"")</f>
        <v/>
      </c>
      <c r="FP50" s="9" t="str">
        <f t="array" ref="FP50">IF(FP$11&gt;=0,MAX(INDEX(MMULT(inverseG,FO$12:FO$62),$A50+1,1),MAX(strike-$B50,0)),"")</f>
        <v/>
      </c>
      <c r="FQ50" s="9" t="str">
        <f t="array" ref="FQ50">IF(FQ$11&gt;=0,MAX(INDEX(MMULT(inverseG,FP$12:FP$62),$A50+1,1),MAX(strike-$B50,0)),"")</f>
        <v/>
      </c>
      <c r="FR50" s="9" t="str">
        <f t="array" ref="FR50">IF(FR$11&gt;=0,MAX(INDEX(MMULT(inverseG,FQ$12:FQ$62),$A50+1,1),MAX(strike-$B50,0)),"")</f>
        <v/>
      </c>
      <c r="FS50" s="9" t="str">
        <f t="array" ref="FS50">IF(FS$11&gt;=0,MAX(INDEX(MMULT(inverseG,FR$12:FR$62),$A50+1,1),MAX(strike-$B50,0)),"")</f>
        <v/>
      </c>
      <c r="FT50" s="9" t="str">
        <f t="array" ref="FT50">IF(FT$11&gt;=0,MAX(INDEX(MMULT(inverseG,FS$12:FS$62),$A50+1,1),MAX(strike-$B50,0)),"")</f>
        <v/>
      </c>
      <c r="FU50" s="9" t="str">
        <f t="array" ref="FU50">IF(FU$11&gt;=0,MAX(INDEX(MMULT(inverseG,FT$12:FT$62),$A50+1,1),MAX(strike-$B50,0)),"")</f>
        <v/>
      </c>
      <c r="FV50" s="9" t="str">
        <f t="array" ref="FV50">IF(FV$11&gt;=0,MAX(INDEX(MMULT(inverseG,FU$12:FU$62),$A50+1,1),MAX(strike-$B50,0)),"")</f>
        <v/>
      </c>
      <c r="FW50" s="9" t="str">
        <f t="array" ref="FW50">IF(FW$11&gt;=0,MAX(INDEX(MMULT(inverseG,FV$12:FV$62),$A50+1,1),MAX(strike-$B50,0)),"")</f>
        <v/>
      </c>
      <c r="FX50" s="9" t="str">
        <f t="array" ref="FX50">IF(FX$11&gt;=0,MAX(INDEX(MMULT(inverseG,FW$12:FW$62),$A50+1,1),MAX(strike-$B50,0)),"")</f>
        <v/>
      </c>
      <c r="FY50" s="9" t="str">
        <f t="array" ref="FY50">IF(FY$11&gt;=0,MAX(INDEX(MMULT(inverseG,FX$12:FX$62),$A50+1,1),MAX(strike-$B50,0)),"")</f>
        <v/>
      </c>
      <c r="FZ50" s="9" t="str">
        <f t="array" ref="FZ50">IF(FZ$11&gt;=0,MAX(INDEX(MMULT(inverseG,FY$12:FY$62),$A50+1,1),MAX(strike-$B50,0)),"")</f>
        <v/>
      </c>
      <c r="GA50" s="9" t="str">
        <f t="array" ref="GA50">IF(GA$11&gt;=0,MAX(INDEX(MMULT(inverseG,FZ$12:FZ$62),$A50+1,1),MAX(strike-$B50,0)),"")</f>
        <v/>
      </c>
      <c r="GB50" s="9" t="str">
        <f t="array" ref="GB50">IF(GB$11&gt;=0,MAX(INDEX(MMULT(inverseG,GA$12:GA$62),$A50+1,1),MAX(strike-$B50,0)),"")</f>
        <v/>
      </c>
      <c r="GC50" s="9" t="str">
        <f t="array" ref="GC50">IF(GC$11&gt;=0,MAX(INDEX(MMULT(inverseG,GB$12:GB$62),$A50+1,1),MAX(strike-$B50,0)),"")</f>
        <v/>
      </c>
      <c r="GD50" s="9" t="str">
        <f t="array" ref="GD50">IF(GD$11&gt;=0,MAX(INDEX(MMULT(inverseG,GC$12:GC$62),$A50+1,1),MAX(strike-$B50,0)),"")</f>
        <v/>
      </c>
      <c r="GE50" s="9" t="str">
        <f t="array" ref="GE50">IF(GE$11&gt;=0,MAX(INDEX(MMULT(inverseG,GD$12:GD$62),$A50+1,1),MAX(strike-$B50,0)),"")</f>
        <v/>
      </c>
      <c r="GF50" s="9" t="str">
        <f t="array" ref="GF50">IF(GF$11&gt;=0,MAX(INDEX(MMULT(inverseG,GE$12:GE$62),$A50+1,1),MAX(strike-$B50,0)),"")</f>
        <v/>
      </c>
      <c r="GG50" s="9" t="str">
        <f t="array" ref="GG50">IF(GG$11&gt;=0,MAX(INDEX(MMULT(inverseG,GF$12:GF$62),$A50+1,1),MAX(strike-$B50,0)),"")</f>
        <v/>
      </c>
      <c r="GH50" s="9" t="str">
        <f t="array" ref="GH50">IF(GH$11&gt;=0,MAX(INDEX(MMULT(inverseG,GG$12:GG$62),$A50+1,1),MAX(strike-$B50,0)),"")</f>
        <v/>
      </c>
      <c r="GI50" s="9" t="str">
        <f t="array" ref="GI50">IF(GI$11&gt;=0,MAX(INDEX(MMULT(inverseG,GH$12:GH$62),$A50+1,1),MAX(strike-$B50,0)),"")</f>
        <v/>
      </c>
      <c r="GJ50" s="9" t="str">
        <f t="array" ref="GJ50">IF(GJ$11&gt;=0,MAX(INDEX(MMULT(inverseG,GI$12:GI$62),$A50+1,1),MAX(strike-$B50,0)),"")</f>
        <v/>
      </c>
      <c r="GK50" s="9" t="str">
        <f t="array" ref="GK50">IF(GK$11&gt;=0,MAX(INDEX(MMULT(inverseG,GJ$12:GJ$62),$A50+1,1),MAX(strike-$B50,0)),"")</f>
        <v/>
      </c>
      <c r="GL50" s="9" t="str">
        <f t="array" ref="GL50">IF(GL$11&gt;=0,MAX(INDEX(MMULT(inverseG,GK$12:GK$62),$A50+1,1),MAX(strike-$B50,0)),"")</f>
        <v/>
      </c>
      <c r="GM50" s="9" t="str">
        <f t="array" ref="GM50">IF(GM$11&gt;=0,MAX(INDEX(MMULT(inverseG,GL$12:GL$62),$A50+1,1),MAX(strike-$B50,0)),"")</f>
        <v/>
      </c>
      <c r="GN50" s="9" t="str">
        <f t="array" ref="GN50">IF(GN$11&gt;=0,MAX(INDEX(MMULT(inverseG,GM$12:GM$62),$A50+1,1),MAX(strike-$B50,0)),"")</f>
        <v/>
      </c>
      <c r="GO50" s="9" t="str">
        <f t="array" ref="GO50">IF(GO$11&gt;=0,MAX(INDEX(MMULT(inverseG,GN$12:GN$62),$A50+1,1),MAX(strike-$B50,0)),"")</f>
        <v/>
      </c>
      <c r="GP50" s="9" t="str">
        <f t="array" ref="GP50">IF(GP$11&gt;=0,MAX(INDEX(MMULT(inverseG,GO$12:GO$62),$A50+1,1),MAX(strike-$B50,0)),"")</f>
        <v/>
      </c>
      <c r="GQ50" s="9" t="str">
        <f t="array" ref="GQ50">IF(GQ$11&gt;=0,MAX(INDEX(MMULT(inverseG,GP$12:GP$62),$A50+1,1),MAX(strike-$B50,0)),"")</f>
        <v/>
      </c>
      <c r="GR50" s="9" t="str">
        <f t="array" ref="GR50">IF(GR$11&gt;=0,MAX(INDEX(MMULT(inverseG,GQ$12:GQ$62),$A50+1,1),MAX(strike-$B50,0)),"")</f>
        <v/>
      </c>
      <c r="GS50" s="9" t="str">
        <f t="array" ref="GS50">IF(GS$11&gt;=0,MAX(INDEX(MMULT(inverseG,GR$12:GR$62),$A50+1,1),MAX(strike-$B50,0)),"")</f>
        <v/>
      </c>
      <c r="GT50" s="9" t="str">
        <f t="array" ref="GT50">IF(GT$11&gt;=0,MAX(INDEX(MMULT(inverseG,GS$12:GS$62),$A50+1,1),MAX(strike-$B50,0)),"")</f>
        <v/>
      </c>
      <c r="GU50" s="9" t="str">
        <f t="array" ref="GU50">IF(GU$11&gt;=0,MAX(INDEX(MMULT(inverseG,GT$12:GT$62),$A50+1,1),MAX(strike-$B50,0)),"")</f>
        <v/>
      </c>
      <c r="GV50" s="9" t="str">
        <f t="array" ref="GV50">IF(GV$11&gt;=0,MAX(INDEX(MMULT(inverseG,GU$12:GU$62),$A50+1,1),MAX(strike-$B50,0)),"")</f>
        <v/>
      </c>
      <c r="GW50" s="9" t="str">
        <f t="array" ref="GW50">IF(GW$11&gt;=0,MAX(INDEX(MMULT(inverseG,GV$12:GV$62),$A50+1,1),MAX(strike-$B50,0)),"")</f>
        <v/>
      </c>
      <c r="GX50" s="9" t="str">
        <f t="array" ref="GX50">IF(GX$11&gt;=0,MAX(INDEX(MMULT(inverseG,GW$12:GW$62),$A50+1,1),MAX(strike-$B50,0)),"")</f>
        <v/>
      </c>
      <c r="GY50" s="9" t="str">
        <f t="array" ref="GY50">IF(GY$11&gt;=0,MAX(INDEX(MMULT(inverseG,GX$12:GX$62),$A50+1,1),MAX(strike-$B50,0)),"")</f>
        <v/>
      </c>
      <c r="GZ50" s="9" t="str">
        <f t="array" ref="GZ50">IF(GZ$11&gt;=0,MAX(INDEX(MMULT(inverseG,GY$12:GY$62),$A50+1,1),MAX(strike-$B50,0)),"")</f>
        <v/>
      </c>
      <c r="HA50" s="9" t="str">
        <f t="array" ref="HA50">IF(HA$11&gt;=0,MAX(INDEX(MMULT(inverseG,GZ$12:GZ$62),$A50+1,1),MAX(strike-$B50,0)),"")</f>
        <v/>
      </c>
      <c r="HB50" s="9" t="str">
        <f t="array" ref="HB50">IF(HB$11&gt;=0,MAX(INDEX(MMULT(inverseG,HA$12:HA$62),$A50+1,1),MAX(strike-$B50,0)),"")</f>
        <v/>
      </c>
      <c r="HC50" s="9" t="str">
        <f t="array" ref="HC50">IF(HC$11&gt;=0,MAX(INDEX(MMULT(inverseG,HB$12:HB$62),$A50+1,1),MAX(strike-$B50,0)),"")</f>
        <v/>
      </c>
      <c r="HD50" s="9" t="str">
        <f t="array" ref="HD50">IF(HD$11&gt;=0,MAX(INDEX(MMULT(inverseG,HC$12:HC$62),$A50+1,1),MAX(strike-$B50,0)),"")</f>
        <v/>
      </c>
      <c r="HE50" s="9" t="str">
        <f t="array" ref="HE50">IF(HE$11&gt;=0,MAX(INDEX(MMULT(inverseG,HD$12:HD$62),$A50+1,1),MAX(strike-$B50,0)),"")</f>
        <v/>
      </c>
      <c r="HF50" s="9" t="str">
        <f t="array" ref="HF50">IF(HF$11&gt;=0,MAX(INDEX(MMULT(inverseG,HE$12:HE$62),$A50+1,1),MAX(strike-$B50,0)),"")</f>
        <v/>
      </c>
      <c r="HG50" s="9" t="str">
        <f t="array" ref="HG50">IF(HG$11&gt;=0,MAX(INDEX(MMULT(inverseG,HF$12:HF$62),$A50+1,1),MAX(strike-$B50,0)),"")</f>
        <v/>
      </c>
      <c r="HH50" s="9" t="str">
        <f t="array" ref="HH50">IF(HH$11&gt;=0,MAX(INDEX(MMULT(inverseG,HG$12:HG$62),$A50+1,1),MAX(strike-$B50,0)),"")</f>
        <v/>
      </c>
      <c r="HI50" s="9" t="str">
        <f t="array" ref="HI50">IF(HI$11&gt;=0,MAX(INDEX(MMULT(inverseG,HH$12:HH$62),$A50+1,1),MAX(strike-$B50,0)),"")</f>
        <v/>
      </c>
      <c r="HJ50" s="9" t="str">
        <f t="array" ref="HJ50">IF(HJ$11&gt;=0,MAX(INDEX(MMULT(inverseG,HI$12:HI$62),$A50+1,1),MAX(strike-$B50,0)),"")</f>
        <v/>
      </c>
      <c r="HK50" s="9" t="str">
        <f t="array" ref="HK50">IF(HK$11&gt;=0,MAX(INDEX(MMULT(inverseG,HJ$12:HJ$62),$A50+1,1),MAX(strike-$B50,0)),"")</f>
        <v/>
      </c>
      <c r="HL50" s="9" t="str">
        <f t="array" ref="HL50">IF(HL$11&gt;=0,MAX(INDEX(MMULT(inverseG,HK$12:HK$62),$A50+1,1),MAX(strike-$B50,0)),"")</f>
        <v/>
      </c>
      <c r="HM50" s="9" t="str">
        <f t="array" ref="HM50">IF(HM$11&gt;=0,MAX(INDEX(MMULT(inverseG,HL$12:HL$62),$A50+1,1),MAX(strike-$B50,0)),"")</f>
        <v/>
      </c>
      <c r="HN50" s="9" t="str">
        <f t="array" ref="HN50">IF(HN$11&gt;=0,MAX(INDEX(MMULT(inverseG,HM$12:HM$62),$A50+1,1),MAX(strike-$B50,0)),"")</f>
        <v/>
      </c>
      <c r="HO50" s="9" t="str">
        <f t="array" ref="HO50">IF(HO$11&gt;=0,MAX(INDEX(MMULT(inverseG,HN$12:HN$62),$A50+1,1),MAX(strike-$B50,0)),"")</f>
        <v/>
      </c>
      <c r="HP50" s="9" t="str">
        <f t="array" ref="HP50">IF(HP$11&gt;=0,MAX(INDEX(MMULT(inverseG,HO$12:HO$62),$A50+1,1),MAX(strike-$B50,0)),"")</f>
        <v/>
      </c>
      <c r="HQ50" s="9" t="str">
        <f t="array" ref="HQ50">IF(HQ$11&gt;=0,MAX(INDEX(MMULT(inverseG,HP$12:HP$62),$A50+1,1),MAX(strike-$B50,0)),"")</f>
        <v/>
      </c>
      <c r="HR50" s="9" t="str">
        <f t="array" ref="HR50">IF(HR$11&gt;=0,MAX(INDEX(MMULT(inverseG,HQ$12:HQ$62),$A50+1,1),MAX(strike-$B50,0)),"")</f>
        <v/>
      </c>
      <c r="HS50" s="9" t="str">
        <f t="array" ref="HS50">IF(HS$11&gt;=0,MAX(INDEX(MMULT(inverseG,HR$12:HR$62),$A50+1,1),MAX(strike-$B50,0)),"")</f>
        <v/>
      </c>
      <c r="HT50" s="9" t="str">
        <f t="array" ref="HT50">IF(HT$11&gt;=0,MAX(INDEX(MMULT(inverseG,HS$12:HS$62),$A50+1,1),MAX(strike-$B50,0)),"")</f>
        <v/>
      </c>
      <c r="HU50" s="9" t="str">
        <f t="array" ref="HU50">IF(HU$11&gt;=0,MAX(INDEX(MMULT(inverseG,HT$12:HT$62),$A50+1,1),MAX(strike-$B50,0)),"")</f>
        <v/>
      </c>
      <c r="HV50" s="9" t="str">
        <f t="array" ref="HV50">IF(HV$11&gt;=0,MAX(INDEX(MMULT(inverseG,HU$12:HU$62),$A50+1,1),MAX(strike-$B50,0)),"")</f>
        <v/>
      </c>
      <c r="HW50" s="9" t="str">
        <f t="array" ref="HW50">IF(HW$11&gt;=0,MAX(INDEX(MMULT(inverseG,HV$12:HV$62),$A50+1,1),MAX(strike-$B50,0)),"")</f>
        <v/>
      </c>
      <c r="HX50" s="9" t="str">
        <f t="array" ref="HX50">IF(HX$11&gt;=0,MAX(INDEX(MMULT(inverseG,HW$12:HW$62),$A50+1,1),MAX(strike-$B50,0)),"")</f>
        <v/>
      </c>
      <c r="HY50" s="9" t="str">
        <f t="array" ref="HY50">IF(HY$11&gt;=0,MAX(INDEX(MMULT(inverseG,HX$12:HX$62),$A50+1,1),MAX(strike-$B50,0)),"")</f>
        <v/>
      </c>
      <c r="HZ50" s="9" t="str">
        <f t="array" ref="HZ50">IF(HZ$11&gt;=0,MAX(INDEX(MMULT(inverseG,HY$12:HY$62),$A50+1,1),MAX(strike-$B50,0)),"")</f>
        <v/>
      </c>
      <c r="IA50" s="9" t="str">
        <f t="array" ref="IA50">IF(IA$11&gt;=0,MAX(INDEX(MMULT(inverseG,HZ$12:HZ$62),$A50+1,1),MAX(strike-$B50,0)),"")</f>
        <v/>
      </c>
      <c r="IB50" s="9" t="str">
        <f t="array" ref="IB50">IF(IB$11&gt;=0,MAX(INDEX(MMULT(inverseG,IA$12:IA$62),$A50+1,1),MAX(strike-$B50,0)),"")</f>
        <v/>
      </c>
      <c r="IC50" s="9" t="str">
        <f t="array" ref="IC50">IF(IC$11&gt;=0,MAX(INDEX(MMULT(inverseG,IB$12:IB$62),$A50+1,1),MAX(strike-$B50,0)),"")</f>
        <v/>
      </c>
      <c r="ID50" s="9" t="str">
        <f t="array" ref="ID50">IF(ID$11&gt;=0,MAX(INDEX(MMULT(inverseG,IC$12:IC$62),$A50+1,1),MAX(strike-$B50,0)),"")</f>
        <v/>
      </c>
      <c r="IE50" s="9" t="str">
        <f t="array" ref="IE50">IF(IE$11&gt;=0,MAX(INDEX(MMULT(inverseG,ID$12:ID$62),$A50+1,1),MAX(strike-$B50,0)),"")</f>
        <v/>
      </c>
      <c r="IF50" s="9" t="str">
        <f t="array" ref="IF50">IF(IF$11&gt;=0,MAX(INDEX(MMULT(inverseG,IE$12:IE$62),$A50+1,1),MAX(strike-$B50,0)),"")</f>
        <v/>
      </c>
      <c r="IG50" s="9" t="str">
        <f t="array" ref="IG50">IF(IG$11&gt;=0,MAX(INDEX(MMULT(inverseG,IF$12:IF$62),$A50+1,1),MAX(strike-$B50,0)),"")</f>
        <v/>
      </c>
      <c r="IH50" s="9" t="str">
        <f t="array" ref="IH50">IF(IH$11&gt;=0,MAX(INDEX(MMULT(inverseG,IG$12:IG$62),$A50+1,1),MAX(strike-$B50,0)),"")</f>
        <v/>
      </c>
      <c r="II50" s="9" t="str">
        <f t="array" ref="II50">IF(II$11&gt;=0,MAX(INDEX(MMULT(inverseG,IH$12:IH$62),$A50+1,1),MAX(strike-$B50,0)),"")</f>
        <v/>
      </c>
      <c r="IJ50" s="9" t="str">
        <f t="array" ref="IJ50">IF(IJ$11&gt;=0,MAX(INDEX(MMULT(inverseG,II$12:II$62),$A50+1,1),MAX(strike-$B50,0)),"")</f>
        <v/>
      </c>
      <c r="IK50" s="9" t="str">
        <f t="array" ref="IK50">IF(IK$11&gt;=0,MAX(INDEX(MMULT(inverseG,IJ$12:IJ$62),$A50+1,1),MAX(strike-$B50,0)),"")</f>
        <v/>
      </c>
      <c r="IL50" s="9" t="str">
        <f t="array" ref="IL50">IF(IL$11&gt;=0,MAX(INDEX(MMULT(inverseG,IK$12:IK$62),$A50+1,1),MAX(strike-$B50,0)),"")</f>
        <v/>
      </c>
      <c r="IM50" s="9" t="str">
        <f t="array" ref="IM50">IF(IM$11&gt;=0,MAX(INDEX(MMULT(inverseG,IL$12:IL$62),$A50+1,1),MAX(strike-$B50,0)),"")</f>
        <v/>
      </c>
      <c r="IN50" s="9" t="str">
        <f t="array" ref="IN50">IF(IN$11&gt;=0,MAX(INDEX(MMULT(inverseG,IM$12:IM$62),$A50+1,1),MAX(strike-$B50,0)),"")</f>
        <v/>
      </c>
      <c r="IO50" s="9" t="str">
        <f t="array" ref="IO50">IF(IO$11&gt;=0,MAX(INDEX(MMULT(inverseG,IN$12:IN$62),$A50+1,1),MAX(strike-$B50,0)),"")</f>
        <v/>
      </c>
      <c r="IP50" s="9" t="str">
        <f t="array" ref="IP50">IF(IP$11&gt;=0,MAX(INDEX(MMULT(inverseG,IO$12:IO$62),$A50+1,1),MAX(strike-$B50,0)),"")</f>
        <v/>
      </c>
      <c r="IQ50" s="9" t="str">
        <f t="array" ref="IQ50">IF(IQ$11&gt;=0,MAX(INDEX(MMULT(inverseG,IP$12:IP$62),$A50+1,1),MAX(strike-$B50,0)),"")</f>
        <v/>
      </c>
      <c r="IR50" s="9" t="str">
        <f t="array" ref="IR50">IF(IR$11&gt;=0,MAX(INDEX(MMULT(inverseG,IQ$12:IQ$62),$A50+1,1),MAX(strike-$B50,0)),"")</f>
        <v/>
      </c>
      <c r="IS50" s="9" t="str">
        <f t="array" ref="IS50">IF(IS$11&gt;=0,MAX(INDEX(MMULT(inverseG,IR$12:IR$62),$A50+1,1),MAX(strike-$B50,0)),"")</f>
        <v/>
      </c>
      <c r="IT50" s="9" t="str">
        <f t="array" ref="IT50">IF(IT$11&gt;=0,MAX(INDEX(MMULT(inverseG,IS$12:IS$62),$A50+1,1),MAX(strike-$B50,0)),"")</f>
        <v/>
      </c>
      <c r="IU50" s="9" t="str">
        <f t="array" ref="IU50">IF(IU$11&gt;=0,MAX(INDEX(MMULT(inverseG,IT$12:IT$62),$A50+1,1),MAX(strike-$B50,0)),"")</f>
        <v/>
      </c>
      <c r="IV50" s="9" t="str">
        <f t="array" ref="IV50">IF(IV$11&gt;=0,MAX(INDEX(MMULT(inverseG,IU$12:IU$62),$A50+1,1),MAX(strike-$B50,0)),"")</f>
        <v/>
      </c>
    </row>
    <row r="51" spans="1:256" x14ac:dyDescent="0.2">
      <c r="A51" s="8">
        <f t="shared" si="7"/>
        <v>39</v>
      </c>
      <c r="B51" s="6">
        <f t="shared" si="8"/>
        <v>9.75</v>
      </c>
      <c r="C51" s="30">
        <f t="shared" ca="1" si="6"/>
        <v>6.9814162408606648E-2</v>
      </c>
      <c r="D51" s="9">
        <f t="shared" si="9"/>
        <v>0</v>
      </c>
      <c r="E51" s="9">
        <f t="array" ref="E51">IF(E$11&gt;=0,MAX(INDEX(MMULT(inverseG,D$12:D$62),$A51+1,1),MAX(strike-$B51,0)),"")</f>
        <v>5.2976924786481822E-9</v>
      </c>
      <c r="F51" s="9">
        <f t="array" ref="F51">IF(F$11&gt;=0,MAX(INDEX(MMULT(inverseG,E$12:E$62),$A51+1,1),MAX(strike-$B51,0)),"")</f>
        <v>4.883905011517962E-8</v>
      </c>
      <c r="G51" s="9">
        <f t="array" ref="G51">IF(G$11&gt;=0,MAX(INDEX(MMULT(inverseG,F$12:F$62),$A51+1,1),MAX(strike-$B51,0)),"")</f>
        <v>2.4092418208924592E-7</v>
      </c>
      <c r="H51" s="9">
        <f t="array" ref="H51">IF(H$11&gt;=0,MAX(INDEX(MMULT(inverseG,G$12:G$62),$A51+1,1),MAX(strike-$B51,0)),"")</f>
        <v>8.4584329976599388E-7</v>
      </c>
      <c r="I51" s="9">
        <f t="array" ref="I51">IF(I$11&gt;=0,MAX(INDEX(MMULT(inverseG,H$12:H$62),$A51+1,1),MAX(strike-$B51,0)),"")</f>
        <v>2.3720967647848318E-6</v>
      </c>
      <c r="J51" s="9">
        <f t="array" ref="J51">IF(J$11&gt;=0,MAX(INDEX(MMULT(inverseG,I$12:I$62),$A51+1,1),MAX(strike-$B51,0)),"")</f>
        <v>5.6555221696733554E-6</v>
      </c>
      <c r="K51" s="9">
        <f t="array" ref="K51">IF(K$11&gt;=0,MAX(INDEX(MMULT(inverseG,J$12:J$62),$A51+1,1),MAX(strike-$B51,0)),"")</f>
        <v>1.1915771956334552E-5</v>
      </c>
      <c r="L51" s="9">
        <f t="array" ref="L51">IF(L$11&gt;=0,MAX(INDEX(MMULT(inverseG,K$12:K$62),$A51+1,1),MAX(strike-$B51,0)),"")</f>
        <v>2.2774038507535501E-5</v>
      </c>
      <c r="M51" s="9">
        <f t="array" ref="M51">IF(M$11&gt;=0,MAX(INDEX(MMULT(inverseG,L$12:L$62),$A51+1,1),MAX(strike-$B51,0)),"")</f>
        <v>4.0229521168282376E-5</v>
      </c>
      <c r="N51" s="9">
        <f t="array" ref="N51">IF(N$11&gt;=0,MAX(INDEX(MMULT(inverseG,M$12:M$62),$A51+1,1),MAX(strike-$B51,0)),"")</f>
        <v>6.6600298647345141E-5</v>
      </c>
      <c r="O51" s="9">
        <f t="array" ref="O51">IF(O$11&gt;=0,MAX(INDEX(MMULT(inverseG,N$12:N$62),$A51+1,1),MAX(strike-$B51,0)),"")</f>
        <v>1.0443921137366837E-4</v>
      </c>
      <c r="P51" s="9">
        <f t="array" ref="P51">IF(P$11&gt;=0,MAX(INDEX(MMULT(inverseG,O$12:O$62),$A51+1,1),MAX(strike-$B51,0)),"")</f>
        <v>1.564369187315386E-4</v>
      </c>
      <c r="Q51" s="9">
        <f t="array" ref="Q51">IF(Q$11&gt;=0,MAX(INDEX(MMULT(inverseG,P$12:P$62),$A51+1,1),MAX(strike-$B51,0)),"")</f>
        <v>2.2532328981614622E-4</v>
      </c>
      <c r="R51" s="9">
        <f t="array" ref="R51">IF(R$11&gt;=0,MAX(INDEX(MMULT(inverseG,Q$12:Q$62),$A51+1,1),MAX(strike-$B51,0)),"")</f>
        <v>3.1377582257397288E-4</v>
      </c>
      <c r="S51" s="9">
        <f t="array" ref="S51">IF(S$11&gt;=0,MAX(INDEX(MMULT(inverseG,R$12:R$62),$A51+1,1),MAX(strike-$B51,0)),"")</f>
        <v>4.2434084057223307E-4</v>
      </c>
      <c r="T51" s="9">
        <f t="array" ref="T51">IF(T$11&gt;=0,MAX(INDEX(MMULT(inverseG,S$12:S$62),$A51+1,1),MAX(strike-$B51,0)),"")</f>
        <v>5.593704558889928E-4</v>
      </c>
      <c r="U51" s="9">
        <f t="array" ref="U51">IF(U$11&gt;=0,MAX(INDEX(MMULT(inverseG,T$12:T$62),$A51+1,1),MAX(strike-$B51,0)),"")</f>
        <v>7.2097606268969004E-4</v>
      </c>
      <c r="V51" s="9">
        <f t="array" ref="V51">IF(V$11&gt;=0,MAX(INDEX(MMULT(inverseG,U$12:U$62),$A51+1,1),MAX(strike-$B51,0)),"")</f>
        <v>9.1099754976193366E-4</v>
      </c>
      <c r="W51" s="9">
        <f t="array" ref="W51">IF(W$11&gt;=0,MAX(INDEX(MMULT(inverseG,V$12:V$62),$A51+1,1),MAX(strike-$B51,0)),"")</f>
        <v>1.1309864518844728E-3</v>
      </c>
      <c r="X51" s="9">
        <f t="array" ref="X51">IF(X$11&gt;=0,MAX(INDEX(MMULT(inverseG,W$12:W$62),$A51+1,1),MAX(strike-$B51,0)),"")</f>
        <v>1.3822007855664262E-3</v>
      </c>
      <c r="Y51" s="9">
        <f t="array" ref="Y51">IF(Y$11&gt;=0,MAX(INDEX(MMULT(inverseG,X$12:X$62),$A51+1,1),MAX(strike-$B51,0)),"")</f>
        <v>1.6656091992607086E-3</v>
      </c>
      <c r="Z51" s="9">
        <f t="array" ref="Z51">IF(Z$11&gt;=0,MAX(INDEX(MMULT(inverseG,Y$12:Y$62),$A51+1,1),MAX(strike-$B51,0)),"")</f>
        <v>1.9819021859957256E-3</v>
      </c>
      <c r="AA51" s="9">
        <f t="array" ref="AA51">IF(AA$11&gt;=0,MAX(INDEX(MMULT(inverseG,Z$12:Z$62),$A51+1,1),MAX(strike-$B51,0)),"")</f>
        <v>2.3315083557131065E-3</v>
      </c>
      <c r="AB51" s="9">
        <f t="array" ref="AB51">IF(AB$11&gt;=0,MAX(INDEX(MMULT(inverseG,AA$12:AA$62),$A51+1,1),MAX(strike-$B51,0)),"")</f>
        <v>2.7146140711949642E-3</v>
      </c>
      <c r="AC51" s="9">
        <f t="array" ref="AC51">IF(AC$11&gt;=0,MAX(INDEX(MMULT(inverseG,AB$12:AB$62),$A51+1,1),MAX(strike-$B51,0)),"")</f>
        <v>3.1311850662115435E-3</v>
      </c>
      <c r="AD51" s="9">
        <f t="array" ref="AD51">IF(AD$11&gt;=0,MAX(INDEX(MMULT(inverseG,AC$12:AC$62),$A51+1,1),MAX(strike-$B51,0)),"")</f>
        <v>3.5809889584272735E-3</v>
      </c>
      <c r="AE51" s="9">
        <f t="array" ref="AE51">IF(AE$11&gt;=0,MAX(INDEX(MMULT(inverseG,AD$12:AD$62),$A51+1,1),MAX(strike-$B51,0)),"")</f>
        <v>4.0636178281957197E-3</v>
      </c>
      <c r="AF51" s="9">
        <f t="array" ref="AF51">IF(AF$11&gt;=0,MAX(INDEX(MMULT(inverseG,AE$12:AE$62),$A51+1,1),MAX(strike-$B51,0)),"")</f>
        <v>4.578510252718767E-3</v>
      </c>
      <c r="AG51" s="9">
        <f t="array" ref="AG51">IF(AG$11&gt;=0,MAX(INDEX(MMULT(inverseG,AF$12:AF$62),$A51+1,1),MAX(strike-$B51,0)),"")</f>
        <v>5.1249723638723994E-3</v>
      </c>
      <c r="AH51" s="9">
        <f t="array" ref="AH51">IF(AH$11&gt;=0,MAX(INDEX(MMULT(inverseG,AG$12:AG$62),$A51+1,1),MAX(strike-$B51,0)),"")</f>
        <v>5.7021976409733091E-3</v>
      </c>
      <c r="AI51" s="9">
        <f t="array" ref="AI51">IF(AI$11&gt;=0,MAX(INDEX(MMULT(inverseG,AH$12:AH$62),$A51+1,1),MAX(strike-$B51,0)),"")</f>
        <v>6.3092852617237577E-3</v>
      </c>
      <c r="AJ51" s="9">
        <f t="array" ref="AJ51">IF(AJ$11&gt;=0,MAX(INDEX(MMULT(inverseG,AI$12:AI$62),$A51+1,1),MAX(strike-$B51,0)),"")</f>
        <v>6.9452569205419199E-3</v>
      </c>
      <c r="AK51" s="9">
        <f t="array" ref="AK51">IF(AK$11&gt;=0,MAX(INDEX(MMULT(inverseG,AJ$12:AJ$62),$A51+1,1),MAX(strike-$B51,0)),"")</f>
        <v>7.6090720881262014E-3</v>
      </c>
      <c r="AL51" s="9">
        <f t="array" ref="AL51">IF(AL$11&gt;=0,MAX(INDEX(MMULT(inverseG,AK$12:AK$62),$A51+1,1),MAX(strike-$B51,0)),"")</f>
        <v>8.299641733514173E-3</v>
      </c>
      <c r="AM51" s="9">
        <f t="array" ref="AM51">IF(AM$11&gt;=0,MAX(INDEX(MMULT(inverseG,AL$12:AL$62),$A51+1,1),MAX(strike-$B51,0)),"")</f>
        <v>9.0158405635677504E-3</v>
      </c>
      <c r="AN51" s="9">
        <f t="array" ref="AN51">IF(AN$11&gt;=0,MAX(INDEX(MMULT(inverseG,AM$12:AM$62),$A51+1,1),MAX(strike-$B51,0)),"")</f>
        <v>9.7565178576563567E-3</v>
      </c>
      <c r="AO51" s="9">
        <f t="array" ref="AO51">IF(AO$11&gt;=0,MAX(INDEX(MMULT(inverseG,AN$12:AN$62),$A51+1,1),MAX(strike-$B51,0)),"")</f>
        <v>1.0520506989740734E-2</v>
      </c>
      <c r="AP51" s="9">
        <f t="array" ref="AP51">IF(AP$11&gt;=0,MAX(INDEX(MMULT(inverseG,AO$12:AO$62),$A51+1,1),MAX(strike-$B51,0)),"")</f>
        <v>1.1306633738106472E-2</v>
      </c>
      <c r="AQ51" s="9">
        <f t="array" ref="AQ51">IF(AQ$11&gt;=0,MAX(INDEX(MMULT(inverseG,AP$12:AP$62),$A51+1,1),MAX(strike-$B51,0)),"")</f>
        <v>1.2113723486343814E-2</v>
      </c>
      <c r="AR51" s="9">
        <f t="array" ref="AR51">IF(AR$11&gt;=0,MAX(INDEX(MMULT(inverseG,AQ$12:AQ$62),$A51+1,1),MAX(strike-$B51,0)),"")</f>
        <v>1.2940607419154601E-2</v>
      </c>
      <c r="AS51" s="9">
        <f t="array" ref="AS51">IF(AS$11&gt;=0,MAX(INDEX(MMULT(inverseG,AR$12:AR$62),$A51+1,1),MAX(strike-$B51,0)),"")</f>
        <v>1.3786127814168185E-2</v>
      </c>
      <c r="AT51" s="9">
        <f t="array" ref="AT51">IF(AT$11&gt;=0,MAX(INDEX(MMULT(inverseG,AS$12:AS$62),$A51+1,1),MAX(strike-$B51,0)),"")</f>
        <v>1.4649142526817044E-2</v>
      </c>
      <c r="AU51" s="9">
        <f t="array" ref="AU51">IF(AU$11&gt;=0,MAX(INDEX(MMULT(inverseG,AT$12:AT$62),$A51+1,1),MAX(strike-$B51,0)),"")</f>
        <v>1.5528528759871429E-2</v>
      </c>
      <c r="AV51" s="9">
        <f t="array" ref="AV51">IF(AV$11&gt;=0,MAX(INDEX(MMULT(inverseG,AU$12:AU$62),$A51+1,1),MAX(strike-$B51,0)),"")</f>
        <v>1.6423186202747981E-2</v>
      </c>
      <c r="AW51" s="9">
        <f t="array" ref="AW51">IF(AW$11&gt;=0,MAX(INDEX(MMULT(inverseG,AV$12:AV$62),$A51+1,1),MAX(strike-$B51,0)),"")</f>
        <v>1.7332039618451051E-2</v>
      </c>
      <c r="AX51" s="9">
        <f t="array" ref="AX51">IF(AX$11&gt;=0,MAX(INDEX(MMULT(inverseG,AW$12:AW$62),$A51+1,1),MAX(strike-$B51,0)),"")</f>
        <v>1.8254040948268244E-2</v>
      </c>
      <c r="AY51" s="9">
        <f t="array" ref="AY51">IF(AY$11&gt;=0,MAX(INDEX(MMULT(inverseG,AX$12:AX$62),$A51+1,1),MAX(strike-$B51,0)),"")</f>
        <v>1.9188170996447391E-2</v>
      </c>
      <c r="AZ51" s="9">
        <f t="array" ref="AZ51">IF(AZ$11&gt;=0,MAX(INDEX(MMULT(inverseG,AY$12:AY$62),$A51+1,1),MAX(strike-$B51,0)),"")</f>
        <v>2.0133440749360673E-2</v>
      </c>
      <c r="BA51" s="9">
        <f t="array" ref="BA51">IF(BA$11&gt;=0,MAX(INDEX(MMULT(inverseG,AZ$12:AZ$62),$A51+1,1),MAX(strike-$B51,0)),"")</f>
        <v>2.1088892376408108E-2</v>
      </c>
      <c r="BB51" s="9">
        <f t="array" ref="BB51">IF(BB$11&gt;=0,MAX(INDEX(MMULT(inverseG,BA$12:BA$62),$A51+1,1),MAX(strike-$B51,0)),"")</f>
        <v>2.2053599953350007E-2</v>
      </c>
      <c r="BC51" s="9">
        <f t="array" ref="BC51">IF(BC$11&gt;=0,MAX(INDEX(MMULT(inverseG,BB$12:BB$62),$A51+1,1),MAX(strike-$B51,0)),"")</f>
        <v>2.3026669943024457E-2</v>
      </c>
      <c r="BD51" s="9">
        <f t="array" ref="BD51">IF(BD$11&gt;=0,MAX(INDEX(MMULT(inverseG,BC$12:BC$62),$A51+1,1),MAX(strike-$B51,0)),"")</f>
        <v>2.4007241463546436E-2</v>
      </c>
      <c r="BE51" s="9">
        <f t="array" ref="BE51">IF(BE$11&gt;=0,MAX(INDEX(MMULT(inverseG,BD$12:BD$62),$A51+1,1),MAX(strike-$B51,0)),"")</f>
        <v>2.4994486370072126E-2</v>
      </c>
      <c r="BF51" s="9">
        <f t="array" ref="BF51">IF(BF$11&gt;=0,MAX(INDEX(MMULT(inverseG,BE$12:BE$62),$A51+1,1),MAX(strike-$B51,0)),"")</f>
        <v>2.5987609172960141E-2</v>
      </c>
      <c r="BG51" s="9">
        <f t="array" ref="BG51">IF(BG$11&gt;=0,MAX(INDEX(MMULT(inverseG,BF$12:BF$62),$A51+1,1),MAX(strike-$B51,0)),"")</f>
        <v>2.698584681255569E-2</v>
      </c>
      <c r="BH51" s="9">
        <f t="array" ref="BH51">IF(BH$11&gt;=0,MAX(INDEX(MMULT(inverseG,BG$12:BG$62),$A51+1,1),MAX(strike-$B51,0)),"")</f>
        <v>2.7988468308734703E-2</v>
      </c>
      <c r="BI51" s="9">
        <f t="array" ref="BI51">IF(BI$11&gt;=0,MAX(INDEX(MMULT(inverseG,BH$12:BH$62),$A51+1,1),MAX(strike-$B51,0)),"")</f>
        <v>2.8994774301650837E-2</v>
      </c>
      <c r="BJ51" s="9">
        <f t="array" ref="BJ51">IF(BJ$11&gt;=0,MAX(INDEX(MMULT(inverseG,BI$12:BI$62),$A51+1,1),MAX(strike-$B51,0)),"")</f>
        <v>3.0004096498717842E-2</v>
      </c>
      <c r="BK51" s="9">
        <f t="array" ref="BK51">IF(BK$11&gt;=0,MAX(INDEX(MMULT(inverseG,BJ$12:BJ$62),$A51+1,1),MAX(strike-$B51,0)),"")</f>
        <v>3.1015797041645584E-2</v>
      </c>
      <c r="BL51" s="9">
        <f t="array" ref="BL51">IF(BL$11&gt;=0,MAX(INDEX(MMULT(inverseG,BK$12:BK$62),$A51+1,1),MAX(strike-$B51,0)),"")</f>
        <v>3.2029267806260434E-2</v>
      </c>
      <c r="BM51" s="9">
        <f t="array" ref="BM51">IF(BM$11&gt;=0,MAX(INDEX(MMULT(inverseG,BL$12:BL$62),$A51+1,1),MAX(strike-$B51,0)),"")</f>
        <v>3.3043929646833108E-2</v>
      </c>
      <c r="BN51" s="9">
        <f t="array" ref="BN51">IF(BN$11&gt;=0,MAX(INDEX(MMULT(inverseG,BM$12:BM$62),$A51+1,1),MAX(strike-$B51,0)),"")</f>
        <v>3.4059231595677565E-2</v>
      </c>
      <c r="BO51" s="9">
        <f t="array" ref="BO51">IF(BO$11&gt;=0,MAX(INDEX(MMULT(inverseG,BN$12:BN$62),$A51+1,1),MAX(strike-$B51,0)),"")</f>
        <v>3.5074650027856966E-2</v>
      </c>
      <c r="BP51" s="9">
        <f t="array" ref="BP51">IF(BP$11&gt;=0,MAX(INDEX(MMULT(inverseG,BO$12:BO$62),$A51+1,1),MAX(strike-$B51,0)),"")</f>
        <v>3.6089687799928161E-2</v>
      </c>
      <c r="BQ51" s="9">
        <f t="array" ref="BQ51">IF(BQ$11&gt;=0,MAX(INDEX(MMULT(inverseG,BP$12:BP$62),$A51+1,1),MAX(strike-$B51,0)),"")</f>
        <v>3.7103873370776322E-2</v>
      </c>
      <c r="BR51" s="9">
        <f t="array" ref="BR51">IF(BR$11&gt;=0,MAX(INDEX(MMULT(inverseG,BQ$12:BQ$62),$A51+1,1),MAX(strike-$B51,0)),"")</f>
        <v>3.8116759911737581E-2</v>
      </c>
      <c r="BS51" s="9">
        <f t="array" ref="BS51">IF(BS$11&gt;=0,MAX(INDEX(MMULT(inverseG,BR$12:BR$62),$A51+1,1),MAX(strike-$B51,0)),"")</f>
        <v>3.9127924412387355E-2</v>
      </c>
      <c r="BT51" s="9">
        <f t="array" ref="BT51">IF(BT$11&gt;=0,MAX(INDEX(MMULT(inverseG,BS$12:BS$62),$A51+1,1),MAX(strike-$B51,0)),"")</f>
        <v>4.0136966787588747E-2</v>
      </c>
      <c r="BU51" s="9">
        <f t="array" ref="BU51">IF(BU$11&gt;=0,MAX(INDEX(MMULT(inverseG,BT$12:BT$62),$A51+1,1),MAX(strike-$B51,0)),"")</f>
        <v>4.1143508990659022E-2</v>
      </c>
      <c r="BV51" s="9">
        <f t="array" ref="BV51">IF(BV$11&gt;=0,MAX(INDEX(MMULT(inverseG,BU$12:BU$62),$A51+1,1),MAX(strike-$B51,0)),"")</f>
        <v>4.2147194136821324E-2</v>
      </c>
      <c r="BW51" s="9">
        <f t="array" ref="BW51">IF(BW$11&gt;=0,MAX(INDEX(MMULT(inverseG,BV$12:BV$62),$A51+1,1),MAX(strike-$B51,0)),"")</f>
        <v>4.3147685640472271E-2</v>
      </c>
      <c r="BX51" s="9">
        <f t="array" ref="BX51">IF(BX$11&gt;=0,MAX(INDEX(MMULT(inverseG,BW$12:BW$62),$A51+1,1),MAX(strike-$B51,0)),"")</f>
        <v>4.4144666369211792E-2</v>
      </c>
      <c r="BY51" s="9">
        <f t="array" ref="BY51">IF(BY$11&gt;=0,MAX(INDEX(MMULT(inverseG,BX$12:BX$62),$A51+1,1),MAX(strike-$B51,0)),"")</f>
        <v>4.513783781705144E-2</v>
      </c>
      <c r="BZ51" s="9">
        <f t="array" ref="BZ51">IF(BZ$11&gt;=0,MAX(INDEX(MMULT(inverseG,BY$12:BY$62),$A51+1,1),MAX(strike-$B51,0)),"")</f>
        <v>4.612691929874143E-2</v>
      </c>
      <c r="CA51" s="9">
        <f t="array" ref="CA51">IF(CA$11&gt;=0,MAX(INDEX(MMULT(inverseG,BZ$12:BZ$62),$A51+1,1),MAX(strike-$B51,0)),"")</f>
        <v>4.7111647166730899E-2</v>
      </c>
      <c r="CB51" s="9">
        <f t="array" ref="CB51">IF(CB$11&gt;=0,MAX(INDEX(MMULT(inverseG,CA$12:CA$62),$A51+1,1),MAX(strike-$B51,0)),"")</f>
        <v>4.8091774051901119E-2</v>
      </c>
      <c r="CC51" s="9">
        <f t="array" ref="CC51">IF(CC$11&gt;=0,MAX(INDEX(MMULT(inverseG,CB$12:CB$62),$A51+1,1),MAX(strike-$B51,0)),"")</f>
        <v>4.9067068128881078E-2</v>
      </c>
      <c r="CD51" s="9">
        <f t="array" ref="CD51">IF(CD$11&gt;=0,MAX(INDEX(MMULT(inverseG,CC$12:CC$62),$A51+1,1),MAX(strike-$B51,0)),"")</f>
        <v>5.0037312406469608E-2</v>
      </c>
      <c r="CE51" s="9">
        <f t="array" ref="CE51">IF(CE$11&gt;=0,MAX(INDEX(MMULT(inverseG,CD$12:CD$62),$A51+1,1),MAX(strike-$B51,0)),"")</f>
        <v>5.100230404344059E-2</v>
      </c>
      <c r="CF51" s="9">
        <f t="array" ref="CF51">IF(CF$11&gt;=0,MAX(INDEX(MMULT(inverseG,CE$12:CE$62),$A51+1,1),MAX(strike-$B51,0)),"")</f>
        <v>5.1961853689797846E-2</v>
      </c>
      <c r="CG51" s="9">
        <f t="array" ref="CG51">IF(CG$11&gt;=0,MAX(INDEX(MMULT(inverseG,CF$12:CF$62),$A51+1,1),MAX(strike-$B51,0)),"")</f>
        <v>5.2915784853367787E-2</v>
      </c>
      <c r="CH51" s="9">
        <f t="array" ref="CH51">IF(CH$11&gt;=0,MAX(INDEX(MMULT(inverseG,CG$12:CG$62),$A51+1,1),MAX(strike-$B51,0)),"")</f>
        <v>5.3863933291469046E-2</v>
      </c>
      <c r="CI51" s="9">
        <f t="array" ref="CI51">IF(CI$11&gt;=0,MAX(INDEX(MMULT(inverseG,CH$12:CH$62),$A51+1,1),MAX(strike-$B51,0)),"")</f>
        <v>5.480614642727507E-2</v>
      </c>
      <c r="CJ51" s="9">
        <f t="array" ref="CJ51">IF(CJ$11&gt;=0,MAX(INDEX(MMULT(inverseG,CI$12:CI$62),$A51+1,1),MAX(strike-$B51,0)),"")</f>
        <v>5.5742282790385435E-2</v>
      </c>
      <c r="CK51" s="9">
        <f t="array" ref="CK51">IF(CK$11&gt;=0,MAX(INDEX(MMULT(inverseG,CJ$12:CJ$62),$A51+1,1),MAX(strike-$B51,0)),"")</f>
        <v>5.6672211481041346E-2</v>
      </c>
      <c r="CL51" s="9">
        <f t="array" ref="CL51">IF(CL$11&gt;=0,MAX(INDEX(MMULT(inverseG,CK$12:CK$62),$A51+1,1),MAX(strike-$B51,0)),"")</f>
        <v>5.7595811657358012E-2</v>
      </c>
      <c r="CM51" s="9">
        <f t="array" ref="CM51">IF(CM$11&gt;=0,MAX(INDEX(MMULT(inverseG,CL$12:CL$62),$A51+1,1),MAX(strike-$B51,0)),"")</f>
        <v>5.8512972044898477E-2</v>
      </c>
      <c r="CN51" s="9">
        <f t="array" ref="CN51">IF(CN$11&gt;=0,MAX(INDEX(MMULT(inverseG,CM$12:CM$62),$A51+1,1),MAX(strike-$B51,0)),"")</f>
        <v>5.9423590467879171E-2</v>
      </c>
      <c r="CO51" s="9">
        <f t="array" ref="CO51">IF(CO$11&gt;=0,MAX(INDEX(MMULT(inverseG,CN$12:CN$62),$A51+1,1),MAX(strike-$B51,0)),"")</f>
        <v>6.0327573401273427E-2</v>
      </c>
      <c r="CP51" s="9">
        <f t="array" ref="CP51">IF(CP$11&gt;=0,MAX(INDEX(MMULT(inverseG,CO$12:CO$62),$A51+1,1),MAX(strike-$B51,0)),"")</f>
        <v>6.1224835543065168E-2</v>
      </c>
      <c r="CQ51" s="9">
        <f t="array" ref="CQ51">IF(CQ$11&gt;=0,MAX(INDEX(MMULT(inverseG,CP$12:CP$62),$A51+1,1),MAX(strike-$B51,0)),"")</f>
        <v>6.2115299405897897E-2</v>
      </c>
      <c r="CR51" s="9">
        <f t="array" ref="CR51">IF(CR$11&gt;=0,MAX(INDEX(MMULT(inverseG,CQ$12:CQ$62),$A51+1,1),MAX(strike-$B51,0)),"")</f>
        <v>6.2998894927365587E-2</v>
      </c>
      <c r="CS51" s="9">
        <f t="array" ref="CS51">IF(CS$11&gt;=0,MAX(INDEX(MMULT(inverseG,CR$12:CR$62),$A51+1,1),MAX(strike-$B51,0)),"")</f>
        <v>6.3875559098196852E-2</v>
      </c>
      <c r="CT51" s="9">
        <f t="array" ref="CT51">IF(CT$11&gt;=0,MAX(INDEX(MMULT(inverseG,CS$12:CS$62),$A51+1,1),MAX(strike-$B51,0)),"")</f>
        <v>6.4745235607600357E-2</v>
      </c>
      <c r="CU51" s="9">
        <f t="array" ref="CU51">IF(CU$11&gt;=0,MAX(INDEX(MMULT(inverseG,CT$12:CT$62),$A51+1,1),MAX(strike-$B51,0)),"")</f>
        <v>6.5607874505067901E-2</v>
      </c>
      <c r="CV51" s="9">
        <f t="array" ref="CV51">IF(CV$11&gt;=0,MAX(INDEX(MMULT(inverseG,CU$12:CU$62),$A51+1,1),MAX(strike-$B51,0)),"")</f>
        <v>6.6463431877985146E-2</v>
      </c>
      <c r="CW51" s="9">
        <f t="array" ref="CW51">IF(CW$11&gt;=0,MAX(INDEX(MMULT(inverseG,CV$12:CV$62),$A51+1,1),MAX(strike-$B51,0)),"")</f>
        <v>6.7311869544480096E-2</v>
      </c>
      <c r="CX51" s="9">
        <f t="array" ref="CX51">IF(CX$11&gt;=0,MAX(INDEX(MMULT(inverseG,CW$12:CW$62),$A51+1,1),MAX(strike-$B51,0)),"")</f>
        <v>6.8153154761044568E-2</v>
      </c>
      <c r="CY51" s="9">
        <f t="array" ref="CY51">IF(CY$11&gt;=0,MAX(INDEX(MMULT(inverseG,CX$12:CX$62),$A51+1,1),MAX(strike-$B51,0)),"")</f>
        <v>6.8987259944578216E-2</v>
      </c>
      <c r="CZ51" s="9">
        <f t="array" ref="CZ51">IF(CZ$11&gt;=0,MAX(INDEX(MMULT(inverseG,CY$12:CY$62),$A51+1,1),MAX(strike-$B51,0)),"")</f>
        <v>6.9814162408606648E-2</v>
      </c>
      <c r="DA51" s="9" t="str">
        <f t="array" ref="DA51">IF(DA$11&gt;=0,MAX(INDEX(MMULT(inverseG,CZ$12:CZ$62),$A51+1,1),MAX(strike-$B51,0)),"")</f>
        <v/>
      </c>
      <c r="DB51" s="9" t="str">
        <f t="array" ref="DB51">IF(DB$11&gt;=0,MAX(INDEX(MMULT(inverseG,DA$12:DA$62),$A51+1,1),MAX(strike-$B51,0)),"")</f>
        <v/>
      </c>
      <c r="DC51" s="9" t="str">
        <f t="array" ref="DC51">IF(DC$11&gt;=0,MAX(INDEX(MMULT(inverseG,DB$12:DB$62),$A51+1,1),MAX(strike-$B51,0)),"")</f>
        <v/>
      </c>
      <c r="DD51" s="9" t="str">
        <f t="array" ref="DD51">IF(DD$11&gt;=0,MAX(INDEX(MMULT(inverseG,DC$12:DC$62),$A51+1,1),MAX(strike-$B51,0)),"")</f>
        <v/>
      </c>
      <c r="DE51" s="9" t="str">
        <f t="array" ref="DE51">IF(DE$11&gt;=0,MAX(INDEX(MMULT(inverseG,DD$12:DD$62),$A51+1,1),MAX(strike-$B51,0)),"")</f>
        <v/>
      </c>
      <c r="DF51" s="9" t="str">
        <f t="array" ref="DF51">IF(DF$11&gt;=0,MAX(INDEX(MMULT(inverseG,DE$12:DE$62),$A51+1,1),MAX(strike-$B51,0)),"")</f>
        <v/>
      </c>
      <c r="DG51" s="9" t="str">
        <f t="array" ref="DG51">IF(DG$11&gt;=0,MAX(INDEX(MMULT(inverseG,DF$12:DF$62),$A51+1,1),MAX(strike-$B51,0)),"")</f>
        <v/>
      </c>
      <c r="DH51" s="9" t="str">
        <f t="array" ref="DH51">IF(DH$11&gt;=0,MAX(INDEX(MMULT(inverseG,DG$12:DG$62),$A51+1,1),MAX(strike-$B51,0)),"")</f>
        <v/>
      </c>
      <c r="DI51" s="9" t="str">
        <f t="array" ref="DI51">IF(DI$11&gt;=0,MAX(INDEX(MMULT(inverseG,DH$12:DH$62),$A51+1,1),MAX(strike-$B51,0)),"")</f>
        <v/>
      </c>
      <c r="DJ51" s="9" t="str">
        <f t="array" ref="DJ51">IF(DJ$11&gt;=0,MAX(INDEX(MMULT(inverseG,DI$12:DI$62),$A51+1,1),MAX(strike-$B51,0)),"")</f>
        <v/>
      </c>
      <c r="DK51" s="9" t="str">
        <f t="array" ref="DK51">IF(DK$11&gt;=0,MAX(INDEX(MMULT(inverseG,DJ$12:DJ$62),$A51+1,1),MAX(strike-$B51,0)),"")</f>
        <v/>
      </c>
      <c r="DL51" s="9" t="str">
        <f t="array" ref="DL51">IF(DL$11&gt;=0,MAX(INDEX(MMULT(inverseG,DK$12:DK$62),$A51+1,1),MAX(strike-$B51,0)),"")</f>
        <v/>
      </c>
      <c r="DM51" s="9" t="str">
        <f t="array" ref="DM51">IF(DM$11&gt;=0,MAX(INDEX(MMULT(inverseG,DL$12:DL$62),$A51+1,1),MAX(strike-$B51,0)),"")</f>
        <v/>
      </c>
      <c r="DN51" s="9" t="str">
        <f t="array" ref="DN51">IF(DN$11&gt;=0,MAX(INDEX(MMULT(inverseG,DM$12:DM$62),$A51+1,1),MAX(strike-$B51,0)),"")</f>
        <v/>
      </c>
      <c r="DO51" s="9" t="str">
        <f t="array" ref="DO51">IF(DO$11&gt;=0,MAX(INDEX(MMULT(inverseG,DN$12:DN$62),$A51+1,1),MAX(strike-$B51,0)),"")</f>
        <v/>
      </c>
      <c r="DP51" s="9" t="str">
        <f t="array" ref="DP51">IF(DP$11&gt;=0,MAX(INDEX(MMULT(inverseG,DO$12:DO$62),$A51+1,1),MAX(strike-$B51,0)),"")</f>
        <v/>
      </c>
      <c r="DQ51" s="9" t="str">
        <f t="array" ref="DQ51">IF(DQ$11&gt;=0,MAX(INDEX(MMULT(inverseG,DP$12:DP$62),$A51+1,1),MAX(strike-$B51,0)),"")</f>
        <v/>
      </c>
      <c r="DR51" s="9" t="str">
        <f t="array" ref="DR51">IF(DR$11&gt;=0,MAX(INDEX(MMULT(inverseG,DQ$12:DQ$62),$A51+1,1),MAX(strike-$B51,0)),"")</f>
        <v/>
      </c>
      <c r="DS51" s="9" t="str">
        <f t="array" ref="DS51">IF(DS$11&gt;=0,MAX(INDEX(MMULT(inverseG,DR$12:DR$62),$A51+1,1),MAX(strike-$B51,0)),"")</f>
        <v/>
      </c>
      <c r="DT51" s="9" t="str">
        <f t="array" ref="DT51">IF(DT$11&gt;=0,MAX(INDEX(MMULT(inverseG,DS$12:DS$62),$A51+1,1),MAX(strike-$B51,0)),"")</f>
        <v/>
      </c>
      <c r="DU51" s="9" t="str">
        <f t="array" ref="DU51">IF(DU$11&gt;=0,MAX(INDEX(MMULT(inverseG,DT$12:DT$62),$A51+1,1),MAX(strike-$B51,0)),"")</f>
        <v/>
      </c>
      <c r="DV51" s="9" t="str">
        <f t="array" ref="DV51">IF(DV$11&gt;=0,MAX(INDEX(MMULT(inverseG,DU$12:DU$62),$A51+1,1),MAX(strike-$B51,0)),"")</f>
        <v/>
      </c>
      <c r="DW51" s="9" t="str">
        <f t="array" ref="DW51">IF(DW$11&gt;=0,MAX(INDEX(MMULT(inverseG,DV$12:DV$62),$A51+1,1),MAX(strike-$B51,0)),"")</f>
        <v/>
      </c>
      <c r="DX51" s="9" t="str">
        <f t="array" ref="DX51">IF(DX$11&gt;=0,MAX(INDEX(MMULT(inverseG,DW$12:DW$62),$A51+1,1),MAX(strike-$B51,0)),"")</f>
        <v/>
      </c>
      <c r="DY51" s="9" t="str">
        <f t="array" ref="DY51">IF(DY$11&gt;=0,MAX(INDEX(MMULT(inverseG,DX$12:DX$62),$A51+1,1),MAX(strike-$B51,0)),"")</f>
        <v/>
      </c>
      <c r="DZ51" s="9" t="str">
        <f t="array" ref="DZ51">IF(DZ$11&gt;=0,MAX(INDEX(MMULT(inverseG,DY$12:DY$62),$A51+1,1),MAX(strike-$B51,0)),"")</f>
        <v/>
      </c>
      <c r="EA51" s="9" t="str">
        <f t="array" ref="EA51">IF(EA$11&gt;=0,MAX(INDEX(MMULT(inverseG,DZ$12:DZ$62),$A51+1,1),MAX(strike-$B51,0)),"")</f>
        <v/>
      </c>
      <c r="EB51" s="9" t="str">
        <f t="array" ref="EB51">IF(EB$11&gt;=0,MAX(INDEX(MMULT(inverseG,EA$12:EA$62),$A51+1,1),MAX(strike-$B51,0)),"")</f>
        <v/>
      </c>
      <c r="EC51" s="9" t="str">
        <f t="array" ref="EC51">IF(EC$11&gt;=0,MAX(INDEX(MMULT(inverseG,EB$12:EB$62),$A51+1,1),MAX(strike-$B51,0)),"")</f>
        <v/>
      </c>
      <c r="ED51" s="9" t="str">
        <f t="array" ref="ED51">IF(ED$11&gt;=0,MAX(INDEX(MMULT(inverseG,EC$12:EC$62),$A51+1,1),MAX(strike-$B51,0)),"")</f>
        <v/>
      </c>
      <c r="EE51" s="9" t="str">
        <f t="array" ref="EE51">IF(EE$11&gt;=0,MAX(INDEX(MMULT(inverseG,ED$12:ED$62),$A51+1,1),MAX(strike-$B51,0)),"")</f>
        <v/>
      </c>
      <c r="EF51" s="9" t="str">
        <f t="array" ref="EF51">IF(EF$11&gt;=0,MAX(INDEX(MMULT(inverseG,EE$12:EE$62),$A51+1,1),MAX(strike-$B51,0)),"")</f>
        <v/>
      </c>
      <c r="EG51" s="9" t="str">
        <f t="array" ref="EG51">IF(EG$11&gt;=0,MAX(INDEX(MMULT(inverseG,EF$12:EF$62),$A51+1,1),MAX(strike-$B51,0)),"")</f>
        <v/>
      </c>
      <c r="EH51" s="9" t="str">
        <f t="array" ref="EH51">IF(EH$11&gt;=0,MAX(INDEX(MMULT(inverseG,EG$12:EG$62),$A51+1,1),MAX(strike-$B51,0)),"")</f>
        <v/>
      </c>
      <c r="EI51" s="9" t="str">
        <f t="array" ref="EI51">IF(EI$11&gt;=0,MAX(INDEX(MMULT(inverseG,EH$12:EH$62),$A51+1,1),MAX(strike-$B51,0)),"")</f>
        <v/>
      </c>
      <c r="EJ51" s="9" t="str">
        <f t="array" ref="EJ51">IF(EJ$11&gt;=0,MAX(INDEX(MMULT(inverseG,EI$12:EI$62),$A51+1,1),MAX(strike-$B51,0)),"")</f>
        <v/>
      </c>
      <c r="EK51" s="9" t="str">
        <f t="array" ref="EK51">IF(EK$11&gt;=0,MAX(INDEX(MMULT(inverseG,EJ$12:EJ$62),$A51+1,1),MAX(strike-$B51,0)),"")</f>
        <v/>
      </c>
      <c r="EL51" s="9" t="str">
        <f t="array" ref="EL51">IF(EL$11&gt;=0,MAX(INDEX(MMULT(inverseG,EK$12:EK$62),$A51+1,1),MAX(strike-$B51,0)),"")</f>
        <v/>
      </c>
      <c r="EM51" s="9" t="str">
        <f t="array" ref="EM51">IF(EM$11&gt;=0,MAX(INDEX(MMULT(inverseG,EL$12:EL$62),$A51+1,1),MAX(strike-$B51,0)),"")</f>
        <v/>
      </c>
      <c r="EN51" s="9" t="str">
        <f t="array" ref="EN51">IF(EN$11&gt;=0,MAX(INDEX(MMULT(inverseG,EM$12:EM$62),$A51+1,1),MAX(strike-$B51,0)),"")</f>
        <v/>
      </c>
      <c r="EO51" s="9" t="str">
        <f t="array" ref="EO51">IF(EO$11&gt;=0,MAX(INDEX(MMULT(inverseG,EN$12:EN$62),$A51+1,1),MAX(strike-$B51,0)),"")</f>
        <v/>
      </c>
      <c r="EP51" s="9" t="str">
        <f t="array" ref="EP51">IF(EP$11&gt;=0,MAX(INDEX(MMULT(inverseG,EO$12:EO$62),$A51+1,1),MAX(strike-$B51,0)),"")</f>
        <v/>
      </c>
      <c r="EQ51" s="9" t="str">
        <f t="array" ref="EQ51">IF(EQ$11&gt;=0,MAX(INDEX(MMULT(inverseG,EP$12:EP$62),$A51+1,1),MAX(strike-$B51,0)),"")</f>
        <v/>
      </c>
      <c r="ER51" s="9" t="str">
        <f t="array" ref="ER51">IF(ER$11&gt;=0,MAX(INDEX(MMULT(inverseG,EQ$12:EQ$62),$A51+1,1),MAX(strike-$B51,0)),"")</f>
        <v/>
      </c>
      <c r="ES51" s="9" t="str">
        <f t="array" ref="ES51">IF(ES$11&gt;=0,MAX(INDEX(MMULT(inverseG,ER$12:ER$62),$A51+1,1),MAX(strike-$B51,0)),"")</f>
        <v/>
      </c>
      <c r="ET51" s="9" t="str">
        <f t="array" ref="ET51">IF(ET$11&gt;=0,MAX(INDEX(MMULT(inverseG,ES$12:ES$62),$A51+1,1),MAX(strike-$B51,0)),"")</f>
        <v/>
      </c>
      <c r="EU51" s="9" t="str">
        <f t="array" ref="EU51">IF(EU$11&gt;=0,MAX(INDEX(MMULT(inverseG,ET$12:ET$62),$A51+1,1),MAX(strike-$B51,0)),"")</f>
        <v/>
      </c>
      <c r="EV51" s="9" t="str">
        <f t="array" ref="EV51">IF(EV$11&gt;=0,MAX(INDEX(MMULT(inverseG,EU$12:EU$62),$A51+1,1),MAX(strike-$B51,0)),"")</f>
        <v/>
      </c>
      <c r="EW51" s="9" t="str">
        <f t="array" ref="EW51">IF(EW$11&gt;=0,MAX(INDEX(MMULT(inverseG,EV$12:EV$62),$A51+1,1),MAX(strike-$B51,0)),"")</f>
        <v/>
      </c>
      <c r="EX51" s="9" t="str">
        <f t="array" ref="EX51">IF(EX$11&gt;=0,MAX(INDEX(MMULT(inverseG,EW$12:EW$62),$A51+1,1),MAX(strike-$B51,0)),"")</f>
        <v/>
      </c>
      <c r="EY51" s="9" t="str">
        <f t="array" ref="EY51">IF(EY$11&gt;=0,MAX(INDEX(MMULT(inverseG,EX$12:EX$62),$A51+1,1),MAX(strike-$B51,0)),"")</f>
        <v/>
      </c>
      <c r="EZ51" s="9" t="str">
        <f t="array" ref="EZ51">IF(EZ$11&gt;=0,MAX(INDEX(MMULT(inverseG,EY$12:EY$62),$A51+1,1),MAX(strike-$B51,0)),"")</f>
        <v/>
      </c>
      <c r="FA51" s="9" t="str">
        <f t="array" ref="FA51">IF(FA$11&gt;=0,MAX(INDEX(MMULT(inverseG,EZ$12:EZ$62),$A51+1,1),MAX(strike-$B51,0)),"")</f>
        <v/>
      </c>
      <c r="FB51" s="9" t="str">
        <f t="array" ref="FB51">IF(FB$11&gt;=0,MAX(INDEX(MMULT(inverseG,FA$12:FA$62),$A51+1,1),MAX(strike-$B51,0)),"")</f>
        <v/>
      </c>
      <c r="FC51" s="9" t="str">
        <f t="array" ref="FC51">IF(FC$11&gt;=0,MAX(INDEX(MMULT(inverseG,FB$12:FB$62),$A51+1,1),MAX(strike-$B51,0)),"")</f>
        <v/>
      </c>
      <c r="FD51" s="9" t="str">
        <f t="array" ref="FD51">IF(FD$11&gt;=0,MAX(INDEX(MMULT(inverseG,FC$12:FC$62),$A51+1,1),MAX(strike-$B51,0)),"")</f>
        <v/>
      </c>
      <c r="FE51" s="9" t="str">
        <f t="array" ref="FE51">IF(FE$11&gt;=0,MAX(INDEX(MMULT(inverseG,FD$12:FD$62),$A51+1,1),MAX(strike-$B51,0)),"")</f>
        <v/>
      </c>
      <c r="FF51" s="9" t="str">
        <f t="array" ref="FF51">IF(FF$11&gt;=0,MAX(INDEX(MMULT(inverseG,FE$12:FE$62),$A51+1,1),MAX(strike-$B51,0)),"")</f>
        <v/>
      </c>
      <c r="FG51" s="9" t="str">
        <f t="array" ref="FG51">IF(FG$11&gt;=0,MAX(INDEX(MMULT(inverseG,FF$12:FF$62),$A51+1,1),MAX(strike-$B51,0)),"")</f>
        <v/>
      </c>
      <c r="FH51" s="9" t="str">
        <f t="array" ref="FH51">IF(FH$11&gt;=0,MAX(INDEX(MMULT(inverseG,FG$12:FG$62),$A51+1,1),MAX(strike-$B51,0)),"")</f>
        <v/>
      </c>
      <c r="FI51" s="9" t="str">
        <f t="array" ref="FI51">IF(FI$11&gt;=0,MAX(INDEX(MMULT(inverseG,FH$12:FH$62),$A51+1,1),MAX(strike-$B51,0)),"")</f>
        <v/>
      </c>
      <c r="FJ51" s="9" t="str">
        <f t="array" ref="FJ51">IF(FJ$11&gt;=0,MAX(INDEX(MMULT(inverseG,FI$12:FI$62),$A51+1,1),MAX(strike-$B51,0)),"")</f>
        <v/>
      </c>
      <c r="FK51" s="9" t="str">
        <f t="array" ref="FK51">IF(FK$11&gt;=0,MAX(INDEX(MMULT(inverseG,FJ$12:FJ$62),$A51+1,1),MAX(strike-$B51,0)),"")</f>
        <v/>
      </c>
      <c r="FL51" s="9" t="str">
        <f t="array" ref="FL51">IF(FL$11&gt;=0,MAX(INDEX(MMULT(inverseG,FK$12:FK$62),$A51+1,1),MAX(strike-$B51,0)),"")</f>
        <v/>
      </c>
      <c r="FM51" s="9" t="str">
        <f t="array" ref="FM51">IF(FM$11&gt;=0,MAX(INDEX(MMULT(inverseG,FL$12:FL$62),$A51+1,1),MAX(strike-$B51,0)),"")</f>
        <v/>
      </c>
      <c r="FN51" s="9" t="str">
        <f t="array" ref="FN51">IF(FN$11&gt;=0,MAX(INDEX(MMULT(inverseG,FM$12:FM$62),$A51+1,1),MAX(strike-$B51,0)),"")</f>
        <v/>
      </c>
      <c r="FO51" s="9" t="str">
        <f t="array" ref="FO51">IF(FO$11&gt;=0,MAX(INDEX(MMULT(inverseG,FN$12:FN$62),$A51+1,1),MAX(strike-$B51,0)),"")</f>
        <v/>
      </c>
      <c r="FP51" s="9" t="str">
        <f t="array" ref="FP51">IF(FP$11&gt;=0,MAX(INDEX(MMULT(inverseG,FO$12:FO$62),$A51+1,1),MAX(strike-$B51,0)),"")</f>
        <v/>
      </c>
      <c r="FQ51" s="9" t="str">
        <f t="array" ref="FQ51">IF(FQ$11&gt;=0,MAX(INDEX(MMULT(inverseG,FP$12:FP$62),$A51+1,1),MAX(strike-$B51,0)),"")</f>
        <v/>
      </c>
      <c r="FR51" s="9" t="str">
        <f t="array" ref="FR51">IF(FR$11&gt;=0,MAX(INDEX(MMULT(inverseG,FQ$12:FQ$62),$A51+1,1),MAX(strike-$B51,0)),"")</f>
        <v/>
      </c>
      <c r="FS51" s="9" t="str">
        <f t="array" ref="FS51">IF(FS$11&gt;=0,MAX(INDEX(MMULT(inverseG,FR$12:FR$62),$A51+1,1),MAX(strike-$B51,0)),"")</f>
        <v/>
      </c>
      <c r="FT51" s="9" t="str">
        <f t="array" ref="FT51">IF(FT$11&gt;=0,MAX(INDEX(MMULT(inverseG,FS$12:FS$62),$A51+1,1),MAX(strike-$B51,0)),"")</f>
        <v/>
      </c>
      <c r="FU51" s="9" t="str">
        <f t="array" ref="FU51">IF(FU$11&gt;=0,MAX(INDEX(MMULT(inverseG,FT$12:FT$62),$A51+1,1),MAX(strike-$B51,0)),"")</f>
        <v/>
      </c>
      <c r="FV51" s="9" t="str">
        <f t="array" ref="FV51">IF(FV$11&gt;=0,MAX(INDEX(MMULT(inverseG,FU$12:FU$62),$A51+1,1),MAX(strike-$B51,0)),"")</f>
        <v/>
      </c>
      <c r="FW51" s="9" t="str">
        <f t="array" ref="FW51">IF(FW$11&gt;=0,MAX(INDEX(MMULT(inverseG,FV$12:FV$62),$A51+1,1),MAX(strike-$B51,0)),"")</f>
        <v/>
      </c>
      <c r="FX51" s="9" t="str">
        <f t="array" ref="FX51">IF(FX$11&gt;=0,MAX(INDEX(MMULT(inverseG,FW$12:FW$62),$A51+1,1),MAX(strike-$B51,0)),"")</f>
        <v/>
      </c>
      <c r="FY51" s="9" t="str">
        <f t="array" ref="FY51">IF(FY$11&gt;=0,MAX(INDEX(MMULT(inverseG,FX$12:FX$62),$A51+1,1),MAX(strike-$B51,0)),"")</f>
        <v/>
      </c>
      <c r="FZ51" s="9" t="str">
        <f t="array" ref="FZ51">IF(FZ$11&gt;=0,MAX(INDEX(MMULT(inverseG,FY$12:FY$62),$A51+1,1),MAX(strike-$B51,0)),"")</f>
        <v/>
      </c>
      <c r="GA51" s="9" t="str">
        <f t="array" ref="GA51">IF(GA$11&gt;=0,MAX(INDEX(MMULT(inverseG,FZ$12:FZ$62),$A51+1,1),MAX(strike-$B51,0)),"")</f>
        <v/>
      </c>
      <c r="GB51" s="9" t="str">
        <f t="array" ref="GB51">IF(GB$11&gt;=0,MAX(INDEX(MMULT(inverseG,GA$12:GA$62),$A51+1,1),MAX(strike-$B51,0)),"")</f>
        <v/>
      </c>
      <c r="GC51" s="9" t="str">
        <f t="array" ref="GC51">IF(GC$11&gt;=0,MAX(INDEX(MMULT(inverseG,GB$12:GB$62),$A51+1,1),MAX(strike-$B51,0)),"")</f>
        <v/>
      </c>
      <c r="GD51" s="9" t="str">
        <f t="array" ref="GD51">IF(GD$11&gt;=0,MAX(INDEX(MMULT(inverseG,GC$12:GC$62),$A51+1,1),MAX(strike-$B51,0)),"")</f>
        <v/>
      </c>
      <c r="GE51" s="9" t="str">
        <f t="array" ref="GE51">IF(GE$11&gt;=0,MAX(INDEX(MMULT(inverseG,GD$12:GD$62),$A51+1,1),MAX(strike-$B51,0)),"")</f>
        <v/>
      </c>
      <c r="GF51" s="9" t="str">
        <f t="array" ref="GF51">IF(GF$11&gt;=0,MAX(INDEX(MMULT(inverseG,GE$12:GE$62),$A51+1,1),MAX(strike-$B51,0)),"")</f>
        <v/>
      </c>
      <c r="GG51" s="9" t="str">
        <f t="array" ref="GG51">IF(GG$11&gt;=0,MAX(INDEX(MMULT(inverseG,GF$12:GF$62),$A51+1,1),MAX(strike-$B51,0)),"")</f>
        <v/>
      </c>
      <c r="GH51" s="9" t="str">
        <f t="array" ref="GH51">IF(GH$11&gt;=0,MAX(INDEX(MMULT(inverseG,GG$12:GG$62),$A51+1,1),MAX(strike-$B51,0)),"")</f>
        <v/>
      </c>
      <c r="GI51" s="9" t="str">
        <f t="array" ref="GI51">IF(GI$11&gt;=0,MAX(INDEX(MMULT(inverseG,GH$12:GH$62),$A51+1,1),MAX(strike-$B51,0)),"")</f>
        <v/>
      </c>
      <c r="GJ51" s="9" t="str">
        <f t="array" ref="GJ51">IF(GJ$11&gt;=0,MAX(INDEX(MMULT(inverseG,GI$12:GI$62),$A51+1,1),MAX(strike-$B51,0)),"")</f>
        <v/>
      </c>
      <c r="GK51" s="9" t="str">
        <f t="array" ref="GK51">IF(GK$11&gt;=0,MAX(INDEX(MMULT(inverseG,GJ$12:GJ$62),$A51+1,1),MAX(strike-$B51,0)),"")</f>
        <v/>
      </c>
      <c r="GL51" s="9" t="str">
        <f t="array" ref="GL51">IF(GL$11&gt;=0,MAX(INDEX(MMULT(inverseG,GK$12:GK$62),$A51+1,1),MAX(strike-$B51,0)),"")</f>
        <v/>
      </c>
      <c r="GM51" s="9" t="str">
        <f t="array" ref="GM51">IF(GM$11&gt;=0,MAX(INDEX(MMULT(inverseG,GL$12:GL$62),$A51+1,1),MAX(strike-$B51,0)),"")</f>
        <v/>
      </c>
      <c r="GN51" s="9" t="str">
        <f t="array" ref="GN51">IF(GN$11&gt;=0,MAX(INDEX(MMULT(inverseG,GM$12:GM$62),$A51+1,1),MAX(strike-$B51,0)),"")</f>
        <v/>
      </c>
      <c r="GO51" s="9" t="str">
        <f t="array" ref="GO51">IF(GO$11&gt;=0,MAX(INDEX(MMULT(inverseG,GN$12:GN$62),$A51+1,1),MAX(strike-$B51,0)),"")</f>
        <v/>
      </c>
      <c r="GP51" s="9" t="str">
        <f t="array" ref="GP51">IF(GP$11&gt;=0,MAX(INDEX(MMULT(inverseG,GO$12:GO$62),$A51+1,1),MAX(strike-$B51,0)),"")</f>
        <v/>
      </c>
      <c r="GQ51" s="9" t="str">
        <f t="array" ref="GQ51">IF(GQ$11&gt;=0,MAX(INDEX(MMULT(inverseG,GP$12:GP$62),$A51+1,1),MAX(strike-$B51,0)),"")</f>
        <v/>
      </c>
      <c r="GR51" s="9" t="str">
        <f t="array" ref="GR51">IF(GR$11&gt;=0,MAX(INDEX(MMULT(inverseG,GQ$12:GQ$62),$A51+1,1),MAX(strike-$B51,0)),"")</f>
        <v/>
      </c>
      <c r="GS51" s="9" t="str">
        <f t="array" ref="GS51">IF(GS$11&gt;=0,MAX(INDEX(MMULT(inverseG,GR$12:GR$62),$A51+1,1),MAX(strike-$B51,0)),"")</f>
        <v/>
      </c>
      <c r="GT51" s="9" t="str">
        <f t="array" ref="GT51">IF(GT$11&gt;=0,MAX(INDEX(MMULT(inverseG,GS$12:GS$62),$A51+1,1),MAX(strike-$B51,0)),"")</f>
        <v/>
      </c>
      <c r="GU51" s="9" t="str">
        <f t="array" ref="GU51">IF(GU$11&gt;=0,MAX(INDEX(MMULT(inverseG,GT$12:GT$62),$A51+1,1),MAX(strike-$B51,0)),"")</f>
        <v/>
      </c>
      <c r="GV51" s="9" t="str">
        <f t="array" ref="GV51">IF(GV$11&gt;=0,MAX(INDEX(MMULT(inverseG,GU$12:GU$62),$A51+1,1),MAX(strike-$B51,0)),"")</f>
        <v/>
      </c>
      <c r="GW51" s="9" t="str">
        <f t="array" ref="GW51">IF(GW$11&gt;=0,MAX(INDEX(MMULT(inverseG,GV$12:GV$62),$A51+1,1),MAX(strike-$B51,0)),"")</f>
        <v/>
      </c>
      <c r="GX51" s="9" t="str">
        <f t="array" ref="GX51">IF(GX$11&gt;=0,MAX(INDEX(MMULT(inverseG,GW$12:GW$62),$A51+1,1),MAX(strike-$B51,0)),"")</f>
        <v/>
      </c>
      <c r="GY51" s="9" t="str">
        <f t="array" ref="GY51">IF(GY$11&gt;=0,MAX(INDEX(MMULT(inverseG,GX$12:GX$62),$A51+1,1),MAX(strike-$B51,0)),"")</f>
        <v/>
      </c>
      <c r="GZ51" s="9" t="str">
        <f t="array" ref="GZ51">IF(GZ$11&gt;=0,MAX(INDEX(MMULT(inverseG,GY$12:GY$62),$A51+1,1),MAX(strike-$B51,0)),"")</f>
        <v/>
      </c>
      <c r="HA51" s="9" t="str">
        <f t="array" ref="HA51">IF(HA$11&gt;=0,MAX(INDEX(MMULT(inverseG,GZ$12:GZ$62),$A51+1,1),MAX(strike-$B51,0)),"")</f>
        <v/>
      </c>
      <c r="HB51" s="9" t="str">
        <f t="array" ref="HB51">IF(HB$11&gt;=0,MAX(INDEX(MMULT(inverseG,HA$12:HA$62),$A51+1,1),MAX(strike-$B51,0)),"")</f>
        <v/>
      </c>
      <c r="HC51" s="9" t="str">
        <f t="array" ref="HC51">IF(HC$11&gt;=0,MAX(INDEX(MMULT(inverseG,HB$12:HB$62),$A51+1,1),MAX(strike-$B51,0)),"")</f>
        <v/>
      </c>
      <c r="HD51" s="9" t="str">
        <f t="array" ref="HD51">IF(HD$11&gt;=0,MAX(INDEX(MMULT(inverseG,HC$12:HC$62),$A51+1,1),MAX(strike-$B51,0)),"")</f>
        <v/>
      </c>
      <c r="HE51" s="9" t="str">
        <f t="array" ref="HE51">IF(HE$11&gt;=0,MAX(INDEX(MMULT(inverseG,HD$12:HD$62),$A51+1,1),MAX(strike-$B51,0)),"")</f>
        <v/>
      </c>
      <c r="HF51" s="9" t="str">
        <f t="array" ref="HF51">IF(HF$11&gt;=0,MAX(INDEX(MMULT(inverseG,HE$12:HE$62),$A51+1,1),MAX(strike-$B51,0)),"")</f>
        <v/>
      </c>
      <c r="HG51" s="9" t="str">
        <f t="array" ref="HG51">IF(HG$11&gt;=0,MAX(INDEX(MMULT(inverseG,HF$12:HF$62),$A51+1,1),MAX(strike-$B51,0)),"")</f>
        <v/>
      </c>
      <c r="HH51" s="9" t="str">
        <f t="array" ref="HH51">IF(HH$11&gt;=0,MAX(INDEX(MMULT(inverseG,HG$12:HG$62),$A51+1,1),MAX(strike-$B51,0)),"")</f>
        <v/>
      </c>
      <c r="HI51" s="9" t="str">
        <f t="array" ref="HI51">IF(HI$11&gt;=0,MAX(INDEX(MMULT(inverseG,HH$12:HH$62),$A51+1,1),MAX(strike-$B51,0)),"")</f>
        <v/>
      </c>
      <c r="HJ51" s="9" t="str">
        <f t="array" ref="HJ51">IF(HJ$11&gt;=0,MAX(INDEX(MMULT(inverseG,HI$12:HI$62),$A51+1,1),MAX(strike-$B51,0)),"")</f>
        <v/>
      </c>
      <c r="HK51" s="9" t="str">
        <f t="array" ref="HK51">IF(HK$11&gt;=0,MAX(INDEX(MMULT(inverseG,HJ$12:HJ$62),$A51+1,1),MAX(strike-$B51,0)),"")</f>
        <v/>
      </c>
      <c r="HL51" s="9" t="str">
        <f t="array" ref="HL51">IF(HL$11&gt;=0,MAX(INDEX(MMULT(inverseG,HK$12:HK$62),$A51+1,1),MAX(strike-$B51,0)),"")</f>
        <v/>
      </c>
      <c r="HM51" s="9" t="str">
        <f t="array" ref="HM51">IF(HM$11&gt;=0,MAX(INDEX(MMULT(inverseG,HL$12:HL$62),$A51+1,1),MAX(strike-$B51,0)),"")</f>
        <v/>
      </c>
      <c r="HN51" s="9" t="str">
        <f t="array" ref="HN51">IF(HN$11&gt;=0,MAX(INDEX(MMULT(inverseG,HM$12:HM$62),$A51+1,1),MAX(strike-$B51,0)),"")</f>
        <v/>
      </c>
      <c r="HO51" s="9" t="str">
        <f t="array" ref="HO51">IF(HO$11&gt;=0,MAX(INDEX(MMULT(inverseG,HN$12:HN$62),$A51+1,1),MAX(strike-$B51,0)),"")</f>
        <v/>
      </c>
      <c r="HP51" s="9" t="str">
        <f t="array" ref="HP51">IF(HP$11&gt;=0,MAX(INDEX(MMULT(inverseG,HO$12:HO$62),$A51+1,1),MAX(strike-$B51,0)),"")</f>
        <v/>
      </c>
      <c r="HQ51" s="9" t="str">
        <f t="array" ref="HQ51">IF(HQ$11&gt;=0,MAX(INDEX(MMULT(inverseG,HP$12:HP$62),$A51+1,1),MAX(strike-$B51,0)),"")</f>
        <v/>
      </c>
      <c r="HR51" s="9" t="str">
        <f t="array" ref="HR51">IF(HR$11&gt;=0,MAX(INDEX(MMULT(inverseG,HQ$12:HQ$62),$A51+1,1),MAX(strike-$B51,0)),"")</f>
        <v/>
      </c>
      <c r="HS51" s="9" t="str">
        <f t="array" ref="HS51">IF(HS$11&gt;=0,MAX(INDEX(MMULT(inverseG,HR$12:HR$62),$A51+1,1),MAX(strike-$B51,0)),"")</f>
        <v/>
      </c>
      <c r="HT51" s="9" t="str">
        <f t="array" ref="HT51">IF(HT$11&gt;=0,MAX(INDEX(MMULT(inverseG,HS$12:HS$62),$A51+1,1),MAX(strike-$B51,0)),"")</f>
        <v/>
      </c>
      <c r="HU51" s="9" t="str">
        <f t="array" ref="HU51">IF(HU$11&gt;=0,MAX(INDEX(MMULT(inverseG,HT$12:HT$62),$A51+1,1),MAX(strike-$B51,0)),"")</f>
        <v/>
      </c>
      <c r="HV51" s="9" t="str">
        <f t="array" ref="HV51">IF(HV$11&gt;=0,MAX(INDEX(MMULT(inverseG,HU$12:HU$62),$A51+1,1),MAX(strike-$B51,0)),"")</f>
        <v/>
      </c>
      <c r="HW51" s="9" t="str">
        <f t="array" ref="HW51">IF(HW$11&gt;=0,MAX(INDEX(MMULT(inverseG,HV$12:HV$62),$A51+1,1),MAX(strike-$B51,0)),"")</f>
        <v/>
      </c>
      <c r="HX51" s="9" t="str">
        <f t="array" ref="HX51">IF(HX$11&gt;=0,MAX(INDEX(MMULT(inverseG,HW$12:HW$62),$A51+1,1),MAX(strike-$B51,0)),"")</f>
        <v/>
      </c>
      <c r="HY51" s="9" t="str">
        <f t="array" ref="HY51">IF(HY$11&gt;=0,MAX(INDEX(MMULT(inverseG,HX$12:HX$62),$A51+1,1),MAX(strike-$B51,0)),"")</f>
        <v/>
      </c>
      <c r="HZ51" s="9" t="str">
        <f t="array" ref="HZ51">IF(HZ$11&gt;=0,MAX(INDEX(MMULT(inverseG,HY$12:HY$62),$A51+1,1),MAX(strike-$B51,0)),"")</f>
        <v/>
      </c>
      <c r="IA51" s="9" t="str">
        <f t="array" ref="IA51">IF(IA$11&gt;=0,MAX(INDEX(MMULT(inverseG,HZ$12:HZ$62),$A51+1,1),MAX(strike-$B51,0)),"")</f>
        <v/>
      </c>
      <c r="IB51" s="9" t="str">
        <f t="array" ref="IB51">IF(IB$11&gt;=0,MAX(INDEX(MMULT(inverseG,IA$12:IA$62),$A51+1,1),MAX(strike-$B51,0)),"")</f>
        <v/>
      </c>
      <c r="IC51" s="9" t="str">
        <f t="array" ref="IC51">IF(IC$11&gt;=0,MAX(INDEX(MMULT(inverseG,IB$12:IB$62),$A51+1,1),MAX(strike-$B51,0)),"")</f>
        <v/>
      </c>
      <c r="ID51" s="9" t="str">
        <f t="array" ref="ID51">IF(ID$11&gt;=0,MAX(INDEX(MMULT(inverseG,IC$12:IC$62),$A51+1,1),MAX(strike-$B51,0)),"")</f>
        <v/>
      </c>
      <c r="IE51" s="9" t="str">
        <f t="array" ref="IE51">IF(IE$11&gt;=0,MAX(INDEX(MMULT(inverseG,ID$12:ID$62),$A51+1,1),MAX(strike-$B51,0)),"")</f>
        <v/>
      </c>
      <c r="IF51" s="9" t="str">
        <f t="array" ref="IF51">IF(IF$11&gt;=0,MAX(INDEX(MMULT(inverseG,IE$12:IE$62),$A51+1,1),MAX(strike-$B51,0)),"")</f>
        <v/>
      </c>
      <c r="IG51" s="9" t="str">
        <f t="array" ref="IG51">IF(IG$11&gt;=0,MAX(INDEX(MMULT(inverseG,IF$12:IF$62),$A51+1,1),MAX(strike-$B51,0)),"")</f>
        <v/>
      </c>
      <c r="IH51" s="9" t="str">
        <f t="array" ref="IH51">IF(IH$11&gt;=0,MAX(INDEX(MMULT(inverseG,IG$12:IG$62),$A51+1,1),MAX(strike-$B51,0)),"")</f>
        <v/>
      </c>
      <c r="II51" s="9" t="str">
        <f t="array" ref="II51">IF(II$11&gt;=0,MAX(INDEX(MMULT(inverseG,IH$12:IH$62),$A51+1,1),MAX(strike-$B51,0)),"")</f>
        <v/>
      </c>
      <c r="IJ51" s="9" t="str">
        <f t="array" ref="IJ51">IF(IJ$11&gt;=0,MAX(INDEX(MMULT(inverseG,II$12:II$62),$A51+1,1),MAX(strike-$B51,0)),"")</f>
        <v/>
      </c>
      <c r="IK51" s="9" t="str">
        <f t="array" ref="IK51">IF(IK$11&gt;=0,MAX(INDEX(MMULT(inverseG,IJ$12:IJ$62),$A51+1,1),MAX(strike-$B51,0)),"")</f>
        <v/>
      </c>
      <c r="IL51" s="9" t="str">
        <f t="array" ref="IL51">IF(IL$11&gt;=0,MAX(INDEX(MMULT(inverseG,IK$12:IK$62),$A51+1,1),MAX(strike-$B51,0)),"")</f>
        <v/>
      </c>
      <c r="IM51" s="9" t="str">
        <f t="array" ref="IM51">IF(IM$11&gt;=0,MAX(INDEX(MMULT(inverseG,IL$12:IL$62),$A51+1,1),MAX(strike-$B51,0)),"")</f>
        <v/>
      </c>
      <c r="IN51" s="9" t="str">
        <f t="array" ref="IN51">IF(IN$11&gt;=0,MAX(INDEX(MMULT(inverseG,IM$12:IM$62),$A51+1,1),MAX(strike-$B51,0)),"")</f>
        <v/>
      </c>
      <c r="IO51" s="9" t="str">
        <f t="array" ref="IO51">IF(IO$11&gt;=0,MAX(INDEX(MMULT(inverseG,IN$12:IN$62),$A51+1,1),MAX(strike-$B51,0)),"")</f>
        <v/>
      </c>
      <c r="IP51" s="9" t="str">
        <f t="array" ref="IP51">IF(IP$11&gt;=0,MAX(INDEX(MMULT(inverseG,IO$12:IO$62),$A51+1,1),MAX(strike-$B51,0)),"")</f>
        <v/>
      </c>
      <c r="IQ51" s="9" t="str">
        <f t="array" ref="IQ51">IF(IQ$11&gt;=0,MAX(INDEX(MMULT(inverseG,IP$12:IP$62),$A51+1,1),MAX(strike-$B51,0)),"")</f>
        <v/>
      </c>
      <c r="IR51" s="9" t="str">
        <f t="array" ref="IR51">IF(IR$11&gt;=0,MAX(INDEX(MMULT(inverseG,IQ$12:IQ$62),$A51+1,1),MAX(strike-$B51,0)),"")</f>
        <v/>
      </c>
      <c r="IS51" s="9" t="str">
        <f t="array" ref="IS51">IF(IS$11&gt;=0,MAX(INDEX(MMULT(inverseG,IR$12:IR$62),$A51+1,1),MAX(strike-$B51,0)),"")</f>
        <v/>
      </c>
      <c r="IT51" s="9" t="str">
        <f t="array" ref="IT51">IF(IT$11&gt;=0,MAX(INDEX(MMULT(inverseG,IS$12:IS$62),$A51+1,1),MAX(strike-$B51,0)),"")</f>
        <v/>
      </c>
      <c r="IU51" s="9" t="str">
        <f t="array" ref="IU51">IF(IU$11&gt;=0,MAX(INDEX(MMULT(inverseG,IT$12:IT$62),$A51+1,1),MAX(strike-$B51,0)),"")</f>
        <v/>
      </c>
      <c r="IV51" s="9" t="str">
        <f t="array" ref="IV51">IF(IV$11&gt;=0,MAX(INDEX(MMULT(inverseG,IU$12:IU$62),$A51+1,1),MAX(strike-$B51,0)),"")</f>
        <v/>
      </c>
    </row>
    <row r="52" spans="1:256" x14ac:dyDescent="0.2">
      <c r="A52" s="8">
        <f t="shared" si="7"/>
        <v>40</v>
      </c>
      <c r="B52" s="6">
        <f t="shared" si="8"/>
        <v>10</v>
      </c>
      <c r="C52" s="30">
        <f t="shared" ca="1" si="6"/>
        <v>6.1072445152559877E-2</v>
      </c>
      <c r="D52" s="9">
        <f t="shared" si="9"/>
        <v>0</v>
      </c>
      <c r="E52" s="9">
        <f t="array" ref="E52">IF(E$11&gt;=0,MAX(INDEX(MMULT(inverseG,D$12:D$62),$A52+1,1),MAX(strike-$B52,0)),"")</f>
        <v>2.8011599485565908E-9</v>
      </c>
      <c r="F52" s="9">
        <f t="array" ref="F52">IF(F$11&gt;=0,MAX(INDEX(MMULT(inverseG,E$12:E$62),$A52+1,1),MAX(strike-$B52,0)),"")</f>
        <v>2.6673647250670151E-8</v>
      </c>
      <c r="G52" s="9">
        <f t="array" ref="G52">IF(G$11&gt;=0,MAX(INDEX(MMULT(inverseG,F$12:F$62),$A52+1,1),MAX(strike-$B52,0)),"")</f>
        <v>1.3558533142708279E-7</v>
      </c>
      <c r="H52" s="9">
        <f t="array" ref="H52">IF(H$11&gt;=0,MAX(INDEX(MMULT(inverseG,G$12:G$62),$A52+1,1),MAX(strike-$B52,0)),"")</f>
        <v>4.8941604925998915E-7</v>
      </c>
      <c r="I52" s="9">
        <f t="array" ref="I52">IF(I$11&gt;=0,MAX(INDEX(MMULT(inverseG,H$12:H$62),$A52+1,1),MAX(strike-$B52,0)),"")</f>
        <v>1.4082933834474322E-6</v>
      </c>
      <c r="J52" s="9">
        <f t="array" ref="J52">IF(J$11&gt;=0,MAX(INDEX(MMULT(inverseG,I$12:I$62),$A52+1,1),MAX(strike-$B52,0)),"")</f>
        <v>3.4386897463337848E-6</v>
      </c>
      <c r="K52" s="9">
        <f t="array" ref="K52">IF(K$11&gt;=0,MAX(INDEX(MMULT(inverseG,J$12:J$62),$A52+1,1),MAX(strike-$B52,0)),"")</f>
        <v>7.407193803373409E-6</v>
      </c>
      <c r="L52" s="9">
        <f t="array" ref="L52">IF(L$11&gt;=0,MAX(INDEX(MMULT(inverseG,K$12:K$62),$A52+1,1),MAX(strike-$B52,0)),"")</f>
        <v>1.4450861968658829E-5</v>
      </c>
      <c r="M52" s="9">
        <f t="array" ref="M52">IF(M$11&gt;=0,MAX(INDEX(MMULT(inverseG,L$12:L$62),$A52+1,1),MAX(strike-$B52,0)),"")</f>
        <v>2.6018731584993754E-5</v>
      </c>
      <c r="N52" s="9">
        <f t="array" ref="N52">IF(N$11&gt;=0,MAX(INDEX(MMULT(inverseG,M$12:M$62),$A52+1,1),MAX(strike-$B52,0)),"")</f>
        <v>4.3845036768970116E-5</v>
      </c>
      <c r="O52" s="9">
        <f t="array" ref="O52">IF(O$11&gt;=0,MAX(INDEX(MMULT(inverseG,N$12:N$62),$A52+1,1),MAX(strike-$B52,0)),"")</f>
        <v>6.9899225223337961E-5</v>
      </c>
      <c r="P52" s="9">
        <f t="array" ref="P52">IF(P$11&gt;=0,MAX(INDEX(MMULT(inverseG,O$12:O$62),$A52+1,1),MAX(strike-$B52,0)),"")</f>
        <v>1.0632035635983213E-4</v>
      </c>
      <c r="Q52" s="9">
        <f t="array" ref="Q52">IF(Q$11&gt;=0,MAX(INDEX(MMULT(inverseG,P$12:P$62),$A52+1,1),MAX(strike-$B52,0)),"")</f>
        <v>1.5534399363214199E-4</v>
      </c>
      <c r="R52" s="9">
        <f t="array" ref="R52">IF(R$11&gt;=0,MAX(INDEX(MMULT(inverseG,Q$12:Q$62),$A52+1,1),MAX(strike-$B52,0)),"")</f>
        <v>2.1922883196817447E-4</v>
      </c>
      <c r="S52" s="9">
        <f t="array" ref="S52">IF(S$11&gt;=0,MAX(INDEX(MMULT(inverseG,R$12:R$62),$A52+1,1),MAX(strike-$B52,0)),"")</f>
        <v>3.0018866267384294E-4</v>
      </c>
      <c r="T52" s="9">
        <f t="array" ref="T52">IF(T$11&gt;=0,MAX(INDEX(MMULT(inverseG,S$12:S$62),$A52+1,1),MAX(strike-$B52,0)),"")</f>
        <v>4.0033341005374248E-4</v>
      </c>
      <c r="U52" s="9">
        <f t="array" ref="U52">IF(U$11&gt;=0,MAX(INDEX(MMULT(inverseG,T$12:T$62),$A52+1,1),MAX(strike-$B52,0)),"")</f>
        <v>5.2162123869271002E-4</v>
      </c>
      <c r="V52" s="9">
        <f t="array" ref="V52">IF(V$11&gt;=0,MAX(INDEX(MMULT(inverseG,U$12:U$62),$A52+1,1),MAX(strike-$B52,0)),"")</f>
        <v>6.6582232030159693E-4</v>
      </c>
      <c r="W52" s="9">
        <f t="array" ref="W52">IF(W$11&gt;=0,MAX(INDEX(MMULT(inverseG,V$12:V$62),$A52+1,1),MAX(strike-$B52,0)),"")</f>
        <v>8.3449382672318813E-4</v>
      </c>
      <c r="X52" s="9">
        <f t="array" ref="X52">IF(X$11&gt;=0,MAX(INDEX(MMULT(inverseG,W$12:W$62),$A52+1,1),MAX(strike-$B52,0)),"")</f>
        <v>1.0289650608945908E-3</v>
      </c>
      <c r="Y52" s="9">
        <f t="array" ref="Y52">IF(Y$11&gt;=0,MAX(INDEX(MMULT(inverseG,X$12:X$62),$A52+1,1),MAX(strike-$B52,0)),"")</f>
        <v>1.2503312875770806E-3</v>
      </c>
      <c r="Z52" s="9">
        <f t="array" ref="Z52">IF(Z$11&gt;=0,MAX(INDEX(MMULT(inverseG,Y$12:Y$62),$A52+1,1),MAX(strike-$B52,0)),"")</f>
        <v>1.499454703911531E-3</v>
      </c>
      <c r="AA52" s="9">
        <f t="array" ref="AA52">IF(AA$11&gt;=0,MAX(INDEX(MMULT(inverseG,Z$12:Z$62),$A52+1,1),MAX(strike-$B52,0)),"")</f>
        <v>1.7769710232581422E-3</v>
      </c>
      <c r="AB52" s="9">
        <f t="array" ref="AB52">IF(AB$11&gt;=0,MAX(INDEX(MMULT(inverseG,AA$12:AA$62),$A52+1,1),MAX(strike-$B52,0)),"")</f>
        <v>2.0833002734151587E-3</v>
      </c>
      <c r="AC52" s="9">
        <f t="array" ref="AC52">IF(AC$11&gt;=0,MAX(INDEX(MMULT(inverseG,AB$12:AB$62),$A52+1,1),MAX(strike-$B52,0)),"")</f>
        <v>2.4186605861546842E-3</v>
      </c>
      <c r="AD52" s="9">
        <f t="array" ref="AD52">IF(AD$11&gt;=0,MAX(INDEX(MMULT(inverseG,AC$12:AC$62),$A52+1,1),MAX(strike-$B52,0)),"")</f>
        <v>2.7830839471584632E-3</v>
      </c>
      <c r="AE52" s="9">
        <f t="array" ref="AE52">IF(AE$11&gt;=0,MAX(INDEX(MMULT(inverseG,AD$12:AD$62),$A52+1,1),MAX(strike-$B52,0)),"")</f>
        <v>3.176433063652933E-3</v>
      </c>
      <c r="AF52" s="9">
        <f t="array" ref="AF52">IF(AF$11&gt;=0,MAX(INDEX(MMULT(inverseG,AE$12:AE$62),$A52+1,1),MAX(strike-$B52,0)),"")</f>
        <v>3.598418679858132E-3</v>
      </c>
      <c r="AG52" s="9">
        <f t="array" ref="AG52">IF(AG$11&gt;=0,MAX(INDEX(MMULT(inverseG,AF$12:AF$62),$A52+1,1),MAX(strike-$B52,0)),"")</f>
        <v>4.0486168223562002E-3</v>
      </c>
      <c r="AH52" s="9">
        <f t="array" ref="AH52">IF(AH$11&gt;=0,MAX(INDEX(MMULT(inverseG,AG$12:AG$62),$A52+1,1),MAX(strike-$B52,0)),"")</f>
        <v>4.5264855870908588E-3</v>
      </c>
      <c r="AI52" s="9">
        <f t="array" ref="AI52">IF(AI$11&gt;=0,MAX(INDEX(MMULT(inverseG,AH$12:AH$62),$A52+1,1),MAX(strike-$B52,0)),"")</f>
        <v>5.0313811876258495E-3</v>
      </c>
      <c r="AJ52" s="9">
        <f t="array" ref="AJ52">IF(AJ$11&gt;=0,MAX(INDEX(MMULT(inverseG,AI$12:AI$62),$A52+1,1),MAX(strike-$B52,0)),"")</f>
        <v>5.562573072387166E-3</v>
      </c>
      <c r="AK52" s="9">
        <f t="array" ref="AK52">IF(AK$11&gt;=0,MAX(INDEX(MMULT(inverseG,AJ$12:AJ$62),$A52+1,1),MAX(strike-$B52,0)),"")</f>
        <v>6.1192579892524494E-3</v>
      </c>
      <c r="AL52" s="9">
        <f t="array" ref="AL52">IF(AL$11&gt;=0,MAX(INDEX(MMULT(inverseG,AK$12:AK$62),$A52+1,1),MAX(strike-$B52,0)),"")</f>
        <v>6.700572931489077E-3</v>
      </c>
      <c r="AM52" s="9">
        <f t="array" ref="AM52">IF(AM$11&gt;=0,MAX(INDEX(MMULT(inverseG,AL$12:AL$62),$A52+1,1),MAX(strike-$B52,0)),"")</f>
        <v>7.3056069420233448E-3</v>
      </c>
      <c r="AN52" s="9">
        <f t="array" ref="AN52">IF(AN$11&gt;=0,MAX(INDEX(MMULT(inverseG,AM$12:AM$62),$A52+1,1),MAX(strike-$B52,0)),"")</f>
        <v>7.9334117854787181E-3</v>
      </c>
      <c r="AO52" s="9">
        <f t="array" ref="AO52">IF(AO$11&gt;=0,MAX(INDEX(MMULT(inverseG,AN$12:AN$62),$A52+1,1),MAX(strike-$B52,0)),"")</f>
        <v>8.5830115212460305E-3</v>
      </c>
      <c r="AP52" s="9">
        <f t="array" ref="AP52">IF(AP$11&gt;=0,MAX(INDEX(MMULT(inverseG,AO$12:AO$62),$A52+1,1),MAX(strike-$B52,0)),"")</f>
        <v>9.2534110277149376E-3</v>
      </c>
      <c r="AQ52" s="9">
        <f t="array" ref="AQ52">IF(AQ$11&gt;=0,MAX(INDEX(MMULT(inverseG,AP$12:AP$62),$A52+1,1),MAX(strike-$B52,0)),"")</f>
        <v>9.9436035391628954E-3</v>
      </c>
      <c r="AR52" s="9">
        <f t="array" ref="AR52">IF(AR$11&gt;=0,MAX(INDEX(MMULT(inverseG,AQ$12:AQ$62),$A52+1,1),MAX(strike-$B52,0)),"")</f>
        <v>1.0652577263898564E-2</v>
      </c>
      <c r="AS52" s="9">
        <f t="array" ref="AS52">IF(AS$11&gt;=0,MAX(INDEX(MMULT(inverseG,AR$12:AR$62),$A52+1,1),MAX(strike-$B52,0)),"")</f>
        <v>1.1379321156076814E-2</v>
      </c>
      <c r="AT52" s="9">
        <f t="array" ref="AT52">IF(AT$11&gt;=0,MAX(INDEX(MMULT(inverseG,AS$12:AS$62),$A52+1,1),MAX(strike-$B52,0)),"")</f>
        <v>1.2122829914883218E-2</v>
      </c>
      <c r="AU52" s="9">
        <f t="array" ref="AU52">IF(AU$11&gt;=0,MAX(INDEX(MMULT(inverseG,AT$12:AT$62),$A52+1,1),MAX(strike-$B52,0)),"")</f>
        <v>1.2882108284062534E-2</v>
      </c>
      <c r="AV52" s="9">
        <f t="array" ref="AV52">IF(AV$11&gt;=0,MAX(INDEX(MMULT(inverseG,AU$12:AU$62),$A52+1,1),MAX(strike-$B52,0)),"")</f>
        <v>1.3656174722436763E-2</v>
      </c>
      <c r="AW52" s="9">
        <f t="array" ref="AW52">IF(AW$11&gt;=0,MAX(INDEX(MMULT(inverseG,AV$12:AV$62),$A52+1,1),MAX(strike-$B52,0)),"")</f>
        <v>1.4444064512454747E-2</v>
      </c>
      <c r="AX52" s="9">
        <f t="array" ref="AX52">IF(AX$11&gt;=0,MAX(INDEX(MMULT(inverseG,AW$12:AW$62),$A52+1,1),MAX(strike-$B52,0)),"")</f>
        <v>1.5244832369253496E-2</v>
      </c>
      <c r="AY52" s="9">
        <f t="array" ref="AY52">IF(AY$11&gt;=0,MAX(INDEX(MMULT(inverseG,AX$12:AX$62),$A52+1,1),MAX(strike-$B52,0)),"")</f>
        <v>1.6057554607510419E-2</v>
      </c>
      <c r="AZ52" s="9">
        <f t="array" ref="AZ52">IF(AZ$11&gt;=0,MAX(INDEX(MMULT(inverseG,AY$12:AY$62),$A52+1,1),MAX(strike-$B52,0)),"")</f>
        <v>1.6881330917844755E-2</v>
      </c>
      <c r="BA52" s="9">
        <f t="array" ref="BA52">IF(BA$11&gt;=0,MAX(INDEX(MMULT(inverseG,AZ$12:AZ$62),$A52+1,1),MAX(strike-$B52,0)),"")</f>
        <v>1.7715285798979911E-2</v>
      </c>
      <c r="BB52" s="9">
        <f t="array" ref="BB52">IF(BB$11&gt;=0,MAX(INDEX(MMULT(inverseG,BA$12:BA$62),$A52+1,1),MAX(strike-$B52,0)),"")</f>
        <v>1.8558569686555917E-2</v>
      </c>
      <c r="BC52" s="9">
        <f t="array" ref="BC52">IF(BC$11&gt;=0,MAX(INDEX(MMULT(inverseG,BB$12:BB$62),$A52+1,1),MAX(strike-$B52,0)),"")</f>
        <v>1.9410359814566833E-2</v>
      </c>
      <c r="BD52" s="9">
        <f t="array" ref="BD52">IF(BD$11&gt;=0,MAX(INDEX(MMULT(inverseG,BC$12:BC$62),$A52+1,1),MAX(strike-$B52,0)),"")</f>
        <v>2.026986084100663E-2</v>
      </c>
      <c r="BE52" s="9">
        <f t="array" ref="BE52">IF(BE$11&gt;=0,MAX(INDEX(MMULT(inverseG,BD$12:BD$62),$A52+1,1),MAX(strike-$B52,0)),"")</f>
        <v>2.1136305265487938E-2</v>
      </c>
      <c r="BF52" s="9">
        <f t="array" ref="BF52">IF(BF$11&gt;=0,MAX(INDEX(MMULT(inverseG,BE$12:BE$62),$A52+1,1),MAX(strike-$B52,0)),"")</f>
        <v>2.2008953663344457E-2</v>
      </c>
      <c r="BG52" s="9">
        <f t="array" ref="BG52">IF(BG$11&gt;=0,MAX(INDEX(MMULT(inverseG,BF$12:BF$62),$A52+1,1),MAX(strike-$B52,0)),"")</f>
        <v>2.2887094757994858E-2</v>
      </c>
      <c r="BH52" s="9">
        <f t="array" ref="BH52">IF(BH$11&gt;=0,MAX(INDEX(MMULT(inverseG,BG$12:BG$62),$A52+1,1),MAX(strike-$B52,0)),"")</f>
        <v>2.3770045351064827E-2</v>
      </c>
      <c r="BI52" s="9">
        <f t="array" ref="BI52">IF(BI$11&gt;=0,MAX(INDEX(MMULT(inverseG,BH$12:BH$62),$A52+1,1),MAX(strike-$B52,0)),"")</f>
        <v>2.4657150127855156E-2</v>
      </c>
      <c r="BJ52" s="9">
        <f t="array" ref="BJ52">IF(BJ$11&gt;=0,MAX(INDEX(MMULT(inverseG,BI$12:BI$62),$A52+1,1),MAX(strike-$B52,0)),"")</f>
        <v>2.5547781354129783E-2</v>
      </c>
      <c r="BK52" s="9">
        <f t="array" ref="BK52">IF(BK$11&gt;=0,MAX(INDEX(MMULT(inverseG,BJ$12:BJ$62),$A52+1,1),MAX(strike-$B52,0)),"")</f>
        <v>2.6441338478807173E-2</v>
      </c>
      <c r="BL52" s="9">
        <f t="array" ref="BL52">IF(BL$11&gt;=0,MAX(INDEX(MMULT(inverseG,BK$12:BK$62),$A52+1,1),MAX(strike-$B52,0)),"")</f>
        <v>2.7337247655912455E-2</v>
      </c>
      <c r="BM52" s="9">
        <f t="array" ref="BM52">IF(BM$11&gt;=0,MAX(INDEX(MMULT(inverseG,BL$12:BL$62),$A52+1,1),MAX(strike-$B52,0)),"")</f>
        <v>2.8234961198040434E-2</v>
      </c>
      <c r="BN52" s="9">
        <f t="array" ref="BN52">IF(BN$11&gt;=0,MAX(INDEX(MMULT(inverseG,BM$12:BM$62),$A52+1,1),MAX(strike-$B52,0)),"")</f>
        <v>2.9133956972555847E-2</v>
      </c>
      <c r="BO52" s="9">
        <f t="array" ref="BO52">IF(BO$11&gt;=0,MAX(INDEX(MMULT(inverseG,BN$12:BN$62),$A52+1,1),MAX(strike-$B52,0)),"")</f>
        <v>3.0033737750795261E-2</v>
      </c>
      <c r="BP52" s="9">
        <f t="array" ref="BP52">IF(BP$11&gt;=0,MAX(INDEX(MMULT(inverseG,BO$12:BO$62),$A52+1,1),MAX(strike-$B52,0)),"")</f>
        <v>3.0933830519620294E-2</v>
      </c>
      <c r="BQ52" s="9">
        <f t="array" ref="BQ52">IF(BQ$11&gt;=0,MAX(INDEX(MMULT(inverseG,BP$12:BP$62),$A52+1,1),MAX(strike-$B52,0)),"")</f>
        <v>3.183378576379587E-2</v>
      </c>
      <c r="BR52" s="9">
        <f t="array" ref="BR52">IF(BR$11&gt;=0,MAX(INDEX(MMULT(inverseG,BQ$12:BQ$62),$A52+1,1),MAX(strike-$B52,0)),"")</f>
        <v>3.2733176726829384E-2</v>
      </c>
      <c r="BS52" s="9">
        <f t="array" ref="BS52">IF(BS$11&gt;=0,MAX(INDEX(MMULT(inverseG,BR$12:BR$62),$A52+1,1),MAX(strike-$B52,0)),"")</f>
        <v>3.3631598657104779E-2</v>
      </c>
      <c r="BT52" s="9">
        <f t="array" ref="BT52">IF(BT$11&gt;=0,MAX(INDEX(MMULT(inverseG,BS$12:BS$62),$A52+1,1),MAX(strike-$B52,0)),"")</f>
        <v>3.4528668045383938E-2</v>
      </c>
      <c r="BU52" s="9">
        <f t="array" ref="BU52">IF(BU$11&gt;=0,MAX(INDEX(MMULT(inverseG,BT$12:BT$62),$A52+1,1),MAX(strike-$B52,0)),"")</f>
        <v>3.5424021859026975E-2</v>
      </c>
      <c r="BV52" s="9">
        <f t="array" ref="BV52">IF(BV$11&gt;=0,MAX(INDEX(MMULT(inverseG,BU$12:BU$62),$A52+1,1),MAX(strike-$B52,0)),"")</f>
        <v>3.6317316777607182E-2</v>
      </c>
      <c r="BW52" s="9">
        <f t="array" ref="BW52">IF(BW$11&gt;=0,MAX(INDEX(MMULT(inverseG,BV$12:BV$62),$A52+1,1),MAX(strike-$B52,0)),"")</f>
        <v>3.7208228433966685E-2</v>
      </c>
      <c r="BX52" s="9">
        <f t="array" ref="BX52">IF(BX$11&gt;=0,MAX(INDEX(MMULT(inverseG,BW$12:BW$62),$A52+1,1),MAX(strike-$B52,0)),"")</f>
        <v>3.8096450664177078E-2</v>
      </c>
      <c r="BY52" s="9">
        <f t="array" ref="BY52">IF(BY$11&gt;=0,MAX(INDEX(MMULT(inverseG,BX$12:BX$62),$A52+1,1),MAX(strike-$B52,0)),"")</f>
        <v>3.8981694769335135E-2</v>
      </c>
      <c r="BZ52" s="9">
        <f t="array" ref="BZ52">IF(BZ$11&gt;=0,MAX(INDEX(MMULT(inverseG,BY$12:BY$62),$A52+1,1),MAX(strike-$B52,0)),"")</f>
        <v>3.986368879163911E-2</v>
      </c>
      <c r="CA52" s="9">
        <f t="array" ref="CA52">IF(CA$11&gt;=0,MAX(INDEX(MMULT(inverseG,BZ$12:BZ$62),$A52+1,1),MAX(strike-$B52,0)),"")</f>
        <v>4.074217680675149E-2</v>
      </c>
      <c r="CB52" s="9">
        <f t="array" ref="CB52">IF(CB$11&gt;=0,MAX(INDEX(MMULT(inverseG,CA$12:CA$62),$A52+1,1),MAX(strike-$B52,0)),"")</f>
        <v>4.1616918234061599E-2</v>
      </c>
      <c r="CC52" s="9">
        <f t="array" ref="CC52">IF(CC$11&gt;=0,MAX(INDEX(MMULT(inverseG,CB$12:CB$62),$A52+1,1),MAX(strike-$B52,0)),"")</f>
        <v>4.2487687166111163E-2</v>
      </c>
      <c r="CD52" s="9">
        <f t="array" ref="CD52">IF(CD$11&gt;=0,MAX(INDEX(MMULT(inverseG,CC$12:CC$62),$A52+1,1),MAX(strike-$B52,0)),"")</f>
        <v>4.3354271718136994E-2</v>
      </c>
      <c r="CE52" s="9">
        <f t="array" ref="CE52">IF(CE$11&gt;=0,MAX(INDEX(MMULT(inverseG,CD$12:CD$62),$A52+1,1),MAX(strike-$B52,0)),"")</f>
        <v>4.4216473398413544E-2</v>
      </c>
      <c r="CF52" s="9">
        <f t="array" ref="CF52">IF(CF$11&gt;=0,MAX(INDEX(MMULT(inverseG,CE$12:CE$62),$A52+1,1),MAX(strike-$B52,0)),"")</f>
        <v>4.5074106499842358E-2</v>
      </c>
      <c r="CG52" s="9">
        <f t="array" ref="CG52">IF(CG$11&gt;=0,MAX(INDEX(MMULT(inverseG,CF$12:CF$62),$A52+1,1),MAX(strike-$B52,0)),"")</f>
        <v>4.5926997513031378E-2</v>
      </c>
      <c r="CH52" s="9">
        <f t="array" ref="CH52">IF(CH$11&gt;=0,MAX(INDEX(MMULT(inverseG,CG$12:CG$62),$A52+1,1),MAX(strike-$B52,0)),"")</f>
        <v>4.6774984560932584E-2</v>
      </c>
      <c r="CI52" s="9">
        <f t="array" ref="CI52">IF(CI$11&gt;=0,MAX(INDEX(MMULT(inverseG,CH$12:CH$62),$A52+1,1),MAX(strike-$B52,0)),"")</f>
        <v>4.7617916854958191E-2</v>
      </c>
      <c r="CJ52" s="9">
        <f t="array" ref="CJ52">IF(CJ$11&gt;=0,MAX(INDEX(MMULT(inverseG,CI$12:CI$62),$A52+1,1),MAX(strike-$B52,0)),"")</f>
        <v>4.8455654172371104E-2</v>
      </c>
      <c r="CK52" s="9">
        <f t="array" ref="CK52">IF(CK$11&gt;=0,MAX(INDEX(MMULT(inverseG,CJ$12:CJ$62),$A52+1,1),MAX(strike-$B52,0)),"")</f>
        <v>4.9288066354641759E-2</v>
      </c>
      <c r="CL52" s="9">
        <f t="array" ref="CL52">IF(CL$11&gt;=0,MAX(INDEX(MMULT(inverseG,CK$12:CK$62),$A52+1,1),MAX(strike-$B52,0)),"")</f>
        <v>5.0115032826378782E-2</v>
      </c>
      <c r="CM52" s="9">
        <f t="array" ref="CM52">IF(CM$11&gt;=0,MAX(INDEX(MMULT(inverseG,CL$12:CL$62),$A52+1,1),MAX(strike-$B52,0)),"")</f>
        <v>5.0936442134372283E-2</v>
      </c>
      <c r="CN52" s="9">
        <f t="array" ref="CN52">IF(CN$11&gt;=0,MAX(INDEX(MMULT(inverseG,CM$12:CM$62),$A52+1,1),MAX(strike-$B52,0)),"")</f>
        <v>5.1752191506234495E-2</v>
      </c>
      <c r="CO52" s="9">
        <f t="array" ref="CO52">IF(CO$11&gt;=0,MAX(INDEX(MMULT(inverseG,CN$12:CN$62),$A52+1,1),MAX(strike-$B52,0)),"")</f>
        <v>5.2562186428080894E-2</v>
      </c>
      <c r="CP52" s="9">
        <f t="array" ref="CP52">IF(CP$11&gt;=0,MAX(INDEX(MMULT(inverseG,CO$12:CO$62),$A52+1,1),MAX(strike-$B52,0)),"")</f>
        <v>5.3366340240664105E-2</v>
      </c>
      <c r="CQ52" s="9">
        <f t="array" ref="CQ52">IF(CQ$11&gt;=0,MAX(INDEX(MMULT(inverseG,CP$12:CP$62),$A52+1,1),MAX(strike-$B52,0)),"")</f>
        <v>5.4164573753351028E-2</v>
      </c>
      <c r="CR52" s="9">
        <f t="array" ref="CR52">IF(CR$11&gt;=0,MAX(INDEX(MMULT(inverseG,CQ$12:CQ$62),$A52+1,1),MAX(strike-$B52,0)),"")</f>
        <v>5.4956814875320205E-2</v>
      </c>
      <c r="CS52" s="9">
        <f t="array" ref="CS52">IF(CS$11&gt;=0,MAX(INDEX(MMULT(inverseG,CR$12:CR$62),$A52+1,1),MAX(strike-$B52,0)),"")</f>
        <v>5.5742998263349761E-2</v>
      </c>
      <c r="CT52" s="9">
        <f t="array" ref="CT52">IF(CT$11&gt;=0,MAX(INDEX(MMULT(inverseG,CS$12:CS$62),$A52+1,1),MAX(strike-$B52,0)),"")</f>
        <v>5.6523064985567119E-2</v>
      </c>
      <c r="CU52" s="9">
        <f t="array" ref="CU52">IF(CU$11&gt;=0,MAX(INDEX(MMULT(inverseG,CT$12:CT$62),$A52+1,1),MAX(strike-$B52,0)),"")</f>
        <v>5.7296962200545178E-2</v>
      </c>
      <c r="CV52" s="9">
        <f t="array" ref="CV52">IF(CV$11&gt;=0,MAX(INDEX(MMULT(inverseG,CU$12:CU$62),$A52+1,1),MAX(strike-$B52,0)),"")</f>
        <v>5.8064642851157672E-2</v>
      </c>
      <c r="CW52" s="9">
        <f t="array" ref="CW52">IF(CW$11&gt;=0,MAX(INDEX(MMULT(inverseG,CV$12:CV$62),$A52+1,1),MAX(strike-$B52,0)),"")</f>
        <v>5.8826065372657679E-2</v>
      </c>
      <c r="CX52" s="9">
        <f t="array" ref="CX52">IF(CX$11&gt;=0,MAX(INDEX(MMULT(inverseG,CW$12:CW$62),$A52+1,1),MAX(strike-$B52,0)),"")</f>
        <v>5.9581193414512644E-2</v>
      </c>
      <c r="CY52" s="9">
        <f t="array" ref="CY52">IF(CY$11&gt;=0,MAX(INDEX(MMULT(inverseG,CX$12:CX$62),$A52+1,1),MAX(strike-$B52,0)),"")</f>
        <v>6.0329995575613846E-2</v>
      </c>
      <c r="CZ52" s="9">
        <f t="array" ref="CZ52">IF(CZ$11&gt;=0,MAX(INDEX(MMULT(inverseG,CY$12:CY$62),$A52+1,1),MAX(strike-$B52,0)),"")</f>
        <v>6.1072445152559877E-2</v>
      </c>
      <c r="DA52" s="9" t="str">
        <f t="array" ref="DA52">IF(DA$11&gt;=0,MAX(INDEX(MMULT(inverseG,CZ$12:CZ$62),$A52+1,1),MAX(strike-$B52,0)),"")</f>
        <v/>
      </c>
      <c r="DB52" s="9" t="str">
        <f t="array" ref="DB52">IF(DB$11&gt;=0,MAX(INDEX(MMULT(inverseG,DA$12:DA$62),$A52+1,1),MAX(strike-$B52,0)),"")</f>
        <v/>
      </c>
      <c r="DC52" s="9" t="str">
        <f t="array" ref="DC52">IF(DC$11&gt;=0,MAX(INDEX(MMULT(inverseG,DB$12:DB$62),$A52+1,1),MAX(strike-$B52,0)),"")</f>
        <v/>
      </c>
      <c r="DD52" s="9" t="str">
        <f t="array" ref="DD52">IF(DD$11&gt;=0,MAX(INDEX(MMULT(inverseG,DC$12:DC$62),$A52+1,1),MAX(strike-$B52,0)),"")</f>
        <v/>
      </c>
      <c r="DE52" s="9" t="str">
        <f t="array" ref="DE52">IF(DE$11&gt;=0,MAX(INDEX(MMULT(inverseG,DD$12:DD$62),$A52+1,1),MAX(strike-$B52,0)),"")</f>
        <v/>
      </c>
      <c r="DF52" s="9" t="str">
        <f t="array" ref="DF52">IF(DF$11&gt;=0,MAX(INDEX(MMULT(inverseG,DE$12:DE$62),$A52+1,1),MAX(strike-$B52,0)),"")</f>
        <v/>
      </c>
      <c r="DG52" s="9" t="str">
        <f t="array" ref="DG52">IF(DG$11&gt;=0,MAX(INDEX(MMULT(inverseG,DF$12:DF$62),$A52+1,1),MAX(strike-$B52,0)),"")</f>
        <v/>
      </c>
      <c r="DH52" s="9" t="str">
        <f t="array" ref="DH52">IF(DH$11&gt;=0,MAX(INDEX(MMULT(inverseG,DG$12:DG$62),$A52+1,1),MAX(strike-$B52,0)),"")</f>
        <v/>
      </c>
      <c r="DI52" s="9" t="str">
        <f t="array" ref="DI52">IF(DI$11&gt;=0,MAX(INDEX(MMULT(inverseG,DH$12:DH$62),$A52+1,1),MAX(strike-$B52,0)),"")</f>
        <v/>
      </c>
      <c r="DJ52" s="9" t="str">
        <f t="array" ref="DJ52">IF(DJ$11&gt;=0,MAX(INDEX(MMULT(inverseG,DI$12:DI$62),$A52+1,1),MAX(strike-$B52,0)),"")</f>
        <v/>
      </c>
      <c r="DK52" s="9" t="str">
        <f t="array" ref="DK52">IF(DK$11&gt;=0,MAX(INDEX(MMULT(inverseG,DJ$12:DJ$62),$A52+1,1),MAX(strike-$B52,0)),"")</f>
        <v/>
      </c>
      <c r="DL52" s="9" t="str">
        <f t="array" ref="DL52">IF(DL$11&gt;=0,MAX(INDEX(MMULT(inverseG,DK$12:DK$62),$A52+1,1),MAX(strike-$B52,0)),"")</f>
        <v/>
      </c>
      <c r="DM52" s="9" t="str">
        <f t="array" ref="DM52">IF(DM$11&gt;=0,MAX(INDEX(MMULT(inverseG,DL$12:DL$62),$A52+1,1),MAX(strike-$B52,0)),"")</f>
        <v/>
      </c>
      <c r="DN52" s="9" t="str">
        <f t="array" ref="DN52">IF(DN$11&gt;=0,MAX(INDEX(MMULT(inverseG,DM$12:DM$62),$A52+1,1),MAX(strike-$B52,0)),"")</f>
        <v/>
      </c>
      <c r="DO52" s="9" t="str">
        <f t="array" ref="DO52">IF(DO$11&gt;=0,MAX(INDEX(MMULT(inverseG,DN$12:DN$62),$A52+1,1),MAX(strike-$B52,0)),"")</f>
        <v/>
      </c>
      <c r="DP52" s="9" t="str">
        <f t="array" ref="DP52">IF(DP$11&gt;=0,MAX(INDEX(MMULT(inverseG,DO$12:DO$62),$A52+1,1),MAX(strike-$B52,0)),"")</f>
        <v/>
      </c>
      <c r="DQ52" s="9" t="str">
        <f t="array" ref="DQ52">IF(DQ$11&gt;=0,MAX(INDEX(MMULT(inverseG,DP$12:DP$62),$A52+1,1),MAX(strike-$B52,0)),"")</f>
        <v/>
      </c>
      <c r="DR52" s="9" t="str">
        <f t="array" ref="DR52">IF(DR$11&gt;=0,MAX(INDEX(MMULT(inverseG,DQ$12:DQ$62),$A52+1,1),MAX(strike-$B52,0)),"")</f>
        <v/>
      </c>
      <c r="DS52" s="9" t="str">
        <f t="array" ref="DS52">IF(DS$11&gt;=0,MAX(INDEX(MMULT(inverseG,DR$12:DR$62),$A52+1,1),MAX(strike-$B52,0)),"")</f>
        <v/>
      </c>
      <c r="DT52" s="9" t="str">
        <f t="array" ref="DT52">IF(DT$11&gt;=0,MAX(INDEX(MMULT(inverseG,DS$12:DS$62),$A52+1,1),MAX(strike-$B52,0)),"")</f>
        <v/>
      </c>
      <c r="DU52" s="9" t="str">
        <f t="array" ref="DU52">IF(DU$11&gt;=0,MAX(INDEX(MMULT(inverseG,DT$12:DT$62),$A52+1,1),MAX(strike-$B52,0)),"")</f>
        <v/>
      </c>
      <c r="DV52" s="9" t="str">
        <f t="array" ref="DV52">IF(DV$11&gt;=0,MAX(INDEX(MMULT(inverseG,DU$12:DU$62),$A52+1,1),MAX(strike-$B52,0)),"")</f>
        <v/>
      </c>
      <c r="DW52" s="9" t="str">
        <f t="array" ref="DW52">IF(DW$11&gt;=0,MAX(INDEX(MMULT(inverseG,DV$12:DV$62),$A52+1,1),MAX(strike-$B52,0)),"")</f>
        <v/>
      </c>
      <c r="DX52" s="9" t="str">
        <f t="array" ref="DX52">IF(DX$11&gt;=0,MAX(INDEX(MMULT(inverseG,DW$12:DW$62),$A52+1,1),MAX(strike-$B52,0)),"")</f>
        <v/>
      </c>
      <c r="DY52" s="9" t="str">
        <f t="array" ref="DY52">IF(DY$11&gt;=0,MAX(INDEX(MMULT(inverseG,DX$12:DX$62),$A52+1,1),MAX(strike-$B52,0)),"")</f>
        <v/>
      </c>
      <c r="DZ52" s="9" t="str">
        <f t="array" ref="DZ52">IF(DZ$11&gt;=0,MAX(INDEX(MMULT(inverseG,DY$12:DY$62),$A52+1,1),MAX(strike-$B52,0)),"")</f>
        <v/>
      </c>
      <c r="EA52" s="9" t="str">
        <f t="array" ref="EA52">IF(EA$11&gt;=0,MAX(INDEX(MMULT(inverseG,DZ$12:DZ$62),$A52+1,1),MAX(strike-$B52,0)),"")</f>
        <v/>
      </c>
      <c r="EB52" s="9" t="str">
        <f t="array" ref="EB52">IF(EB$11&gt;=0,MAX(INDEX(MMULT(inverseG,EA$12:EA$62),$A52+1,1),MAX(strike-$B52,0)),"")</f>
        <v/>
      </c>
      <c r="EC52" s="9" t="str">
        <f t="array" ref="EC52">IF(EC$11&gt;=0,MAX(INDEX(MMULT(inverseG,EB$12:EB$62),$A52+1,1),MAX(strike-$B52,0)),"")</f>
        <v/>
      </c>
      <c r="ED52" s="9" t="str">
        <f t="array" ref="ED52">IF(ED$11&gt;=0,MAX(INDEX(MMULT(inverseG,EC$12:EC$62),$A52+1,1),MAX(strike-$B52,0)),"")</f>
        <v/>
      </c>
      <c r="EE52" s="9" t="str">
        <f t="array" ref="EE52">IF(EE$11&gt;=0,MAX(INDEX(MMULT(inverseG,ED$12:ED$62),$A52+1,1),MAX(strike-$B52,0)),"")</f>
        <v/>
      </c>
      <c r="EF52" s="9" t="str">
        <f t="array" ref="EF52">IF(EF$11&gt;=0,MAX(INDEX(MMULT(inverseG,EE$12:EE$62),$A52+1,1),MAX(strike-$B52,0)),"")</f>
        <v/>
      </c>
      <c r="EG52" s="9" t="str">
        <f t="array" ref="EG52">IF(EG$11&gt;=0,MAX(INDEX(MMULT(inverseG,EF$12:EF$62),$A52+1,1),MAX(strike-$B52,0)),"")</f>
        <v/>
      </c>
      <c r="EH52" s="9" t="str">
        <f t="array" ref="EH52">IF(EH$11&gt;=0,MAX(INDEX(MMULT(inverseG,EG$12:EG$62),$A52+1,1),MAX(strike-$B52,0)),"")</f>
        <v/>
      </c>
      <c r="EI52" s="9" t="str">
        <f t="array" ref="EI52">IF(EI$11&gt;=0,MAX(INDEX(MMULT(inverseG,EH$12:EH$62),$A52+1,1),MAX(strike-$B52,0)),"")</f>
        <v/>
      </c>
      <c r="EJ52" s="9" t="str">
        <f t="array" ref="EJ52">IF(EJ$11&gt;=0,MAX(INDEX(MMULT(inverseG,EI$12:EI$62),$A52+1,1),MAX(strike-$B52,0)),"")</f>
        <v/>
      </c>
      <c r="EK52" s="9" t="str">
        <f t="array" ref="EK52">IF(EK$11&gt;=0,MAX(INDEX(MMULT(inverseG,EJ$12:EJ$62),$A52+1,1),MAX(strike-$B52,0)),"")</f>
        <v/>
      </c>
      <c r="EL52" s="9" t="str">
        <f t="array" ref="EL52">IF(EL$11&gt;=0,MAX(INDEX(MMULT(inverseG,EK$12:EK$62),$A52+1,1),MAX(strike-$B52,0)),"")</f>
        <v/>
      </c>
      <c r="EM52" s="9" t="str">
        <f t="array" ref="EM52">IF(EM$11&gt;=0,MAX(INDEX(MMULT(inverseG,EL$12:EL$62),$A52+1,1),MAX(strike-$B52,0)),"")</f>
        <v/>
      </c>
      <c r="EN52" s="9" t="str">
        <f t="array" ref="EN52">IF(EN$11&gt;=0,MAX(INDEX(MMULT(inverseG,EM$12:EM$62),$A52+1,1),MAX(strike-$B52,0)),"")</f>
        <v/>
      </c>
      <c r="EO52" s="9" t="str">
        <f t="array" ref="EO52">IF(EO$11&gt;=0,MAX(INDEX(MMULT(inverseG,EN$12:EN$62),$A52+1,1),MAX(strike-$B52,0)),"")</f>
        <v/>
      </c>
      <c r="EP52" s="9" t="str">
        <f t="array" ref="EP52">IF(EP$11&gt;=0,MAX(INDEX(MMULT(inverseG,EO$12:EO$62),$A52+1,1),MAX(strike-$B52,0)),"")</f>
        <v/>
      </c>
      <c r="EQ52" s="9" t="str">
        <f t="array" ref="EQ52">IF(EQ$11&gt;=0,MAX(INDEX(MMULT(inverseG,EP$12:EP$62),$A52+1,1),MAX(strike-$B52,0)),"")</f>
        <v/>
      </c>
      <c r="ER52" s="9" t="str">
        <f t="array" ref="ER52">IF(ER$11&gt;=0,MAX(INDEX(MMULT(inverseG,EQ$12:EQ$62),$A52+1,1),MAX(strike-$B52,0)),"")</f>
        <v/>
      </c>
      <c r="ES52" s="9" t="str">
        <f t="array" ref="ES52">IF(ES$11&gt;=0,MAX(INDEX(MMULT(inverseG,ER$12:ER$62),$A52+1,1),MAX(strike-$B52,0)),"")</f>
        <v/>
      </c>
      <c r="ET52" s="9" t="str">
        <f t="array" ref="ET52">IF(ET$11&gt;=0,MAX(INDEX(MMULT(inverseG,ES$12:ES$62),$A52+1,1),MAX(strike-$B52,0)),"")</f>
        <v/>
      </c>
      <c r="EU52" s="9" t="str">
        <f t="array" ref="EU52">IF(EU$11&gt;=0,MAX(INDEX(MMULT(inverseG,ET$12:ET$62),$A52+1,1),MAX(strike-$B52,0)),"")</f>
        <v/>
      </c>
      <c r="EV52" s="9" t="str">
        <f t="array" ref="EV52">IF(EV$11&gt;=0,MAX(INDEX(MMULT(inverseG,EU$12:EU$62),$A52+1,1),MAX(strike-$B52,0)),"")</f>
        <v/>
      </c>
      <c r="EW52" s="9" t="str">
        <f t="array" ref="EW52">IF(EW$11&gt;=0,MAX(INDEX(MMULT(inverseG,EV$12:EV$62),$A52+1,1),MAX(strike-$B52,0)),"")</f>
        <v/>
      </c>
      <c r="EX52" s="9" t="str">
        <f t="array" ref="EX52">IF(EX$11&gt;=0,MAX(INDEX(MMULT(inverseG,EW$12:EW$62),$A52+1,1),MAX(strike-$B52,0)),"")</f>
        <v/>
      </c>
      <c r="EY52" s="9" t="str">
        <f t="array" ref="EY52">IF(EY$11&gt;=0,MAX(INDEX(MMULT(inverseG,EX$12:EX$62),$A52+1,1),MAX(strike-$B52,0)),"")</f>
        <v/>
      </c>
      <c r="EZ52" s="9" t="str">
        <f t="array" ref="EZ52">IF(EZ$11&gt;=0,MAX(INDEX(MMULT(inverseG,EY$12:EY$62),$A52+1,1),MAX(strike-$B52,0)),"")</f>
        <v/>
      </c>
      <c r="FA52" s="9" t="str">
        <f t="array" ref="FA52">IF(FA$11&gt;=0,MAX(INDEX(MMULT(inverseG,EZ$12:EZ$62),$A52+1,1),MAX(strike-$B52,0)),"")</f>
        <v/>
      </c>
      <c r="FB52" s="9" t="str">
        <f t="array" ref="FB52">IF(FB$11&gt;=0,MAX(INDEX(MMULT(inverseG,FA$12:FA$62),$A52+1,1),MAX(strike-$B52,0)),"")</f>
        <v/>
      </c>
      <c r="FC52" s="9" t="str">
        <f t="array" ref="FC52">IF(FC$11&gt;=0,MAX(INDEX(MMULT(inverseG,FB$12:FB$62),$A52+1,1),MAX(strike-$B52,0)),"")</f>
        <v/>
      </c>
      <c r="FD52" s="9" t="str">
        <f t="array" ref="FD52">IF(FD$11&gt;=0,MAX(INDEX(MMULT(inverseG,FC$12:FC$62),$A52+1,1),MAX(strike-$B52,0)),"")</f>
        <v/>
      </c>
      <c r="FE52" s="9" t="str">
        <f t="array" ref="FE52">IF(FE$11&gt;=0,MAX(INDEX(MMULT(inverseG,FD$12:FD$62),$A52+1,1),MAX(strike-$B52,0)),"")</f>
        <v/>
      </c>
      <c r="FF52" s="9" t="str">
        <f t="array" ref="FF52">IF(FF$11&gt;=0,MAX(INDEX(MMULT(inverseG,FE$12:FE$62),$A52+1,1),MAX(strike-$B52,0)),"")</f>
        <v/>
      </c>
      <c r="FG52" s="9" t="str">
        <f t="array" ref="FG52">IF(FG$11&gt;=0,MAX(INDEX(MMULT(inverseG,FF$12:FF$62),$A52+1,1),MAX(strike-$B52,0)),"")</f>
        <v/>
      </c>
      <c r="FH52" s="9" t="str">
        <f t="array" ref="FH52">IF(FH$11&gt;=0,MAX(INDEX(MMULT(inverseG,FG$12:FG$62),$A52+1,1),MAX(strike-$B52,0)),"")</f>
        <v/>
      </c>
      <c r="FI52" s="9" t="str">
        <f t="array" ref="FI52">IF(FI$11&gt;=0,MAX(INDEX(MMULT(inverseG,FH$12:FH$62),$A52+1,1),MAX(strike-$B52,0)),"")</f>
        <v/>
      </c>
      <c r="FJ52" s="9" t="str">
        <f t="array" ref="FJ52">IF(FJ$11&gt;=0,MAX(INDEX(MMULT(inverseG,FI$12:FI$62),$A52+1,1),MAX(strike-$B52,0)),"")</f>
        <v/>
      </c>
      <c r="FK52" s="9" t="str">
        <f t="array" ref="FK52">IF(FK$11&gt;=0,MAX(INDEX(MMULT(inverseG,FJ$12:FJ$62),$A52+1,1),MAX(strike-$B52,0)),"")</f>
        <v/>
      </c>
      <c r="FL52" s="9" t="str">
        <f t="array" ref="FL52">IF(FL$11&gt;=0,MAX(INDEX(MMULT(inverseG,FK$12:FK$62),$A52+1,1),MAX(strike-$B52,0)),"")</f>
        <v/>
      </c>
      <c r="FM52" s="9" t="str">
        <f t="array" ref="FM52">IF(FM$11&gt;=0,MAX(INDEX(MMULT(inverseG,FL$12:FL$62),$A52+1,1),MAX(strike-$B52,0)),"")</f>
        <v/>
      </c>
      <c r="FN52" s="9" t="str">
        <f t="array" ref="FN52">IF(FN$11&gt;=0,MAX(INDEX(MMULT(inverseG,FM$12:FM$62),$A52+1,1),MAX(strike-$B52,0)),"")</f>
        <v/>
      </c>
      <c r="FO52" s="9" t="str">
        <f t="array" ref="FO52">IF(FO$11&gt;=0,MAX(INDEX(MMULT(inverseG,FN$12:FN$62),$A52+1,1),MAX(strike-$B52,0)),"")</f>
        <v/>
      </c>
      <c r="FP52" s="9" t="str">
        <f t="array" ref="FP52">IF(FP$11&gt;=0,MAX(INDEX(MMULT(inverseG,FO$12:FO$62),$A52+1,1),MAX(strike-$B52,0)),"")</f>
        <v/>
      </c>
      <c r="FQ52" s="9" t="str">
        <f t="array" ref="FQ52">IF(FQ$11&gt;=0,MAX(INDEX(MMULT(inverseG,FP$12:FP$62),$A52+1,1),MAX(strike-$B52,0)),"")</f>
        <v/>
      </c>
      <c r="FR52" s="9" t="str">
        <f t="array" ref="FR52">IF(FR$11&gt;=0,MAX(INDEX(MMULT(inverseG,FQ$12:FQ$62),$A52+1,1),MAX(strike-$B52,0)),"")</f>
        <v/>
      </c>
      <c r="FS52" s="9" t="str">
        <f t="array" ref="FS52">IF(FS$11&gt;=0,MAX(INDEX(MMULT(inverseG,FR$12:FR$62),$A52+1,1),MAX(strike-$B52,0)),"")</f>
        <v/>
      </c>
      <c r="FT52" s="9" t="str">
        <f t="array" ref="FT52">IF(FT$11&gt;=0,MAX(INDEX(MMULT(inverseG,FS$12:FS$62),$A52+1,1),MAX(strike-$B52,0)),"")</f>
        <v/>
      </c>
      <c r="FU52" s="9" t="str">
        <f t="array" ref="FU52">IF(FU$11&gt;=0,MAX(INDEX(MMULT(inverseG,FT$12:FT$62),$A52+1,1),MAX(strike-$B52,0)),"")</f>
        <v/>
      </c>
      <c r="FV52" s="9" t="str">
        <f t="array" ref="FV52">IF(FV$11&gt;=0,MAX(INDEX(MMULT(inverseG,FU$12:FU$62),$A52+1,1),MAX(strike-$B52,0)),"")</f>
        <v/>
      </c>
      <c r="FW52" s="9" t="str">
        <f t="array" ref="FW52">IF(FW$11&gt;=0,MAX(INDEX(MMULT(inverseG,FV$12:FV$62),$A52+1,1),MAX(strike-$B52,0)),"")</f>
        <v/>
      </c>
      <c r="FX52" s="9" t="str">
        <f t="array" ref="FX52">IF(FX$11&gt;=0,MAX(INDEX(MMULT(inverseG,FW$12:FW$62),$A52+1,1),MAX(strike-$B52,0)),"")</f>
        <v/>
      </c>
      <c r="FY52" s="9" t="str">
        <f t="array" ref="FY52">IF(FY$11&gt;=0,MAX(INDEX(MMULT(inverseG,FX$12:FX$62),$A52+1,1),MAX(strike-$B52,0)),"")</f>
        <v/>
      </c>
      <c r="FZ52" s="9" t="str">
        <f t="array" ref="FZ52">IF(FZ$11&gt;=0,MAX(INDEX(MMULT(inverseG,FY$12:FY$62),$A52+1,1),MAX(strike-$B52,0)),"")</f>
        <v/>
      </c>
      <c r="GA52" s="9" t="str">
        <f t="array" ref="GA52">IF(GA$11&gt;=0,MAX(INDEX(MMULT(inverseG,FZ$12:FZ$62),$A52+1,1),MAX(strike-$B52,0)),"")</f>
        <v/>
      </c>
      <c r="GB52" s="9" t="str">
        <f t="array" ref="GB52">IF(GB$11&gt;=0,MAX(INDEX(MMULT(inverseG,GA$12:GA$62),$A52+1,1),MAX(strike-$B52,0)),"")</f>
        <v/>
      </c>
      <c r="GC52" s="9" t="str">
        <f t="array" ref="GC52">IF(GC$11&gt;=0,MAX(INDEX(MMULT(inverseG,GB$12:GB$62),$A52+1,1),MAX(strike-$B52,0)),"")</f>
        <v/>
      </c>
      <c r="GD52" s="9" t="str">
        <f t="array" ref="GD52">IF(GD$11&gt;=0,MAX(INDEX(MMULT(inverseG,GC$12:GC$62),$A52+1,1),MAX(strike-$B52,0)),"")</f>
        <v/>
      </c>
      <c r="GE52" s="9" t="str">
        <f t="array" ref="GE52">IF(GE$11&gt;=0,MAX(INDEX(MMULT(inverseG,GD$12:GD$62),$A52+1,1),MAX(strike-$B52,0)),"")</f>
        <v/>
      </c>
      <c r="GF52" s="9" t="str">
        <f t="array" ref="GF52">IF(GF$11&gt;=0,MAX(INDEX(MMULT(inverseG,GE$12:GE$62),$A52+1,1),MAX(strike-$B52,0)),"")</f>
        <v/>
      </c>
      <c r="GG52" s="9" t="str">
        <f t="array" ref="GG52">IF(GG$11&gt;=0,MAX(INDEX(MMULT(inverseG,GF$12:GF$62),$A52+1,1),MAX(strike-$B52,0)),"")</f>
        <v/>
      </c>
      <c r="GH52" s="9" t="str">
        <f t="array" ref="GH52">IF(GH$11&gt;=0,MAX(INDEX(MMULT(inverseG,GG$12:GG$62),$A52+1,1),MAX(strike-$B52,0)),"")</f>
        <v/>
      </c>
      <c r="GI52" s="9" t="str">
        <f t="array" ref="GI52">IF(GI$11&gt;=0,MAX(INDEX(MMULT(inverseG,GH$12:GH$62),$A52+1,1),MAX(strike-$B52,0)),"")</f>
        <v/>
      </c>
      <c r="GJ52" s="9" t="str">
        <f t="array" ref="GJ52">IF(GJ$11&gt;=0,MAX(INDEX(MMULT(inverseG,GI$12:GI$62),$A52+1,1),MAX(strike-$B52,0)),"")</f>
        <v/>
      </c>
      <c r="GK52" s="9" t="str">
        <f t="array" ref="GK52">IF(GK$11&gt;=0,MAX(INDEX(MMULT(inverseG,GJ$12:GJ$62),$A52+1,1),MAX(strike-$B52,0)),"")</f>
        <v/>
      </c>
      <c r="GL52" s="9" t="str">
        <f t="array" ref="GL52">IF(GL$11&gt;=0,MAX(INDEX(MMULT(inverseG,GK$12:GK$62),$A52+1,1),MAX(strike-$B52,0)),"")</f>
        <v/>
      </c>
      <c r="GM52" s="9" t="str">
        <f t="array" ref="GM52">IF(GM$11&gt;=0,MAX(INDEX(MMULT(inverseG,GL$12:GL$62),$A52+1,1),MAX(strike-$B52,0)),"")</f>
        <v/>
      </c>
      <c r="GN52" s="9" t="str">
        <f t="array" ref="GN52">IF(GN$11&gt;=0,MAX(INDEX(MMULT(inverseG,GM$12:GM$62),$A52+1,1),MAX(strike-$B52,0)),"")</f>
        <v/>
      </c>
      <c r="GO52" s="9" t="str">
        <f t="array" ref="GO52">IF(GO$11&gt;=0,MAX(INDEX(MMULT(inverseG,GN$12:GN$62),$A52+1,1),MAX(strike-$B52,0)),"")</f>
        <v/>
      </c>
      <c r="GP52" s="9" t="str">
        <f t="array" ref="GP52">IF(GP$11&gt;=0,MAX(INDEX(MMULT(inverseG,GO$12:GO$62),$A52+1,1),MAX(strike-$B52,0)),"")</f>
        <v/>
      </c>
      <c r="GQ52" s="9" t="str">
        <f t="array" ref="GQ52">IF(GQ$11&gt;=0,MAX(INDEX(MMULT(inverseG,GP$12:GP$62),$A52+1,1),MAX(strike-$B52,0)),"")</f>
        <v/>
      </c>
      <c r="GR52" s="9" t="str">
        <f t="array" ref="GR52">IF(GR$11&gt;=0,MAX(INDEX(MMULT(inverseG,GQ$12:GQ$62),$A52+1,1),MAX(strike-$B52,0)),"")</f>
        <v/>
      </c>
      <c r="GS52" s="9" t="str">
        <f t="array" ref="GS52">IF(GS$11&gt;=0,MAX(INDEX(MMULT(inverseG,GR$12:GR$62),$A52+1,1),MAX(strike-$B52,0)),"")</f>
        <v/>
      </c>
      <c r="GT52" s="9" t="str">
        <f t="array" ref="GT52">IF(GT$11&gt;=0,MAX(INDEX(MMULT(inverseG,GS$12:GS$62),$A52+1,1),MAX(strike-$B52,0)),"")</f>
        <v/>
      </c>
      <c r="GU52" s="9" t="str">
        <f t="array" ref="GU52">IF(GU$11&gt;=0,MAX(INDEX(MMULT(inverseG,GT$12:GT$62),$A52+1,1),MAX(strike-$B52,0)),"")</f>
        <v/>
      </c>
      <c r="GV52" s="9" t="str">
        <f t="array" ref="GV52">IF(GV$11&gt;=0,MAX(INDEX(MMULT(inverseG,GU$12:GU$62),$A52+1,1),MAX(strike-$B52,0)),"")</f>
        <v/>
      </c>
      <c r="GW52" s="9" t="str">
        <f t="array" ref="GW52">IF(GW$11&gt;=0,MAX(INDEX(MMULT(inverseG,GV$12:GV$62),$A52+1,1),MAX(strike-$B52,0)),"")</f>
        <v/>
      </c>
      <c r="GX52" s="9" t="str">
        <f t="array" ref="GX52">IF(GX$11&gt;=0,MAX(INDEX(MMULT(inverseG,GW$12:GW$62),$A52+1,1),MAX(strike-$B52,0)),"")</f>
        <v/>
      </c>
      <c r="GY52" s="9" t="str">
        <f t="array" ref="GY52">IF(GY$11&gt;=0,MAX(INDEX(MMULT(inverseG,GX$12:GX$62),$A52+1,1),MAX(strike-$B52,0)),"")</f>
        <v/>
      </c>
      <c r="GZ52" s="9" t="str">
        <f t="array" ref="GZ52">IF(GZ$11&gt;=0,MAX(INDEX(MMULT(inverseG,GY$12:GY$62),$A52+1,1),MAX(strike-$B52,0)),"")</f>
        <v/>
      </c>
      <c r="HA52" s="9" t="str">
        <f t="array" ref="HA52">IF(HA$11&gt;=0,MAX(INDEX(MMULT(inverseG,GZ$12:GZ$62),$A52+1,1),MAX(strike-$B52,0)),"")</f>
        <v/>
      </c>
      <c r="HB52" s="9" t="str">
        <f t="array" ref="HB52">IF(HB$11&gt;=0,MAX(INDEX(MMULT(inverseG,HA$12:HA$62),$A52+1,1),MAX(strike-$B52,0)),"")</f>
        <v/>
      </c>
      <c r="HC52" s="9" t="str">
        <f t="array" ref="HC52">IF(HC$11&gt;=0,MAX(INDEX(MMULT(inverseG,HB$12:HB$62),$A52+1,1),MAX(strike-$B52,0)),"")</f>
        <v/>
      </c>
      <c r="HD52" s="9" t="str">
        <f t="array" ref="HD52">IF(HD$11&gt;=0,MAX(INDEX(MMULT(inverseG,HC$12:HC$62),$A52+1,1),MAX(strike-$B52,0)),"")</f>
        <v/>
      </c>
      <c r="HE52" s="9" t="str">
        <f t="array" ref="HE52">IF(HE$11&gt;=0,MAX(INDEX(MMULT(inverseG,HD$12:HD$62),$A52+1,1),MAX(strike-$B52,0)),"")</f>
        <v/>
      </c>
      <c r="HF52" s="9" t="str">
        <f t="array" ref="HF52">IF(HF$11&gt;=0,MAX(INDEX(MMULT(inverseG,HE$12:HE$62),$A52+1,1),MAX(strike-$B52,0)),"")</f>
        <v/>
      </c>
      <c r="HG52" s="9" t="str">
        <f t="array" ref="HG52">IF(HG$11&gt;=0,MAX(INDEX(MMULT(inverseG,HF$12:HF$62),$A52+1,1),MAX(strike-$B52,0)),"")</f>
        <v/>
      </c>
      <c r="HH52" s="9" t="str">
        <f t="array" ref="HH52">IF(HH$11&gt;=0,MAX(INDEX(MMULT(inverseG,HG$12:HG$62),$A52+1,1),MAX(strike-$B52,0)),"")</f>
        <v/>
      </c>
      <c r="HI52" s="9" t="str">
        <f t="array" ref="HI52">IF(HI$11&gt;=0,MAX(INDEX(MMULT(inverseG,HH$12:HH$62),$A52+1,1),MAX(strike-$B52,0)),"")</f>
        <v/>
      </c>
      <c r="HJ52" s="9" t="str">
        <f t="array" ref="HJ52">IF(HJ$11&gt;=0,MAX(INDEX(MMULT(inverseG,HI$12:HI$62),$A52+1,1),MAX(strike-$B52,0)),"")</f>
        <v/>
      </c>
      <c r="HK52" s="9" t="str">
        <f t="array" ref="HK52">IF(HK$11&gt;=0,MAX(INDEX(MMULT(inverseG,HJ$12:HJ$62),$A52+1,1),MAX(strike-$B52,0)),"")</f>
        <v/>
      </c>
      <c r="HL52" s="9" t="str">
        <f t="array" ref="HL52">IF(HL$11&gt;=0,MAX(INDEX(MMULT(inverseG,HK$12:HK$62),$A52+1,1),MAX(strike-$B52,0)),"")</f>
        <v/>
      </c>
      <c r="HM52" s="9" t="str">
        <f t="array" ref="HM52">IF(HM$11&gt;=0,MAX(INDEX(MMULT(inverseG,HL$12:HL$62),$A52+1,1),MAX(strike-$B52,0)),"")</f>
        <v/>
      </c>
      <c r="HN52" s="9" t="str">
        <f t="array" ref="HN52">IF(HN$11&gt;=0,MAX(INDEX(MMULT(inverseG,HM$12:HM$62),$A52+1,1),MAX(strike-$B52,0)),"")</f>
        <v/>
      </c>
      <c r="HO52" s="9" t="str">
        <f t="array" ref="HO52">IF(HO$11&gt;=0,MAX(INDEX(MMULT(inverseG,HN$12:HN$62),$A52+1,1),MAX(strike-$B52,0)),"")</f>
        <v/>
      </c>
      <c r="HP52" s="9" t="str">
        <f t="array" ref="HP52">IF(HP$11&gt;=0,MAX(INDEX(MMULT(inverseG,HO$12:HO$62),$A52+1,1),MAX(strike-$B52,0)),"")</f>
        <v/>
      </c>
      <c r="HQ52" s="9" t="str">
        <f t="array" ref="HQ52">IF(HQ$11&gt;=0,MAX(INDEX(MMULT(inverseG,HP$12:HP$62),$A52+1,1),MAX(strike-$B52,0)),"")</f>
        <v/>
      </c>
      <c r="HR52" s="9" t="str">
        <f t="array" ref="HR52">IF(HR$11&gt;=0,MAX(INDEX(MMULT(inverseG,HQ$12:HQ$62),$A52+1,1),MAX(strike-$B52,0)),"")</f>
        <v/>
      </c>
      <c r="HS52" s="9" t="str">
        <f t="array" ref="HS52">IF(HS$11&gt;=0,MAX(INDEX(MMULT(inverseG,HR$12:HR$62),$A52+1,1),MAX(strike-$B52,0)),"")</f>
        <v/>
      </c>
      <c r="HT52" s="9" t="str">
        <f t="array" ref="HT52">IF(HT$11&gt;=0,MAX(INDEX(MMULT(inverseG,HS$12:HS$62),$A52+1,1),MAX(strike-$B52,0)),"")</f>
        <v/>
      </c>
      <c r="HU52" s="9" t="str">
        <f t="array" ref="HU52">IF(HU$11&gt;=0,MAX(INDEX(MMULT(inverseG,HT$12:HT$62),$A52+1,1),MAX(strike-$B52,0)),"")</f>
        <v/>
      </c>
      <c r="HV52" s="9" t="str">
        <f t="array" ref="HV52">IF(HV$11&gt;=0,MAX(INDEX(MMULT(inverseG,HU$12:HU$62),$A52+1,1),MAX(strike-$B52,0)),"")</f>
        <v/>
      </c>
      <c r="HW52" s="9" t="str">
        <f t="array" ref="HW52">IF(HW$11&gt;=0,MAX(INDEX(MMULT(inverseG,HV$12:HV$62),$A52+1,1),MAX(strike-$B52,0)),"")</f>
        <v/>
      </c>
      <c r="HX52" s="9" t="str">
        <f t="array" ref="HX52">IF(HX$11&gt;=0,MAX(INDEX(MMULT(inverseG,HW$12:HW$62),$A52+1,1),MAX(strike-$B52,0)),"")</f>
        <v/>
      </c>
      <c r="HY52" s="9" t="str">
        <f t="array" ref="HY52">IF(HY$11&gt;=0,MAX(INDEX(MMULT(inverseG,HX$12:HX$62),$A52+1,1),MAX(strike-$B52,0)),"")</f>
        <v/>
      </c>
      <c r="HZ52" s="9" t="str">
        <f t="array" ref="HZ52">IF(HZ$11&gt;=0,MAX(INDEX(MMULT(inverseG,HY$12:HY$62),$A52+1,1),MAX(strike-$B52,0)),"")</f>
        <v/>
      </c>
      <c r="IA52" s="9" t="str">
        <f t="array" ref="IA52">IF(IA$11&gt;=0,MAX(INDEX(MMULT(inverseG,HZ$12:HZ$62),$A52+1,1),MAX(strike-$B52,0)),"")</f>
        <v/>
      </c>
      <c r="IB52" s="9" t="str">
        <f t="array" ref="IB52">IF(IB$11&gt;=0,MAX(INDEX(MMULT(inverseG,IA$12:IA$62),$A52+1,1),MAX(strike-$B52,0)),"")</f>
        <v/>
      </c>
      <c r="IC52" s="9" t="str">
        <f t="array" ref="IC52">IF(IC$11&gt;=0,MAX(INDEX(MMULT(inverseG,IB$12:IB$62),$A52+1,1),MAX(strike-$B52,0)),"")</f>
        <v/>
      </c>
      <c r="ID52" s="9" t="str">
        <f t="array" ref="ID52">IF(ID$11&gt;=0,MAX(INDEX(MMULT(inverseG,IC$12:IC$62),$A52+1,1),MAX(strike-$B52,0)),"")</f>
        <v/>
      </c>
      <c r="IE52" s="9" t="str">
        <f t="array" ref="IE52">IF(IE$11&gt;=0,MAX(INDEX(MMULT(inverseG,ID$12:ID$62),$A52+1,1),MAX(strike-$B52,0)),"")</f>
        <v/>
      </c>
      <c r="IF52" s="9" t="str">
        <f t="array" ref="IF52">IF(IF$11&gt;=0,MAX(INDEX(MMULT(inverseG,IE$12:IE$62),$A52+1,1),MAX(strike-$B52,0)),"")</f>
        <v/>
      </c>
      <c r="IG52" s="9" t="str">
        <f t="array" ref="IG52">IF(IG$11&gt;=0,MAX(INDEX(MMULT(inverseG,IF$12:IF$62),$A52+1,1),MAX(strike-$B52,0)),"")</f>
        <v/>
      </c>
      <c r="IH52" s="9" t="str">
        <f t="array" ref="IH52">IF(IH$11&gt;=0,MAX(INDEX(MMULT(inverseG,IG$12:IG$62),$A52+1,1),MAX(strike-$B52,0)),"")</f>
        <v/>
      </c>
      <c r="II52" s="9" t="str">
        <f t="array" ref="II52">IF(II$11&gt;=0,MAX(INDEX(MMULT(inverseG,IH$12:IH$62),$A52+1,1),MAX(strike-$B52,0)),"")</f>
        <v/>
      </c>
      <c r="IJ52" s="9" t="str">
        <f t="array" ref="IJ52">IF(IJ$11&gt;=0,MAX(INDEX(MMULT(inverseG,II$12:II$62),$A52+1,1),MAX(strike-$B52,0)),"")</f>
        <v/>
      </c>
      <c r="IK52" s="9" t="str">
        <f t="array" ref="IK52">IF(IK$11&gt;=0,MAX(INDEX(MMULT(inverseG,IJ$12:IJ$62),$A52+1,1),MAX(strike-$B52,0)),"")</f>
        <v/>
      </c>
      <c r="IL52" s="9" t="str">
        <f t="array" ref="IL52">IF(IL$11&gt;=0,MAX(INDEX(MMULT(inverseG,IK$12:IK$62),$A52+1,1),MAX(strike-$B52,0)),"")</f>
        <v/>
      </c>
      <c r="IM52" s="9" t="str">
        <f t="array" ref="IM52">IF(IM$11&gt;=0,MAX(INDEX(MMULT(inverseG,IL$12:IL$62),$A52+1,1),MAX(strike-$B52,0)),"")</f>
        <v/>
      </c>
      <c r="IN52" s="9" t="str">
        <f t="array" ref="IN52">IF(IN$11&gt;=0,MAX(INDEX(MMULT(inverseG,IM$12:IM$62),$A52+1,1),MAX(strike-$B52,0)),"")</f>
        <v/>
      </c>
      <c r="IO52" s="9" t="str">
        <f t="array" ref="IO52">IF(IO$11&gt;=0,MAX(INDEX(MMULT(inverseG,IN$12:IN$62),$A52+1,1),MAX(strike-$B52,0)),"")</f>
        <v/>
      </c>
      <c r="IP52" s="9" t="str">
        <f t="array" ref="IP52">IF(IP$11&gt;=0,MAX(INDEX(MMULT(inverseG,IO$12:IO$62),$A52+1,1),MAX(strike-$B52,0)),"")</f>
        <v/>
      </c>
      <c r="IQ52" s="9" t="str">
        <f t="array" ref="IQ52">IF(IQ$11&gt;=0,MAX(INDEX(MMULT(inverseG,IP$12:IP$62),$A52+1,1),MAX(strike-$B52,0)),"")</f>
        <v/>
      </c>
      <c r="IR52" s="9" t="str">
        <f t="array" ref="IR52">IF(IR$11&gt;=0,MAX(INDEX(MMULT(inverseG,IQ$12:IQ$62),$A52+1,1),MAX(strike-$B52,0)),"")</f>
        <v/>
      </c>
      <c r="IS52" s="9" t="str">
        <f t="array" ref="IS52">IF(IS$11&gt;=0,MAX(INDEX(MMULT(inverseG,IR$12:IR$62),$A52+1,1),MAX(strike-$B52,0)),"")</f>
        <v/>
      </c>
      <c r="IT52" s="9" t="str">
        <f t="array" ref="IT52">IF(IT$11&gt;=0,MAX(INDEX(MMULT(inverseG,IS$12:IS$62),$A52+1,1),MAX(strike-$B52,0)),"")</f>
        <v/>
      </c>
      <c r="IU52" s="9" t="str">
        <f t="array" ref="IU52">IF(IU$11&gt;=0,MAX(INDEX(MMULT(inverseG,IT$12:IT$62),$A52+1,1),MAX(strike-$B52,0)),"")</f>
        <v/>
      </c>
      <c r="IV52" s="9" t="str">
        <f t="array" ref="IV52">IF(IV$11&gt;=0,MAX(INDEX(MMULT(inverseG,IU$12:IU$62),$A52+1,1),MAX(strike-$B52,0)),"")</f>
        <v/>
      </c>
    </row>
    <row r="53" spans="1:256" x14ac:dyDescent="0.2">
      <c r="A53" s="8">
        <f t="shared" si="7"/>
        <v>41</v>
      </c>
      <c r="B53" s="6">
        <f t="shared" si="8"/>
        <v>10.25</v>
      </c>
      <c r="C53" s="30">
        <f t="shared" ca="1" si="6"/>
        <v>5.3024571980996256E-2</v>
      </c>
      <c r="D53" s="9">
        <f t="shared" si="9"/>
        <v>0</v>
      </c>
      <c r="E53" s="9">
        <f t="array" ref="E53">IF(E$11&gt;=0,MAX(INDEX(MMULT(inverseG,D$12:D$62),$A53+1,1),MAX(strike-$B53,0)),"")</f>
        <v>1.5037709876560335E-9</v>
      </c>
      <c r="F53" s="9">
        <f t="array" ref="F53">IF(F$11&gt;=0,MAX(INDEX(MMULT(inverseG,E$12:E$62),$A53+1,1),MAX(strike-$B53,0)),"")</f>
        <v>1.4765386231921943E-8</v>
      </c>
      <c r="G53" s="9">
        <f t="array" ref="G53">IF(G$11&gt;=0,MAX(INDEX(MMULT(inverseG,F$12:F$62),$A53+1,1),MAX(strike-$B53,0)),"")</f>
        <v>7.7220807263428016E-8</v>
      </c>
      <c r="H53" s="9">
        <f t="array" ref="H53">IF(H$11&gt;=0,MAX(INDEX(MMULT(inverseG,G$12:G$62),$A53+1,1),MAX(strike-$B53,0)),"")</f>
        <v>2.8620330189384996E-7</v>
      </c>
      <c r="I53" s="9">
        <f t="array" ref="I53">IF(I$11&gt;=0,MAX(INDEX(MMULT(inverseG,H$12:H$62),$A53+1,1),MAX(strike-$B53,0)),"")</f>
        <v>8.4401094555309154E-7</v>
      </c>
      <c r="J53" s="9">
        <f t="array" ref="J53">IF(J$11&gt;=0,MAX(INDEX(MMULT(inverseG,I$12:I$62),$A53+1,1),MAX(strike-$B53,0)),"")</f>
        <v>2.1083970600868187E-6</v>
      </c>
      <c r="K53" s="9">
        <f t="array" ref="K53">IF(K$11&gt;=0,MAX(INDEX(MMULT(inverseG,J$12:J$62),$A53+1,1),MAX(strike-$B53,0)),"")</f>
        <v>4.6389606923119412E-6</v>
      </c>
      <c r="L53" s="9">
        <f t="array" ref="L53">IF(L$11&gt;=0,MAX(INDEX(MMULT(inverseG,K$12:K$62),$A53+1,1),MAX(strike-$B53,0)),"")</f>
        <v>9.2304748313879401E-6</v>
      </c>
      <c r="M53" s="9">
        <f t="array" ref="M53">IF(M$11&gt;=0,MAX(INDEX(MMULT(inverseG,L$12:L$62),$A53+1,1),MAX(strike-$B53,0)),"")</f>
        <v>1.6927155885480108E-5</v>
      </c>
      <c r="N53" s="9">
        <f t="array" ref="N53">IF(N$11&gt;=0,MAX(INDEX(MMULT(inverseG,M$12:M$62),$A53+1,1),MAX(strike-$B53,0)),"")</f>
        <v>2.9015831346962282E-5</v>
      </c>
      <c r="O53" s="9">
        <f t="array" ref="O53">IF(O$11&gt;=0,MAX(INDEX(MMULT(inverseG,N$12:N$62),$A53+1,1),MAX(strike-$B53,0)),"")</f>
        <v>4.6999605791618991E-5</v>
      </c>
      <c r="P53" s="9">
        <f t="array" ref="P53">IF(P$11&gt;=0,MAX(INDEX(MMULT(inverseG,O$12:O$62),$A53+1,1),MAX(strike-$B53,0)),"")</f>
        <v>7.2556181542856704E-5</v>
      </c>
      <c r="Q53" s="9">
        <f t="array" ref="Q53">IF(Q$11&gt;=0,MAX(INDEX(MMULT(inverseG,P$12:P$62),$A53+1,1),MAX(strike-$B53,0)),"")</f>
        <v>1.0748623739903601E-4</v>
      </c>
      <c r="R53" s="9">
        <f t="array" ref="R53">IF(R$11&gt;=0,MAX(INDEX(MMULT(inverseG,Q$12:Q$62),$A53+1,1),MAX(strike-$B53,0)),"")</f>
        <v>1.53657374490428E-4</v>
      </c>
      <c r="S53" s="9">
        <f t="array" ref="S53">IF(S$11&gt;=0,MAX(INDEX(MMULT(inverseG,R$12:R$62),$A53+1,1),MAX(strike-$B53,0)),"")</f>
        <v>2.1294845346258708E-4</v>
      </c>
      <c r="T53" s="9">
        <f t="array" ref="T53">IF(T$11&gt;=0,MAX(INDEX(MMULT(inverseG,S$12:S$62),$A53+1,1),MAX(strike-$B53,0)),"")</f>
        <v>2.8719804480224065E-4</v>
      </c>
      <c r="U53" s="9">
        <f t="array" ref="U53">IF(U$11&gt;=0,MAX(INDEX(MMULT(inverseG,T$12:T$62),$A53+1,1),MAX(strike-$B53,0)),"")</f>
        <v>3.7815949867039549E-4</v>
      </c>
      <c r="V53" s="9">
        <f t="array" ref="V53">IF(V$11&gt;=0,MAX(INDEX(MMULT(inverseG,U$12:U$62),$A53+1,1),MAX(strike-$B53,0)),"")</f>
        <v>4.8746401647093611E-4</v>
      </c>
      <c r="W53" s="9">
        <f t="array" ref="W53">IF(W$11&gt;=0,MAX(INDEX(MMULT(inverseG,V$12:V$62),$A53+1,1),MAX(strike-$B53,0)),"")</f>
        <v>6.165921833283846E-4</v>
      </c>
      <c r="X53" s="9">
        <f t="array" ref="X53">IF(X$11&gt;=0,MAX(INDEX(MMULT(inverseG,W$12:W$62),$A53+1,1),MAX(strike-$B53,0)),"")</f>
        <v>7.6685373594464557E-4</v>
      </c>
      <c r="Y53" s="9">
        <f t="array" ref="Y53">IF(Y$11&gt;=0,MAX(INDEX(MMULT(inverseG,X$12:X$62),$A53+1,1),MAX(strike-$B53,0)),"")</f>
        <v>9.3937488415611657E-4</v>
      </c>
      <c r="Z53" s="9">
        <f t="array" ref="Z53">IF(Z$11&gt;=0,MAX(INDEX(MMULT(inverseG,Y$12:Y$62),$A53+1,1),MAX(strike-$B53,0)),"")</f>
        <v>1.1350922419460217E-3</v>
      </c>
      <c r="AA53" s="9">
        <f t="array" ref="AA53">IF(AA$11&gt;=0,MAX(INDEX(MMULT(inverseG,Z$12:Z$62),$A53+1,1),MAX(strike-$B53,0)),"")</f>
        <v>1.3547523104699424E-3</v>
      </c>
      <c r="AB53" s="9">
        <f t="array" ref="AB53">IF(AB$11&gt;=0,MAX(INDEX(MMULT(inverseG,AA$12:AA$62),$A53+1,1),MAX(strike-$B53,0)),"")</f>
        <v>1.5989154484269345E-3</v>
      </c>
      <c r="AC53" s="9">
        <f t="array" ref="AC53">IF(AC$11&gt;=0,MAX(INDEX(MMULT(inverseG,AB$12:AB$62),$A53+1,1),MAX(strike-$B53,0)),"")</f>
        <v>1.8679633265725681E-3</v>
      </c>
      <c r="AD53" s="9">
        <f t="array" ref="AD53">IF(AD$11&gt;=0,MAX(INDEX(MMULT(inverseG,AC$12:AC$62),$A53+1,1),MAX(strike-$B53,0)),"")</f>
        <v>2.1621089641243774E-3</v>
      </c>
      <c r="AE53" s="9">
        <f t="array" ref="AE53">IF(AE$11&gt;=0,MAX(INDEX(MMULT(inverseG,AD$12:AD$62),$A53+1,1),MAX(strike-$B53,0)),"")</f>
        <v>2.4814085640544087E-3</v>
      </c>
      <c r="AF53" s="9">
        <f t="array" ref="AF53">IF(AF$11&gt;=0,MAX(INDEX(MMULT(inverseG,AE$12:AE$62),$A53+1,1),MAX(strike-$B53,0)),"")</f>
        <v>2.8257744874645181E-3</v>
      </c>
      <c r="AG53" s="9">
        <f t="array" ref="AG53">IF(AG$11&gt;=0,MAX(INDEX(MMULT(inverseG,AF$12:AF$62),$A53+1,1),MAX(strike-$B53,0)),"")</f>
        <v>3.1949888254304234E-3</v>
      </c>
      <c r="AH53" s="9">
        <f t="array" ref="AH53">IF(AH$11&gt;=0,MAX(INDEX(MMULT(inverseG,AG$12:AG$62),$A53+1,1),MAX(strike-$B53,0)),"")</f>
        <v>3.5887171348125751E-3</v>
      </c>
      <c r="AI53" s="9">
        <f t="array" ref="AI53">IF(AI$11&gt;=0,MAX(INDEX(MMULT(inverseG,AH$12:AH$62),$A53+1,1),MAX(strike-$B53,0)),"")</f>
        <v>4.0065220001608238E-3</v>
      </c>
      <c r="AJ53" s="9">
        <f t="array" ref="AJ53">IF(AJ$11&gt;=0,MAX(INDEX(MMULT(inverseG,AI$12:AI$62),$A53+1,1),MAX(strike-$B53,0)),"")</f>
        <v>4.447876166294276E-3</v>
      </c>
      <c r="AK53" s="9">
        <f t="array" ref="AK53">IF(AK$11&gt;=0,MAX(INDEX(MMULT(inverseG,AJ$12:AJ$62),$A53+1,1),MAX(strike-$B53,0)),"")</f>
        <v>4.9121750557613569E-3</v>
      </c>
      <c r="AL53" s="9">
        <f t="array" ref="AL53">IF(AL$11&gt;=0,MAX(INDEX(MMULT(inverseG,AK$12:AK$62),$A53+1,1),MAX(strike-$B53,0)),"")</f>
        <v>5.39874854309843E-3</v>
      </c>
      <c r="AM53" s="9">
        <f t="array" ref="AM53">IF(AM$11&gt;=0,MAX(INDEX(MMULT(inverseG,AL$12:AL$62),$A53+1,1),MAX(strike-$B53,0)),"")</f>
        <v>5.9068719048098297E-3</v>
      </c>
      <c r="AN53" s="9">
        <f t="array" ref="AN53">IF(AN$11&gt;=0,MAX(INDEX(MMULT(inverseG,AM$12:AM$62),$A53+1,1),MAX(strike-$B53,0)),"")</f>
        <v>6.4357759015900278E-3</v>
      </c>
      <c r="AO53" s="9">
        <f t="array" ref="AO53">IF(AO$11&gt;=0,MAX(INDEX(MMULT(inverseG,AN$12:AN$62),$A53+1,1),MAX(strike-$B53,0)),"")</f>
        <v>6.9846559787983377E-3</v>
      </c>
      <c r="AP53" s="9">
        <f t="array" ref="AP53">IF(AP$11&gt;=0,MAX(INDEX(MMULT(inverseG,AO$12:AO$62),$A53+1,1),MAX(strike-$B53,0)),"")</f>
        <v>7.552680593824323E-3</v>
      </c>
      <c r="AQ53" s="9">
        <f t="array" ref="AQ53">IF(AQ$11&gt;=0,MAX(INDEX(MMULT(inverseG,AP$12:AP$62),$A53+1,1),MAX(strike-$B53,0)),"")</f>
        <v>8.1389986959090228E-3</v>
      </c>
      <c r="AR53" s="9">
        <f t="array" ref="AR53">IF(AR$11&gt;=0,MAX(INDEX(MMULT(inverseG,AQ$12:AQ$62),$A53+1,1),MAX(strike-$B53,0)),"")</f>
        <v>8.7427463962586154E-3</v>
      </c>
      <c r="AS53" s="9">
        <f t="array" ref="AS53">IF(AS$11&gt;=0,MAX(INDEX(MMULT(inverseG,AR$12:AR$62),$A53+1,1),MAX(strike-$B53,0)),"")</f>
        <v>9.3630528748001839E-3</v>
      </c>
      <c r="AT53" s="9">
        <f t="array" ref="AT53">IF(AT$11&gt;=0,MAX(INDEX(MMULT(inverseG,AS$12:AS$62),$A53+1,1),MAX(strike-$B53,0)),"")</f>
        <v>9.9990455754148718E-3</v>
      </c>
      <c r="AU53" s="9">
        <f t="array" ref="AU53">IF(AU$11&gt;=0,MAX(INDEX(MMULT(inverseG,AT$12:AT$62),$A53+1,1),MAX(strike-$B53,0)),"")</f>
        <v>1.0649854744516515E-2</v>
      </c>
      <c r="AV53" s="9">
        <f t="array" ref="AV53">IF(AV$11&gt;=0,MAX(INDEX(MMULT(inverseG,AU$12:AU$62),$A53+1,1),MAX(strike-$B53,0)),"")</f>
        <v>1.1314617368875119E-2</v>
      </c>
      <c r="AW53" s="9">
        <f t="array" ref="AW53">IF(AW$11&gt;=0,MAX(INDEX(MMULT(inverseG,AV$12:AV$62),$A53+1,1),MAX(strike-$B53,0)),"")</f>
        <v>1.1992480567987365E-2</v>
      </c>
      <c r="AX53" s="9">
        <f t="array" ref="AX53">IF(AX$11&gt;=0,MAX(INDEX(MMULT(inverseG,AW$12:AW$62),$A53+1,1),MAX(strike-$B53,0)),"")</f>
        <v>1.2682604494404745E-2</v>
      </c>
      <c r="AY53" s="9">
        <f t="array" ref="AY53">IF(AY$11&gt;=0,MAX(INDEX(MMULT(inverseG,AX$12:AX$62),$A53+1,1),MAX(strike-$B53,0)),"")</f>
        <v>1.3384164792561432E-2</v>
      </c>
      <c r="AZ53" s="9">
        <f t="array" ref="AZ53">IF(AZ$11&gt;=0,MAX(INDEX(MMULT(inverseG,AY$12:AY$62),$A53+1,1),MAX(strike-$B53,0)),"")</f>
        <v>1.409635466310551E-2</v>
      </c>
      <c r="BA53" s="9">
        <f t="array" ref="BA53">IF(BA$11&gt;=0,MAX(INDEX(MMULT(inverseG,AZ$12:AZ$62),$A53+1,1),MAX(strike-$B53,0)),"")</f>
        <v>1.4818386575816566E-2</v>
      </c>
      <c r="BB53" s="9">
        <f t="array" ref="BB53">IF(BB$11&gt;=0,MAX(INDEX(MMULT(inverseG,BA$12:BA$62),$A53+1,1),MAX(strike-$B53,0)),"")</f>
        <v>1.5549493670142918E-2</v>
      </c>
      <c r="BC53" s="9">
        <f t="array" ref="BC53">IF(BC$11&gt;=0,MAX(INDEX(MMULT(inverseG,BB$12:BB$62),$A53+1,1),MAX(strike-$B53,0)),"")</f>
        <v>1.6288930878420222E-2</v>
      </c>
      <c r="BD53" s="9">
        <f t="array" ref="BD53">IF(BD$11&gt;=0,MAX(INDEX(MMULT(inverseG,BC$12:BC$62),$A53+1,1),MAX(strike-$B53,0)),"")</f>
        <v>1.7035975803092813E-2</v>
      </c>
      <c r="BE53" s="9">
        <f t="array" ref="BE53">IF(BE$11&gt;=0,MAX(INDEX(MMULT(inverseG,BD$12:BD$62),$A53+1,1),MAX(strike-$B53,0)),"")</f>
        <v>1.7789929375846281E-2</v>
      </c>
      <c r="BF53" s="9">
        <f t="array" ref="BF53">IF(BF$11&gt;=0,MAX(INDEX(MMULT(inverseG,BE$12:BE$62),$A53+1,1),MAX(strike-$B53,0)),"")</f>
        <v>1.8550116323523453E-2</v>
      </c>
      <c r="BG53" s="9">
        <f t="array" ref="BG53">IF(BG$11&gt;=0,MAX(INDEX(MMULT(inverseG,BF$12:BF$62),$A53+1,1),MAX(strike-$B53,0)),"")</f>
        <v>1.9315885463042453E-2</v>
      </c>
      <c r="BH53" s="9">
        <f t="array" ref="BH53">IF(BH$11&gt;=0,MAX(INDEX(MMULT(inverseG,BG$12:BG$62),$A53+1,1),MAX(strike-$B53,0)),"")</f>
        <v>2.0086609845243818E-2</v>
      </c>
      <c r="BI53" s="9">
        <f t="array" ref="BI53">IF(BI$11&gt;=0,MAX(INDEX(MMULT(inverseG,BH$12:BH$62),$A53+1,1),MAX(strike-$B53,0)),"")</f>
        <v>2.0861686765623996E-2</v>
      </c>
      <c r="BJ53" s="9">
        <f t="array" ref="BJ53">IF(BJ$11&gt;=0,MAX(INDEX(MMULT(inverseG,BI$12:BI$62),$A53+1,1),MAX(strike-$B53,0)),"")</f>
        <v>2.1640537658215758E-2</v>
      </c>
      <c r="BK53" s="9">
        <f t="array" ref="BK53">IF(BK$11&gt;=0,MAX(INDEX(MMULT(inverseG,BJ$12:BJ$62),$A53+1,1),MAX(strike-$B53,0)),"")</f>
        <v>2.2422607887403349E-2</v>
      </c>
      <c r="BL53" s="9">
        <f t="array" ref="BL53">IF(BL$11&gt;=0,MAX(INDEX(MMULT(inverseG,BK$12:BK$62),$A53+1,1),MAX(strike-$B53,0)),"")</f>
        <v>2.3207366451164401E-2</v>
      </c>
      <c r="BM53" s="9">
        <f t="array" ref="BM53">IF(BM$11&gt;=0,MAX(INDEX(MMULT(inverseG,BL$12:BL$62),$A53+1,1),MAX(strike-$B53,0)),"")</f>
        <v>2.3994305608072222E-2</v>
      </c>
      <c r="BN53" s="9">
        <f t="array" ref="BN53">IF(BN$11&gt;=0,MAX(INDEX(MMULT(inverseG,BM$12:BM$62),$A53+1,1),MAX(strike-$B53,0)),"")</f>
        <v>2.4782940439339603E-2</v>
      </c>
      <c r="BO53" s="9">
        <f t="array" ref="BO53">IF(BO$11&gt;=0,MAX(INDEX(MMULT(inverseG,BN$12:BN$62),$A53+1,1),MAX(strike-$B53,0)),"")</f>
        <v>2.5572808356212992E-2</v>
      </c>
      <c r="BP53" s="9">
        <f t="array" ref="BP53">IF(BP$11&gt;=0,MAX(INDEX(MMULT(inverseG,BO$12:BO$62),$A53+1,1),MAX(strike-$B53,0)),"")</f>
        <v>2.6363468562118235E-2</v>
      </c>
      <c r="BQ53" s="9">
        <f t="array" ref="BQ53">IF(BQ$11&gt;=0,MAX(INDEX(MMULT(inverseG,BP$12:BP$62),$A53+1,1),MAX(strike-$B53,0)),"")</f>
        <v>2.7154501478102916E-2</v>
      </c>
      <c r="BR53" s="9">
        <f t="array" ref="BR53">IF(BR$11&gt;=0,MAX(INDEX(MMULT(inverseG,BQ$12:BQ$62),$A53+1,1),MAX(strike-$B53,0)),"")</f>
        <v>2.7945508139309946E-2</v>
      </c>
      <c r="BS53" s="9">
        <f t="array" ref="BS53">IF(BS$11&gt;=0,MAX(INDEX(MMULT(inverseG,BR$12:BR$62),$A53+1,1),MAX(strike-$B53,0)),"")</f>
        <v>2.8736109569448238E-2</v>
      </c>
      <c r="BT53" s="9">
        <f t="array" ref="BT53">IF(BT$11&gt;=0,MAX(INDEX(MMULT(inverseG,BS$12:BS$62),$A53+1,1),MAX(strike-$B53,0)),"")</f>
        <v>2.952594613949799E-2</v>
      </c>
      <c r="BU53" s="9">
        <f t="array" ref="BU53">IF(BU$11&gt;=0,MAX(INDEX(MMULT(inverseG,BT$12:BT$62),$A53+1,1),MAX(strike-$B53,0)),"")</f>
        <v>3.0314676916200333E-2</v>
      </c>
      <c r="BV53" s="9">
        <f t="array" ref="BV53">IF(BV$11&gt;=0,MAX(INDEX(MMULT(inverseG,BU$12:BU$62),$A53+1,1),MAX(strike-$B53,0)),"")</f>
        <v>3.110197900523444E-2</v>
      </c>
      <c r="BW53" s="9">
        <f t="array" ref="BW53">IF(BW$11&gt;=0,MAX(INDEX(MMULT(inverseG,BV$12:BV$62),$A53+1,1),MAX(strike-$B53,0)),"")</f>
        <v>3.1887546893380705E-2</v>
      </c>
      <c r="BX53" s="9">
        <f t="array" ref="BX53">IF(BX$11&gt;=0,MAX(INDEX(MMULT(inverseG,BW$12:BW$62),$A53+1,1),MAX(strike-$B53,0)),"")</f>
        <v>3.2671091793406784E-2</v>
      </c>
      <c r="BY53" s="9">
        <f t="array" ref="BY53">IF(BY$11&gt;=0,MAX(INDEX(MMULT(inverseG,BX$12:BX$62),$A53+1,1),MAX(strike-$B53,0)),"")</f>
        <v>3.3452340994894511E-2</v>
      </c>
      <c r="BZ53" s="9">
        <f t="array" ref="BZ53">IF(BZ$11&gt;=0,MAX(INDEX(MMULT(inverseG,BY$12:BY$62),$A53+1,1),MAX(strike-$B53,0)),"")</f>
        <v>3.4231037223749844E-2</v>
      </c>
      <c r="CA53" s="9">
        <f t="array" ref="CA53">IF(CA$11&gt;=0,MAX(INDEX(MMULT(inverseG,BZ$12:BZ$62),$A53+1,1),MAX(strike-$B53,0)),"")</f>
        <v>3.5006938012704304E-2</v>
      </c>
      <c r="CB53" s="9">
        <f t="array" ref="CB53">IF(CB$11&gt;=0,MAX(INDEX(MMULT(inverseG,CA$12:CA$62),$A53+1,1),MAX(strike-$B53,0)),"")</f>
        <v>3.5779815084723721E-2</v>
      </c>
      <c r="CC53" s="9">
        <f t="array" ref="CC53">IF(CC$11&gt;=0,MAX(INDEX(MMULT(inverseG,CB$12:CB$62),$A53+1,1),MAX(strike-$B53,0)),"")</f>
        <v>3.6549453750887063E-2</v>
      </c>
      <c r="CD53" s="9">
        <f t="array" ref="CD53">IF(CD$11&gt;=0,MAX(INDEX(MMULT(inverseG,CC$12:CC$62),$A53+1,1),MAX(strike-$B53,0)),"")</f>
        <v>3.7315652323982589E-2</v>
      </c>
      <c r="CE53" s="9">
        <f t="array" ref="CE53">IF(CE$11&gt;=0,MAX(INDEX(MMULT(inverseG,CD$12:CD$62),$A53+1,1),MAX(strike-$B53,0)),"")</f>
        <v>3.8078221548788559E-2</v>
      </c>
      <c r="CF53" s="9">
        <f t="array" ref="CF53">IF(CF$11&gt;=0,MAX(INDEX(MMULT(inverseG,CE$12:CE$62),$A53+1,1),MAX(strike-$B53,0)),"")</f>
        <v>3.8836984049759007E-2</v>
      </c>
      <c r="CG53" s="9">
        <f t="array" ref="CG53">IF(CG$11&gt;=0,MAX(INDEX(MMULT(inverseG,CF$12:CF$62),$A53+1,1),MAX(strike-$B53,0)),"")</f>
        <v>3.9591773796618573E-2</v>
      </c>
      <c r="CH53" s="9">
        <f t="array" ref="CH53">IF(CH$11&gt;=0,MAX(INDEX(MMULT(inverseG,CG$12:CG$62),$A53+1,1),MAX(strike-$B53,0)),"")</f>
        <v>4.0342435588183234E-2</v>
      </c>
      <c r="CI53" s="9">
        <f t="array" ref="CI53">IF(CI$11&gt;=0,MAX(INDEX(MMULT(inverseG,CH$12:CH$62),$A53+1,1),MAX(strike-$B53,0)),"")</f>
        <v>4.1088824554560796E-2</v>
      </c>
      <c r="CJ53" s="9">
        <f t="array" ref="CJ53">IF(CJ$11&gt;=0,MAX(INDEX(MMULT(inverseG,CI$12:CI$62),$A53+1,1),MAX(strike-$B53,0)),"")</f>
        <v>4.1830805677747079E-2</v>
      </c>
      <c r="CK53" s="9">
        <f t="array" ref="CK53">IF(CK$11&gt;=0,MAX(INDEX(MMULT(inverseG,CJ$12:CJ$62),$A53+1,1),MAX(strike-$B53,0)),"")</f>
        <v>4.2568253330515574E-2</v>
      </c>
      <c r="CL53" s="9">
        <f t="array" ref="CL53">IF(CL$11&gt;=0,MAX(INDEX(MMULT(inverseG,CK$12:CK$62),$A53+1,1),MAX(strike-$B53,0)),"")</f>
        <v>4.3301050833399871E-2</v>
      </c>
      <c r="CM53" s="9">
        <f t="array" ref="CM53">IF(CM$11&gt;=0,MAX(INDEX(MMULT(inverseG,CL$12:CL$62),$A53+1,1),MAX(strike-$B53,0)),"")</f>
        <v>4.4029090029486087E-2</v>
      </c>
      <c r="CN53" s="9">
        <f t="array" ref="CN53">IF(CN$11&gt;=0,MAX(INDEX(MMULT(inverseG,CM$12:CM$62),$A53+1,1),MAX(strike-$B53,0)),"")</f>
        <v>4.4752270876665196E-2</v>
      </c>
      <c r="CO53" s="9">
        <f t="array" ref="CO53">IF(CO$11&gt;=0,MAX(INDEX(MMULT(inverseG,CN$12:CN$62),$A53+1,1),MAX(strike-$B53,0)),"")</f>
        <v>4.5470501056941635E-2</v>
      </c>
      <c r="CP53" s="9">
        <f t="array" ref="CP53">IF(CP$11&gt;=0,MAX(INDEX(MMULT(inverseG,CO$12:CO$62),$A53+1,1),MAX(strike-$B53,0)),"")</f>
        <v>4.6183695602351263E-2</v>
      </c>
      <c r="CQ53" s="9">
        <f t="array" ref="CQ53">IF(CQ$11&gt;=0,MAX(INDEX(MMULT(inverseG,CP$12:CP$62),$A53+1,1),MAX(strike-$B53,0)),"")</f>
        <v>4.6891776537010009E-2</v>
      </c>
      <c r="CR53" s="9">
        <f t="array" ref="CR53">IF(CR$11&gt;=0,MAX(INDEX(MMULT(inverseG,CQ$12:CQ$62),$A53+1,1),MAX(strike-$B53,0)),"")</f>
        <v>4.7594672534789349E-2</v>
      </c>
      <c r="CS53" s="9">
        <f t="array" ref="CS53">IF(CS$11&gt;=0,MAX(INDEX(MMULT(inverseG,CR$12:CR$62),$A53+1,1),MAX(strike-$B53,0)),"")</f>
        <v>4.8292318592099738E-2</v>
      </c>
      <c r="CT53" s="9">
        <f t="array" ref="CT53">IF(CT$11&gt;=0,MAX(INDEX(MMULT(inverseG,CS$12:CS$62),$A53+1,1),MAX(strike-$B53,0)),"")</f>
        <v>4.8984655715253296E-2</v>
      </c>
      <c r="CU53" s="9">
        <f t="array" ref="CU53">IF(CU$11&gt;=0,MAX(INDEX(MMULT(inverseG,CT$12:CT$62),$A53+1,1),MAX(strike-$B53,0)),"")</f>
        <v>4.9671630621877974E-2</v>
      </c>
      <c r="CV53" s="9">
        <f t="array" ref="CV53">IF(CV$11&gt;=0,MAX(INDEX(MMULT(inverseG,CU$12:CU$62),$A53+1,1),MAX(strike-$B53,0)),"")</f>
        <v>5.0353195455868686E-2</v>
      </c>
      <c r="CW53" s="9">
        <f t="array" ref="CW53">IF(CW$11&gt;=0,MAX(INDEX(MMULT(inverseG,CV$12:CV$62),$A53+1,1),MAX(strike-$B53,0)),"")</f>
        <v>5.1029307515389706E-2</v>
      </c>
      <c r="CX53" s="9">
        <f t="array" ref="CX53">IF(CX$11&gt;=0,MAX(INDEX(MMULT(inverseG,CW$12:CW$62),$A53+1,1),MAX(strike-$B53,0)),"")</f>
        <v>5.1699928993488319E-2</v>
      </c>
      <c r="CY53" s="9">
        <f t="array" ref="CY53">IF(CY$11&gt;=0,MAX(INDEX(MMULT(inverseG,CX$12:CX$62),$A53+1,1),MAX(strike-$B53,0)),"")</f>
        <v>5.236502673093834E-2</v>
      </c>
      <c r="CZ53" s="9">
        <f t="array" ref="CZ53">IF(CZ$11&gt;=0,MAX(INDEX(MMULT(inverseG,CY$12:CY$62),$A53+1,1),MAX(strike-$B53,0)),"")</f>
        <v>5.3024571980996256E-2</v>
      </c>
      <c r="DA53" s="9" t="str">
        <f t="array" ref="DA53">IF(DA$11&gt;=0,MAX(INDEX(MMULT(inverseG,CZ$12:CZ$62),$A53+1,1),MAX(strike-$B53,0)),"")</f>
        <v/>
      </c>
      <c r="DB53" s="9" t="str">
        <f t="array" ref="DB53">IF(DB$11&gt;=0,MAX(INDEX(MMULT(inverseG,DA$12:DA$62),$A53+1,1),MAX(strike-$B53,0)),"")</f>
        <v/>
      </c>
      <c r="DC53" s="9" t="str">
        <f t="array" ref="DC53">IF(DC$11&gt;=0,MAX(INDEX(MMULT(inverseG,DB$12:DB$62),$A53+1,1),MAX(strike-$B53,0)),"")</f>
        <v/>
      </c>
      <c r="DD53" s="9" t="str">
        <f t="array" ref="DD53">IF(DD$11&gt;=0,MAX(INDEX(MMULT(inverseG,DC$12:DC$62),$A53+1,1),MAX(strike-$B53,0)),"")</f>
        <v/>
      </c>
      <c r="DE53" s="9" t="str">
        <f t="array" ref="DE53">IF(DE$11&gt;=0,MAX(INDEX(MMULT(inverseG,DD$12:DD$62),$A53+1,1),MAX(strike-$B53,0)),"")</f>
        <v/>
      </c>
      <c r="DF53" s="9" t="str">
        <f t="array" ref="DF53">IF(DF$11&gt;=0,MAX(INDEX(MMULT(inverseG,DE$12:DE$62),$A53+1,1),MAX(strike-$B53,0)),"")</f>
        <v/>
      </c>
      <c r="DG53" s="9" t="str">
        <f t="array" ref="DG53">IF(DG$11&gt;=0,MAX(INDEX(MMULT(inverseG,DF$12:DF$62),$A53+1,1),MAX(strike-$B53,0)),"")</f>
        <v/>
      </c>
      <c r="DH53" s="9" t="str">
        <f t="array" ref="DH53">IF(DH$11&gt;=0,MAX(INDEX(MMULT(inverseG,DG$12:DG$62),$A53+1,1),MAX(strike-$B53,0)),"")</f>
        <v/>
      </c>
      <c r="DI53" s="9" t="str">
        <f t="array" ref="DI53">IF(DI$11&gt;=0,MAX(INDEX(MMULT(inverseG,DH$12:DH$62),$A53+1,1),MAX(strike-$B53,0)),"")</f>
        <v/>
      </c>
      <c r="DJ53" s="9" t="str">
        <f t="array" ref="DJ53">IF(DJ$11&gt;=0,MAX(INDEX(MMULT(inverseG,DI$12:DI$62),$A53+1,1),MAX(strike-$B53,0)),"")</f>
        <v/>
      </c>
      <c r="DK53" s="9" t="str">
        <f t="array" ref="DK53">IF(DK$11&gt;=0,MAX(INDEX(MMULT(inverseG,DJ$12:DJ$62),$A53+1,1),MAX(strike-$B53,0)),"")</f>
        <v/>
      </c>
      <c r="DL53" s="9" t="str">
        <f t="array" ref="DL53">IF(DL$11&gt;=0,MAX(INDEX(MMULT(inverseG,DK$12:DK$62),$A53+1,1),MAX(strike-$B53,0)),"")</f>
        <v/>
      </c>
      <c r="DM53" s="9" t="str">
        <f t="array" ref="DM53">IF(DM$11&gt;=0,MAX(INDEX(MMULT(inverseG,DL$12:DL$62),$A53+1,1),MAX(strike-$B53,0)),"")</f>
        <v/>
      </c>
      <c r="DN53" s="9" t="str">
        <f t="array" ref="DN53">IF(DN$11&gt;=0,MAX(INDEX(MMULT(inverseG,DM$12:DM$62),$A53+1,1),MAX(strike-$B53,0)),"")</f>
        <v/>
      </c>
      <c r="DO53" s="9" t="str">
        <f t="array" ref="DO53">IF(DO$11&gt;=0,MAX(INDEX(MMULT(inverseG,DN$12:DN$62),$A53+1,1),MAX(strike-$B53,0)),"")</f>
        <v/>
      </c>
      <c r="DP53" s="9" t="str">
        <f t="array" ref="DP53">IF(DP$11&gt;=0,MAX(INDEX(MMULT(inverseG,DO$12:DO$62),$A53+1,1),MAX(strike-$B53,0)),"")</f>
        <v/>
      </c>
      <c r="DQ53" s="9" t="str">
        <f t="array" ref="DQ53">IF(DQ$11&gt;=0,MAX(INDEX(MMULT(inverseG,DP$12:DP$62),$A53+1,1),MAX(strike-$B53,0)),"")</f>
        <v/>
      </c>
      <c r="DR53" s="9" t="str">
        <f t="array" ref="DR53">IF(DR$11&gt;=0,MAX(INDEX(MMULT(inverseG,DQ$12:DQ$62),$A53+1,1),MAX(strike-$B53,0)),"")</f>
        <v/>
      </c>
      <c r="DS53" s="9" t="str">
        <f t="array" ref="DS53">IF(DS$11&gt;=0,MAX(INDEX(MMULT(inverseG,DR$12:DR$62),$A53+1,1),MAX(strike-$B53,0)),"")</f>
        <v/>
      </c>
      <c r="DT53" s="9" t="str">
        <f t="array" ref="DT53">IF(DT$11&gt;=0,MAX(INDEX(MMULT(inverseG,DS$12:DS$62),$A53+1,1),MAX(strike-$B53,0)),"")</f>
        <v/>
      </c>
      <c r="DU53" s="9" t="str">
        <f t="array" ref="DU53">IF(DU$11&gt;=0,MAX(INDEX(MMULT(inverseG,DT$12:DT$62),$A53+1,1),MAX(strike-$B53,0)),"")</f>
        <v/>
      </c>
      <c r="DV53" s="9" t="str">
        <f t="array" ref="DV53">IF(DV$11&gt;=0,MAX(INDEX(MMULT(inverseG,DU$12:DU$62),$A53+1,1),MAX(strike-$B53,0)),"")</f>
        <v/>
      </c>
      <c r="DW53" s="9" t="str">
        <f t="array" ref="DW53">IF(DW$11&gt;=0,MAX(INDEX(MMULT(inverseG,DV$12:DV$62),$A53+1,1),MAX(strike-$B53,0)),"")</f>
        <v/>
      </c>
      <c r="DX53" s="9" t="str">
        <f t="array" ref="DX53">IF(DX$11&gt;=0,MAX(INDEX(MMULT(inverseG,DW$12:DW$62),$A53+1,1),MAX(strike-$B53,0)),"")</f>
        <v/>
      </c>
      <c r="DY53" s="9" t="str">
        <f t="array" ref="DY53">IF(DY$11&gt;=0,MAX(INDEX(MMULT(inverseG,DX$12:DX$62),$A53+1,1),MAX(strike-$B53,0)),"")</f>
        <v/>
      </c>
      <c r="DZ53" s="9" t="str">
        <f t="array" ref="DZ53">IF(DZ$11&gt;=0,MAX(INDEX(MMULT(inverseG,DY$12:DY$62),$A53+1,1),MAX(strike-$B53,0)),"")</f>
        <v/>
      </c>
      <c r="EA53" s="9" t="str">
        <f t="array" ref="EA53">IF(EA$11&gt;=0,MAX(INDEX(MMULT(inverseG,DZ$12:DZ$62),$A53+1,1),MAX(strike-$B53,0)),"")</f>
        <v/>
      </c>
      <c r="EB53" s="9" t="str">
        <f t="array" ref="EB53">IF(EB$11&gt;=0,MAX(INDEX(MMULT(inverseG,EA$12:EA$62),$A53+1,1),MAX(strike-$B53,0)),"")</f>
        <v/>
      </c>
      <c r="EC53" s="9" t="str">
        <f t="array" ref="EC53">IF(EC$11&gt;=0,MAX(INDEX(MMULT(inverseG,EB$12:EB$62),$A53+1,1),MAX(strike-$B53,0)),"")</f>
        <v/>
      </c>
      <c r="ED53" s="9" t="str">
        <f t="array" ref="ED53">IF(ED$11&gt;=0,MAX(INDEX(MMULT(inverseG,EC$12:EC$62),$A53+1,1),MAX(strike-$B53,0)),"")</f>
        <v/>
      </c>
      <c r="EE53" s="9" t="str">
        <f t="array" ref="EE53">IF(EE$11&gt;=0,MAX(INDEX(MMULT(inverseG,ED$12:ED$62),$A53+1,1),MAX(strike-$B53,0)),"")</f>
        <v/>
      </c>
      <c r="EF53" s="9" t="str">
        <f t="array" ref="EF53">IF(EF$11&gt;=0,MAX(INDEX(MMULT(inverseG,EE$12:EE$62),$A53+1,1),MAX(strike-$B53,0)),"")</f>
        <v/>
      </c>
      <c r="EG53" s="9" t="str">
        <f t="array" ref="EG53">IF(EG$11&gt;=0,MAX(INDEX(MMULT(inverseG,EF$12:EF$62),$A53+1,1),MAX(strike-$B53,0)),"")</f>
        <v/>
      </c>
      <c r="EH53" s="9" t="str">
        <f t="array" ref="EH53">IF(EH$11&gt;=0,MAX(INDEX(MMULT(inverseG,EG$12:EG$62),$A53+1,1),MAX(strike-$B53,0)),"")</f>
        <v/>
      </c>
      <c r="EI53" s="9" t="str">
        <f t="array" ref="EI53">IF(EI$11&gt;=0,MAX(INDEX(MMULT(inverseG,EH$12:EH$62),$A53+1,1),MAX(strike-$B53,0)),"")</f>
        <v/>
      </c>
      <c r="EJ53" s="9" t="str">
        <f t="array" ref="EJ53">IF(EJ$11&gt;=0,MAX(INDEX(MMULT(inverseG,EI$12:EI$62),$A53+1,1),MAX(strike-$B53,0)),"")</f>
        <v/>
      </c>
      <c r="EK53" s="9" t="str">
        <f t="array" ref="EK53">IF(EK$11&gt;=0,MAX(INDEX(MMULT(inverseG,EJ$12:EJ$62),$A53+1,1),MAX(strike-$B53,0)),"")</f>
        <v/>
      </c>
      <c r="EL53" s="9" t="str">
        <f t="array" ref="EL53">IF(EL$11&gt;=0,MAX(INDEX(MMULT(inverseG,EK$12:EK$62),$A53+1,1),MAX(strike-$B53,0)),"")</f>
        <v/>
      </c>
      <c r="EM53" s="9" t="str">
        <f t="array" ref="EM53">IF(EM$11&gt;=0,MAX(INDEX(MMULT(inverseG,EL$12:EL$62),$A53+1,1),MAX(strike-$B53,0)),"")</f>
        <v/>
      </c>
      <c r="EN53" s="9" t="str">
        <f t="array" ref="EN53">IF(EN$11&gt;=0,MAX(INDEX(MMULT(inverseG,EM$12:EM$62),$A53+1,1),MAX(strike-$B53,0)),"")</f>
        <v/>
      </c>
      <c r="EO53" s="9" t="str">
        <f t="array" ref="EO53">IF(EO$11&gt;=0,MAX(INDEX(MMULT(inverseG,EN$12:EN$62),$A53+1,1),MAX(strike-$B53,0)),"")</f>
        <v/>
      </c>
      <c r="EP53" s="9" t="str">
        <f t="array" ref="EP53">IF(EP$11&gt;=0,MAX(INDEX(MMULT(inverseG,EO$12:EO$62),$A53+1,1),MAX(strike-$B53,0)),"")</f>
        <v/>
      </c>
      <c r="EQ53" s="9" t="str">
        <f t="array" ref="EQ53">IF(EQ$11&gt;=0,MAX(INDEX(MMULT(inverseG,EP$12:EP$62),$A53+1,1),MAX(strike-$B53,0)),"")</f>
        <v/>
      </c>
      <c r="ER53" s="9" t="str">
        <f t="array" ref="ER53">IF(ER$11&gt;=0,MAX(INDEX(MMULT(inverseG,EQ$12:EQ$62),$A53+1,1),MAX(strike-$B53,0)),"")</f>
        <v/>
      </c>
      <c r="ES53" s="9" t="str">
        <f t="array" ref="ES53">IF(ES$11&gt;=0,MAX(INDEX(MMULT(inverseG,ER$12:ER$62),$A53+1,1),MAX(strike-$B53,0)),"")</f>
        <v/>
      </c>
      <c r="ET53" s="9" t="str">
        <f t="array" ref="ET53">IF(ET$11&gt;=0,MAX(INDEX(MMULT(inverseG,ES$12:ES$62),$A53+1,1),MAX(strike-$B53,0)),"")</f>
        <v/>
      </c>
      <c r="EU53" s="9" t="str">
        <f t="array" ref="EU53">IF(EU$11&gt;=0,MAX(INDEX(MMULT(inverseG,ET$12:ET$62),$A53+1,1),MAX(strike-$B53,0)),"")</f>
        <v/>
      </c>
      <c r="EV53" s="9" t="str">
        <f t="array" ref="EV53">IF(EV$11&gt;=0,MAX(INDEX(MMULT(inverseG,EU$12:EU$62),$A53+1,1),MAX(strike-$B53,0)),"")</f>
        <v/>
      </c>
      <c r="EW53" s="9" t="str">
        <f t="array" ref="EW53">IF(EW$11&gt;=0,MAX(INDEX(MMULT(inverseG,EV$12:EV$62),$A53+1,1),MAX(strike-$B53,0)),"")</f>
        <v/>
      </c>
      <c r="EX53" s="9" t="str">
        <f t="array" ref="EX53">IF(EX$11&gt;=0,MAX(INDEX(MMULT(inverseG,EW$12:EW$62),$A53+1,1),MAX(strike-$B53,0)),"")</f>
        <v/>
      </c>
      <c r="EY53" s="9" t="str">
        <f t="array" ref="EY53">IF(EY$11&gt;=0,MAX(INDEX(MMULT(inverseG,EX$12:EX$62),$A53+1,1),MAX(strike-$B53,0)),"")</f>
        <v/>
      </c>
      <c r="EZ53" s="9" t="str">
        <f t="array" ref="EZ53">IF(EZ$11&gt;=0,MAX(INDEX(MMULT(inverseG,EY$12:EY$62),$A53+1,1),MAX(strike-$B53,0)),"")</f>
        <v/>
      </c>
      <c r="FA53" s="9" t="str">
        <f t="array" ref="FA53">IF(FA$11&gt;=0,MAX(INDEX(MMULT(inverseG,EZ$12:EZ$62),$A53+1,1),MAX(strike-$B53,0)),"")</f>
        <v/>
      </c>
      <c r="FB53" s="9" t="str">
        <f t="array" ref="FB53">IF(FB$11&gt;=0,MAX(INDEX(MMULT(inverseG,FA$12:FA$62),$A53+1,1),MAX(strike-$B53,0)),"")</f>
        <v/>
      </c>
      <c r="FC53" s="9" t="str">
        <f t="array" ref="FC53">IF(FC$11&gt;=0,MAX(INDEX(MMULT(inverseG,FB$12:FB$62),$A53+1,1),MAX(strike-$B53,0)),"")</f>
        <v/>
      </c>
      <c r="FD53" s="9" t="str">
        <f t="array" ref="FD53">IF(FD$11&gt;=0,MAX(INDEX(MMULT(inverseG,FC$12:FC$62),$A53+1,1),MAX(strike-$B53,0)),"")</f>
        <v/>
      </c>
      <c r="FE53" s="9" t="str">
        <f t="array" ref="FE53">IF(FE$11&gt;=0,MAX(INDEX(MMULT(inverseG,FD$12:FD$62),$A53+1,1),MAX(strike-$B53,0)),"")</f>
        <v/>
      </c>
      <c r="FF53" s="9" t="str">
        <f t="array" ref="FF53">IF(FF$11&gt;=0,MAX(INDEX(MMULT(inverseG,FE$12:FE$62),$A53+1,1),MAX(strike-$B53,0)),"")</f>
        <v/>
      </c>
      <c r="FG53" s="9" t="str">
        <f t="array" ref="FG53">IF(FG$11&gt;=0,MAX(INDEX(MMULT(inverseG,FF$12:FF$62),$A53+1,1),MAX(strike-$B53,0)),"")</f>
        <v/>
      </c>
      <c r="FH53" s="9" t="str">
        <f t="array" ref="FH53">IF(FH$11&gt;=0,MAX(INDEX(MMULT(inverseG,FG$12:FG$62),$A53+1,1),MAX(strike-$B53,0)),"")</f>
        <v/>
      </c>
      <c r="FI53" s="9" t="str">
        <f t="array" ref="FI53">IF(FI$11&gt;=0,MAX(INDEX(MMULT(inverseG,FH$12:FH$62),$A53+1,1),MAX(strike-$B53,0)),"")</f>
        <v/>
      </c>
      <c r="FJ53" s="9" t="str">
        <f t="array" ref="FJ53">IF(FJ$11&gt;=0,MAX(INDEX(MMULT(inverseG,FI$12:FI$62),$A53+1,1),MAX(strike-$B53,0)),"")</f>
        <v/>
      </c>
      <c r="FK53" s="9" t="str">
        <f t="array" ref="FK53">IF(FK$11&gt;=0,MAX(INDEX(MMULT(inverseG,FJ$12:FJ$62),$A53+1,1),MAX(strike-$B53,0)),"")</f>
        <v/>
      </c>
      <c r="FL53" s="9" t="str">
        <f t="array" ref="FL53">IF(FL$11&gt;=0,MAX(INDEX(MMULT(inverseG,FK$12:FK$62),$A53+1,1),MAX(strike-$B53,0)),"")</f>
        <v/>
      </c>
      <c r="FM53" s="9" t="str">
        <f t="array" ref="FM53">IF(FM$11&gt;=0,MAX(INDEX(MMULT(inverseG,FL$12:FL$62),$A53+1,1),MAX(strike-$B53,0)),"")</f>
        <v/>
      </c>
      <c r="FN53" s="9" t="str">
        <f t="array" ref="FN53">IF(FN$11&gt;=0,MAX(INDEX(MMULT(inverseG,FM$12:FM$62),$A53+1,1),MAX(strike-$B53,0)),"")</f>
        <v/>
      </c>
      <c r="FO53" s="9" t="str">
        <f t="array" ref="FO53">IF(FO$11&gt;=0,MAX(INDEX(MMULT(inverseG,FN$12:FN$62),$A53+1,1),MAX(strike-$B53,0)),"")</f>
        <v/>
      </c>
      <c r="FP53" s="9" t="str">
        <f t="array" ref="FP53">IF(FP$11&gt;=0,MAX(INDEX(MMULT(inverseG,FO$12:FO$62),$A53+1,1),MAX(strike-$B53,0)),"")</f>
        <v/>
      </c>
      <c r="FQ53" s="9" t="str">
        <f t="array" ref="FQ53">IF(FQ$11&gt;=0,MAX(INDEX(MMULT(inverseG,FP$12:FP$62),$A53+1,1),MAX(strike-$B53,0)),"")</f>
        <v/>
      </c>
      <c r="FR53" s="9" t="str">
        <f t="array" ref="FR53">IF(FR$11&gt;=0,MAX(INDEX(MMULT(inverseG,FQ$12:FQ$62),$A53+1,1),MAX(strike-$B53,0)),"")</f>
        <v/>
      </c>
      <c r="FS53" s="9" t="str">
        <f t="array" ref="FS53">IF(FS$11&gt;=0,MAX(INDEX(MMULT(inverseG,FR$12:FR$62),$A53+1,1),MAX(strike-$B53,0)),"")</f>
        <v/>
      </c>
      <c r="FT53" s="9" t="str">
        <f t="array" ref="FT53">IF(FT$11&gt;=0,MAX(INDEX(MMULT(inverseG,FS$12:FS$62),$A53+1,1),MAX(strike-$B53,0)),"")</f>
        <v/>
      </c>
      <c r="FU53" s="9" t="str">
        <f t="array" ref="FU53">IF(FU$11&gt;=0,MAX(INDEX(MMULT(inverseG,FT$12:FT$62),$A53+1,1),MAX(strike-$B53,0)),"")</f>
        <v/>
      </c>
      <c r="FV53" s="9" t="str">
        <f t="array" ref="FV53">IF(FV$11&gt;=0,MAX(INDEX(MMULT(inverseG,FU$12:FU$62),$A53+1,1),MAX(strike-$B53,0)),"")</f>
        <v/>
      </c>
      <c r="FW53" s="9" t="str">
        <f t="array" ref="FW53">IF(FW$11&gt;=0,MAX(INDEX(MMULT(inverseG,FV$12:FV$62),$A53+1,1),MAX(strike-$B53,0)),"")</f>
        <v/>
      </c>
      <c r="FX53" s="9" t="str">
        <f t="array" ref="FX53">IF(FX$11&gt;=0,MAX(INDEX(MMULT(inverseG,FW$12:FW$62),$A53+1,1),MAX(strike-$B53,0)),"")</f>
        <v/>
      </c>
      <c r="FY53" s="9" t="str">
        <f t="array" ref="FY53">IF(FY$11&gt;=0,MAX(INDEX(MMULT(inverseG,FX$12:FX$62),$A53+1,1),MAX(strike-$B53,0)),"")</f>
        <v/>
      </c>
      <c r="FZ53" s="9" t="str">
        <f t="array" ref="FZ53">IF(FZ$11&gt;=0,MAX(INDEX(MMULT(inverseG,FY$12:FY$62),$A53+1,1),MAX(strike-$B53,0)),"")</f>
        <v/>
      </c>
      <c r="GA53" s="9" t="str">
        <f t="array" ref="GA53">IF(GA$11&gt;=0,MAX(INDEX(MMULT(inverseG,FZ$12:FZ$62),$A53+1,1),MAX(strike-$B53,0)),"")</f>
        <v/>
      </c>
      <c r="GB53" s="9" t="str">
        <f t="array" ref="GB53">IF(GB$11&gt;=0,MAX(INDEX(MMULT(inverseG,GA$12:GA$62),$A53+1,1),MAX(strike-$B53,0)),"")</f>
        <v/>
      </c>
      <c r="GC53" s="9" t="str">
        <f t="array" ref="GC53">IF(GC$11&gt;=0,MAX(INDEX(MMULT(inverseG,GB$12:GB$62),$A53+1,1),MAX(strike-$B53,0)),"")</f>
        <v/>
      </c>
      <c r="GD53" s="9" t="str">
        <f t="array" ref="GD53">IF(GD$11&gt;=0,MAX(INDEX(MMULT(inverseG,GC$12:GC$62),$A53+1,1),MAX(strike-$B53,0)),"")</f>
        <v/>
      </c>
      <c r="GE53" s="9" t="str">
        <f t="array" ref="GE53">IF(GE$11&gt;=0,MAX(INDEX(MMULT(inverseG,GD$12:GD$62),$A53+1,1),MAX(strike-$B53,0)),"")</f>
        <v/>
      </c>
      <c r="GF53" s="9" t="str">
        <f t="array" ref="GF53">IF(GF$11&gt;=0,MAX(INDEX(MMULT(inverseG,GE$12:GE$62),$A53+1,1),MAX(strike-$B53,0)),"")</f>
        <v/>
      </c>
      <c r="GG53" s="9" t="str">
        <f t="array" ref="GG53">IF(GG$11&gt;=0,MAX(INDEX(MMULT(inverseG,GF$12:GF$62),$A53+1,1),MAX(strike-$B53,0)),"")</f>
        <v/>
      </c>
      <c r="GH53" s="9" t="str">
        <f t="array" ref="GH53">IF(GH$11&gt;=0,MAX(INDEX(MMULT(inverseG,GG$12:GG$62),$A53+1,1),MAX(strike-$B53,0)),"")</f>
        <v/>
      </c>
      <c r="GI53" s="9" t="str">
        <f t="array" ref="GI53">IF(GI$11&gt;=0,MAX(INDEX(MMULT(inverseG,GH$12:GH$62),$A53+1,1),MAX(strike-$B53,0)),"")</f>
        <v/>
      </c>
      <c r="GJ53" s="9" t="str">
        <f t="array" ref="GJ53">IF(GJ$11&gt;=0,MAX(INDEX(MMULT(inverseG,GI$12:GI$62),$A53+1,1),MAX(strike-$B53,0)),"")</f>
        <v/>
      </c>
      <c r="GK53" s="9" t="str">
        <f t="array" ref="GK53">IF(GK$11&gt;=0,MAX(INDEX(MMULT(inverseG,GJ$12:GJ$62),$A53+1,1),MAX(strike-$B53,0)),"")</f>
        <v/>
      </c>
      <c r="GL53" s="9" t="str">
        <f t="array" ref="GL53">IF(GL$11&gt;=0,MAX(INDEX(MMULT(inverseG,GK$12:GK$62),$A53+1,1),MAX(strike-$B53,0)),"")</f>
        <v/>
      </c>
      <c r="GM53" s="9" t="str">
        <f t="array" ref="GM53">IF(GM$11&gt;=0,MAX(INDEX(MMULT(inverseG,GL$12:GL$62),$A53+1,1),MAX(strike-$B53,0)),"")</f>
        <v/>
      </c>
      <c r="GN53" s="9" t="str">
        <f t="array" ref="GN53">IF(GN$11&gt;=0,MAX(INDEX(MMULT(inverseG,GM$12:GM$62),$A53+1,1),MAX(strike-$B53,0)),"")</f>
        <v/>
      </c>
      <c r="GO53" s="9" t="str">
        <f t="array" ref="GO53">IF(GO$11&gt;=0,MAX(INDEX(MMULT(inverseG,GN$12:GN$62),$A53+1,1),MAX(strike-$B53,0)),"")</f>
        <v/>
      </c>
      <c r="GP53" s="9" t="str">
        <f t="array" ref="GP53">IF(GP$11&gt;=0,MAX(INDEX(MMULT(inverseG,GO$12:GO$62),$A53+1,1),MAX(strike-$B53,0)),"")</f>
        <v/>
      </c>
      <c r="GQ53" s="9" t="str">
        <f t="array" ref="GQ53">IF(GQ$11&gt;=0,MAX(INDEX(MMULT(inverseG,GP$12:GP$62),$A53+1,1),MAX(strike-$B53,0)),"")</f>
        <v/>
      </c>
      <c r="GR53" s="9" t="str">
        <f t="array" ref="GR53">IF(GR$11&gt;=0,MAX(INDEX(MMULT(inverseG,GQ$12:GQ$62),$A53+1,1),MAX(strike-$B53,0)),"")</f>
        <v/>
      </c>
      <c r="GS53" s="9" t="str">
        <f t="array" ref="GS53">IF(GS$11&gt;=0,MAX(INDEX(MMULT(inverseG,GR$12:GR$62),$A53+1,1),MAX(strike-$B53,0)),"")</f>
        <v/>
      </c>
      <c r="GT53" s="9" t="str">
        <f t="array" ref="GT53">IF(GT$11&gt;=0,MAX(INDEX(MMULT(inverseG,GS$12:GS$62),$A53+1,1),MAX(strike-$B53,0)),"")</f>
        <v/>
      </c>
      <c r="GU53" s="9" t="str">
        <f t="array" ref="GU53">IF(GU$11&gt;=0,MAX(INDEX(MMULT(inverseG,GT$12:GT$62),$A53+1,1),MAX(strike-$B53,0)),"")</f>
        <v/>
      </c>
      <c r="GV53" s="9" t="str">
        <f t="array" ref="GV53">IF(GV$11&gt;=0,MAX(INDEX(MMULT(inverseG,GU$12:GU$62),$A53+1,1),MAX(strike-$B53,0)),"")</f>
        <v/>
      </c>
      <c r="GW53" s="9" t="str">
        <f t="array" ref="GW53">IF(GW$11&gt;=0,MAX(INDEX(MMULT(inverseG,GV$12:GV$62),$A53+1,1),MAX(strike-$B53,0)),"")</f>
        <v/>
      </c>
      <c r="GX53" s="9" t="str">
        <f t="array" ref="GX53">IF(GX$11&gt;=0,MAX(INDEX(MMULT(inverseG,GW$12:GW$62),$A53+1,1),MAX(strike-$B53,0)),"")</f>
        <v/>
      </c>
      <c r="GY53" s="9" t="str">
        <f t="array" ref="GY53">IF(GY$11&gt;=0,MAX(INDEX(MMULT(inverseG,GX$12:GX$62),$A53+1,1),MAX(strike-$B53,0)),"")</f>
        <v/>
      </c>
      <c r="GZ53" s="9" t="str">
        <f t="array" ref="GZ53">IF(GZ$11&gt;=0,MAX(INDEX(MMULT(inverseG,GY$12:GY$62),$A53+1,1),MAX(strike-$B53,0)),"")</f>
        <v/>
      </c>
      <c r="HA53" s="9" t="str">
        <f t="array" ref="HA53">IF(HA$11&gt;=0,MAX(INDEX(MMULT(inverseG,GZ$12:GZ$62),$A53+1,1),MAX(strike-$B53,0)),"")</f>
        <v/>
      </c>
      <c r="HB53" s="9" t="str">
        <f t="array" ref="HB53">IF(HB$11&gt;=0,MAX(INDEX(MMULT(inverseG,HA$12:HA$62),$A53+1,1),MAX(strike-$B53,0)),"")</f>
        <v/>
      </c>
      <c r="HC53" s="9" t="str">
        <f t="array" ref="HC53">IF(HC$11&gt;=0,MAX(INDEX(MMULT(inverseG,HB$12:HB$62),$A53+1,1),MAX(strike-$B53,0)),"")</f>
        <v/>
      </c>
      <c r="HD53" s="9" t="str">
        <f t="array" ref="HD53">IF(HD$11&gt;=0,MAX(INDEX(MMULT(inverseG,HC$12:HC$62),$A53+1,1),MAX(strike-$B53,0)),"")</f>
        <v/>
      </c>
      <c r="HE53" s="9" t="str">
        <f t="array" ref="HE53">IF(HE$11&gt;=0,MAX(INDEX(MMULT(inverseG,HD$12:HD$62),$A53+1,1),MAX(strike-$B53,0)),"")</f>
        <v/>
      </c>
      <c r="HF53" s="9" t="str">
        <f t="array" ref="HF53">IF(HF$11&gt;=0,MAX(INDEX(MMULT(inverseG,HE$12:HE$62),$A53+1,1),MAX(strike-$B53,0)),"")</f>
        <v/>
      </c>
      <c r="HG53" s="9" t="str">
        <f t="array" ref="HG53">IF(HG$11&gt;=0,MAX(INDEX(MMULT(inverseG,HF$12:HF$62),$A53+1,1),MAX(strike-$B53,0)),"")</f>
        <v/>
      </c>
      <c r="HH53" s="9" t="str">
        <f t="array" ref="HH53">IF(HH$11&gt;=0,MAX(INDEX(MMULT(inverseG,HG$12:HG$62),$A53+1,1),MAX(strike-$B53,0)),"")</f>
        <v/>
      </c>
      <c r="HI53" s="9" t="str">
        <f t="array" ref="HI53">IF(HI$11&gt;=0,MAX(INDEX(MMULT(inverseG,HH$12:HH$62),$A53+1,1),MAX(strike-$B53,0)),"")</f>
        <v/>
      </c>
      <c r="HJ53" s="9" t="str">
        <f t="array" ref="HJ53">IF(HJ$11&gt;=0,MAX(INDEX(MMULT(inverseG,HI$12:HI$62),$A53+1,1),MAX(strike-$B53,0)),"")</f>
        <v/>
      </c>
      <c r="HK53" s="9" t="str">
        <f t="array" ref="HK53">IF(HK$11&gt;=0,MAX(INDEX(MMULT(inverseG,HJ$12:HJ$62),$A53+1,1),MAX(strike-$B53,0)),"")</f>
        <v/>
      </c>
      <c r="HL53" s="9" t="str">
        <f t="array" ref="HL53">IF(HL$11&gt;=0,MAX(INDEX(MMULT(inverseG,HK$12:HK$62),$A53+1,1),MAX(strike-$B53,0)),"")</f>
        <v/>
      </c>
      <c r="HM53" s="9" t="str">
        <f t="array" ref="HM53">IF(HM$11&gt;=0,MAX(INDEX(MMULT(inverseG,HL$12:HL$62),$A53+1,1),MAX(strike-$B53,0)),"")</f>
        <v/>
      </c>
      <c r="HN53" s="9" t="str">
        <f t="array" ref="HN53">IF(HN$11&gt;=0,MAX(INDEX(MMULT(inverseG,HM$12:HM$62),$A53+1,1),MAX(strike-$B53,0)),"")</f>
        <v/>
      </c>
      <c r="HO53" s="9" t="str">
        <f t="array" ref="HO53">IF(HO$11&gt;=0,MAX(INDEX(MMULT(inverseG,HN$12:HN$62),$A53+1,1),MAX(strike-$B53,0)),"")</f>
        <v/>
      </c>
      <c r="HP53" s="9" t="str">
        <f t="array" ref="HP53">IF(HP$11&gt;=0,MAX(INDEX(MMULT(inverseG,HO$12:HO$62),$A53+1,1),MAX(strike-$B53,0)),"")</f>
        <v/>
      </c>
      <c r="HQ53" s="9" t="str">
        <f t="array" ref="HQ53">IF(HQ$11&gt;=0,MAX(INDEX(MMULT(inverseG,HP$12:HP$62),$A53+1,1),MAX(strike-$B53,0)),"")</f>
        <v/>
      </c>
      <c r="HR53" s="9" t="str">
        <f t="array" ref="HR53">IF(HR$11&gt;=0,MAX(INDEX(MMULT(inverseG,HQ$12:HQ$62),$A53+1,1),MAX(strike-$B53,0)),"")</f>
        <v/>
      </c>
      <c r="HS53" s="9" t="str">
        <f t="array" ref="HS53">IF(HS$11&gt;=0,MAX(INDEX(MMULT(inverseG,HR$12:HR$62),$A53+1,1),MAX(strike-$B53,0)),"")</f>
        <v/>
      </c>
      <c r="HT53" s="9" t="str">
        <f t="array" ref="HT53">IF(HT$11&gt;=0,MAX(INDEX(MMULT(inverseG,HS$12:HS$62),$A53+1,1),MAX(strike-$B53,0)),"")</f>
        <v/>
      </c>
      <c r="HU53" s="9" t="str">
        <f t="array" ref="HU53">IF(HU$11&gt;=0,MAX(INDEX(MMULT(inverseG,HT$12:HT$62),$A53+1,1),MAX(strike-$B53,0)),"")</f>
        <v/>
      </c>
      <c r="HV53" s="9" t="str">
        <f t="array" ref="HV53">IF(HV$11&gt;=0,MAX(INDEX(MMULT(inverseG,HU$12:HU$62),$A53+1,1),MAX(strike-$B53,0)),"")</f>
        <v/>
      </c>
      <c r="HW53" s="9" t="str">
        <f t="array" ref="HW53">IF(HW$11&gt;=0,MAX(INDEX(MMULT(inverseG,HV$12:HV$62),$A53+1,1),MAX(strike-$B53,0)),"")</f>
        <v/>
      </c>
      <c r="HX53" s="9" t="str">
        <f t="array" ref="HX53">IF(HX$11&gt;=0,MAX(INDEX(MMULT(inverseG,HW$12:HW$62),$A53+1,1),MAX(strike-$B53,0)),"")</f>
        <v/>
      </c>
      <c r="HY53" s="9" t="str">
        <f t="array" ref="HY53">IF(HY$11&gt;=0,MAX(INDEX(MMULT(inverseG,HX$12:HX$62),$A53+1,1),MAX(strike-$B53,0)),"")</f>
        <v/>
      </c>
      <c r="HZ53" s="9" t="str">
        <f t="array" ref="HZ53">IF(HZ$11&gt;=0,MAX(INDEX(MMULT(inverseG,HY$12:HY$62),$A53+1,1),MAX(strike-$B53,0)),"")</f>
        <v/>
      </c>
      <c r="IA53" s="9" t="str">
        <f t="array" ref="IA53">IF(IA$11&gt;=0,MAX(INDEX(MMULT(inverseG,HZ$12:HZ$62),$A53+1,1),MAX(strike-$B53,0)),"")</f>
        <v/>
      </c>
      <c r="IB53" s="9" t="str">
        <f t="array" ref="IB53">IF(IB$11&gt;=0,MAX(INDEX(MMULT(inverseG,IA$12:IA$62),$A53+1,1),MAX(strike-$B53,0)),"")</f>
        <v/>
      </c>
      <c r="IC53" s="9" t="str">
        <f t="array" ref="IC53">IF(IC$11&gt;=0,MAX(INDEX(MMULT(inverseG,IB$12:IB$62),$A53+1,1),MAX(strike-$B53,0)),"")</f>
        <v/>
      </c>
      <c r="ID53" s="9" t="str">
        <f t="array" ref="ID53">IF(ID$11&gt;=0,MAX(INDEX(MMULT(inverseG,IC$12:IC$62),$A53+1,1),MAX(strike-$B53,0)),"")</f>
        <v/>
      </c>
      <c r="IE53" s="9" t="str">
        <f t="array" ref="IE53">IF(IE$11&gt;=0,MAX(INDEX(MMULT(inverseG,ID$12:ID$62),$A53+1,1),MAX(strike-$B53,0)),"")</f>
        <v/>
      </c>
      <c r="IF53" s="9" t="str">
        <f t="array" ref="IF53">IF(IF$11&gt;=0,MAX(INDEX(MMULT(inverseG,IE$12:IE$62),$A53+1,1),MAX(strike-$B53,0)),"")</f>
        <v/>
      </c>
      <c r="IG53" s="9" t="str">
        <f t="array" ref="IG53">IF(IG$11&gt;=0,MAX(INDEX(MMULT(inverseG,IF$12:IF$62),$A53+1,1),MAX(strike-$B53,0)),"")</f>
        <v/>
      </c>
      <c r="IH53" s="9" t="str">
        <f t="array" ref="IH53">IF(IH$11&gt;=0,MAX(INDEX(MMULT(inverseG,IG$12:IG$62),$A53+1,1),MAX(strike-$B53,0)),"")</f>
        <v/>
      </c>
      <c r="II53" s="9" t="str">
        <f t="array" ref="II53">IF(II$11&gt;=0,MAX(INDEX(MMULT(inverseG,IH$12:IH$62),$A53+1,1),MAX(strike-$B53,0)),"")</f>
        <v/>
      </c>
      <c r="IJ53" s="9" t="str">
        <f t="array" ref="IJ53">IF(IJ$11&gt;=0,MAX(INDEX(MMULT(inverseG,II$12:II$62),$A53+1,1),MAX(strike-$B53,0)),"")</f>
        <v/>
      </c>
      <c r="IK53" s="9" t="str">
        <f t="array" ref="IK53">IF(IK$11&gt;=0,MAX(INDEX(MMULT(inverseG,IJ$12:IJ$62),$A53+1,1),MAX(strike-$B53,0)),"")</f>
        <v/>
      </c>
      <c r="IL53" s="9" t="str">
        <f t="array" ref="IL53">IF(IL$11&gt;=0,MAX(INDEX(MMULT(inverseG,IK$12:IK$62),$A53+1,1),MAX(strike-$B53,0)),"")</f>
        <v/>
      </c>
      <c r="IM53" s="9" t="str">
        <f t="array" ref="IM53">IF(IM$11&gt;=0,MAX(INDEX(MMULT(inverseG,IL$12:IL$62),$A53+1,1),MAX(strike-$B53,0)),"")</f>
        <v/>
      </c>
      <c r="IN53" s="9" t="str">
        <f t="array" ref="IN53">IF(IN$11&gt;=0,MAX(INDEX(MMULT(inverseG,IM$12:IM$62),$A53+1,1),MAX(strike-$B53,0)),"")</f>
        <v/>
      </c>
      <c r="IO53" s="9" t="str">
        <f t="array" ref="IO53">IF(IO$11&gt;=0,MAX(INDEX(MMULT(inverseG,IN$12:IN$62),$A53+1,1),MAX(strike-$B53,0)),"")</f>
        <v/>
      </c>
      <c r="IP53" s="9" t="str">
        <f t="array" ref="IP53">IF(IP$11&gt;=0,MAX(INDEX(MMULT(inverseG,IO$12:IO$62),$A53+1,1),MAX(strike-$B53,0)),"")</f>
        <v/>
      </c>
      <c r="IQ53" s="9" t="str">
        <f t="array" ref="IQ53">IF(IQ$11&gt;=0,MAX(INDEX(MMULT(inverseG,IP$12:IP$62),$A53+1,1),MAX(strike-$B53,0)),"")</f>
        <v/>
      </c>
      <c r="IR53" s="9" t="str">
        <f t="array" ref="IR53">IF(IR$11&gt;=0,MAX(INDEX(MMULT(inverseG,IQ$12:IQ$62),$A53+1,1),MAX(strike-$B53,0)),"")</f>
        <v/>
      </c>
      <c r="IS53" s="9" t="str">
        <f t="array" ref="IS53">IF(IS$11&gt;=0,MAX(INDEX(MMULT(inverseG,IR$12:IR$62),$A53+1,1),MAX(strike-$B53,0)),"")</f>
        <v/>
      </c>
      <c r="IT53" s="9" t="str">
        <f t="array" ref="IT53">IF(IT$11&gt;=0,MAX(INDEX(MMULT(inverseG,IS$12:IS$62),$A53+1,1),MAX(strike-$B53,0)),"")</f>
        <v/>
      </c>
      <c r="IU53" s="9" t="str">
        <f t="array" ref="IU53">IF(IU$11&gt;=0,MAX(INDEX(MMULT(inverseG,IT$12:IT$62),$A53+1,1),MAX(strike-$B53,0)),"")</f>
        <v/>
      </c>
      <c r="IV53" s="9" t="str">
        <f t="array" ref="IV53">IF(IV$11&gt;=0,MAX(INDEX(MMULT(inverseG,IU$12:IU$62),$A53+1,1),MAX(strike-$B53,0)),"")</f>
        <v/>
      </c>
    </row>
    <row r="54" spans="1:256" x14ac:dyDescent="0.2">
      <c r="A54" s="8">
        <f t="shared" si="7"/>
        <v>42</v>
      </c>
      <c r="B54" s="6">
        <f t="shared" si="8"/>
        <v>10.5</v>
      </c>
      <c r="C54" s="30">
        <f t="shared" ca="1" si="6"/>
        <v>4.5580555009258276E-2</v>
      </c>
      <c r="D54" s="9">
        <f t="shared" si="9"/>
        <v>0</v>
      </c>
      <c r="E54" s="9">
        <f t="array" ref="E54">IF(E$11&gt;=0,MAX(INDEX(MMULT(inverseG,D$12:D$62),$A54+1,1),MAX(strike-$B54,0)),"")</f>
        <v>8.1901371161671275E-10</v>
      </c>
      <c r="F54" s="9">
        <f t="array" ref="F54">IF(F$11&gt;=0,MAX(INDEX(MMULT(inverseG,E$12:E$62),$A54+1,1),MAX(strike-$B54,0)),"")</f>
        <v>8.2791349559273282E-9</v>
      </c>
      <c r="G54" s="9">
        <f t="array" ref="G54">IF(G$11&gt;=0,MAX(INDEX(MMULT(inverseG,F$12:F$62),$A54+1,1),MAX(strike-$B54,0)),"")</f>
        <v>4.4485723837853042E-8</v>
      </c>
      <c r="H54" s="9">
        <f t="array" ref="H54">IF(H$11&gt;=0,MAX(INDEX(MMULT(inverseG,G$12:G$62),$A54+1,1),MAX(strike-$B54,0)),"")</f>
        <v>1.690784749815084E-7</v>
      </c>
      <c r="I54" s="9">
        <f t="array" ref="I54">IF(I$11&gt;=0,MAX(INDEX(MMULT(inverseG,H$12:H$62),$A54+1,1),MAX(strike-$B54,0)),"")</f>
        <v>5.1042300957301667E-7</v>
      </c>
      <c r="J54" s="9">
        <f t="array" ref="J54">IF(J$11&gt;=0,MAX(INDEX(MMULT(inverseG,I$12:I$62),$A54+1,1),MAX(strike-$B54,0)),"")</f>
        <v>1.3031643276358163E-6</v>
      </c>
      <c r="K54" s="9">
        <f t="array" ref="K54">IF(K$11&gt;=0,MAX(INDEX(MMULT(inverseG,J$12:J$62),$A54+1,1),MAX(strike-$B54,0)),"")</f>
        <v>2.9260310903048585E-6</v>
      </c>
      <c r="L54" s="9">
        <f t="array" ref="L54">IF(L$11&gt;=0,MAX(INDEX(MMULT(inverseG,K$12:K$62),$A54+1,1),MAX(strike-$B54,0)),"")</f>
        <v>5.9331797730899884E-6</v>
      </c>
      <c r="M54" s="9">
        <f t="array" ref="M54">IF(M$11&gt;=0,MAX(INDEX(MMULT(inverseG,L$12:L$62),$A54+1,1),MAX(strike-$B54,0)),"")</f>
        <v>1.1073628202026603E-5</v>
      </c>
      <c r="N54" s="9">
        <f t="array" ref="N54">IF(N$11&gt;=0,MAX(INDEX(MMULT(inverseG,M$12:M$62),$A54+1,1),MAX(strike-$B54,0)),"")</f>
        <v>1.9295724711970106E-5</v>
      </c>
      <c r="O54" s="9">
        <f t="array" ref="O54">IF(O$11&gt;=0,MAX(INDEX(MMULT(inverseG,N$12:N$62),$A54+1,1),MAX(strike-$B54,0)),"")</f>
        <v>3.1736250829830961E-5</v>
      </c>
      <c r="P54" s="9">
        <f t="array" ref="P54">IF(P$11&gt;=0,MAX(INDEX(MMULT(inverseG,O$12:O$62),$A54+1,1),MAX(strike-$B54,0)),"")</f>
        <v>4.9695979324349213E-5</v>
      </c>
      <c r="Q54" s="9">
        <f t="array" ref="Q54">IF(Q$11&gt;=0,MAX(INDEX(MMULT(inverseG,P$12:P$62),$A54+1,1),MAX(strike-$B54,0)),"")</f>
        <v>7.4604955980193572E-5</v>
      </c>
      <c r="R54" s="9">
        <f t="array" ref="R54">IF(R$11&gt;=0,MAX(INDEX(MMULT(inverseG,Q$12:Q$62),$A54+1,1),MAX(strike-$B54,0)),"")</f>
        <v>1.0798139323407014E-4</v>
      </c>
      <c r="S54" s="9">
        <f t="array" ref="S54">IF(S$11&gt;=0,MAX(INDEX(MMULT(inverseG,R$12:R$62),$A54+1,1),MAX(strike-$B54,0)),"")</f>
        <v>1.5138800022751294E-4</v>
      </c>
      <c r="T54" s="9">
        <f t="array" ref="T54">IF(T$11&gt;=0,MAX(INDEX(MMULT(inverseG,S$12:S$62),$A54+1,1),MAX(strike-$B54,0)),"")</f>
        <v>2.0638905094154329E-4</v>
      </c>
      <c r="U54" s="9">
        <f t="array" ref="U54">IF(U$11&gt;=0,MAX(INDEX(MMULT(inverseG,T$12:T$62),$A54+1,1),MAX(strike-$B54,0)),"")</f>
        <v>2.7451073321859998E-4</v>
      </c>
      <c r="V54" s="9">
        <f t="array" ref="V54">IF(V$11&gt;=0,MAX(INDEX(MMULT(inverseG,U$12:U$62),$A54+1,1),MAX(strike-$B54,0)),"")</f>
        <v>3.5720650535237165E-4</v>
      </c>
      <c r="W54" s="9">
        <f t="array" ref="W54">IF(W$11&gt;=0,MAX(INDEX(MMULT(inverseG,V$12:V$62),$A54+1,1),MAX(strike-$B54,0)),"")</f>
        <v>4.5582843355523563E-4</v>
      </c>
      <c r="X54" s="9">
        <f t="array" ref="X54">IF(X$11&gt;=0,MAX(INDEX(MMULT(inverseG,W$12:W$62),$A54+1,1),MAX(strike-$B54,0)),"")</f>
        <v>5.7160485851986975E-4</v>
      </c>
      <c r="Y54" s="9">
        <f t="array" ref="Y54">IF(Y$11&gt;=0,MAX(INDEX(MMULT(inverseG,X$12:X$62),$A54+1,1),MAX(strike-$B54,0)),"")</f>
        <v>7.0562426596937333E-4</v>
      </c>
      <c r="Z54" s="9">
        <f t="array" ref="Z54">IF(Z$11&gt;=0,MAX(INDEX(MMULT(inverseG,Y$12:Y$62),$A54+1,1),MAX(strike-$B54,0)),"")</f>
        <v>8.588249101459869E-4</v>
      </c>
      <c r="AA54" s="9">
        <f t="array" ref="AA54">IF(AA$11&gt;=0,MAX(INDEX(MMULT(inverseG,Z$12:Z$62),$A54+1,1),MAX(strike-$B54,0)),"")</f>
        <v>1.0319895406803233E-3</v>
      </c>
      <c r="AB54" s="9">
        <f t="array" ref="AB54">IF(AB$11&gt;=0,MAX(INDEX(MMULT(inverseG,AA$12:AA$62),$A54+1,1),MAX(strike-$B54,0)),"")</f>
        <v>1.2257444859251068E-3</v>
      </c>
      <c r="AC54" s="9">
        <f t="array" ref="AC54">IF(AC$11&gt;=0,MAX(INDEX(MMULT(inverseG,AB$12:AB$62),$A54+1,1),MAX(strike-$B54,0)),"")</f>
        <v>1.4405623230088376E-3</v>
      </c>
      <c r="AD54" s="9">
        <f t="array" ref="AD54">IF(AD$11&gt;=0,MAX(INDEX(MMULT(inverseG,AC$12:AC$62),$A54+1,1),MAX(strike-$B54,0)),"")</f>
        <v>1.6767673929602848E-3</v>
      </c>
      <c r="AE54" s="9">
        <f t="array" ref="AE54">IF(AE$11&gt;=0,MAX(INDEX(MMULT(inverseG,AD$12:AD$62),$A54+1,1),MAX(strike-$B54,0)),"")</f>
        <v>1.9345434791083354E-3</v>
      </c>
      <c r="AF54" s="9">
        <f t="array" ref="AF54">IF(AF$11&gt;=0,MAX(INDEX(MMULT(inverseG,AE$12:AE$62),$A54+1,1),MAX(strike-$B54,0)),"")</f>
        <v>2.2139430440401156E-3</v>
      </c>
      <c r="AG54" s="9">
        <f t="array" ref="AG54">IF(AG$11&gt;=0,MAX(INDEX(MMULT(inverseG,AF$12:AF$62),$A54+1,1),MAX(strike-$B54,0)),"")</f>
        <v>2.5148975043228273E-3</v>
      </c>
      <c r="AH54" s="9">
        <f t="array" ref="AH54">IF(AH$11&gt;=0,MAX(INDEX(MMULT(inverseG,AG$12:AG$62),$A54+1,1),MAX(strike-$B54,0)),"")</f>
        <v>2.8372281059732768E-3</v>
      </c>
      <c r="AI54" s="9">
        <f t="array" ref="AI54">IF(AI$11&gt;=0,MAX(INDEX(MMULT(inverseG,AH$12:AH$62),$A54+1,1),MAX(strike-$B54,0)),"")</f>
        <v>3.1806570428981819E-3</v>
      </c>
      <c r="AJ54" s="9">
        <f t="array" ref="AJ54">IF(AJ$11&gt;=0,MAX(INDEX(MMULT(inverseG,AI$12:AI$62),$A54+1,1),MAX(strike-$B54,0)),"")</f>
        <v>3.5448185327134466E-3</v>
      </c>
      <c r="AK54" s="9">
        <f t="array" ref="AK54">IF(AK$11&gt;=0,MAX(INDEX(MMULT(inverseG,AJ$12:AJ$62),$A54+1,1),MAX(strike-$B54,0)),"")</f>
        <v>3.9292696282716465E-3</v>
      </c>
      <c r="AL54" s="9">
        <f t="array" ref="AL54">IF(AL$11&gt;=0,MAX(INDEX(MMULT(inverseG,AK$12:AK$62),$A54+1,1),MAX(strike-$B54,0)),"")</f>
        <v>4.3335005985420142E-3</v>
      </c>
      <c r="AM54" s="9">
        <f t="array" ref="AM54">IF(AM$11&gt;=0,MAX(INDEX(MMULT(inverseG,AL$12:AL$62),$A54+1,1),MAX(strike-$B54,0)),"")</f>
        <v>4.7569447594064413E-3</v>
      </c>
      <c r="AN54" s="9">
        <f t="array" ref="AN54">IF(AN$11&gt;=0,MAX(INDEX(MMULT(inverseG,AM$12:AM$62),$A54+1,1),MAX(strike-$B54,0)),"")</f>
        <v>5.1989876740001877E-3</v>
      </c>
      <c r="AO54" s="9">
        <f t="array" ref="AO54">IF(AO$11&gt;=0,MAX(INDEX(MMULT(inverseG,AN$12:AN$62),$A54+1,1),MAX(strike-$B54,0)),"")</f>
        <v>5.6589756741636712E-3</v>
      </c>
      <c r="AP54" s="9">
        <f t="array" ref="AP54">IF(AP$11&gt;=0,MAX(INDEX(MMULT(inverseG,AO$12:AO$62),$A54+1,1),MAX(strike-$B54,0)),"")</f>
        <v>6.1362236801986011E-3</v>
      </c>
      <c r="AQ54" s="9">
        <f t="array" ref="AQ54">IF(AQ$11&gt;=0,MAX(INDEX(MMULT(inverseG,AP$12:AP$62),$A54+1,1),MAX(strike-$B54,0)),"")</f>
        <v>6.6300223162828265E-3</v>
      </c>
      <c r="AR54" s="9">
        <f t="array" ref="AR54">IF(AR$11&gt;=0,MAX(INDEX(MMULT(inverseG,AQ$12:AQ$62),$A54+1,1),MAX(strike-$B54,0)),"")</f>
        <v>7.1396443344156832E-3</v>
      </c>
      <c r="AS54" s="9">
        <f t="array" ref="AS54">IF(AS$11&gt;=0,MAX(INDEX(MMULT(inverseG,AR$12:AR$62),$A54+1,1),MAX(strike-$B54,0)),"")</f>
        <v>7.664350371396126E-3</v>
      </c>
      <c r="AT54" s="9">
        <f t="array" ref="AT54">IF(AT$11&gt;=0,MAX(INDEX(MMULT(inverseG,AS$12:AS$62),$A54+1,1),MAX(strike-$B54,0)),"")</f>
        <v>8.203394071740186E-3</v>
      </c>
      <c r="AU54" s="9">
        <f t="array" ref="AU54">IF(AU$11&gt;=0,MAX(INDEX(MMULT(inverseG,AT$12:AT$62),$A54+1,1),MAX(strike-$B54,0)),"")</f>
        <v>8.7560266151761844E-3</v>
      </c>
      <c r="AV54" s="9">
        <f t="array" ref="AV54">IF(AV$11&gt;=0,MAX(INDEX(MMULT(inverseG,AU$12:AU$62),$A54+1,1),MAX(strike-$B54,0)),"")</f>
        <v>9.3215006908726802E-3</v>
      </c>
      <c r="AW54" s="9">
        <f t="array" ref="AW54">IF(AW$11&gt;=0,MAX(INDEX(MMULT(inverseG,AV$12:AV$62),$A54+1,1),MAX(strike-$B54,0)),"")</f>
        <v>9.8990739622395948E-3</v>
      </c>
      <c r="AX54" s="9">
        <f t="array" ref="AX54">IF(AX$11&gt;=0,MAX(INDEX(MMULT(inverseG,AW$12:AW$62),$A54+1,1),MAX(strike-$B54,0)),"")</f>
        <v>1.048801206633407E-2</v>
      </c>
      <c r="AY54" s="9">
        <f t="array" ref="AY54">IF(AY$11&gt;=0,MAX(INDEX(MMULT(inverseG,AX$12:AX$62),$A54+1,1),MAX(strike-$B54,0)),"")</f>
        <v>1.1087591190909818E-2</v>
      </c>
      <c r="AZ54" s="9">
        <f t="array" ref="AZ54">IF(AZ$11&gt;=0,MAX(INDEX(MMULT(inverseG,AY$12:AY$62),$A54+1,1),MAX(strike-$B54,0)),"")</f>
        <v>1.1697100270263838E-2</v>
      </c>
      <c r="BA54" s="9">
        <f t="array" ref="BA54">IF(BA$11&gt;=0,MAX(INDEX(MMULT(inverseG,AZ$12:AZ$62),$A54+1,1),MAX(strike-$B54,0)),"")</f>
        <v>1.2315842838530166E-2</v>
      </c>
      <c r="BB54" s="9">
        <f t="array" ref="BB54">IF(BB$11&gt;=0,MAX(INDEX(MMULT(inverseG,BA$12:BA$62),$A54+1,1),MAX(strike-$B54,0)),"")</f>
        <v>1.2943138576193324E-2</v>
      </c>
      <c r="BC54" s="9">
        <f t="array" ref="BC54">IF(BC$11&gt;=0,MAX(INDEX(MMULT(inverseG,BB$12:BB$62),$A54+1,1),MAX(strike-$B54,0)),"")</f>
        <v>1.3578324582554955E-2</v>
      </c>
      <c r="BD54" s="9">
        <f t="array" ref="BD54">IF(BD$11&gt;=0,MAX(INDEX(MMULT(inverseG,BC$12:BC$62),$A54+1,1),MAX(strike-$B54,0)),"")</f>
        <v>1.4220756403854772E-2</v>
      </c>
      <c r="BE54" s="9">
        <f t="array" ref="BE54">IF(BE$11&gt;=0,MAX(INDEX(MMULT(inverseG,BD$12:BD$62),$A54+1,1),MAX(strike-$B54,0)),"")</f>
        <v>1.4869808843844985E-2</v>
      </c>
      <c r="BF54" s="9">
        <f t="array" ref="BF54">IF(BF$11&gt;=0,MAX(INDEX(MMULT(inverseG,BE$12:BE$62),$A54+1,1),MAX(strike-$B54,0)),"")</f>
        <v>1.5524876580926907E-2</v>
      </c>
      <c r="BG54" s="9">
        <f t="array" ref="BG54">IF(BG$11&gt;=0,MAX(INDEX(MMULT(inverseG,BF$12:BF$62),$A54+1,1),MAX(strike-$B54,0)),"")</f>
        <v>1.6185374613522346E-2</v>
      </c>
      <c r="BH54" s="9">
        <f t="array" ref="BH54">IF(BH$11&gt;=0,MAX(INDEX(MMULT(inverseG,BG$12:BG$62),$A54+1,1),MAX(strike-$B54,0)),"")</f>
        <v>1.6850738553183517E-2</v>
      </c>
      <c r="BI54" s="9">
        <f t="array" ref="BI54">IF(BI$11&gt;=0,MAX(INDEX(MMULT(inverseG,BH$12:BH$62),$A54+1,1),MAX(strike-$B54,0)),"")</f>
        <v>1.7520424783034956E-2</v>
      </c>
      <c r="BJ54" s="9">
        <f t="array" ref="BJ54">IF(BJ$11&gt;=0,MAX(INDEX(MMULT(inverseG,BI$12:BI$62),$A54+1,1),MAX(strike-$B54,0)),"")</f>
        <v>1.8193910497465583E-2</v>
      </c>
      <c r="BK54" s="9">
        <f t="array" ref="BK54">IF(BK$11&gt;=0,MAX(INDEX(MMULT(inverseG,BJ$12:BJ$62),$A54+1,1),MAX(strike-$B54,0)),"")</f>
        <v>1.8870693637518959E-2</v>
      </c>
      <c r="BL54" s="9">
        <f t="array" ref="BL54">IF(BL$11&gt;=0,MAX(INDEX(MMULT(inverseG,BK$12:BK$62),$A54+1,1),MAX(strike-$B54,0)),"")</f>
        <v>1.9550292735131713E-2</v>
      </c>
      <c r="BM54" s="9">
        <f t="array" ref="BM54">IF(BM$11&gt;=0,MAX(INDEX(MMULT(inverseG,BL$12:BL$62),$A54+1,1),MAX(strike-$B54,0)),"")</f>
        <v>2.0232246678213599E-2</v>
      </c>
      <c r="BN54" s="9">
        <f t="array" ref="BN54">IF(BN$11&gt;=0,MAX(INDEX(MMULT(inverseG,BM$12:BM$62),$A54+1,1),MAX(strike-$B54,0)),"")</f>
        <v>2.0916114407519688E-2</v>
      </c>
      <c r="BO54" s="9">
        <f t="array" ref="BO54">IF(BO$11&gt;=0,MAX(INDEX(MMULT(inverseG,BN$12:BN$62),$A54+1,1),MAX(strike-$B54,0)),"")</f>
        <v>2.1601474555313471E-2</v>
      </c>
      <c r="BP54" s="9">
        <f t="array" ref="BP54">IF(BP$11&gt;=0,MAX(INDEX(MMULT(inverseG,BO$12:BO$62),$A54+1,1),MAX(strike-$B54,0)),"")</f>
        <v>2.228792503494112E-2</v>
      </c>
      <c r="BQ54" s="9">
        <f t="array" ref="BQ54">IF(BQ$11&gt;=0,MAX(INDEX(MMULT(inverseG,BP$12:BP$62),$A54+1,1),MAX(strike-$B54,0)),"")</f>
        <v>2.2975082589618865E-2</v>
      </c>
      <c r="BR54" s="9">
        <f t="array" ref="BR54">IF(BR$11&gt;=0,MAX(INDEX(MMULT(inverseG,BQ$12:BQ$62),$A54+1,1),MAX(strike-$B54,0)),"")</f>
        <v>2.3662582307967819E-2</v>
      </c>
      <c r="BS54" s="9">
        <f t="array" ref="BS54">IF(BS$11&gt;=0,MAX(INDEX(MMULT(inverseG,BR$12:BR$62),$A54+1,1),MAX(strike-$B54,0)),"")</f>
        <v>2.435007711310801E-2</v>
      </c>
      <c r="BT54" s="9">
        <f t="array" ref="BT54">IF(BT$11&gt;=0,MAX(INDEX(MMULT(inverseG,BS$12:BS$62),$A54+1,1),MAX(strike-$B54,0)),"")</f>
        <v>2.5037237231442095E-2</v>
      </c>
      <c r="BU54" s="9">
        <f t="array" ref="BU54">IF(BU$11&gt;=0,MAX(INDEX(MMULT(inverseG,BT$12:BT$62),$A54+1,1),MAX(strike-$B54,0)),"")</f>
        <v>2.5723749646617271E-2</v>
      </c>
      <c r="BV54" s="9">
        <f t="array" ref="BV54">IF(BV$11&gt;=0,MAX(INDEX(MMULT(inverseG,BU$12:BU$62),$A54+1,1),MAX(strike-$B54,0)),"")</f>
        <v>2.6409317543550144E-2</v>
      </c>
      <c r="BW54" s="9">
        <f t="array" ref="BW54">IF(BW$11&gt;=0,MAX(INDEX(MMULT(inverseG,BV$12:BV$62),$A54+1,1),MAX(strike-$B54,0)),"")</f>
        <v>2.7093659746834538E-2</v>
      </c>
      <c r="BX54" s="9">
        <f t="array" ref="BX54">IF(BX$11&gt;=0,MAX(INDEX(MMULT(inverseG,BW$12:BW$62),$A54+1,1),MAX(strike-$B54,0)),"")</f>
        <v>2.7776510157324696E-2</v>
      </c>
      <c r="BY54" s="9">
        <f t="array" ref="BY54">IF(BY$11&gt;=0,MAX(INDEX(MMULT(inverseG,BX$12:BX$62),$A54+1,1),MAX(strike-$B54,0)),"")</f>
        <v>2.8457617190197876E-2</v>
      </c>
      <c r="BZ54" s="9">
        <f t="array" ref="BZ54">IF(BZ$11&gt;=0,MAX(INDEX(MMULT(inverseG,BY$12:BY$62),$A54+1,1),MAX(strike-$B54,0)),"")</f>
        <v>2.9136743217349052E-2</v>
      </c>
      <c r="CA54" s="9">
        <f t="array" ref="CA54">IF(CA$11&gt;=0,MAX(INDEX(MMULT(inverseG,BZ$12:BZ$62),$A54+1,1),MAX(strike-$B54,0)),"")</f>
        <v>2.9813664016556916E-2</v>
      </c>
      <c r="CB54" s="9">
        <f t="array" ref="CB54">IF(CB$11&gt;=0,MAX(INDEX(MMULT(inverseG,CA$12:CA$62),$A54+1,1),MAX(strike-$B54,0)),"")</f>
        <v>3.0488168229483491E-2</v>
      </c>
      <c r="CC54" s="9">
        <f t="array" ref="CC54">IF(CC$11&gt;=0,MAX(INDEX(MMULT(inverseG,CB$12:CB$62),$A54+1,1),MAX(strike-$B54,0)),"")</f>
        <v>3.1160056830227458E-2</v>
      </c>
      <c r="CD54" s="9">
        <f t="array" ref="CD54">IF(CD$11&gt;=0,MAX(INDEX(MMULT(inverseG,CC$12:CC$62),$A54+1,1),MAX(strike-$B54,0)),"")</f>
        <v>3.1829142605844039E-2</v>
      </c>
      <c r="CE54" s="9">
        <f t="array" ref="CE54">IF(CE$11&gt;=0,MAX(INDEX(MMULT(inverseG,CD$12:CD$62),$A54+1,1),MAX(strike-$B54,0)),"")</f>
        <v>3.2495249649968375E-2</v>
      </c>
      <c r="CF54" s="9">
        <f t="array" ref="CF54">IF(CF$11&gt;=0,MAX(INDEX(MMULT(inverseG,CE$12:CE$62),$A54+1,1),MAX(strike-$B54,0)),"")</f>
        <v>3.3158212870434273E-2</v>
      </c>
      <c r="CG54" s="9">
        <f t="array" ref="CG54">IF(CG$11&gt;=0,MAX(INDEX(MMULT(inverseG,CF$12:CF$62),$A54+1,1),MAX(strike-$B54,0)),"")</f>
        <v>3.3817877511563788E-2</v>
      </c>
      <c r="CH54" s="9">
        <f t="array" ref="CH54">IF(CH$11&gt;=0,MAX(INDEX(MMULT(inverseG,CG$12:CG$62),$A54+1,1),MAX(strike-$B54,0)),"")</f>
        <v>3.4474098691612443E-2</v>
      </c>
      <c r="CI54" s="9">
        <f t="array" ref="CI54">IF(CI$11&gt;=0,MAX(INDEX(MMULT(inverseG,CH$12:CH$62),$A54+1,1),MAX(strike-$B54,0)),"")</f>
        <v>3.5126740955689247E-2</v>
      </c>
      <c r="CJ54" s="9">
        <f t="array" ref="CJ54">IF(CJ$11&gt;=0,MAX(INDEX(MMULT(inverseG,CI$12:CI$62),$A54+1,1),MAX(strike-$B54,0)),"")</f>
        <v>3.5775677844326774E-2</v>
      </c>
      <c r="CK54" s="9">
        <f t="array" ref="CK54">IF(CK$11&gt;=0,MAX(INDEX(MMULT(inverseG,CJ$12:CJ$62),$A54+1,1),MAX(strike-$B54,0)),"")</f>
        <v>3.6420791477753213E-2</v>
      </c>
      <c r="CL54" s="9">
        <f t="array" ref="CL54">IF(CL$11&gt;=0,MAX(INDEX(MMULT(inverseG,CK$12:CK$62),$A54+1,1),MAX(strike-$B54,0)),"")</f>
        <v>3.7061972155812965E-2</v>
      </c>
      <c r="CM54" s="9">
        <f t="array" ref="CM54">IF(CM$11&gt;=0,MAX(INDEX(MMULT(inverseG,CL$12:CL$62),$A54+1,1),MAX(strike-$B54,0)),"")</f>
        <v>3.7699117973393724E-2</v>
      </c>
      <c r="CN54" s="9">
        <f t="array" ref="CN54">IF(CN$11&gt;=0,MAX(INDEX(MMULT(inverseG,CM$12:CM$62),$A54+1,1),MAX(strike-$B54,0)),"")</f>
        <v>3.8332134451143654E-2</v>
      </c>
      <c r="CO54" s="9">
        <f t="array" ref="CO54">IF(CO$11&gt;=0,MAX(INDEX(MMULT(inverseG,CN$12:CN$62),$A54+1,1),MAX(strike-$B54,0)),"")</f>
        <v>3.8960934181201307E-2</v>
      </c>
      <c r="CP54" s="9">
        <f t="array" ref="CP54">IF(CP$11&gt;=0,MAX(INDEX(MMULT(inverseG,CO$12:CO$62),$A54+1,1),MAX(strike-$B54,0)),"")</f>
        <v>3.9585436487611335E-2</v>
      </c>
      <c r="CQ54" s="9">
        <f t="array" ref="CQ54">IF(CQ$11&gt;=0,MAX(INDEX(MMULT(inverseG,CP$12:CP$62),$A54+1,1),MAX(strike-$B54,0)),"")</f>
        <v>4.0205567101059221E-2</v>
      </c>
      <c r="CR54" s="9">
        <f t="array" ref="CR54">IF(CR$11&gt;=0,MAX(INDEX(MMULT(inverseG,CQ$12:CQ$62),$A54+1,1),MAX(strike-$B54,0)),"")</f>
        <v>4.0821257847527964E-2</v>
      </c>
      <c r="CS54" s="9">
        <f t="array" ref="CS54">IF(CS$11&gt;=0,MAX(INDEX(MMULT(inverseG,CR$12:CR$62),$A54+1,1),MAX(strike-$B54,0)),"")</f>
        <v>4.143244635045646E-2</v>
      </c>
      <c r="CT54" s="9">
        <f t="array" ref="CT54">IF(CT$11&gt;=0,MAX(INDEX(MMULT(inverseG,CS$12:CS$62),$A54+1,1),MAX(strike-$B54,0)),"")</f>
        <v>4.2039075745963682E-2</v>
      </c>
      <c r="CU54" s="9">
        <f t="array" ref="CU54">IF(CU$11&gt;=0,MAX(INDEX(MMULT(inverseG,CT$12:CT$62),$A54+1,1),MAX(strike-$B54,0)),"")</f>
        <v>4.2641094410695524E-2</v>
      </c>
      <c r="CV54" s="9">
        <f t="array" ref="CV54">IF(CV$11&gt;=0,MAX(INDEX(MMULT(inverseG,CU$12:CU$62),$A54+1,1),MAX(strike-$B54,0)),"")</f>
        <v>4.3238455701853119E-2</v>
      </c>
      <c r="CW54" s="9">
        <f t="array" ref="CW54">IF(CW$11&gt;=0,MAX(INDEX(MMULT(inverseG,CV$12:CV$62),$A54+1,1),MAX(strike-$B54,0)),"")</f>
        <v>4.3831117708976491E-2</v>
      </c>
      <c r="CX54" s="9">
        <f t="array" ref="CX54">IF(CX$11&gt;=0,MAX(INDEX(MMULT(inverseG,CW$12:CW$62),$A54+1,1),MAX(strike-$B54,0)),"")</f>
        <v>4.4419043017085214E-2</v>
      </c>
      <c r="CY54" s="9">
        <f t="array" ref="CY54">IF(CY$11&gt;=0,MAX(INDEX(MMULT(inverseG,CX$12:CX$62),$A54+1,1),MAX(strike-$B54,0)),"")</f>
        <v>4.5002198480817768E-2</v>
      </c>
      <c r="CZ54" s="9">
        <f t="array" ref="CZ54">IF(CZ$11&gt;=0,MAX(INDEX(MMULT(inverseG,CY$12:CY$62),$A54+1,1),MAX(strike-$B54,0)),"")</f>
        <v>4.5580555009258276E-2</v>
      </c>
      <c r="DA54" s="9" t="str">
        <f t="array" ref="DA54">IF(DA$11&gt;=0,MAX(INDEX(MMULT(inverseG,CZ$12:CZ$62),$A54+1,1),MAX(strike-$B54,0)),"")</f>
        <v/>
      </c>
      <c r="DB54" s="9" t="str">
        <f t="array" ref="DB54">IF(DB$11&gt;=0,MAX(INDEX(MMULT(inverseG,DA$12:DA$62),$A54+1,1),MAX(strike-$B54,0)),"")</f>
        <v/>
      </c>
      <c r="DC54" s="9" t="str">
        <f t="array" ref="DC54">IF(DC$11&gt;=0,MAX(INDEX(MMULT(inverseG,DB$12:DB$62),$A54+1,1),MAX(strike-$B54,0)),"")</f>
        <v/>
      </c>
      <c r="DD54" s="9" t="str">
        <f t="array" ref="DD54">IF(DD$11&gt;=0,MAX(INDEX(MMULT(inverseG,DC$12:DC$62),$A54+1,1),MAX(strike-$B54,0)),"")</f>
        <v/>
      </c>
      <c r="DE54" s="9" t="str">
        <f t="array" ref="DE54">IF(DE$11&gt;=0,MAX(INDEX(MMULT(inverseG,DD$12:DD$62),$A54+1,1),MAX(strike-$B54,0)),"")</f>
        <v/>
      </c>
      <c r="DF54" s="9" t="str">
        <f t="array" ref="DF54">IF(DF$11&gt;=0,MAX(INDEX(MMULT(inverseG,DE$12:DE$62),$A54+1,1),MAX(strike-$B54,0)),"")</f>
        <v/>
      </c>
      <c r="DG54" s="9" t="str">
        <f t="array" ref="DG54">IF(DG$11&gt;=0,MAX(INDEX(MMULT(inverseG,DF$12:DF$62),$A54+1,1),MAX(strike-$B54,0)),"")</f>
        <v/>
      </c>
      <c r="DH54" s="9" t="str">
        <f t="array" ref="DH54">IF(DH$11&gt;=0,MAX(INDEX(MMULT(inverseG,DG$12:DG$62),$A54+1,1),MAX(strike-$B54,0)),"")</f>
        <v/>
      </c>
      <c r="DI54" s="9" t="str">
        <f t="array" ref="DI54">IF(DI$11&gt;=0,MAX(INDEX(MMULT(inverseG,DH$12:DH$62),$A54+1,1),MAX(strike-$B54,0)),"")</f>
        <v/>
      </c>
      <c r="DJ54" s="9" t="str">
        <f t="array" ref="DJ54">IF(DJ$11&gt;=0,MAX(INDEX(MMULT(inverseG,DI$12:DI$62),$A54+1,1),MAX(strike-$B54,0)),"")</f>
        <v/>
      </c>
      <c r="DK54" s="9" t="str">
        <f t="array" ref="DK54">IF(DK$11&gt;=0,MAX(INDEX(MMULT(inverseG,DJ$12:DJ$62),$A54+1,1),MAX(strike-$B54,0)),"")</f>
        <v/>
      </c>
      <c r="DL54" s="9" t="str">
        <f t="array" ref="DL54">IF(DL$11&gt;=0,MAX(INDEX(MMULT(inverseG,DK$12:DK$62),$A54+1,1),MAX(strike-$B54,0)),"")</f>
        <v/>
      </c>
      <c r="DM54" s="9" t="str">
        <f t="array" ref="DM54">IF(DM$11&gt;=0,MAX(INDEX(MMULT(inverseG,DL$12:DL$62),$A54+1,1),MAX(strike-$B54,0)),"")</f>
        <v/>
      </c>
      <c r="DN54" s="9" t="str">
        <f t="array" ref="DN54">IF(DN$11&gt;=0,MAX(INDEX(MMULT(inverseG,DM$12:DM$62),$A54+1,1),MAX(strike-$B54,0)),"")</f>
        <v/>
      </c>
      <c r="DO54" s="9" t="str">
        <f t="array" ref="DO54">IF(DO$11&gt;=0,MAX(INDEX(MMULT(inverseG,DN$12:DN$62),$A54+1,1),MAX(strike-$B54,0)),"")</f>
        <v/>
      </c>
      <c r="DP54" s="9" t="str">
        <f t="array" ref="DP54">IF(DP$11&gt;=0,MAX(INDEX(MMULT(inverseG,DO$12:DO$62),$A54+1,1),MAX(strike-$B54,0)),"")</f>
        <v/>
      </c>
      <c r="DQ54" s="9" t="str">
        <f t="array" ref="DQ54">IF(DQ$11&gt;=0,MAX(INDEX(MMULT(inverseG,DP$12:DP$62),$A54+1,1),MAX(strike-$B54,0)),"")</f>
        <v/>
      </c>
      <c r="DR54" s="9" t="str">
        <f t="array" ref="DR54">IF(DR$11&gt;=0,MAX(INDEX(MMULT(inverseG,DQ$12:DQ$62),$A54+1,1),MAX(strike-$B54,0)),"")</f>
        <v/>
      </c>
      <c r="DS54" s="9" t="str">
        <f t="array" ref="DS54">IF(DS$11&gt;=0,MAX(INDEX(MMULT(inverseG,DR$12:DR$62),$A54+1,1),MAX(strike-$B54,0)),"")</f>
        <v/>
      </c>
      <c r="DT54" s="9" t="str">
        <f t="array" ref="DT54">IF(DT$11&gt;=0,MAX(INDEX(MMULT(inverseG,DS$12:DS$62),$A54+1,1),MAX(strike-$B54,0)),"")</f>
        <v/>
      </c>
      <c r="DU54" s="9" t="str">
        <f t="array" ref="DU54">IF(DU$11&gt;=0,MAX(INDEX(MMULT(inverseG,DT$12:DT$62),$A54+1,1),MAX(strike-$B54,0)),"")</f>
        <v/>
      </c>
      <c r="DV54" s="9" t="str">
        <f t="array" ref="DV54">IF(DV$11&gt;=0,MAX(INDEX(MMULT(inverseG,DU$12:DU$62),$A54+1,1),MAX(strike-$B54,0)),"")</f>
        <v/>
      </c>
      <c r="DW54" s="9" t="str">
        <f t="array" ref="DW54">IF(DW$11&gt;=0,MAX(INDEX(MMULT(inverseG,DV$12:DV$62),$A54+1,1),MAX(strike-$B54,0)),"")</f>
        <v/>
      </c>
      <c r="DX54" s="9" t="str">
        <f t="array" ref="DX54">IF(DX$11&gt;=0,MAX(INDEX(MMULT(inverseG,DW$12:DW$62),$A54+1,1),MAX(strike-$B54,0)),"")</f>
        <v/>
      </c>
      <c r="DY54" s="9" t="str">
        <f t="array" ref="DY54">IF(DY$11&gt;=0,MAX(INDEX(MMULT(inverseG,DX$12:DX$62),$A54+1,1),MAX(strike-$B54,0)),"")</f>
        <v/>
      </c>
      <c r="DZ54" s="9" t="str">
        <f t="array" ref="DZ54">IF(DZ$11&gt;=0,MAX(INDEX(MMULT(inverseG,DY$12:DY$62),$A54+1,1),MAX(strike-$B54,0)),"")</f>
        <v/>
      </c>
      <c r="EA54" s="9" t="str">
        <f t="array" ref="EA54">IF(EA$11&gt;=0,MAX(INDEX(MMULT(inverseG,DZ$12:DZ$62),$A54+1,1),MAX(strike-$B54,0)),"")</f>
        <v/>
      </c>
      <c r="EB54" s="9" t="str">
        <f t="array" ref="EB54">IF(EB$11&gt;=0,MAX(INDEX(MMULT(inverseG,EA$12:EA$62),$A54+1,1),MAX(strike-$B54,0)),"")</f>
        <v/>
      </c>
      <c r="EC54" s="9" t="str">
        <f t="array" ref="EC54">IF(EC$11&gt;=0,MAX(INDEX(MMULT(inverseG,EB$12:EB$62),$A54+1,1),MAX(strike-$B54,0)),"")</f>
        <v/>
      </c>
      <c r="ED54" s="9" t="str">
        <f t="array" ref="ED54">IF(ED$11&gt;=0,MAX(INDEX(MMULT(inverseG,EC$12:EC$62),$A54+1,1),MAX(strike-$B54,0)),"")</f>
        <v/>
      </c>
      <c r="EE54" s="9" t="str">
        <f t="array" ref="EE54">IF(EE$11&gt;=0,MAX(INDEX(MMULT(inverseG,ED$12:ED$62),$A54+1,1),MAX(strike-$B54,0)),"")</f>
        <v/>
      </c>
      <c r="EF54" s="9" t="str">
        <f t="array" ref="EF54">IF(EF$11&gt;=0,MAX(INDEX(MMULT(inverseG,EE$12:EE$62),$A54+1,1),MAX(strike-$B54,0)),"")</f>
        <v/>
      </c>
      <c r="EG54" s="9" t="str">
        <f t="array" ref="EG54">IF(EG$11&gt;=0,MAX(INDEX(MMULT(inverseG,EF$12:EF$62),$A54+1,1),MAX(strike-$B54,0)),"")</f>
        <v/>
      </c>
      <c r="EH54" s="9" t="str">
        <f t="array" ref="EH54">IF(EH$11&gt;=0,MAX(INDEX(MMULT(inverseG,EG$12:EG$62),$A54+1,1),MAX(strike-$B54,0)),"")</f>
        <v/>
      </c>
      <c r="EI54" s="9" t="str">
        <f t="array" ref="EI54">IF(EI$11&gt;=0,MAX(INDEX(MMULT(inverseG,EH$12:EH$62),$A54+1,1),MAX(strike-$B54,0)),"")</f>
        <v/>
      </c>
      <c r="EJ54" s="9" t="str">
        <f t="array" ref="EJ54">IF(EJ$11&gt;=0,MAX(INDEX(MMULT(inverseG,EI$12:EI$62),$A54+1,1),MAX(strike-$B54,0)),"")</f>
        <v/>
      </c>
      <c r="EK54" s="9" t="str">
        <f t="array" ref="EK54">IF(EK$11&gt;=0,MAX(INDEX(MMULT(inverseG,EJ$12:EJ$62),$A54+1,1),MAX(strike-$B54,0)),"")</f>
        <v/>
      </c>
      <c r="EL54" s="9" t="str">
        <f t="array" ref="EL54">IF(EL$11&gt;=0,MAX(INDEX(MMULT(inverseG,EK$12:EK$62),$A54+1,1),MAX(strike-$B54,0)),"")</f>
        <v/>
      </c>
      <c r="EM54" s="9" t="str">
        <f t="array" ref="EM54">IF(EM$11&gt;=0,MAX(INDEX(MMULT(inverseG,EL$12:EL$62),$A54+1,1),MAX(strike-$B54,0)),"")</f>
        <v/>
      </c>
      <c r="EN54" s="9" t="str">
        <f t="array" ref="EN54">IF(EN$11&gt;=0,MAX(INDEX(MMULT(inverseG,EM$12:EM$62),$A54+1,1),MAX(strike-$B54,0)),"")</f>
        <v/>
      </c>
      <c r="EO54" s="9" t="str">
        <f t="array" ref="EO54">IF(EO$11&gt;=0,MAX(INDEX(MMULT(inverseG,EN$12:EN$62),$A54+1,1),MAX(strike-$B54,0)),"")</f>
        <v/>
      </c>
      <c r="EP54" s="9" t="str">
        <f t="array" ref="EP54">IF(EP$11&gt;=0,MAX(INDEX(MMULT(inverseG,EO$12:EO$62),$A54+1,1),MAX(strike-$B54,0)),"")</f>
        <v/>
      </c>
      <c r="EQ54" s="9" t="str">
        <f t="array" ref="EQ54">IF(EQ$11&gt;=0,MAX(INDEX(MMULT(inverseG,EP$12:EP$62),$A54+1,1),MAX(strike-$B54,0)),"")</f>
        <v/>
      </c>
      <c r="ER54" s="9" t="str">
        <f t="array" ref="ER54">IF(ER$11&gt;=0,MAX(INDEX(MMULT(inverseG,EQ$12:EQ$62),$A54+1,1),MAX(strike-$B54,0)),"")</f>
        <v/>
      </c>
      <c r="ES54" s="9" t="str">
        <f t="array" ref="ES54">IF(ES$11&gt;=0,MAX(INDEX(MMULT(inverseG,ER$12:ER$62),$A54+1,1),MAX(strike-$B54,0)),"")</f>
        <v/>
      </c>
      <c r="ET54" s="9" t="str">
        <f t="array" ref="ET54">IF(ET$11&gt;=0,MAX(INDEX(MMULT(inverseG,ES$12:ES$62),$A54+1,1),MAX(strike-$B54,0)),"")</f>
        <v/>
      </c>
      <c r="EU54" s="9" t="str">
        <f t="array" ref="EU54">IF(EU$11&gt;=0,MAX(INDEX(MMULT(inverseG,ET$12:ET$62),$A54+1,1),MAX(strike-$B54,0)),"")</f>
        <v/>
      </c>
      <c r="EV54" s="9" t="str">
        <f t="array" ref="EV54">IF(EV$11&gt;=0,MAX(INDEX(MMULT(inverseG,EU$12:EU$62),$A54+1,1),MAX(strike-$B54,0)),"")</f>
        <v/>
      </c>
      <c r="EW54" s="9" t="str">
        <f t="array" ref="EW54">IF(EW$11&gt;=0,MAX(INDEX(MMULT(inverseG,EV$12:EV$62),$A54+1,1),MAX(strike-$B54,0)),"")</f>
        <v/>
      </c>
      <c r="EX54" s="9" t="str">
        <f t="array" ref="EX54">IF(EX$11&gt;=0,MAX(INDEX(MMULT(inverseG,EW$12:EW$62),$A54+1,1),MAX(strike-$B54,0)),"")</f>
        <v/>
      </c>
      <c r="EY54" s="9" t="str">
        <f t="array" ref="EY54">IF(EY$11&gt;=0,MAX(INDEX(MMULT(inverseG,EX$12:EX$62),$A54+1,1),MAX(strike-$B54,0)),"")</f>
        <v/>
      </c>
      <c r="EZ54" s="9" t="str">
        <f t="array" ref="EZ54">IF(EZ$11&gt;=0,MAX(INDEX(MMULT(inverseG,EY$12:EY$62),$A54+1,1),MAX(strike-$B54,0)),"")</f>
        <v/>
      </c>
      <c r="FA54" s="9" t="str">
        <f t="array" ref="FA54">IF(FA$11&gt;=0,MAX(INDEX(MMULT(inverseG,EZ$12:EZ$62),$A54+1,1),MAX(strike-$B54,0)),"")</f>
        <v/>
      </c>
      <c r="FB54" s="9" t="str">
        <f t="array" ref="FB54">IF(FB$11&gt;=0,MAX(INDEX(MMULT(inverseG,FA$12:FA$62),$A54+1,1),MAX(strike-$B54,0)),"")</f>
        <v/>
      </c>
      <c r="FC54" s="9" t="str">
        <f t="array" ref="FC54">IF(FC$11&gt;=0,MAX(INDEX(MMULT(inverseG,FB$12:FB$62),$A54+1,1),MAX(strike-$B54,0)),"")</f>
        <v/>
      </c>
      <c r="FD54" s="9" t="str">
        <f t="array" ref="FD54">IF(FD$11&gt;=0,MAX(INDEX(MMULT(inverseG,FC$12:FC$62),$A54+1,1),MAX(strike-$B54,0)),"")</f>
        <v/>
      </c>
      <c r="FE54" s="9" t="str">
        <f t="array" ref="FE54">IF(FE$11&gt;=0,MAX(INDEX(MMULT(inverseG,FD$12:FD$62),$A54+1,1),MAX(strike-$B54,0)),"")</f>
        <v/>
      </c>
      <c r="FF54" s="9" t="str">
        <f t="array" ref="FF54">IF(FF$11&gt;=0,MAX(INDEX(MMULT(inverseG,FE$12:FE$62),$A54+1,1),MAX(strike-$B54,0)),"")</f>
        <v/>
      </c>
      <c r="FG54" s="9" t="str">
        <f t="array" ref="FG54">IF(FG$11&gt;=0,MAX(INDEX(MMULT(inverseG,FF$12:FF$62),$A54+1,1),MAX(strike-$B54,0)),"")</f>
        <v/>
      </c>
      <c r="FH54" s="9" t="str">
        <f t="array" ref="FH54">IF(FH$11&gt;=0,MAX(INDEX(MMULT(inverseG,FG$12:FG$62),$A54+1,1),MAX(strike-$B54,0)),"")</f>
        <v/>
      </c>
      <c r="FI54" s="9" t="str">
        <f t="array" ref="FI54">IF(FI$11&gt;=0,MAX(INDEX(MMULT(inverseG,FH$12:FH$62),$A54+1,1),MAX(strike-$B54,0)),"")</f>
        <v/>
      </c>
      <c r="FJ54" s="9" t="str">
        <f t="array" ref="FJ54">IF(FJ$11&gt;=0,MAX(INDEX(MMULT(inverseG,FI$12:FI$62),$A54+1,1),MAX(strike-$B54,0)),"")</f>
        <v/>
      </c>
      <c r="FK54" s="9" t="str">
        <f t="array" ref="FK54">IF(FK$11&gt;=0,MAX(INDEX(MMULT(inverseG,FJ$12:FJ$62),$A54+1,1),MAX(strike-$B54,0)),"")</f>
        <v/>
      </c>
      <c r="FL54" s="9" t="str">
        <f t="array" ref="FL54">IF(FL$11&gt;=0,MAX(INDEX(MMULT(inverseG,FK$12:FK$62),$A54+1,1),MAX(strike-$B54,0)),"")</f>
        <v/>
      </c>
      <c r="FM54" s="9" t="str">
        <f t="array" ref="FM54">IF(FM$11&gt;=0,MAX(INDEX(MMULT(inverseG,FL$12:FL$62),$A54+1,1),MAX(strike-$B54,0)),"")</f>
        <v/>
      </c>
      <c r="FN54" s="9" t="str">
        <f t="array" ref="FN54">IF(FN$11&gt;=0,MAX(INDEX(MMULT(inverseG,FM$12:FM$62),$A54+1,1),MAX(strike-$B54,0)),"")</f>
        <v/>
      </c>
      <c r="FO54" s="9" t="str">
        <f t="array" ref="FO54">IF(FO$11&gt;=0,MAX(INDEX(MMULT(inverseG,FN$12:FN$62),$A54+1,1),MAX(strike-$B54,0)),"")</f>
        <v/>
      </c>
      <c r="FP54" s="9" t="str">
        <f t="array" ref="FP54">IF(FP$11&gt;=0,MAX(INDEX(MMULT(inverseG,FO$12:FO$62),$A54+1,1),MAX(strike-$B54,0)),"")</f>
        <v/>
      </c>
      <c r="FQ54" s="9" t="str">
        <f t="array" ref="FQ54">IF(FQ$11&gt;=0,MAX(INDEX(MMULT(inverseG,FP$12:FP$62),$A54+1,1),MAX(strike-$B54,0)),"")</f>
        <v/>
      </c>
      <c r="FR54" s="9" t="str">
        <f t="array" ref="FR54">IF(FR$11&gt;=0,MAX(INDEX(MMULT(inverseG,FQ$12:FQ$62),$A54+1,1),MAX(strike-$B54,0)),"")</f>
        <v/>
      </c>
      <c r="FS54" s="9" t="str">
        <f t="array" ref="FS54">IF(FS$11&gt;=0,MAX(INDEX(MMULT(inverseG,FR$12:FR$62),$A54+1,1),MAX(strike-$B54,0)),"")</f>
        <v/>
      </c>
      <c r="FT54" s="9" t="str">
        <f t="array" ref="FT54">IF(FT$11&gt;=0,MAX(INDEX(MMULT(inverseG,FS$12:FS$62),$A54+1,1),MAX(strike-$B54,0)),"")</f>
        <v/>
      </c>
      <c r="FU54" s="9" t="str">
        <f t="array" ref="FU54">IF(FU$11&gt;=0,MAX(INDEX(MMULT(inverseG,FT$12:FT$62),$A54+1,1),MAX(strike-$B54,0)),"")</f>
        <v/>
      </c>
      <c r="FV54" s="9" t="str">
        <f t="array" ref="FV54">IF(FV$11&gt;=0,MAX(INDEX(MMULT(inverseG,FU$12:FU$62),$A54+1,1),MAX(strike-$B54,0)),"")</f>
        <v/>
      </c>
      <c r="FW54" s="9" t="str">
        <f t="array" ref="FW54">IF(FW$11&gt;=0,MAX(INDEX(MMULT(inverseG,FV$12:FV$62),$A54+1,1),MAX(strike-$B54,0)),"")</f>
        <v/>
      </c>
      <c r="FX54" s="9" t="str">
        <f t="array" ref="FX54">IF(FX$11&gt;=0,MAX(INDEX(MMULT(inverseG,FW$12:FW$62),$A54+1,1),MAX(strike-$B54,0)),"")</f>
        <v/>
      </c>
      <c r="FY54" s="9" t="str">
        <f t="array" ref="FY54">IF(FY$11&gt;=0,MAX(INDEX(MMULT(inverseG,FX$12:FX$62),$A54+1,1),MAX(strike-$B54,0)),"")</f>
        <v/>
      </c>
      <c r="FZ54" s="9" t="str">
        <f t="array" ref="FZ54">IF(FZ$11&gt;=0,MAX(INDEX(MMULT(inverseG,FY$12:FY$62),$A54+1,1),MAX(strike-$B54,0)),"")</f>
        <v/>
      </c>
      <c r="GA54" s="9" t="str">
        <f t="array" ref="GA54">IF(GA$11&gt;=0,MAX(INDEX(MMULT(inverseG,FZ$12:FZ$62),$A54+1,1),MAX(strike-$B54,0)),"")</f>
        <v/>
      </c>
      <c r="GB54" s="9" t="str">
        <f t="array" ref="GB54">IF(GB$11&gt;=0,MAX(INDEX(MMULT(inverseG,GA$12:GA$62),$A54+1,1),MAX(strike-$B54,0)),"")</f>
        <v/>
      </c>
      <c r="GC54" s="9" t="str">
        <f t="array" ref="GC54">IF(GC$11&gt;=0,MAX(INDEX(MMULT(inverseG,GB$12:GB$62),$A54+1,1),MAX(strike-$B54,0)),"")</f>
        <v/>
      </c>
      <c r="GD54" s="9" t="str">
        <f t="array" ref="GD54">IF(GD$11&gt;=0,MAX(INDEX(MMULT(inverseG,GC$12:GC$62),$A54+1,1),MAX(strike-$B54,0)),"")</f>
        <v/>
      </c>
      <c r="GE54" s="9" t="str">
        <f t="array" ref="GE54">IF(GE$11&gt;=0,MAX(INDEX(MMULT(inverseG,GD$12:GD$62),$A54+1,1),MAX(strike-$B54,0)),"")</f>
        <v/>
      </c>
      <c r="GF54" s="9" t="str">
        <f t="array" ref="GF54">IF(GF$11&gt;=0,MAX(INDEX(MMULT(inverseG,GE$12:GE$62),$A54+1,1),MAX(strike-$B54,0)),"")</f>
        <v/>
      </c>
      <c r="GG54" s="9" t="str">
        <f t="array" ref="GG54">IF(GG$11&gt;=0,MAX(INDEX(MMULT(inverseG,GF$12:GF$62),$A54+1,1),MAX(strike-$B54,0)),"")</f>
        <v/>
      </c>
      <c r="GH54" s="9" t="str">
        <f t="array" ref="GH54">IF(GH$11&gt;=0,MAX(INDEX(MMULT(inverseG,GG$12:GG$62),$A54+1,1),MAX(strike-$B54,0)),"")</f>
        <v/>
      </c>
      <c r="GI54" s="9" t="str">
        <f t="array" ref="GI54">IF(GI$11&gt;=0,MAX(INDEX(MMULT(inverseG,GH$12:GH$62),$A54+1,1),MAX(strike-$B54,0)),"")</f>
        <v/>
      </c>
      <c r="GJ54" s="9" t="str">
        <f t="array" ref="GJ54">IF(GJ$11&gt;=0,MAX(INDEX(MMULT(inverseG,GI$12:GI$62),$A54+1,1),MAX(strike-$B54,0)),"")</f>
        <v/>
      </c>
      <c r="GK54" s="9" t="str">
        <f t="array" ref="GK54">IF(GK$11&gt;=0,MAX(INDEX(MMULT(inverseG,GJ$12:GJ$62),$A54+1,1),MAX(strike-$B54,0)),"")</f>
        <v/>
      </c>
      <c r="GL54" s="9" t="str">
        <f t="array" ref="GL54">IF(GL$11&gt;=0,MAX(INDEX(MMULT(inverseG,GK$12:GK$62),$A54+1,1),MAX(strike-$B54,0)),"")</f>
        <v/>
      </c>
      <c r="GM54" s="9" t="str">
        <f t="array" ref="GM54">IF(GM$11&gt;=0,MAX(INDEX(MMULT(inverseG,GL$12:GL$62),$A54+1,1),MAX(strike-$B54,0)),"")</f>
        <v/>
      </c>
      <c r="GN54" s="9" t="str">
        <f t="array" ref="GN54">IF(GN$11&gt;=0,MAX(INDEX(MMULT(inverseG,GM$12:GM$62),$A54+1,1),MAX(strike-$B54,0)),"")</f>
        <v/>
      </c>
      <c r="GO54" s="9" t="str">
        <f t="array" ref="GO54">IF(GO$11&gt;=0,MAX(INDEX(MMULT(inverseG,GN$12:GN$62),$A54+1,1),MAX(strike-$B54,0)),"")</f>
        <v/>
      </c>
      <c r="GP54" s="9" t="str">
        <f t="array" ref="GP54">IF(GP$11&gt;=0,MAX(INDEX(MMULT(inverseG,GO$12:GO$62),$A54+1,1),MAX(strike-$B54,0)),"")</f>
        <v/>
      </c>
      <c r="GQ54" s="9" t="str">
        <f t="array" ref="GQ54">IF(GQ$11&gt;=0,MAX(INDEX(MMULT(inverseG,GP$12:GP$62),$A54+1,1),MAX(strike-$B54,0)),"")</f>
        <v/>
      </c>
      <c r="GR54" s="9" t="str">
        <f t="array" ref="GR54">IF(GR$11&gt;=0,MAX(INDEX(MMULT(inverseG,GQ$12:GQ$62),$A54+1,1),MAX(strike-$B54,0)),"")</f>
        <v/>
      </c>
      <c r="GS54" s="9" t="str">
        <f t="array" ref="GS54">IF(GS$11&gt;=0,MAX(INDEX(MMULT(inverseG,GR$12:GR$62),$A54+1,1),MAX(strike-$B54,0)),"")</f>
        <v/>
      </c>
      <c r="GT54" s="9" t="str">
        <f t="array" ref="GT54">IF(GT$11&gt;=0,MAX(INDEX(MMULT(inverseG,GS$12:GS$62),$A54+1,1),MAX(strike-$B54,0)),"")</f>
        <v/>
      </c>
      <c r="GU54" s="9" t="str">
        <f t="array" ref="GU54">IF(GU$11&gt;=0,MAX(INDEX(MMULT(inverseG,GT$12:GT$62),$A54+1,1),MAX(strike-$B54,0)),"")</f>
        <v/>
      </c>
      <c r="GV54" s="9" t="str">
        <f t="array" ref="GV54">IF(GV$11&gt;=0,MAX(INDEX(MMULT(inverseG,GU$12:GU$62),$A54+1,1),MAX(strike-$B54,0)),"")</f>
        <v/>
      </c>
      <c r="GW54" s="9" t="str">
        <f t="array" ref="GW54">IF(GW$11&gt;=0,MAX(INDEX(MMULT(inverseG,GV$12:GV$62),$A54+1,1),MAX(strike-$B54,0)),"")</f>
        <v/>
      </c>
      <c r="GX54" s="9" t="str">
        <f t="array" ref="GX54">IF(GX$11&gt;=0,MAX(INDEX(MMULT(inverseG,GW$12:GW$62),$A54+1,1),MAX(strike-$B54,0)),"")</f>
        <v/>
      </c>
      <c r="GY54" s="9" t="str">
        <f t="array" ref="GY54">IF(GY$11&gt;=0,MAX(INDEX(MMULT(inverseG,GX$12:GX$62),$A54+1,1),MAX(strike-$B54,0)),"")</f>
        <v/>
      </c>
      <c r="GZ54" s="9" t="str">
        <f t="array" ref="GZ54">IF(GZ$11&gt;=0,MAX(INDEX(MMULT(inverseG,GY$12:GY$62),$A54+1,1),MAX(strike-$B54,0)),"")</f>
        <v/>
      </c>
      <c r="HA54" s="9" t="str">
        <f t="array" ref="HA54">IF(HA$11&gt;=0,MAX(INDEX(MMULT(inverseG,GZ$12:GZ$62),$A54+1,1),MAX(strike-$B54,0)),"")</f>
        <v/>
      </c>
      <c r="HB54" s="9" t="str">
        <f t="array" ref="HB54">IF(HB$11&gt;=0,MAX(INDEX(MMULT(inverseG,HA$12:HA$62),$A54+1,1),MAX(strike-$B54,0)),"")</f>
        <v/>
      </c>
      <c r="HC54" s="9" t="str">
        <f t="array" ref="HC54">IF(HC$11&gt;=0,MAX(INDEX(MMULT(inverseG,HB$12:HB$62),$A54+1,1),MAX(strike-$B54,0)),"")</f>
        <v/>
      </c>
      <c r="HD54" s="9" t="str">
        <f t="array" ref="HD54">IF(HD$11&gt;=0,MAX(INDEX(MMULT(inverseG,HC$12:HC$62),$A54+1,1),MAX(strike-$B54,0)),"")</f>
        <v/>
      </c>
      <c r="HE54" s="9" t="str">
        <f t="array" ref="HE54">IF(HE$11&gt;=0,MAX(INDEX(MMULT(inverseG,HD$12:HD$62),$A54+1,1),MAX(strike-$B54,0)),"")</f>
        <v/>
      </c>
      <c r="HF54" s="9" t="str">
        <f t="array" ref="HF54">IF(HF$11&gt;=0,MAX(INDEX(MMULT(inverseG,HE$12:HE$62),$A54+1,1),MAX(strike-$B54,0)),"")</f>
        <v/>
      </c>
      <c r="HG54" s="9" t="str">
        <f t="array" ref="HG54">IF(HG$11&gt;=0,MAX(INDEX(MMULT(inverseG,HF$12:HF$62),$A54+1,1),MAX(strike-$B54,0)),"")</f>
        <v/>
      </c>
      <c r="HH54" s="9" t="str">
        <f t="array" ref="HH54">IF(HH$11&gt;=0,MAX(INDEX(MMULT(inverseG,HG$12:HG$62),$A54+1,1),MAX(strike-$B54,0)),"")</f>
        <v/>
      </c>
      <c r="HI54" s="9" t="str">
        <f t="array" ref="HI54">IF(HI$11&gt;=0,MAX(INDEX(MMULT(inverseG,HH$12:HH$62),$A54+1,1),MAX(strike-$B54,0)),"")</f>
        <v/>
      </c>
      <c r="HJ54" s="9" t="str">
        <f t="array" ref="HJ54">IF(HJ$11&gt;=0,MAX(INDEX(MMULT(inverseG,HI$12:HI$62),$A54+1,1),MAX(strike-$B54,0)),"")</f>
        <v/>
      </c>
      <c r="HK54" s="9" t="str">
        <f t="array" ref="HK54">IF(HK$11&gt;=0,MAX(INDEX(MMULT(inverseG,HJ$12:HJ$62),$A54+1,1),MAX(strike-$B54,0)),"")</f>
        <v/>
      </c>
      <c r="HL54" s="9" t="str">
        <f t="array" ref="HL54">IF(HL$11&gt;=0,MAX(INDEX(MMULT(inverseG,HK$12:HK$62),$A54+1,1),MAX(strike-$B54,0)),"")</f>
        <v/>
      </c>
      <c r="HM54" s="9" t="str">
        <f t="array" ref="HM54">IF(HM$11&gt;=0,MAX(INDEX(MMULT(inverseG,HL$12:HL$62),$A54+1,1),MAX(strike-$B54,0)),"")</f>
        <v/>
      </c>
      <c r="HN54" s="9" t="str">
        <f t="array" ref="HN54">IF(HN$11&gt;=0,MAX(INDEX(MMULT(inverseG,HM$12:HM$62),$A54+1,1),MAX(strike-$B54,0)),"")</f>
        <v/>
      </c>
      <c r="HO54" s="9" t="str">
        <f t="array" ref="HO54">IF(HO$11&gt;=0,MAX(INDEX(MMULT(inverseG,HN$12:HN$62),$A54+1,1),MAX(strike-$B54,0)),"")</f>
        <v/>
      </c>
      <c r="HP54" s="9" t="str">
        <f t="array" ref="HP54">IF(HP$11&gt;=0,MAX(INDEX(MMULT(inverseG,HO$12:HO$62),$A54+1,1),MAX(strike-$B54,0)),"")</f>
        <v/>
      </c>
      <c r="HQ54" s="9" t="str">
        <f t="array" ref="HQ54">IF(HQ$11&gt;=0,MAX(INDEX(MMULT(inverseG,HP$12:HP$62),$A54+1,1),MAX(strike-$B54,0)),"")</f>
        <v/>
      </c>
      <c r="HR54" s="9" t="str">
        <f t="array" ref="HR54">IF(HR$11&gt;=0,MAX(INDEX(MMULT(inverseG,HQ$12:HQ$62),$A54+1,1),MAX(strike-$B54,0)),"")</f>
        <v/>
      </c>
      <c r="HS54" s="9" t="str">
        <f t="array" ref="HS54">IF(HS$11&gt;=0,MAX(INDEX(MMULT(inverseG,HR$12:HR$62),$A54+1,1),MAX(strike-$B54,0)),"")</f>
        <v/>
      </c>
      <c r="HT54" s="9" t="str">
        <f t="array" ref="HT54">IF(HT$11&gt;=0,MAX(INDEX(MMULT(inverseG,HS$12:HS$62),$A54+1,1),MAX(strike-$B54,0)),"")</f>
        <v/>
      </c>
      <c r="HU54" s="9" t="str">
        <f t="array" ref="HU54">IF(HU$11&gt;=0,MAX(INDEX(MMULT(inverseG,HT$12:HT$62),$A54+1,1),MAX(strike-$B54,0)),"")</f>
        <v/>
      </c>
      <c r="HV54" s="9" t="str">
        <f t="array" ref="HV54">IF(HV$11&gt;=0,MAX(INDEX(MMULT(inverseG,HU$12:HU$62),$A54+1,1),MAX(strike-$B54,0)),"")</f>
        <v/>
      </c>
      <c r="HW54" s="9" t="str">
        <f t="array" ref="HW54">IF(HW$11&gt;=0,MAX(INDEX(MMULT(inverseG,HV$12:HV$62),$A54+1,1),MAX(strike-$B54,0)),"")</f>
        <v/>
      </c>
      <c r="HX54" s="9" t="str">
        <f t="array" ref="HX54">IF(HX$11&gt;=0,MAX(INDEX(MMULT(inverseG,HW$12:HW$62),$A54+1,1),MAX(strike-$B54,0)),"")</f>
        <v/>
      </c>
      <c r="HY54" s="9" t="str">
        <f t="array" ref="HY54">IF(HY$11&gt;=0,MAX(INDEX(MMULT(inverseG,HX$12:HX$62),$A54+1,1),MAX(strike-$B54,0)),"")</f>
        <v/>
      </c>
      <c r="HZ54" s="9" t="str">
        <f t="array" ref="HZ54">IF(HZ$11&gt;=0,MAX(INDEX(MMULT(inverseG,HY$12:HY$62),$A54+1,1),MAX(strike-$B54,0)),"")</f>
        <v/>
      </c>
      <c r="IA54" s="9" t="str">
        <f t="array" ref="IA54">IF(IA$11&gt;=0,MAX(INDEX(MMULT(inverseG,HZ$12:HZ$62),$A54+1,1),MAX(strike-$B54,0)),"")</f>
        <v/>
      </c>
      <c r="IB54" s="9" t="str">
        <f t="array" ref="IB54">IF(IB$11&gt;=0,MAX(INDEX(MMULT(inverseG,IA$12:IA$62),$A54+1,1),MAX(strike-$B54,0)),"")</f>
        <v/>
      </c>
      <c r="IC54" s="9" t="str">
        <f t="array" ref="IC54">IF(IC$11&gt;=0,MAX(INDEX(MMULT(inverseG,IB$12:IB$62),$A54+1,1),MAX(strike-$B54,0)),"")</f>
        <v/>
      </c>
      <c r="ID54" s="9" t="str">
        <f t="array" ref="ID54">IF(ID$11&gt;=0,MAX(INDEX(MMULT(inverseG,IC$12:IC$62),$A54+1,1),MAX(strike-$B54,0)),"")</f>
        <v/>
      </c>
      <c r="IE54" s="9" t="str">
        <f t="array" ref="IE54">IF(IE$11&gt;=0,MAX(INDEX(MMULT(inverseG,ID$12:ID$62),$A54+1,1),MAX(strike-$B54,0)),"")</f>
        <v/>
      </c>
      <c r="IF54" s="9" t="str">
        <f t="array" ref="IF54">IF(IF$11&gt;=0,MAX(INDEX(MMULT(inverseG,IE$12:IE$62),$A54+1,1),MAX(strike-$B54,0)),"")</f>
        <v/>
      </c>
      <c r="IG54" s="9" t="str">
        <f t="array" ref="IG54">IF(IG$11&gt;=0,MAX(INDEX(MMULT(inverseG,IF$12:IF$62),$A54+1,1),MAX(strike-$B54,0)),"")</f>
        <v/>
      </c>
      <c r="IH54" s="9" t="str">
        <f t="array" ref="IH54">IF(IH$11&gt;=0,MAX(INDEX(MMULT(inverseG,IG$12:IG$62),$A54+1,1),MAX(strike-$B54,0)),"")</f>
        <v/>
      </c>
      <c r="II54" s="9" t="str">
        <f t="array" ref="II54">IF(II$11&gt;=0,MAX(INDEX(MMULT(inverseG,IH$12:IH$62),$A54+1,1),MAX(strike-$B54,0)),"")</f>
        <v/>
      </c>
      <c r="IJ54" s="9" t="str">
        <f t="array" ref="IJ54">IF(IJ$11&gt;=0,MAX(INDEX(MMULT(inverseG,II$12:II$62),$A54+1,1),MAX(strike-$B54,0)),"")</f>
        <v/>
      </c>
      <c r="IK54" s="9" t="str">
        <f t="array" ref="IK54">IF(IK$11&gt;=0,MAX(INDEX(MMULT(inverseG,IJ$12:IJ$62),$A54+1,1),MAX(strike-$B54,0)),"")</f>
        <v/>
      </c>
      <c r="IL54" s="9" t="str">
        <f t="array" ref="IL54">IF(IL$11&gt;=0,MAX(INDEX(MMULT(inverseG,IK$12:IK$62),$A54+1,1),MAX(strike-$B54,0)),"")</f>
        <v/>
      </c>
      <c r="IM54" s="9" t="str">
        <f t="array" ref="IM54">IF(IM$11&gt;=0,MAX(INDEX(MMULT(inverseG,IL$12:IL$62),$A54+1,1),MAX(strike-$B54,0)),"")</f>
        <v/>
      </c>
      <c r="IN54" s="9" t="str">
        <f t="array" ref="IN54">IF(IN$11&gt;=0,MAX(INDEX(MMULT(inverseG,IM$12:IM$62),$A54+1,1),MAX(strike-$B54,0)),"")</f>
        <v/>
      </c>
      <c r="IO54" s="9" t="str">
        <f t="array" ref="IO54">IF(IO$11&gt;=0,MAX(INDEX(MMULT(inverseG,IN$12:IN$62),$A54+1,1),MAX(strike-$B54,0)),"")</f>
        <v/>
      </c>
      <c r="IP54" s="9" t="str">
        <f t="array" ref="IP54">IF(IP$11&gt;=0,MAX(INDEX(MMULT(inverseG,IO$12:IO$62),$A54+1,1),MAX(strike-$B54,0)),"")</f>
        <v/>
      </c>
      <c r="IQ54" s="9" t="str">
        <f t="array" ref="IQ54">IF(IQ$11&gt;=0,MAX(INDEX(MMULT(inverseG,IP$12:IP$62),$A54+1,1),MAX(strike-$B54,0)),"")</f>
        <v/>
      </c>
      <c r="IR54" s="9" t="str">
        <f t="array" ref="IR54">IF(IR$11&gt;=0,MAX(INDEX(MMULT(inverseG,IQ$12:IQ$62),$A54+1,1),MAX(strike-$B54,0)),"")</f>
        <v/>
      </c>
      <c r="IS54" s="9" t="str">
        <f t="array" ref="IS54">IF(IS$11&gt;=0,MAX(INDEX(MMULT(inverseG,IR$12:IR$62),$A54+1,1),MAX(strike-$B54,0)),"")</f>
        <v/>
      </c>
      <c r="IT54" s="9" t="str">
        <f t="array" ref="IT54">IF(IT$11&gt;=0,MAX(INDEX(MMULT(inverseG,IS$12:IS$62),$A54+1,1),MAX(strike-$B54,0)),"")</f>
        <v/>
      </c>
      <c r="IU54" s="9" t="str">
        <f t="array" ref="IU54">IF(IU$11&gt;=0,MAX(INDEX(MMULT(inverseG,IT$12:IT$62),$A54+1,1),MAX(strike-$B54,0)),"")</f>
        <v/>
      </c>
      <c r="IV54" s="9" t="str">
        <f t="array" ref="IV54">IF(IV$11&gt;=0,MAX(INDEX(MMULT(inverseG,IU$12:IU$62),$A54+1,1),MAX(strike-$B54,0)),"")</f>
        <v/>
      </c>
    </row>
    <row r="55" spans="1:256" x14ac:dyDescent="0.2">
      <c r="A55" s="8">
        <f t="shared" si="7"/>
        <v>43</v>
      </c>
      <c r="B55" s="6">
        <f t="shared" si="8"/>
        <v>10.75</v>
      </c>
      <c r="C55" s="30">
        <f t="shared" ca="1" si="6"/>
        <v>3.8661301614911027E-2</v>
      </c>
      <c r="D55" s="9">
        <f t="shared" si="9"/>
        <v>0</v>
      </c>
      <c r="E55" s="9">
        <f t="array" ref="E55">IF(E$11&gt;=0,MAX(INDEX(MMULT(inverseG,D$12:D$62),$A55+1,1),MAX(strike-$B55,0)),"")</f>
        <v>4.5217748938420443E-10</v>
      </c>
      <c r="F55" s="9">
        <f t="array" ref="F55">IF(F$11&gt;=0,MAX(INDEX(MMULT(inverseG,E$12:E$62),$A55+1,1),MAX(strike-$B55,0)),"")</f>
        <v>4.6987583450612895E-9</v>
      </c>
      <c r="G55" s="9">
        <f t="array" ref="G55">IF(G$11&gt;=0,MAX(INDEX(MMULT(inverseG,F$12:F$62),$A55+1,1),MAX(strike-$B55,0)),"")</f>
        <v>2.5904618855074953E-8</v>
      </c>
      <c r="H55" s="9">
        <f t="array" ref="H55">IF(H$11&gt;=0,MAX(INDEX(MMULT(inverseG,G$12:G$62),$A55+1,1),MAX(strike-$B55,0)),"")</f>
        <v>1.0084142881038814E-7</v>
      </c>
      <c r="I55" s="9">
        <f t="array" ref="I55">IF(I$11&gt;=0,MAX(INDEX(MMULT(inverseG,H$12:H$62),$A55+1,1),MAX(strike-$B55,0)),"")</f>
        <v>3.1128895001246942E-7</v>
      </c>
      <c r="J55" s="9">
        <f t="array" ref="J55">IF(J$11&gt;=0,MAX(INDEX(MMULT(inverseG,I$12:I$62),$A55+1,1),MAX(strike-$B55,0)),"")</f>
        <v>8.114335678734648E-7</v>
      </c>
      <c r="K55" s="9">
        <f t="array" ref="K55">IF(K$11&gt;=0,MAX(INDEX(MMULT(inverseG,J$12:J$62),$A55+1,1),MAX(strike-$B55,0)),"")</f>
        <v>1.8575303084510631E-6</v>
      </c>
      <c r="L55" s="9">
        <f t="array" ref="L55">IF(L$11&gt;=0,MAX(INDEX(MMULT(inverseG,K$12:K$62),$A55+1,1),MAX(strike-$B55,0)),"")</f>
        <v>3.835064995464629E-6</v>
      </c>
      <c r="M55" s="9">
        <f t="array" ref="M55">IF(M$11&gt;=0,MAX(INDEX(MMULT(inverseG,L$12:L$62),$A55+1,1),MAX(strike-$B55,0)),"")</f>
        <v>7.2789355541598486E-6</v>
      </c>
      <c r="N55" s="9">
        <f t="array" ref="N55">IF(N$11&gt;=0,MAX(INDEX(MMULT(inverseG,M$12:M$62),$A55+1,1),MAX(strike-$B55,0)),"")</f>
        <v>1.288347638348353E-5</v>
      </c>
      <c r="O55" s="9">
        <f t="array" ref="O55">IF(O$11&gt;=0,MAX(INDEX(MMULT(inverseG,N$12:N$62),$A55+1,1),MAX(strike-$B55,0)),"")</f>
        <v>2.1500940021464627E-5</v>
      </c>
      <c r="P55" s="9">
        <f t="array" ref="P55">IF(P$11&gt;=0,MAX(INDEX(MMULT(inverseG,O$12:O$62),$A55+1,1),MAX(strike-$B55,0)),"")</f>
        <v>3.41288041377144E-5</v>
      </c>
      <c r="Q55" s="9">
        <f t="array" ref="Q55">IF(Q$11&gt;=0,MAX(INDEX(MMULT(inverseG,P$12:P$62),$A55+1,1),MAX(strike-$B55,0)),"")</f>
        <v>5.1887634897719054E-5</v>
      </c>
      <c r="R55" s="9">
        <f t="array" ref="R55">IF(R$11&gt;=0,MAX(INDEX(MMULT(inverseG,Q$12:Q$62),$A55+1,1),MAX(strike-$B55,0)),"")</f>
        <v>7.5992058624398237E-5</v>
      </c>
      <c r="S55" s="9">
        <f t="array" ref="S55">IF(S$11&gt;=0,MAX(INDEX(MMULT(inverseG,R$12:R$62),$A55+1,1),MAX(strike-$B55,0)),"")</f>
        <v>1.0771768480594813E-4</v>
      </c>
      <c r="T55" s="9">
        <f t="array" ref="T55">IF(T$11&gt;=0,MAX(INDEX(MMULT(inverseG,S$12:S$62),$A55+1,1),MAX(strike-$B55,0)),"")</f>
        <v>1.4836669444506743E-4</v>
      </c>
      <c r="U55" s="9">
        <f t="array" ref="U55">IF(U$11&gt;=0,MAX(INDEX(MMULT(inverseG,T$12:T$62),$A55+1,1),MAX(strike-$B55,0)),"")</f>
        <v>1.9923440371964521E-4</v>
      </c>
      <c r="V55" s="9">
        <f t="array" ref="V55">IF(V$11&gt;=0,MAX(INDEX(MMULT(inverseG,U$12:U$62),$A55+1,1),MAX(strike-$B55,0)),"")</f>
        <v>2.6157857218293129E-4</v>
      </c>
      <c r="W55" s="9">
        <f t="array" ref="W55">IF(W$11&gt;=0,MAX(INDEX(MMULT(inverseG,V$12:V$62),$A55+1,1),MAX(strike-$B55,0)),"")</f>
        <v>3.365926563723609E-4</v>
      </c>
      <c r="X55" s="9">
        <f t="array" ref="X55">IF(X$11&gt;=0,MAX(INDEX(MMULT(inverseG,W$12:W$62),$A55+1,1),MAX(strike-$B55,0)),"")</f>
        <v>4.2538368709973474E-4</v>
      </c>
      <c r="Y55" s="9">
        <f t="array" ref="Y55">IF(Y$11&gt;=0,MAX(INDEX(MMULT(inverseG,X$12:X$62),$A55+1,1),MAX(strike-$B55,0)),"")</f>
        <v>5.2895501245518338E-4</v>
      </c>
      <c r="Z55" s="9">
        <f t="array" ref="Z55">IF(Z$11&gt;=0,MAX(INDEX(MMULT(inverseG,Y$12:Y$62),$A55+1,1),MAX(strike-$B55,0)),"")</f>
        <v>6.4819381378555406E-4</v>
      </c>
      <c r="AA55" s="9">
        <f t="array" ref="AA55">IF(AA$11&gt;=0,MAX(INDEX(MMULT(inverseG,Z$12:Z$62),$A55+1,1),MAX(strike-$B55,0)),"")</f>
        <v>7.8386306647199402E-4</v>
      </c>
      <c r="AB55" s="9">
        <f t="array" ref="AB55">IF(AB$11&gt;=0,MAX(INDEX(MMULT(inverseG,AA$12:AA$62),$A55+1,1),MAX(strike-$B55,0)),"")</f>
        <v>9.365974691365992E-4</v>
      </c>
      <c r="AC55" s="9">
        <f t="array" ref="AC55">IF(AC$11&gt;=0,MAX(INDEX(MMULT(inverseG,AB$12:AB$62),$A55+1,1),MAX(strike-$B55,0)),"")</f>
        <v>1.1069027874523857E-3</v>
      </c>
      <c r="AD55" s="9">
        <f t="array" ref="AD55">IF(AD$11&gt;=0,MAX(INDEX(MMULT(inverseG,AC$12:AC$62),$A55+1,1),MAX(strike-$B55,0)),"")</f>
        <v>1.2951580348468646E-3</v>
      </c>
      <c r="AE55" s="9">
        <f t="array" ref="AE55">IF(AE$11&gt;=0,MAX(INDEX(MMULT(inverseG,AD$12:AD$62),$A55+1,1),MAX(strike-$B55,0)),"")</f>
        <v>1.5016199264329029E-3</v>
      </c>
      <c r="AF55" s="9">
        <f t="array" ref="AF55">IF(AF$11&gt;=0,MAX(INDEX(MMULT(inverseG,AE$12:AE$62),$A55+1,1),MAX(strike-$B55,0)),"")</f>
        <v>1.7264290813816929E-3</v>
      </c>
      <c r="AG55" s="9">
        <f t="array" ref="AG55">IF(AG$11&gt;=0,MAX(INDEX(MMULT(inverseG,AF$12:AF$62),$A55+1,1),MAX(strike-$B55,0)),"")</f>
        <v>1.9696175023998569E-3</v>
      </c>
      <c r="AH55" s="9">
        <f t="array" ref="AH55">IF(AH$11&gt;=0,MAX(INDEX(MMULT(inverseG,AG$12:AG$62),$A55+1,1),MAX(strike-$B55,0)),"")</f>
        <v>2.2311169213506251E-3</v>
      </c>
      <c r="AI55" s="9">
        <f t="array" ref="AI55">IF(AI$11&gt;=0,MAX(INDEX(MMULT(inverseG,AH$12:AH$62),$A55+1,1),MAX(strike-$B55,0)),"")</f>
        <v>2.5107676619754507E-3</v>
      </c>
      <c r="AJ55" s="9">
        <f t="array" ref="AJ55">IF(AJ$11&gt;=0,MAX(INDEX(MMULT(inverseG,AI$12:AI$62),$A55+1,1),MAX(strike-$B55,0)),"")</f>
        <v>2.8083277305248878E-3</v>
      </c>
      <c r="AK55" s="9">
        <f t="array" ref="AK55">IF(AK$11&gt;=0,MAX(INDEX(MMULT(inverseG,AJ$12:AJ$62),$A55+1,1),MAX(strike-$B55,0)),"")</f>
        <v>3.1234819006538705E-3</v>
      </c>
      <c r="AL55" s="9">
        <f t="array" ref="AL55">IF(AL$11&gt;=0,MAX(INDEX(MMULT(inverseG,AK$12:AK$62),$A55+1,1),MAX(strike-$B55,0)),"")</f>
        <v>3.4558506089282432E-3</v>
      </c>
      <c r="AM55" s="9">
        <f t="array" ref="AM55">IF(AM$11&gt;=0,MAX(INDEX(MMULT(inverseG,AL$12:AL$62),$A55+1,1),MAX(strike-$B55,0)),"")</f>
        <v>3.8049985211789494E-3</v>
      </c>
      <c r="AN55" s="9">
        <f t="array" ref="AN55">IF(AN$11&gt;=0,MAX(INDEX(MMULT(inverseG,AM$12:AM$62),$A55+1,1),MAX(strike-$B55,0)),"")</f>
        <v>4.1704426676566955E-3</v>
      </c>
      <c r="AO55" s="9">
        <f t="array" ref="AO55">IF(AO$11&gt;=0,MAX(INDEX(MMULT(inverseG,AN$12:AN$62),$A55+1,1),MAX(strike-$B55,0)),"")</f>
        <v>4.5516600767245667E-3</v>
      </c>
      <c r="AP55" s="9">
        <f t="array" ref="AP55">IF(AP$11&gt;=0,MAX(INDEX(MMULT(inverseG,AO$12:AO$62),$A55+1,1),MAX(strike-$B55,0)),"")</f>
        <v>4.9480948631162253E-3</v>
      </c>
      <c r="AQ55" s="9">
        <f t="array" ref="AQ55">IF(AQ$11&gt;=0,MAX(INDEX(MMULT(inverseG,AP$12:AP$62),$A55+1,1),MAX(strike-$B55,0)),"")</f>
        <v>5.3591647481335079E-3</v>
      </c>
      <c r="AR55" s="9">
        <f t="array" ref="AR55">IF(AR$11&gt;=0,MAX(INDEX(MMULT(inverseG,AQ$12:AQ$62),$A55+1,1),MAX(strike-$B55,0)),"")</f>
        <v>5.7842670061597247E-3</v>
      </c>
      <c r="AS55" s="9">
        <f t="array" ref="AS55">IF(AS$11&gt;=0,MAX(INDEX(MMULT(inverseG,AR$12:AR$62),$A55+1,1),MAX(strike-$B55,0)),"")</f>
        <v>6.2227838451229525E-3</v>
      </c>
      <c r="AT55" s="9">
        <f t="array" ref="AT55">IF(AT$11&gt;=0,MAX(INDEX(MMULT(inverseG,AS$12:AS$62),$A55+1,1),MAX(strike-$B55,0)),"")</f>
        <v>6.6740872386161984E-3</v>
      </c>
      <c r="AU55" s="9">
        <f t="array" ref="AU55">IF(AU$11&gt;=0,MAX(INDEX(MMULT(inverseG,AT$12:AT$62),$A55+1,1),MAX(strike-$B55,0)),"")</f>
        <v>7.1375432347649736E-3</v>
      </c>
      <c r="AV55" s="9">
        <f t="array" ref="AV55">IF(AV$11&gt;=0,MAX(INDEX(MMULT(inverseG,AU$12:AU$62),$A55+1,1),MAX(strike-$B55,0)),"")</f>
        <v>7.6125157720563236E-3</v>
      </c>
      <c r="AW55" s="9">
        <f t="array" ref="AW55">IF(AW$11&gt;=0,MAX(INDEX(MMULT(inverseG,AV$12:AV$62),$A55+1,1),MAX(strike-$B55,0)),"")</f>
        <v>8.0983700355754112E-3</v>
      </c>
      <c r="AX55" s="9">
        <f t="array" ref="AX55">IF(AX$11&gt;=0,MAX(INDEX(MMULT(inverseG,AW$12:AW$62),$A55+1,1),MAX(strike-$B55,0)),"")</f>
        <v>8.5944753887601342E-3</v>
      </c>
      <c r="AY55" s="9">
        <f t="array" ref="AY55">IF(AY$11&gt;=0,MAX(INDEX(MMULT(inverseG,AX$12:AX$62),$A55+1,1),MAX(strike-$B55,0)),"")</f>
        <v>9.100207916174604E-3</v>
      </c>
      <c r="AZ55" s="9">
        <f t="array" ref="AZ55">IF(AZ$11&gt;=0,MAX(INDEX(MMULT(inverseG,AY$12:AY$62),$A55+1,1),MAX(strike-$B55,0)),"")</f>
        <v>9.614952612189611E-3</v>
      </c>
      <c r="BA55" s="9">
        <f t="array" ref="BA55">IF(BA$11&gt;=0,MAX(INDEX(MMULT(inverseG,AZ$12:AZ$62),$A55+1,1),MAX(strike-$B55,0)),"")</f>
        <v>1.0138105249095206E-2</v>
      </c>
      <c r="BB55" s="9">
        <f t="array" ref="BB55">IF(BB$11&gt;=0,MAX(INDEX(MMULT(inverseG,BA$12:BA$62),$A55+1,1),MAX(strike-$B55,0)),"")</f>
        <v>1.0669073956286756E-2</v>
      </c>
      <c r="BC55" s="9">
        <f t="array" ref="BC55">IF(BC$11&gt;=0,MAX(INDEX(MMULT(inverseG,BB$12:BB$62),$A55+1,1),MAX(strike-$B55,0)),"")</f>
        <v>1.1207280539963874E-2</v>
      </c>
      <c r="BD55" s="9">
        <f t="array" ref="BD55">IF(BD$11&gt;=0,MAX(INDEX(MMULT(inverseG,BC$12:BC$62),$A55+1,1),MAX(strike-$B55,0)),"")</f>
        <v>1.1752161570430512E-2</v>
      </c>
      <c r="BE55" s="9">
        <f t="array" ref="BE55">IF(BE$11&gt;=0,MAX(INDEX(MMULT(inverseG,BD$12:BD$62),$A55+1,1),MAX(strike-$B55,0)),"")</f>
        <v>1.2303169261718174E-2</v>
      </c>
      <c r="BF55" s="9">
        <f t="array" ref="BF55">IF(BF$11&gt;=0,MAX(INDEX(MMULT(inverseG,BE$12:BE$62),$A55+1,1),MAX(strike-$B55,0)),"")</f>
        <v>1.285977216596966E-2</v>
      </c>
      <c r="BG55" s="9">
        <f t="array" ref="BG55">IF(BG$11&gt;=0,MAX(INDEX(MMULT(inverseG,BF$12:BF$62),$A55+1,1),MAX(strike-$B55,0)),"")</f>
        <v>1.3421455702882121E-2</v>
      </c>
      <c r="BH55" s="9">
        <f t="array" ref="BH55">IF(BH$11&gt;=0,MAX(INDEX(MMULT(inverseG,BG$12:BG$62),$A55+1,1),MAX(strike-$B55,0)),"")</f>
        <v>1.3987722542551069E-2</v>
      </c>
      <c r="BI55" s="9">
        <f t="array" ref="BI55">IF(BI$11&gt;=0,MAX(INDEX(MMULT(inverseG,BH$12:BH$62),$A55+1,1),MAX(strike-$B55,0)),"")</f>
        <v>1.4558092858294028E-2</v>
      </c>
      <c r="BJ55" s="9">
        <f t="array" ref="BJ55">IF(BJ$11&gt;=0,MAX(INDEX(MMULT(inverseG,BI$12:BI$62),$A55+1,1),MAX(strike-$B55,0)),"")</f>
        <v>1.5132104464460163E-2</v>
      </c>
      <c r="BK55" s="9">
        <f t="array" ref="BK55">IF(BK$11&gt;=0,MAX(INDEX(MMULT(inverseG,BJ$12:BJ$62),$A55+1,1),MAX(strike-$B55,0)),"")</f>
        <v>1.5709312852836183E-2</v>
      </c>
      <c r="BL55" s="9">
        <f t="array" ref="BL55">IF(BL$11&gt;=0,MAX(INDEX(MMULT(inverseG,BK$12:BK$62),$A55+1,1),MAX(strike-$B55,0)),"")</f>
        <v>1.6289291140019022E-2</v>
      </c>
      <c r="BM55" s="9">
        <f t="array" ref="BM55">IF(BM$11&gt;=0,MAX(INDEX(MMULT(inverseG,BL$12:BL$62),$A55+1,1),MAX(strike-$B55,0)),"")</f>
        <v>1.6871629937019898E-2</v>
      </c>
      <c r="BN55" s="9">
        <f t="array" ref="BN55">IF(BN$11&gt;=0,MAX(INDEX(MMULT(inverseG,BM$12:BM$62),$A55+1,1),MAX(strike-$B55,0)),"")</f>
        <v>1.7455937151370806E-2</v>
      </c>
      <c r="BO55" s="9">
        <f t="array" ref="BO55">IF(BO$11&gt;=0,MAX(INDEX(MMULT(inverseG,BN$12:BN$62),$A55+1,1),MAX(strike-$B55,0)),"")</f>
        <v>1.8041837731103412E-2</v>
      </c>
      <c r="BP55" s="9">
        <f t="array" ref="BP55">IF(BP$11&gt;=0,MAX(INDEX(MMULT(inverseG,BO$12:BO$62),$A55+1,1),MAX(strike-$B55,0)),"")</f>
        <v>1.8628973359145783E-2</v>
      </c>
      <c r="BQ55" s="9">
        <f t="array" ref="BQ55">IF(BQ$11&gt;=0,MAX(INDEX(MMULT(inverseG,BP$12:BP$62),$A55+1,1),MAX(strike-$B55,0)),"")</f>
        <v>1.9217002105920793E-2</v>
      </c>
      <c r="BR55" s="9">
        <f t="array" ref="BR55">IF(BR$11&gt;=0,MAX(INDEX(MMULT(inverseG,BQ$12:BQ$62),$A55+1,1),MAX(strike-$B55,0)),"")</f>
        <v>1.9805598047221085E-2</v>
      </c>
      <c r="BS55" s="9">
        <f t="array" ref="BS55">IF(BS$11&gt;=0,MAX(INDEX(MMULT(inverseG,BR$12:BR$62),$A55+1,1),MAX(strike-$B55,0)),"")</f>
        <v>2.0394450853773092E-2</v>
      </c>
      <c r="BT55" s="9">
        <f t="array" ref="BT55">IF(BT$11&gt;=0,MAX(INDEX(MMULT(inverseG,BS$12:BS$62),$A55+1,1),MAX(strike-$B55,0)),"")</f>
        <v>2.0983265358280222E-2</v>
      </c>
      <c r="BU55" s="9">
        <f t="array" ref="BU55">IF(BU$11&gt;=0,MAX(INDEX(MMULT(inverseG,BT$12:BT$62),$A55+1,1),MAX(strike-$B55,0)),"")</f>
        <v>2.1571761105150966E-2</v>
      </c>
      <c r="BV55" s="9">
        <f t="array" ref="BV55">IF(BV$11&gt;=0,MAX(INDEX(MMULT(inverseG,BU$12:BU$62),$A55+1,1),MAX(strike-$B55,0)),"")</f>
        <v>2.2159671887568958E-2</v>
      </c>
      <c r="BW55" s="9">
        <f t="array" ref="BW55">IF(BW$11&gt;=0,MAX(INDEX(MMULT(inverseG,BV$12:BV$62),$A55+1,1),MAX(strike-$B55,0)),"")</f>
        <v>2.2746745276047631E-2</v>
      </c>
      <c r="BX55" s="9">
        <f t="array" ref="BX55">IF(BX$11&gt;=0,MAX(INDEX(MMULT(inverseG,BW$12:BW$62),$A55+1,1),MAX(strike-$B55,0)),"")</f>
        <v>2.3332742142131654E-2</v>
      </c>
      <c r="BY55" s="9">
        <f t="array" ref="BY55">IF(BY$11&gt;=0,MAX(INDEX(MMULT(inverseG,BX$12:BX$62),$A55+1,1),MAX(strike-$B55,0)),"")</f>
        <v>2.3917436180460525E-2</v>
      </c>
      <c r="BZ55" s="9">
        <f t="array" ref="BZ55">IF(BZ$11&gt;=0,MAX(INDEX(MMULT(inverseG,BY$12:BY$62),$A55+1,1),MAX(strike-$B55,0)),"")</f>
        <v>2.4500613431995569E-2</v>
      </c>
      <c r="CA55" s="9">
        <f t="array" ref="CA55">IF(CA$11&gt;=0,MAX(INDEX(MMULT(inverseG,BZ$12:BZ$62),$A55+1,1),MAX(strike-$B55,0)),"")</f>
        <v>2.5082071810830442E-2</v>
      </c>
      <c r="CB55" s="9">
        <f t="array" ref="CB55">IF(CB$11&gt;=0,MAX(INDEX(MMULT(inverseG,CA$12:CA$62),$A55+1,1),MAX(strike-$B55,0)),"")</f>
        <v>2.5661620636655544E-2</v>
      </c>
      <c r="CC55" s="9">
        <f t="array" ref="CC55">IF(CC$11&gt;=0,MAX(INDEX(MMULT(inverseG,CB$12:CB$62),$A55+1,1),MAX(strike-$B55,0)),"")</f>
        <v>2.6239080174628397E-2</v>
      </c>
      <c r="CD55" s="9">
        <f t="array" ref="CD55">IF(CD$11&gt;=0,MAX(INDEX(MMULT(inverseG,CC$12:CC$62),$A55+1,1),MAX(strike-$B55,0)),"")</f>
        <v>2.6814281184113439E-2</v>
      </c>
      <c r="CE55" s="9">
        <f t="array" ref="CE55">IF(CE$11&gt;=0,MAX(INDEX(MMULT(inverseG,CD$12:CD$62),$A55+1,1),MAX(strike-$B55,0)),"")</f>
        <v>2.7387064477494578E-2</v>
      </c>
      <c r="CF55" s="9">
        <f t="array" ref="CF55">IF(CF$11&gt;=0,MAX(INDEX(MMULT(inverseG,CE$12:CE$62),$A55+1,1),MAX(strike-$B55,0)),"")</f>
        <v>2.7957280490031176E-2</v>
      </c>
      <c r="CG55" s="9">
        <f t="array" ref="CG55">IF(CG$11&gt;=0,MAX(INDEX(MMULT(inverseG,CF$12:CF$62),$A55+1,1),MAX(strike-$B55,0)),"")</f>
        <v>2.8524788861520732E-2</v>
      </c>
      <c r="CH55" s="9">
        <f t="array" ref="CH55">IF(CH$11&gt;=0,MAX(INDEX(MMULT(inverseG,CG$12:CG$62),$A55+1,1),MAX(strike-$B55,0)),"")</f>
        <v>2.9089458030348337E-2</v>
      </c>
      <c r="CI55" s="9">
        <f t="array" ref="CI55">IF(CI$11&gt;=0,MAX(INDEX(MMULT(inverseG,CH$12:CH$62),$A55+1,1),MAX(strike-$B55,0)),"")</f>
        <v>2.9651164840341519E-2</v>
      </c>
      <c r="CJ55" s="9">
        <f t="array" ref="CJ55">IF(CJ$11&gt;=0,MAX(INDEX(MMULT(inverseG,CI$12:CI$62),$A55+1,1),MAX(strike-$B55,0)),"")</f>
        <v>3.0209794160708865E-2</v>
      </c>
      <c r="CK55" s="9">
        <f t="array" ref="CK55">IF(CK$11&gt;=0,MAX(INDEX(MMULT(inverseG,CJ$12:CJ$62),$A55+1,1),MAX(strike-$B55,0)),"")</f>
        <v>3.0765238519218134E-2</v>
      </c>
      <c r="CL55" s="9">
        <f t="array" ref="CL55">IF(CL$11&gt;=0,MAX(INDEX(MMULT(inverseG,CK$12:CK$62),$A55+1,1),MAX(strike-$B55,0)),"")</f>
        <v>3.1317397748665196E-2</v>
      </c>
      <c r="CM55" s="9">
        <f t="array" ref="CM55">IF(CM$11&gt;=0,MAX(INDEX(MMULT(inverseG,CL$12:CL$62),$A55+1,1),MAX(strike-$B55,0)),"")</f>
        <v>3.1866178646595161E-2</v>
      </c>
      <c r="CN55" s="9">
        <f t="array" ref="CN55">IF(CN$11&gt;=0,MAX(INDEX(MMULT(inverseG,CM$12:CM$62),$A55+1,1),MAX(strike-$B55,0)),"")</f>
        <v>3.2411494648161517E-2</v>
      </c>
      <c r="CO55" s="9">
        <f t="array" ref="CO55">IF(CO$11&gt;=0,MAX(INDEX(MMULT(inverseG,CN$12:CN$62),$A55+1,1),MAX(strike-$B55,0)),"")</f>
        <v>3.2953265511945537E-2</v>
      </c>
      <c r="CP55" s="9">
        <f t="array" ref="CP55">IF(CP$11&gt;=0,MAX(INDEX(MMULT(inverseG,CO$12:CO$62),$A55+1,1),MAX(strike-$B55,0)),"")</f>
        <v>3.3491417018506213E-2</v>
      </c>
      <c r="CQ55" s="9">
        <f t="array" ref="CQ55">IF(CQ$11&gt;=0,MAX(INDEX(MMULT(inverseG,CP$12:CP$62),$A55+1,1),MAX(strike-$B55,0)),"")</f>
        <v>3.4025880681388038E-2</v>
      </c>
      <c r="CR55" s="9">
        <f t="array" ref="CR55">IF(CR$11&gt;=0,MAX(INDEX(MMULT(inverseG,CQ$12:CQ$62),$A55+1,1),MAX(strike-$B55,0)),"")</f>
        <v>3.4556593470279937E-2</v>
      </c>
      <c r="CS55" s="9">
        <f t="array" ref="CS55">IF(CS$11&gt;=0,MAX(INDEX(MMULT(inverseG,CR$12:CR$62),$A55+1,1),MAX(strike-$B55,0)),"")</f>
        <v>3.5083497545992402E-2</v>
      </c>
      <c r="CT55" s="9">
        <f t="array" ref="CT55">IF(CT$11&gt;=0,MAX(INDEX(MMULT(inverseG,CS$12:CS$62),$A55+1,1),MAX(strike-$B55,0)),"")</f>
        <v>3.560654000690016E-2</v>
      </c>
      <c r="CU55" s="9">
        <f t="array" ref="CU55">IF(CU$11&gt;=0,MAX(INDEX(MMULT(inverseG,CT$12:CT$62),$A55+1,1),MAX(strike-$B55,0)),"")</f>
        <v>3.6125672646485127E-2</v>
      </c>
      <c r="CV55" s="9">
        <f t="array" ref="CV55">IF(CV$11&gt;=0,MAX(INDEX(MMULT(inverseG,CU$12:CU$62),$A55+1,1),MAX(strike-$B55,0)),"")</f>
        <v>3.6640851721610176E-2</v>
      </c>
      <c r="CW55" s="9">
        <f t="array" ref="CW55">IF(CW$11&gt;=0,MAX(INDEX(MMULT(inverseG,CV$12:CV$62),$A55+1,1),MAX(strike-$B55,0)),"")</f>
        <v>3.715203773115934E-2</v>
      </c>
      <c r="CX55" s="9">
        <f t="array" ref="CX55">IF(CX$11&gt;=0,MAX(INDEX(MMULT(inverseG,CW$12:CW$62),$A55+1,1),MAX(strike-$B55,0)),"")</f>
        <v>3.7659195204695919E-2</v>
      </c>
      <c r="CY55" s="9">
        <f t="array" ref="CY55">IF(CY$11&gt;=0,MAX(INDEX(MMULT(inverseG,CX$12:CX$62),$A55+1,1),MAX(strike-$B55,0)),"")</f>
        <v>3.8162292500816382E-2</v>
      </c>
      <c r="CZ55" s="9">
        <f t="array" ref="CZ55">IF(CZ$11&gt;=0,MAX(INDEX(MMULT(inverseG,CY$12:CY$62),$A55+1,1),MAX(strike-$B55,0)),"")</f>
        <v>3.8661301614911027E-2</v>
      </c>
      <c r="DA55" s="9" t="str">
        <f t="array" ref="DA55">IF(DA$11&gt;=0,MAX(INDEX(MMULT(inverseG,CZ$12:CZ$62),$A55+1,1),MAX(strike-$B55,0)),"")</f>
        <v/>
      </c>
      <c r="DB55" s="9" t="str">
        <f t="array" ref="DB55">IF(DB$11&gt;=0,MAX(INDEX(MMULT(inverseG,DA$12:DA$62),$A55+1,1),MAX(strike-$B55,0)),"")</f>
        <v/>
      </c>
      <c r="DC55" s="9" t="str">
        <f t="array" ref="DC55">IF(DC$11&gt;=0,MAX(INDEX(MMULT(inverseG,DB$12:DB$62),$A55+1,1),MAX(strike-$B55,0)),"")</f>
        <v/>
      </c>
      <c r="DD55" s="9" t="str">
        <f t="array" ref="DD55">IF(DD$11&gt;=0,MAX(INDEX(MMULT(inverseG,DC$12:DC$62),$A55+1,1),MAX(strike-$B55,0)),"")</f>
        <v/>
      </c>
      <c r="DE55" s="9" t="str">
        <f t="array" ref="DE55">IF(DE$11&gt;=0,MAX(INDEX(MMULT(inverseG,DD$12:DD$62),$A55+1,1),MAX(strike-$B55,0)),"")</f>
        <v/>
      </c>
      <c r="DF55" s="9" t="str">
        <f t="array" ref="DF55">IF(DF$11&gt;=0,MAX(INDEX(MMULT(inverseG,DE$12:DE$62),$A55+1,1),MAX(strike-$B55,0)),"")</f>
        <v/>
      </c>
      <c r="DG55" s="9" t="str">
        <f t="array" ref="DG55">IF(DG$11&gt;=0,MAX(INDEX(MMULT(inverseG,DF$12:DF$62),$A55+1,1),MAX(strike-$B55,0)),"")</f>
        <v/>
      </c>
      <c r="DH55" s="9" t="str">
        <f t="array" ref="DH55">IF(DH$11&gt;=0,MAX(INDEX(MMULT(inverseG,DG$12:DG$62),$A55+1,1),MAX(strike-$B55,0)),"")</f>
        <v/>
      </c>
      <c r="DI55" s="9" t="str">
        <f t="array" ref="DI55">IF(DI$11&gt;=0,MAX(INDEX(MMULT(inverseG,DH$12:DH$62),$A55+1,1),MAX(strike-$B55,0)),"")</f>
        <v/>
      </c>
      <c r="DJ55" s="9" t="str">
        <f t="array" ref="DJ55">IF(DJ$11&gt;=0,MAX(INDEX(MMULT(inverseG,DI$12:DI$62),$A55+1,1),MAX(strike-$B55,0)),"")</f>
        <v/>
      </c>
      <c r="DK55" s="9" t="str">
        <f t="array" ref="DK55">IF(DK$11&gt;=0,MAX(INDEX(MMULT(inverseG,DJ$12:DJ$62),$A55+1,1),MAX(strike-$B55,0)),"")</f>
        <v/>
      </c>
      <c r="DL55" s="9" t="str">
        <f t="array" ref="DL55">IF(DL$11&gt;=0,MAX(INDEX(MMULT(inverseG,DK$12:DK$62),$A55+1,1),MAX(strike-$B55,0)),"")</f>
        <v/>
      </c>
      <c r="DM55" s="9" t="str">
        <f t="array" ref="DM55">IF(DM$11&gt;=0,MAX(INDEX(MMULT(inverseG,DL$12:DL$62),$A55+1,1),MAX(strike-$B55,0)),"")</f>
        <v/>
      </c>
      <c r="DN55" s="9" t="str">
        <f t="array" ref="DN55">IF(DN$11&gt;=0,MAX(INDEX(MMULT(inverseG,DM$12:DM$62),$A55+1,1),MAX(strike-$B55,0)),"")</f>
        <v/>
      </c>
      <c r="DO55" s="9" t="str">
        <f t="array" ref="DO55">IF(DO$11&gt;=0,MAX(INDEX(MMULT(inverseG,DN$12:DN$62),$A55+1,1),MAX(strike-$B55,0)),"")</f>
        <v/>
      </c>
      <c r="DP55" s="9" t="str">
        <f t="array" ref="DP55">IF(DP$11&gt;=0,MAX(INDEX(MMULT(inverseG,DO$12:DO$62),$A55+1,1),MAX(strike-$B55,0)),"")</f>
        <v/>
      </c>
      <c r="DQ55" s="9" t="str">
        <f t="array" ref="DQ55">IF(DQ$11&gt;=0,MAX(INDEX(MMULT(inverseG,DP$12:DP$62),$A55+1,1),MAX(strike-$B55,0)),"")</f>
        <v/>
      </c>
      <c r="DR55" s="9" t="str">
        <f t="array" ref="DR55">IF(DR$11&gt;=0,MAX(INDEX(MMULT(inverseG,DQ$12:DQ$62),$A55+1,1),MAX(strike-$B55,0)),"")</f>
        <v/>
      </c>
      <c r="DS55" s="9" t="str">
        <f t="array" ref="DS55">IF(DS$11&gt;=0,MAX(INDEX(MMULT(inverseG,DR$12:DR$62),$A55+1,1),MAX(strike-$B55,0)),"")</f>
        <v/>
      </c>
      <c r="DT55" s="9" t="str">
        <f t="array" ref="DT55">IF(DT$11&gt;=0,MAX(INDEX(MMULT(inverseG,DS$12:DS$62),$A55+1,1),MAX(strike-$B55,0)),"")</f>
        <v/>
      </c>
      <c r="DU55" s="9" t="str">
        <f t="array" ref="DU55">IF(DU$11&gt;=0,MAX(INDEX(MMULT(inverseG,DT$12:DT$62),$A55+1,1),MAX(strike-$B55,0)),"")</f>
        <v/>
      </c>
      <c r="DV55" s="9" t="str">
        <f t="array" ref="DV55">IF(DV$11&gt;=0,MAX(INDEX(MMULT(inverseG,DU$12:DU$62),$A55+1,1),MAX(strike-$B55,0)),"")</f>
        <v/>
      </c>
      <c r="DW55" s="9" t="str">
        <f t="array" ref="DW55">IF(DW$11&gt;=0,MAX(INDEX(MMULT(inverseG,DV$12:DV$62),$A55+1,1),MAX(strike-$B55,0)),"")</f>
        <v/>
      </c>
      <c r="DX55" s="9" t="str">
        <f t="array" ref="DX55">IF(DX$11&gt;=0,MAX(INDEX(MMULT(inverseG,DW$12:DW$62),$A55+1,1),MAX(strike-$B55,0)),"")</f>
        <v/>
      </c>
      <c r="DY55" s="9" t="str">
        <f t="array" ref="DY55">IF(DY$11&gt;=0,MAX(INDEX(MMULT(inverseG,DX$12:DX$62),$A55+1,1),MAX(strike-$B55,0)),"")</f>
        <v/>
      </c>
      <c r="DZ55" s="9" t="str">
        <f t="array" ref="DZ55">IF(DZ$11&gt;=0,MAX(INDEX(MMULT(inverseG,DY$12:DY$62),$A55+1,1),MAX(strike-$B55,0)),"")</f>
        <v/>
      </c>
      <c r="EA55" s="9" t="str">
        <f t="array" ref="EA55">IF(EA$11&gt;=0,MAX(INDEX(MMULT(inverseG,DZ$12:DZ$62),$A55+1,1),MAX(strike-$B55,0)),"")</f>
        <v/>
      </c>
      <c r="EB55" s="9" t="str">
        <f t="array" ref="EB55">IF(EB$11&gt;=0,MAX(INDEX(MMULT(inverseG,EA$12:EA$62),$A55+1,1),MAX(strike-$B55,0)),"")</f>
        <v/>
      </c>
      <c r="EC55" s="9" t="str">
        <f t="array" ref="EC55">IF(EC$11&gt;=0,MAX(INDEX(MMULT(inverseG,EB$12:EB$62),$A55+1,1),MAX(strike-$B55,0)),"")</f>
        <v/>
      </c>
      <c r="ED55" s="9" t="str">
        <f t="array" ref="ED55">IF(ED$11&gt;=0,MAX(INDEX(MMULT(inverseG,EC$12:EC$62),$A55+1,1),MAX(strike-$B55,0)),"")</f>
        <v/>
      </c>
      <c r="EE55" s="9" t="str">
        <f t="array" ref="EE55">IF(EE$11&gt;=0,MAX(INDEX(MMULT(inverseG,ED$12:ED$62),$A55+1,1),MAX(strike-$B55,0)),"")</f>
        <v/>
      </c>
      <c r="EF55" s="9" t="str">
        <f t="array" ref="EF55">IF(EF$11&gt;=0,MAX(INDEX(MMULT(inverseG,EE$12:EE$62),$A55+1,1),MAX(strike-$B55,0)),"")</f>
        <v/>
      </c>
      <c r="EG55" s="9" t="str">
        <f t="array" ref="EG55">IF(EG$11&gt;=0,MAX(INDEX(MMULT(inverseG,EF$12:EF$62),$A55+1,1),MAX(strike-$B55,0)),"")</f>
        <v/>
      </c>
      <c r="EH55" s="9" t="str">
        <f t="array" ref="EH55">IF(EH$11&gt;=0,MAX(INDEX(MMULT(inverseG,EG$12:EG$62),$A55+1,1),MAX(strike-$B55,0)),"")</f>
        <v/>
      </c>
      <c r="EI55" s="9" t="str">
        <f t="array" ref="EI55">IF(EI$11&gt;=0,MAX(INDEX(MMULT(inverseG,EH$12:EH$62),$A55+1,1),MAX(strike-$B55,0)),"")</f>
        <v/>
      </c>
      <c r="EJ55" s="9" t="str">
        <f t="array" ref="EJ55">IF(EJ$11&gt;=0,MAX(INDEX(MMULT(inverseG,EI$12:EI$62),$A55+1,1),MAX(strike-$B55,0)),"")</f>
        <v/>
      </c>
      <c r="EK55" s="9" t="str">
        <f t="array" ref="EK55">IF(EK$11&gt;=0,MAX(INDEX(MMULT(inverseG,EJ$12:EJ$62),$A55+1,1),MAX(strike-$B55,0)),"")</f>
        <v/>
      </c>
      <c r="EL55" s="9" t="str">
        <f t="array" ref="EL55">IF(EL$11&gt;=0,MAX(INDEX(MMULT(inverseG,EK$12:EK$62),$A55+1,1),MAX(strike-$B55,0)),"")</f>
        <v/>
      </c>
      <c r="EM55" s="9" t="str">
        <f t="array" ref="EM55">IF(EM$11&gt;=0,MAX(INDEX(MMULT(inverseG,EL$12:EL$62),$A55+1,1),MAX(strike-$B55,0)),"")</f>
        <v/>
      </c>
      <c r="EN55" s="9" t="str">
        <f t="array" ref="EN55">IF(EN$11&gt;=0,MAX(INDEX(MMULT(inverseG,EM$12:EM$62),$A55+1,1),MAX(strike-$B55,0)),"")</f>
        <v/>
      </c>
      <c r="EO55" s="9" t="str">
        <f t="array" ref="EO55">IF(EO$11&gt;=0,MAX(INDEX(MMULT(inverseG,EN$12:EN$62),$A55+1,1),MAX(strike-$B55,0)),"")</f>
        <v/>
      </c>
      <c r="EP55" s="9" t="str">
        <f t="array" ref="EP55">IF(EP$11&gt;=0,MAX(INDEX(MMULT(inverseG,EO$12:EO$62),$A55+1,1),MAX(strike-$B55,0)),"")</f>
        <v/>
      </c>
      <c r="EQ55" s="9" t="str">
        <f t="array" ref="EQ55">IF(EQ$11&gt;=0,MAX(INDEX(MMULT(inverseG,EP$12:EP$62),$A55+1,1),MAX(strike-$B55,0)),"")</f>
        <v/>
      </c>
      <c r="ER55" s="9" t="str">
        <f t="array" ref="ER55">IF(ER$11&gt;=0,MAX(INDEX(MMULT(inverseG,EQ$12:EQ$62),$A55+1,1),MAX(strike-$B55,0)),"")</f>
        <v/>
      </c>
      <c r="ES55" s="9" t="str">
        <f t="array" ref="ES55">IF(ES$11&gt;=0,MAX(INDEX(MMULT(inverseG,ER$12:ER$62),$A55+1,1),MAX(strike-$B55,0)),"")</f>
        <v/>
      </c>
      <c r="ET55" s="9" t="str">
        <f t="array" ref="ET55">IF(ET$11&gt;=0,MAX(INDEX(MMULT(inverseG,ES$12:ES$62),$A55+1,1),MAX(strike-$B55,0)),"")</f>
        <v/>
      </c>
      <c r="EU55" s="9" t="str">
        <f t="array" ref="EU55">IF(EU$11&gt;=0,MAX(INDEX(MMULT(inverseG,ET$12:ET$62),$A55+1,1),MAX(strike-$B55,0)),"")</f>
        <v/>
      </c>
      <c r="EV55" s="9" t="str">
        <f t="array" ref="EV55">IF(EV$11&gt;=0,MAX(INDEX(MMULT(inverseG,EU$12:EU$62),$A55+1,1),MAX(strike-$B55,0)),"")</f>
        <v/>
      </c>
      <c r="EW55" s="9" t="str">
        <f t="array" ref="EW55">IF(EW$11&gt;=0,MAX(INDEX(MMULT(inverseG,EV$12:EV$62),$A55+1,1),MAX(strike-$B55,0)),"")</f>
        <v/>
      </c>
      <c r="EX55" s="9" t="str">
        <f t="array" ref="EX55">IF(EX$11&gt;=0,MAX(INDEX(MMULT(inverseG,EW$12:EW$62),$A55+1,1),MAX(strike-$B55,0)),"")</f>
        <v/>
      </c>
      <c r="EY55" s="9" t="str">
        <f t="array" ref="EY55">IF(EY$11&gt;=0,MAX(INDEX(MMULT(inverseG,EX$12:EX$62),$A55+1,1),MAX(strike-$B55,0)),"")</f>
        <v/>
      </c>
      <c r="EZ55" s="9" t="str">
        <f t="array" ref="EZ55">IF(EZ$11&gt;=0,MAX(INDEX(MMULT(inverseG,EY$12:EY$62),$A55+1,1),MAX(strike-$B55,0)),"")</f>
        <v/>
      </c>
      <c r="FA55" s="9" t="str">
        <f t="array" ref="FA55">IF(FA$11&gt;=0,MAX(INDEX(MMULT(inverseG,EZ$12:EZ$62),$A55+1,1),MAX(strike-$B55,0)),"")</f>
        <v/>
      </c>
      <c r="FB55" s="9" t="str">
        <f t="array" ref="FB55">IF(FB$11&gt;=0,MAX(INDEX(MMULT(inverseG,FA$12:FA$62),$A55+1,1),MAX(strike-$B55,0)),"")</f>
        <v/>
      </c>
      <c r="FC55" s="9" t="str">
        <f t="array" ref="FC55">IF(FC$11&gt;=0,MAX(INDEX(MMULT(inverseG,FB$12:FB$62),$A55+1,1),MAX(strike-$B55,0)),"")</f>
        <v/>
      </c>
      <c r="FD55" s="9" t="str">
        <f t="array" ref="FD55">IF(FD$11&gt;=0,MAX(INDEX(MMULT(inverseG,FC$12:FC$62),$A55+1,1),MAX(strike-$B55,0)),"")</f>
        <v/>
      </c>
      <c r="FE55" s="9" t="str">
        <f t="array" ref="FE55">IF(FE$11&gt;=0,MAX(INDEX(MMULT(inverseG,FD$12:FD$62),$A55+1,1),MAX(strike-$B55,0)),"")</f>
        <v/>
      </c>
      <c r="FF55" s="9" t="str">
        <f t="array" ref="FF55">IF(FF$11&gt;=0,MAX(INDEX(MMULT(inverseG,FE$12:FE$62),$A55+1,1),MAX(strike-$B55,0)),"")</f>
        <v/>
      </c>
      <c r="FG55" s="9" t="str">
        <f t="array" ref="FG55">IF(FG$11&gt;=0,MAX(INDEX(MMULT(inverseG,FF$12:FF$62),$A55+1,1),MAX(strike-$B55,0)),"")</f>
        <v/>
      </c>
      <c r="FH55" s="9" t="str">
        <f t="array" ref="FH55">IF(FH$11&gt;=0,MAX(INDEX(MMULT(inverseG,FG$12:FG$62),$A55+1,1),MAX(strike-$B55,0)),"")</f>
        <v/>
      </c>
      <c r="FI55" s="9" t="str">
        <f t="array" ref="FI55">IF(FI$11&gt;=0,MAX(INDEX(MMULT(inverseG,FH$12:FH$62),$A55+1,1),MAX(strike-$B55,0)),"")</f>
        <v/>
      </c>
      <c r="FJ55" s="9" t="str">
        <f t="array" ref="FJ55">IF(FJ$11&gt;=0,MAX(INDEX(MMULT(inverseG,FI$12:FI$62),$A55+1,1),MAX(strike-$B55,0)),"")</f>
        <v/>
      </c>
      <c r="FK55" s="9" t="str">
        <f t="array" ref="FK55">IF(FK$11&gt;=0,MAX(INDEX(MMULT(inverseG,FJ$12:FJ$62),$A55+1,1),MAX(strike-$B55,0)),"")</f>
        <v/>
      </c>
      <c r="FL55" s="9" t="str">
        <f t="array" ref="FL55">IF(FL$11&gt;=0,MAX(INDEX(MMULT(inverseG,FK$12:FK$62),$A55+1,1),MAX(strike-$B55,0)),"")</f>
        <v/>
      </c>
      <c r="FM55" s="9" t="str">
        <f t="array" ref="FM55">IF(FM$11&gt;=0,MAX(INDEX(MMULT(inverseG,FL$12:FL$62),$A55+1,1),MAX(strike-$B55,0)),"")</f>
        <v/>
      </c>
      <c r="FN55" s="9" t="str">
        <f t="array" ref="FN55">IF(FN$11&gt;=0,MAX(INDEX(MMULT(inverseG,FM$12:FM$62),$A55+1,1),MAX(strike-$B55,0)),"")</f>
        <v/>
      </c>
      <c r="FO55" s="9" t="str">
        <f t="array" ref="FO55">IF(FO$11&gt;=0,MAX(INDEX(MMULT(inverseG,FN$12:FN$62),$A55+1,1),MAX(strike-$B55,0)),"")</f>
        <v/>
      </c>
      <c r="FP55" s="9" t="str">
        <f t="array" ref="FP55">IF(FP$11&gt;=0,MAX(INDEX(MMULT(inverseG,FO$12:FO$62),$A55+1,1),MAX(strike-$B55,0)),"")</f>
        <v/>
      </c>
      <c r="FQ55" s="9" t="str">
        <f t="array" ref="FQ55">IF(FQ$11&gt;=0,MAX(INDEX(MMULT(inverseG,FP$12:FP$62),$A55+1,1),MAX(strike-$B55,0)),"")</f>
        <v/>
      </c>
      <c r="FR55" s="9" t="str">
        <f t="array" ref="FR55">IF(FR$11&gt;=0,MAX(INDEX(MMULT(inverseG,FQ$12:FQ$62),$A55+1,1),MAX(strike-$B55,0)),"")</f>
        <v/>
      </c>
      <c r="FS55" s="9" t="str">
        <f t="array" ref="FS55">IF(FS$11&gt;=0,MAX(INDEX(MMULT(inverseG,FR$12:FR$62),$A55+1,1),MAX(strike-$B55,0)),"")</f>
        <v/>
      </c>
      <c r="FT55" s="9" t="str">
        <f t="array" ref="FT55">IF(FT$11&gt;=0,MAX(INDEX(MMULT(inverseG,FS$12:FS$62),$A55+1,1),MAX(strike-$B55,0)),"")</f>
        <v/>
      </c>
      <c r="FU55" s="9" t="str">
        <f t="array" ref="FU55">IF(FU$11&gt;=0,MAX(INDEX(MMULT(inverseG,FT$12:FT$62),$A55+1,1),MAX(strike-$B55,0)),"")</f>
        <v/>
      </c>
      <c r="FV55" s="9" t="str">
        <f t="array" ref="FV55">IF(FV$11&gt;=0,MAX(INDEX(MMULT(inverseG,FU$12:FU$62),$A55+1,1),MAX(strike-$B55,0)),"")</f>
        <v/>
      </c>
      <c r="FW55" s="9" t="str">
        <f t="array" ref="FW55">IF(FW$11&gt;=0,MAX(INDEX(MMULT(inverseG,FV$12:FV$62),$A55+1,1),MAX(strike-$B55,0)),"")</f>
        <v/>
      </c>
      <c r="FX55" s="9" t="str">
        <f t="array" ref="FX55">IF(FX$11&gt;=0,MAX(INDEX(MMULT(inverseG,FW$12:FW$62),$A55+1,1),MAX(strike-$B55,0)),"")</f>
        <v/>
      </c>
      <c r="FY55" s="9" t="str">
        <f t="array" ref="FY55">IF(FY$11&gt;=0,MAX(INDEX(MMULT(inverseG,FX$12:FX$62),$A55+1,1),MAX(strike-$B55,0)),"")</f>
        <v/>
      </c>
      <c r="FZ55" s="9" t="str">
        <f t="array" ref="FZ55">IF(FZ$11&gt;=0,MAX(INDEX(MMULT(inverseG,FY$12:FY$62),$A55+1,1),MAX(strike-$B55,0)),"")</f>
        <v/>
      </c>
      <c r="GA55" s="9" t="str">
        <f t="array" ref="GA55">IF(GA$11&gt;=0,MAX(INDEX(MMULT(inverseG,FZ$12:FZ$62),$A55+1,1),MAX(strike-$B55,0)),"")</f>
        <v/>
      </c>
      <c r="GB55" s="9" t="str">
        <f t="array" ref="GB55">IF(GB$11&gt;=0,MAX(INDEX(MMULT(inverseG,GA$12:GA$62),$A55+1,1),MAX(strike-$B55,0)),"")</f>
        <v/>
      </c>
      <c r="GC55" s="9" t="str">
        <f t="array" ref="GC55">IF(GC$11&gt;=0,MAX(INDEX(MMULT(inverseG,GB$12:GB$62),$A55+1,1),MAX(strike-$B55,0)),"")</f>
        <v/>
      </c>
      <c r="GD55" s="9" t="str">
        <f t="array" ref="GD55">IF(GD$11&gt;=0,MAX(INDEX(MMULT(inverseG,GC$12:GC$62),$A55+1,1),MAX(strike-$B55,0)),"")</f>
        <v/>
      </c>
      <c r="GE55" s="9" t="str">
        <f t="array" ref="GE55">IF(GE$11&gt;=0,MAX(INDEX(MMULT(inverseG,GD$12:GD$62),$A55+1,1),MAX(strike-$B55,0)),"")</f>
        <v/>
      </c>
      <c r="GF55" s="9" t="str">
        <f t="array" ref="GF55">IF(GF$11&gt;=0,MAX(INDEX(MMULT(inverseG,GE$12:GE$62),$A55+1,1),MAX(strike-$B55,0)),"")</f>
        <v/>
      </c>
      <c r="GG55" s="9" t="str">
        <f t="array" ref="GG55">IF(GG$11&gt;=0,MAX(INDEX(MMULT(inverseG,GF$12:GF$62),$A55+1,1),MAX(strike-$B55,0)),"")</f>
        <v/>
      </c>
      <c r="GH55" s="9" t="str">
        <f t="array" ref="GH55">IF(GH$11&gt;=0,MAX(INDEX(MMULT(inverseG,GG$12:GG$62),$A55+1,1),MAX(strike-$B55,0)),"")</f>
        <v/>
      </c>
      <c r="GI55" s="9" t="str">
        <f t="array" ref="GI55">IF(GI$11&gt;=0,MAX(INDEX(MMULT(inverseG,GH$12:GH$62),$A55+1,1),MAX(strike-$B55,0)),"")</f>
        <v/>
      </c>
      <c r="GJ55" s="9" t="str">
        <f t="array" ref="GJ55">IF(GJ$11&gt;=0,MAX(INDEX(MMULT(inverseG,GI$12:GI$62),$A55+1,1),MAX(strike-$B55,0)),"")</f>
        <v/>
      </c>
      <c r="GK55" s="9" t="str">
        <f t="array" ref="GK55">IF(GK$11&gt;=0,MAX(INDEX(MMULT(inverseG,GJ$12:GJ$62),$A55+1,1),MAX(strike-$B55,0)),"")</f>
        <v/>
      </c>
      <c r="GL55" s="9" t="str">
        <f t="array" ref="GL55">IF(GL$11&gt;=0,MAX(INDEX(MMULT(inverseG,GK$12:GK$62),$A55+1,1),MAX(strike-$B55,0)),"")</f>
        <v/>
      </c>
      <c r="GM55" s="9" t="str">
        <f t="array" ref="GM55">IF(GM$11&gt;=0,MAX(INDEX(MMULT(inverseG,GL$12:GL$62),$A55+1,1),MAX(strike-$B55,0)),"")</f>
        <v/>
      </c>
      <c r="GN55" s="9" t="str">
        <f t="array" ref="GN55">IF(GN$11&gt;=0,MAX(INDEX(MMULT(inverseG,GM$12:GM$62),$A55+1,1),MAX(strike-$B55,0)),"")</f>
        <v/>
      </c>
      <c r="GO55" s="9" t="str">
        <f t="array" ref="GO55">IF(GO$11&gt;=0,MAX(INDEX(MMULT(inverseG,GN$12:GN$62),$A55+1,1),MAX(strike-$B55,0)),"")</f>
        <v/>
      </c>
      <c r="GP55" s="9" t="str">
        <f t="array" ref="GP55">IF(GP$11&gt;=0,MAX(INDEX(MMULT(inverseG,GO$12:GO$62),$A55+1,1),MAX(strike-$B55,0)),"")</f>
        <v/>
      </c>
      <c r="GQ55" s="9" t="str">
        <f t="array" ref="GQ55">IF(GQ$11&gt;=0,MAX(INDEX(MMULT(inverseG,GP$12:GP$62),$A55+1,1),MAX(strike-$B55,0)),"")</f>
        <v/>
      </c>
      <c r="GR55" s="9" t="str">
        <f t="array" ref="GR55">IF(GR$11&gt;=0,MAX(INDEX(MMULT(inverseG,GQ$12:GQ$62),$A55+1,1),MAX(strike-$B55,0)),"")</f>
        <v/>
      </c>
      <c r="GS55" s="9" t="str">
        <f t="array" ref="GS55">IF(GS$11&gt;=0,MAX(INDEX(MMULT(inverseG,GR$12:GR$62),$A55+1,1),MAX(strike-$B55,0)),"")</f>
        <v/>
      </c>
      <c r="GT55" s="9" t="str">
        <f t="array" ref="GT55">IF(GT$11&gt;=0,MAX(INDEX(MMULT(inverseG,GS$12:GS$62),$A55+1,1),MAX(strike-$B55,0)),"")</f>
        <v/>
      </c>
      <c r="GU55" s="9" t="str">
        <f t="array" ref="GU55">IF(GU$11&gt;=0,MAX(INDEX(MMULT(inverseG,GT$12:GT$62),$A55+1,1),MAX(strike-$B55,0)),"")</f>
        <v/>
      </c>
      <c r="GV55" s="9" t="str">
        <f t="array" ref="GV55">IF(GV$11&gt;=0,MAX(INDEX(MMULT(inverseG,GU$12:GU$62),$A55+1,1),MAX(strike-$B55,0)),"")</f>
        <v/>
      </c>
      <c r="GW55" s="9" t="str">
        <f t="array" ref="GW55">IF(GW$11&gt;=0,MAX(INDEX(MMULT(inverseG,GV$12:GV$62),$A55+1,1),MAX(strike-$B55,0)),"")</f>
        <v/>
      </c>
      <c r="GX55" s="9" t="str">
        <f t="array" ref="GX55">IF(GX$11&gt;=0,MAX(INDEX(MMULT(inverseG,GW$12:GW$62),$A55+1,1),MAX(strike-$B55,0)),"")</f>
        <v/>
      </c>
      <c r="GY55" s="9" t="str">
        <f t="array" ref="GY55">IF(GY$11&gt;=0,MAX(INDEX(MMULT(inverseG,GX$12:GX$62),$A55+1,1),MAX(strike-$B55,0)),"")</f>
        <v/>
      </c>
      <c r="GZ55" s="9" t="str">
        <f t="array" ref="GZ55">IF(GZ$11&gt;=0,MAX(INDEX(MMULT(inverseG,GY$12:GY$62),$A55+1,1),MAX(strike-$B55,0)),"")</f>
        <v/>
      </c>
      <c r="HA55" s="9" t="str">
        <f t="array" ref="HA55">IF(HA$11&gt;=0,MAX(INDEX(MMULT(inverseG,GZ$12:GZ$62),$A55+1,1),MAX(strike-$B55,0)),"")</f>
        <v/>
      </c>
      <c r="HB55" s="9" t="str">
        <f t="array" ref="HB55">IF(HB$11&gt;=0,MAX(INDEX(MMULT(inverseG,HA$12:HA$62),$A55+1,1),MAX(strike-$B55,0)),"")</f>
        <v/>
      </c>
      <c r="HC55" s="9" t="str">
        <f t="array" ref="HC55">IF(HC$11&gt;=0,MAX(INDEX(MMULT(inverseG,HB$12:HB$62),$A55+1,1),MAX(strike-$B55,0)),"")</f>
        <v/>
      </c>
      <c r="HD55" s="9" t="str">
        <f t="array" ref="HD55">IF(HD$11&gt;=0,MAX(INDEX(MMULT(inverseG,HC$12:HC$62),$A55+1,1),MAX(strike-$B55,0)),"")</f>
        <v/>
      </c>
      <c r="HE55" s="9" t="str">
        <f t="array" ref="HE55">IF(HE$11&gt;=0,MAX(INDEX(MMULT(inverseG,HD$12:HD$62),$A55+1,1),MAX(strike-$B55,0)),"")</f>
        <v/>
      </c>
      <c r="HF55" s="9" t="str">
        <f t="array" ref="HF55">IF(HF$11&gt;=0,MAX(INDEX(MMULT(inverseG,HE$12:HE$62),$A55+1,1),MAX(strike-$B55,0)),"")</f>
        <v/>
      </c>
      <c r="HG55" s="9" t="str">
        <f t="array" ref="HG55">IF(HG$11&gt;=0,MAX(INDEX(MMULT(inverseG,HF$12:HF$62),$A55+1,1),MAX(strike-$B55,0)),"")</f>
        <v/>
      </c>
      <c r="HH55" s="9" t="str">
        <f t="array" ref="HH55">IF(HH$11&gt;=0,MAX(INDEX(MMULT(inverseG,HG$12:HG$62),$A55+1,1),MAX(strike-$B55,0)),"")</f>
        <v/>
      </c>
      <c r="HI55" s="9" t="str">
        <f t="array" ref="HI55">IF(HI$11&gt;=0,MAX(INDEX(MMULT(inverseG,HH$12:HH$62),$A55+1,1),MAX(strike-$B55,0)),"")</f>
        <v/>
      </c>
      <c r="HJ55" s="9" t="str">
        <f t="array" ref="HJ55">IF(HJ$11&gt;=0,MAX(INDEX(MMULT(inverseG,HI$12:HI$62),$A55+1,1),MAX(strike-$B55,0)),"")</f>
        <v/>
      </c>
      <c r="HK55" s="9" t="str">
        <f t="array" ref="HK55">IF(HK$11&gt;=0,MAX(INDEX(MMULT(inverseG,HJ$12:HJ$62),$A55+1,1),MAX(strike-$B55,0)),"")</f>
        <v/>
      </c>
      <c r="HL55" s="9" t="str">
        <f t="array" ref="HL55">IF(HL$11&gt;=0,MAX(INDEX(MMULT(inverseG,HK$12:HK$62),$A55+1,1),MAX(strike-$B55,0)),"")</f>
        <v/>
      </c>
      <c r="HM55" s="9" t="str">
        <f t="array" ref="HM55">IF(HM$11&gt;=0,MAX(INDEX(MMULT(inverseG,HL$12:HL$62),$A55+1,1),MAX(strike-$B55,0)),"")</f>
        <v/>
      </c>
      <c r="HN55" s="9" t="str">
        <f t="array" ref="HN55">IF(HN$11&gt;=0,MAX(INDEX(MMULT(inverseG,HM$12:HM$62),$A55+1,1),MAX(strike-$B55,0)),"")</f>
        <v/>
      </c>
      <c r="HO55" s="9" t="str">
        <f t="array" ref="HO55">IF(HO$11&gt;=0,MAX(INDEX(MMULT(inverseG,HN$12:HN$62),$A55+1,1),MAX(strike-$B55,0)),"")</f>
        <v/>
      </c>
      <c r="HP55" s="9" t="str">
        <f t="array" ref="HP55">IF(HP$11&gt;=0,MAX(INDEX(MMULT(inverseG,HO$12:HO$62),$A55+1,1),MAX(strike-$B55,0)),"")</f>
        <v/>
      </c>
      <c r="HQ55" s="9" t="str">
        <f t="array" ref="HQ55">IF(HQ$11&gt;=0,MAX(INDEX(MMULT(inverseG,HP$12:HP$62),$A55+1,1),MAX(strike-$B55,0)),"")</f>
        <v/>
      </c>
      <c r="HR55" s="9" t="str">
        <f t="array" ref="HR55">IF(HR$11&gt;=0,MAX(INDEX(MMULT(inverseG,HQ$12:HQ$62),$A55+1,1),MAX(strike-$B55,0)),"")</f>
        <v/>
      </c>
      <c r="HS55" s="9" t="str">
        <f t="array" ref="HS55">IF(HS$11&gt;=0,MAX(INDEX(MMULT(inverseG,HR$12:HR$62),$A55+1,1),MAX(strike-$B55,0)),"")</f>
        <v/>
      </c>
      <c r="HT55" s="9" t="str">
        <f t="array" ref="HT55">IF(HT$11&gt;=0,MAX(INDEX(MMULT(inverseG,HS$12:HS$62),$A55+1,1),MAX(strike-$B55,0)),"")</f>
        <v/>
      </c>
      <c r="HU55" s="9" t="str">
        <f t="array" ref="HU55">IF(HU$11&gt;=0,MAX(INDEX(MMULT(inverseG,HT$12:HT$62),$A55+1,1),MAX(strike-$B55,0)),"")</f>
        <v/>
      </c>
      <c r="HV55" s="9" t="str">
        <f t="array" ref="HV55">IF(HV$11&gt;=0,MAX(INDEX(MMULT(inverseG,HU$12:HU$62),$A55+1,1),MAX(strike-$B55,0)),"")</f>
        <v/>
      </c>
      <c r="HW55" s="9" t="str">
        <f t="array" ref="HW55">IF(HW$11&gt;=0,MAX(INDEX(MMULT(inverseG,HV$12:HV$62),$A55+1,1),MAX(strike-$B55,0)),"")</f>
        <v/>
      </c>
      <c r="HX55" s="9" t="str">
        <f t="array" ref="HX55">IF(HX$11&gt;=0,MAX(INDEX(MMULT(inverseG,HW$12:HW$62),$A55+1,1),MAX(strike-$B55,0)),"")</f>
        <v/>
      </c>
      <c r="HY55" s="9" t="str">
        <f t="array" ref="HY55">IF(HY$11&gt;=0,MAX(INDEX(MMULT(inverseG,HX$12:HX$62),$A55+1,1),MAX(strike-$B55,0)),"")</f>
        <v/>
      </c>
      <c r="HZ55" s="9" t="str">
        <f t="array" ref="HZ55">IF(HZ$11&gt;=0,MAX(INDEX(MMULT(inverseG,HY$12:HY$62),$A55+1,1),MAX(strike-$B55,0)),"")</f>
        <v/>
      </c>
      <c r="IA55" s="9" t="str">
        <f t="array" ref="IA55">IF(IA$11&gt;=0,MAX(INDEX(MMULT(inverseG,HZ$12:HZ$62),$A55+1,1),MAX(strike-$B55,0)),"")</f>
        <v/>
      </c>
      <c r="IB55" s="9" t="str">
        <f t="array" ref="IB55">IF(IB$11&gt;=0,MAX(INDEX(MMULT(inverseG,IA$12:IA$62),$A55+1,1),MAX(strike-$B55,0)),"")</f>
        <v/>
      </c>
      <c r="IC55" s="9" t="str">
        <f t="array" ref="IC55">IF(IC$11&gt;=0,MAX(INDEX(MMULT(inverseG,IB$12:IB$62),$A55+1,1),MAX(strike-$B55,0)),"")</f>
        <v/>
      </c>
      <c r="ID55" s="9" t="str">
        <f t="array" ref="ID55">IF(ID$11&gt;=0,MAX(INDEX(MMULT(inverseG,IC$12:IC$62),$A55+1,1),MAX(strike-$B55,0)),"")</f>
        <v/>
      </c>
      <c r="IE55" s="9" t="str">
        <f t="array" ref="IE55">IF(IE$11&gt;=0,MAX(INDEX(MMULT(inverseG,ID$12:ID$62),$A55+1,1),MAX(strike-$B55,0)),"")</f>
        <v/>
      </c>
      <c r="IF55" s="9" t="str">
        <f t="array" ref="IF55">IF(IF$11&gt;=0,MAX(INDEX(MMULT(inverseG,IE$12:IE$62),$A55+1,1),MAX(strike-$B55,0)),"")</f>
        <v/>
      </c>
      <c r="IG55" s="9" t="str">
        <f t="array" ref="IG55">IF(IG$11&gt;=0,MAX(INDEX(MMULT(inverseG,IF$12:IF$62),$A55+1,1),MAX(strike-$B55,0)),"")</f>
        <v/>
      </c>
      <c r="IH55" s="9" t="str">
        <f t="array" ref="IH55">IF(IH$11&gt;=0,MAX(INDEX(MMULT(inverseG,IG$12:IG$62),$A55+1,1),MAX(strike-$B55,0)),"")</f>
        <v/>
      </c>
      <c r="II55" s="9" t="str">
        <f t="array" ref="II55">IF(II$11&gt;=0,MAX(INDEX(MMULT(inverseG,IH$12:IH$62),$A55+1,1),MAX(strike-$B55,0)),"")</f>
        <v/>
      </c>
      <c r="IJ55" s="9" t="str">
        <f t="array" ref="IJ55">IF(IJ$11&gt;=0,MAX(INDEX(MMULT(inverseG,II$12:II$62),$A55+1,1),MAX(strike-$B55,0)),"")</f>
        <v/>
      </c>
      <c r="IK55" s="9" t="str">
        <f t="array" ref="IK55">IF(IK$11&gt;=0,MAX(INDEX(MMULT(inverseG,IJ$12:IJ$62),$A55+1,1),MAX(strike-$B55,0)),"")</f>
        <v/>
      </c>
      <c r="IL55" s="9" t="str">
        <f t="array" ref="IL55">IF(IL$11&gt;=0,MAX(INDEX(MMULT(inverseG,IK$12:IK$62),$A55+1,1),MAX(strike-$B55,0)),"")</f>
        <v/>
      </c>
      <c r="IM55" s="9" t="str">
        <f t="array" ref="IM55">IF(IM$11&gt;=0,MAX(INDEX(MMULT(inverseG,IL$12:IL$62),$A55+1,1),MAX(strike-$B55,0)),"")</f>
        <v/>
      </c>
      <c r="IN55" s="9" t="str">
        <f t="array" ref="IN55">IF(IN$11&gt;=0,MAX(INDEX(MMULT(inverseG,IM$12:IM$62),$A55+1,1),MAX(strike-$B55,0)),"")</f>
        <v/>
      </c>
      <c r="IO55" s="9" t="str">
        <f t="array" ref="IO55">IF(IO$11&gt;=0,MAX(INDEX(MMULT(inverseG,IN$12:IN$62),$A55+1,1),MAX(strike-$B55,0)),"")</f>
        <v/>
      </c>
      <c r="IP55" s="9" t="str">
        <f t="array" ref="IP55">IF(IP$11&gt;=0,MAX(INDEX(MMULT(inverseG,IO$12:IO$62),$A55+1,1),MAX(strike-$B55,0)),"")</f>
        <v/>
      </c>
      <c r="IQ55" s="9" t="str">
        <f t="array" ref="IQ55">IF(IQ$11&gt;=0,MAX(INDEX(MMULT(inverseG,IP$12:IP$62),$A55+1,1),MAX(strike-$B55,0)),"")</f>
        <v/>
      </c>
      <c r="IR55" s="9" t="str">
        <f t="array" ref="IR55">IF(IR$11&gt;=0,MAX(INDEX(MMULT(inverseG,IQ$12:IQ$62),$A55+1,1),MAX(strike-$B55,0)),"")</f>
        <v/>
      </c>
      <c r="IS55" s="9" t="str">
        <f t="array" ref="IS55">IF(IS$11&gt;=0,MAX(INDEX(MMULT(inverseG,IR$12:IR$62),$A55+1,1),MAX(strike-$B55,0)),"")</f>
        <v/>
      </c>
      <c r="IT55" s="9" t="str">
        <f t="array" ref="IT55">IF(IT$11&gt;=0,MAX(INDEX(MMULT(inverseG,IS$12:IS$62),$A55+1,1),MAX(strike-$B55,0)),"")</f>
        <v/>
      </c>
      <c r="IU55" s="9" t="str">
        <f t="array" ref="IU55">IF(IU$11&gt;=0,MAX(INDEX(MMULT(inverseG,IT$12:IT$62),$A55+1,1),MAX(strike-$B55,0)),"")</f>
        <v/>
      </c>
      <c r="IV55" s="9" t="str">
        <f t="array" ref="IV55">IF(IV$11&gt;=0,MAX(INDEX(MMULT(inverseG,IU$12:IU$62),$A55+1,1),MAX(strike-$B55,0)),"")</f>
        <v/>
      </c>
    </row>
    <row r="56" spans="1:256" x14ac:dyDescent="0.2">
      <c r="A56" s="8">
        <f t="shared" si="7"/>
        <v>44</v>
      </c>
      <c r="B56" s="6">
        <f t="shared" si="8"/>
        <v>11</v>
      </c>
      <c r="C56" s="30">
        <f t="shared" ca="1" si="6"/>
        <v>3.2197218948574566E-2</v>
      </c>
      <c r="D56" s="9">
        <f t="shared" si="9"/>
        <v>0</v>
      </c>
      <c r="E56" s="9">
        <f t="array" ref="E56">IF(E$11&gt;=0,MAX(INDEX(MMULT(inverseG,D$12:D$62),$A56+1,1),MAX(strike-$B56,0)),"")</f>
        <v>2.5278069015185651E-10</v>
      </c>
      <c r="F56" s="9">
        <f t="array" ref="F56">IF(F$11&gt;=0,MAX(INDEX(MMULT(inverseG,E$12:E$62),$A56+1,1),MAX(strike-$B56,0)),"")</f>
        <v>2.6961982743954312E-9</v>
      </c>
      <c r="G56" s="9">
        <f t="array" ref="G56">IF(G$11&gt;=0,MAX(INDEX(MMULT(inverseG,F$12:F$62),$A56+1,1),MAX(strike-$B56,0)),"")</f>
        <v>1.5230266627628716E-8</v>
      </c>
      <c r="H56" s="9">
        <f t="array" ref="H56">IF(H$11&gt;=0,MAX(INDEX(MMULT(inverseG,G$12:G$62),$A56+1,1),MAX(strike-$B56,0)),"")</f>
        <v>6.0647078526530403E-8</v>
      </c>
      <c r="I56" s="9">
        <f t="array" ref="I56">IF(I$11&gt;=0,MAX(INDEX(MMULT(inverseG,H$12:H$62),$A56+1,1),MAX(strike-$B56,0)),"")</f>
        <v>1.9120602095373701E-7</v>
      </c>
      <c r="J56" s="9">
        <f t="array" ref="J56">IF(J$11&gt;=0,MAX(INDEX(MMULT(inverseG,I$12:I$62),$A56+1,1),MAX(strike-$B56,0)),"")</f>
        <v>5.0830954348930379E-7</v>
      </c>
      <c r="K56" s="9">
        <f t="array" ref="K56">IF(K$11&gt;=0,MAX(INDEX(MMULT(inverseG,J$12:J$62),$A56+1,1),MAX(strike-$B56,0)),"")</f>
        <v>1.1851147003546892E-6</v>
      </c>
      <c r="L56" s="9">
        <f t="array" ref="L56">IF(L$11&gt;=0,MAX(INDEX(MMULT(inverseG,K$12:K$62),$A56+1,1),MAX(strike-$B56,0)),"")</f>
        <v>2.4888396732826456E-6</v>
      </c>
      <c r="M56" s="9">
        <f t="array" ref="M56">IF(M$11&gt;=0,MAX(INDEX(MMULT(inverseG,L$12:L$62),$A56+1,1),MAX(strike-$B56,0)),"")</f>
        <v>4.7993105014002627E-6</v>
      </c>
      <c r="N56" s="9">
        <f t="array" ref="N56">IF(N$11&gt;=0,MAX(INDEX(MMULT(inverseG,M$12:M$62),$A56+1,1),MAX(strike-$B56,0)),"")</f>
        <v>8.620894816163256E-6</v>
      </c>
      <c r="O56" s="9">
        <f t="array" ref="O56">IF(O$11&gt;=0,MAX(INDEX(MMULT(inverseG,N$12:N$62),$A56+1,1),MAX(strike-$B56,0)),"")</f>
        <v>1.4586096249287019E-5</v>
      </c>
      <c r="P56" s="9">
        <f t="array" ref="P56">IF(P$11&gt;=0,MAX(INDEX(MMULT(inverseG,O$12:O$62),$A56+1,1),MAX(strike-$B56,0)),"")</f>
        <v>2.3450373123247307E-5</v>
      </c>
      <c r="Q56" s="9">
        <f t="array" ref="Q56">IF(Q$11&gt;=0,MAX(INDEX(MMULT(inverseG,P$12:P$62),$A56+1,1),MAX(strike-$B56,0)),"")</f>
        <v>3.6078895950061113E-5</v>
      </c>
      <c r="R56" s="9">
        <f t="array" ref="R56">IF(R$11&gt;=0,MAX(INDEX(MMULT(inverseG,Q$12:Q$62),$A56+1,1),MAX(strike-$B56,0)),"")</f>
        <v>5.3426789375254743E-5</v>
      </c>
      <c r="S56" s="9">
        <f t="array" ref="S56">IF(S$11&gt;=0,MAX(INDEX(MMULT(inverseG,R$12:R$62),$A56+1,1),MAX(strike-$B56,0)),"")</f>
        <v>7.651485730669675E-5</v>
      </c>
      <c r="T56" s="9">
        <f t="array" ref="T56">IF(T$11&gt;=0,MAX(INDEX(MMULT(inverseG,S$12:S$62),$A56+1,1),MAX(strike-$B56,0)),"")</f>
        <v>1.064028974723816E-4</v>
      </c>
      <c r="U56" s="9">
        <f t="array" ref="U56">IF(U$11&gt;=0,MAX(INDEX(MMULT(inverseG,T$12:T$62),$A56+1,1),MAX(strike-$B56,0)),"")</f>
        <v>1.441625557175629E-4</v>
      </c>
      <c r="V56" s="9">
        <f t="array" ref="V56">IF(V$11&gt;=0,MAX(INDEX(MMULT(inverseG,U$12:U$62),$A56+1,1),MAX(strike-$B56,0)),"")</f>
        <v>1.9085134801532448E-4</v>
      </c>
      <c r="W56" s="9">
        <f t="array" ref="W56">IF(W$11&gt;=0,MAX(INDEX(MMULT(inverseG,V$12:V$62),$A56+1,1),MAX(strike-$B56,0)),"")</f>
        <v>2.4748907819214762E-4</v>
      </c>
      <c r="X56" s="9">
        <f t="array" ref="X56">IF(X$11&gt;=0,MAX(INDEX(MMULT(inverseG,W$12:W$62),$A56+1,1),MAX(strike-$B56,0)),"")</f>
        <v>3.1503747063265508E-4</v>
      </c>
      <c r="Y56" s="9">
        <f t="array" ref="Y56">IF(Y$11&gt;=0,MAX(INDEX(MMULT(inverseG,X$12:X$62),$A56+1,1),MAX(strike-$B56,0)),"")</f>
        <v>3.9438346568899832E-4</v>
      </c>
      <c r="Z56" s="9">
        <f t="array" ref="Z56">IF(Z$11&gt;=0,MAX(INDEX(MMULT(inverseG,Y$12:Y$62),$A56+1,1),MAX(strike-$B56,0)),"")</f>
        <v>4.8632631643918744E-4</v>
      </c>
      <c r="AA56" s="9">
        <f t="array" ref="AA56">IF(AA$11&gt;=0,MAX(INDEX(MMULT(inverseG,Z$12:Z$62),$A56+1,1),MAX(strike-$B56,0)),"")</f>
        <v>5.9156838797950291E-4</v>
      </c>
      <c r="AB56" s="9">
        <f t="array" ref="AB56">IF(AB$11&gt;=0,MAX(INDEX(MMULT(inverseG,AA$12:AA$62),$A56+1,1),MAX(strike-$B56,0)),"")</f>
        <v>7.1070939278082763E-4</v>
      </c>
      <c r="AC56" s="9">
        <f t="array" ref="AC56">IF(AC$11&gt;=0,MAX(INDEX(MMULT(inverseG,AB$12:AB$62),$A56+1,1),MAX(strike-$B56,0)),"")</f>
        <v>8.4424368952379402E-4</v>
      </c>
      <c r="AD56" s="9">
        <f t="array" ref="AD56">IF(AD$11&gt;=0,MAX(INDEX(MMULT(inverseG,AC$12:AC$62),$A56+1,1),MAX(strike-$B56,0)),"")</f>
        <v>9.9256021704693356E-4</v>
      </c>
      <c r="AE56" s="9">
        <f t="array" ref="AE56">IF(AE$11&gt;=0,MAX(INDEX(MMULT(inverseG,AD$12:AD$62),$A56+1,1),MAX(strike-$B56,0)),"")</f>
        <v>1.1559446178487027E-3</v>
      </c>
      <c r="AF56" s="9">
        <f t="array" ref="AF56">IF(AF$11&gt;=0,MAX(INDEX(MMULT(inverseG,AE$12:AE$62),$A56+1,1),MAX(strike-$B56,0)),"")</f>
        <v>1.3345831161366368E-3</v>
      </c>
      <c r="AG56" s="9">
        <f t="array" ref="AG56">IF(AG$11&gt;=0,MAX(INDEX(MMULT(inverseG,AF$12:AF$62),$A56+1,1),MAX(strike-$B56,0)),"")</f>
        <v>1.5285677444971503E-3</v>
      </c>
      <c r="AH56" s="9">
        <f t="array" ref="AH56">IF(AH$11&gt;=0,MAX(INDEX(MMULT(inverseG,AG$12:AG$62),$A56+1,1),MAX(strike-$B56,0)),"")</f>
        <v>1.7379025534980139E-3</v>
      </c>
      <c r="AI56" s="9">
        <f t="array" ref="AI56">IF(AI$11&gt;=0,MAX(INDEX(MMULT(inverseG,AH$12:AH$62),$A56+1,1),MAX(strike-$B56,0)),"")</f>
        <v>1.9625104843374892E-3</v>
      </c>
      <c r="AJ56" s="9">
        <f t="array" ref="AJ56">IF(AJ$11&gt;=0,MAX(INDEX(MMULT(inverseG,AI$12:AI$62),$A56+1,1),MAX(strike-$B56,0)),"")</f>
        <v>2.2022406319739266E-3</v>
      </c>
      <c r="AK56" s="9">
        <f t="array" ref="AK56">IF(AK$11&gt;=0,MAX(INDEX(MMULT(inverseG,AJ$12:AJ$62),$A56+1,1),MAX(strike-$B56,0)),"")</f>
        <v>2.4568756722310064E-3</v>
      </c>
      <c r="AL56" s="9">
        <f t="array" ref="AL56">IF(AL$11&gt;=0,MAX(INDEX(MMULT(inverseG,AK$12:AK$62),$A56+1,1),MAX(strike-$B56,0)),"")</f>
        <v>2.726139269391626E-3</v>
      </c>
      <c r="AM56" s="9">
        <f t="array" ref="AM56">IF(AM$11&gt;=0,MAX(INDEX(MMULT(inverseG,AL$12:AL$62),$A56+1,1),MAX(strike-$B56,0)),"")</f>
        <v>3.009703319727709E-3</v>
      </c>
      <c r="AN56" s="9">
        <f t="array" ref="AN56">IF(AN$11&gt;=0,MAX(INDEX(MMULT(inverseG,AM$12:AM$62),$A56+1,1),MAX(strike-$B56,0)),"")</f>
        <v>3.3071949207644316E-3</v>
      </c>
      <c r="AO56" s="9">
        <f t="array" ref="AO56">IF(AO$11&gt;=0,MAX(INDEX(MMULT(inverseG,AN$12:AN$62),$A56+1,1),MAX(strike-$B56,0)),"")</f>
        <v>3.6182029857259454E-3</v>
      </c>
      <c r="AP56" s="9">
        <f t="array" ref="AP56">IF(AP$11&gt;=0,MAX(INDEX(MMULT(inverseG,AO$12:AO$62),$A56+1,1),MAX(strike-$B56,0)),"")</f>
        <v>3.942284447694103E-3</v>
      </c>
      <c r="AQ56" s="9">
        <f t="array" ref="AQ56">IF(AQ$11&gt;=0,MAX(INDEX(MMULT(inverseG,AP$12:AP$62),$A56+1,1),MAX(strike-$B56,0)),"")</f>
        <v>4.2789700188377291E-3</v>
      </c>
      <c r="AR56" s="9">
        <f t="array" ref="AR56">IF(AR$11&gt;=0,MAX(INDEX(MMULT(inverseG,AQ$12:AQ$62),$A56+1,1),MAX(strike-$B56,0)),"")</f>
        <v>4.6277694870418369E-3</v>
      </c>
      <c r="AS56" s="9">
        <f t="array" ref="AS56">IF(AS$11&gt;=0,MAX(INDEX(MMULT(inverseG,AR$12:AR$62),$A56+1,1),MAX(strike-$B56,0)),"")</f>
        <v>4.9881765458309061E-3</v>
      </c>
      <c r="AT56" s="9">
        <f t="array" ref="AT56">IF(AT$11&gt;=0,MAX(INDEX(MMULT(inverseG,AS$12:AS$62),$A56+1,1),MAX(strike-$B56,0)),"")</f>
        <v>5.3596731640864516E-3</v>
      </c>
      <c r="AU56" s="9">
        <f t="array" ref="AU56">IF(AU$11&gt;=0,MAX(INDEX(MMULT(inverseG,AT$12:AT$62),$A56+1,1),MAX(strike-$B56,0)),"")</f>
        <v>5.7417335101269023E-3</v>
      </c>
      <c r="AV56" s="9">
        <f t="array" ref="AV56">IF(AV$11&gt;=0,MAX(INDEX(MMULT(inverseG,AU$12:AU$62),$A56+1,1),MAX(strike-$B56,0)),"")</f>
        <v>6.1338274506257231E-3</v>
      </c>
      <c r="AW56" s="9">
        <f t="array" ref="AW56">IF(AW$11&gt;=0,MAX(INDEX(MMULT(inverseG,AV$12:AV$62),$A56+1,1),MAX(strike-$B56,0)),"")</f>
        <v>6.5354236489259011E-3</v>
      </c>
      <c r="AX56" s="9">
        <f t="array" ref="AX56">IF(AX$11&gt;=0,MAX(INDEX(MMULT(inverseG,AW$12:AW$62),$A56+1,1),MAX(strike-$B56,0)),"")</f>
        <v>6.9459922898616423E-3</v>
      </c>
      <c r="AY56" s="9">
        <f t="array" ref="AY56">IF(AY$11&gt;=0,MAX(INDEX(MMULT(inverseG,AX$12:AX$62),$A56+1,1),MAX(strike-$B56,0)),"")</f>
        <v>7.3650074594880932E-3</v>
      </c>
      <c r="AZ56" s="9">
        <f t="array" ref="AZ56">IF(AZ$11&gt;=0,MAX(INDEX(MMULT(inverseG,AY$12:AY$62),$A56+1,1),MAX(strike-$B56,0)),"")</f>
        <v>7.7919492083920235E-3</v>
      </c>
      <c r="BA56" s="9">
        <f t="array" ref="BA56">IF(BA$11&gt;=0,MAX(INDEX(MMULT(inverseG,AZ$12:AZ$62),$A56+1,1),MAX(strike-$B56,0)),"")</f>
        <v>8.226305326736412E-3</v>
      </c>
      <c r="BB56" s="9">
        <f t="array" ref="BB56">IF(BB$11&gt;=0,MAX(INDEX(MMULT(inverseG,BA$12:BA$62),$A56+1,1),MAX(strike-$B56,0)),"")</f>
        <v>8.6675728580867962E-3</v>
      </c>
      <c r="BC56" s="9">
        <f t="array" ref="BC56">IF(BC$11&gt;=0,MAX(INDEX(MMULT(inverseG,BB$12:BB$62),$A56+1,1),MAX(strike-$B56,0)),"")</f>
        <v>9.115259377561585E-3</v>
      </c>
      <c r="BD56" s="9">
        <f t="array" ref="BD56">IF(BD$11&gt;=0,MAX(INDEX(MMULT(inverseG,BC$12:BC$62),$A56+1,1),MAX(strike-$B56,0)),"")</f>
        <v>9.5688840581015702E-3</v>
      </c>
      <c r="BE56" s="9">
        <f t="array" ref="BE56">IF(BE$11&gt;=0,MAX(INDEX(MMULT(inverseG,BD$12:BD$62),$A56+1,1),MAX(strike-$B56,0)),"")</f>
        <v>1.002797854679598E-2</v>
      </c>
      <c r="BF56" s="9">
        <f t="array" ref="BF56">IF(BF$11&gt;=0,MAX(INDEX(MMULT(inverseG,BE$12:BE$62),$A56+1,1),MAX(strike-$B56,0)),"")</f>
        <v>1.0492087671335006E-2</v>
      </c>
      <c r="BG56" s="9">
        <f t="array" ref="BG56">IF(BG$11&gt;=0,MAX(INDEX(MMULT(inverseG,BF$12:BF$62),$A56+1,1),MAX(strike-$B56,0)),"")</f>
        <v>1.0960769994854536E-2</v>
      </c>
      <c r="BH56" s="9">
        <f t="array" ref="BH56">IF(BH$11&gt;=0,MAX(INDEX(MMULT(inverseG,BG$12:BG$62),$A56+1,1),MAX(strike-$B56,0)),"")</f>
        <v>1.1433598235745596E-2</v>
      </c>
      <c r="BI56" s="9">
        <f t="array" ref="BI56">IF(BI$11&gt;=0,MAX(INDEX(MMULT(inverseG,BH$12:BH$62),$A56+1,1),MAX(strike-$B56,0)),"")</f>
        <v>1.1910159567444433E-2</v>
      </c>
      <c r="BJ56" s="9">
        <f t="array" ref="BJ56">IF(BJ$11&gt;=0,MAX(INDEX(MMULT(inverseG,BI$12:BI$62),$A56+1,1),MAX(strike-$B56,0)),"")</f>
        <v>1.2390055811809542E-2</v>
      </c>
      <c r="BK56" s="9">
        <f t="array" ref="BK56">IF(BK$11&gt;=0,MAX(INDEX(MMULT(inverseG,BJ$12:BJ$62),$A56+1,1),MAX(strike-$B56,0)),"")</f>
        <v>1.2872903538425977E-2</v>
      </c>
      <c r="BL56" s="9">
        <f t="array" ref="BL56">IF(BL$11&gt;=0,MAX(INDEX(MMULT(inverseG,BK$12:BK$62),$A56+1,1),MAX(strike-$B56,0)),"")</f>
        <v>1.3358334081045642E-2</v>
      </c>
      <c r="BM56" s="9">
        <f t="array" ref="BM56">IF(BM$11&gt;=0,MAX(INDEX(MMULT(inverseG,BL$12:BL$62),$A56+1,1),MAX(strike-$B56,0)),"")</f>
        <v>1.3845993481359764E-2</v>
      </c>
      <c r="BN56" s="9">
        <f t="array" ref="BN56">IF(BN$11&gt;=0,MAX(INDEX(MMULT(inverseG,BM$12:BM$62),$A56+1,1),MAX(strike-$B56,0)),"")</f>
        <v>1.4335542369390886E-2</v>
      </c>
      <c r="BO56" s="9">
        <f t="array" ref="BO56">IF(BO$11&gt;=0,MAX(INDEX(MMULT(inverseG,BN$12:BN$62),$A56+1,1),MAX(strike-$B56,0)),"")</f>
        <v>1.4826655788970591E-2</v>
      </c>
      <c r="BP56" s="9">
        <f t="array" ref="BP56">IF(BP$11&gt;=0,MAX(INDEX(MMULT(inverseG,BO$12:BO$62),$A56+1,1),MAX(strike-$B56,0)),"")</f>
        <v>1.5319022976021413E-2</v>
      </c>
      <c r="BQ56" s="9">
        <f t="array" ref="BQ56">IF(BQ$11&gt;=0,MAX(INDEX(MMULT(inverseG,BP$12:BP$62),$A56+1,1),MAX(strike-$B56,0)),"")</f>
        <v>1.5812347096675266E-2</v>
      </c>
      <c r="BR56" s="9">
        <f t="array" ref="BR56">IF(BR$11&gt;=0,MAX(INDEX(MMULT(inverseG,BQ$12:BQ$62),$A56+1,1),MAX(strike-$B56,0)),"")</f>
        <v>1.6306344951626271E-2</v>
      </c>
      <c r="BS56" s="9">
        <f t="array" ref="BS56">IF(BS$11&gt;=0,MAX(INDEX(MMULT(inverseG,BR$12:BR$62),$A56+1,1),MAX(strike-$B56,0)),"")</f>
        <v>1.6800746652525459E-2</v>
      </c>
      <c r="BT56" s="9">
        <f t="array" ref="BT56">IF(BT$11&gt;=0,MAX(INDEX(MMULT(inverseG,BS$12:BS$62),$A56+1,1),MAX(strike-$B56,0)),"")</f>
        <v>1.7295295275673382E-2</v>
      </c>
      <c r="BU56" s="9">
        <f t="array" ref="BU56">IF(BU$11&gt;=0,MAX(INDEX(MMULT(inverseG,BT$12:BT$62),$A56+1,1),MAX(strike-$B56,0)),"")</f>
        <v>1.7789746497749864E-2</v>
      </c>
      <c r="BV56" s="9">
        <f t="array" ref="BV56">IF(BV$11&gt;=0,MAX(INDEX(MMULT(inverseG,BU$12:BU$62),$A56+1,1),MAX(strike-$B56,0)),"")</f>
        <v>1.8283868217835592E-2</v>
      </c>
      <c r="BW56" s="9">
        <f t="array" ref="BW56">IF(BW$11&gt;=0,MAX(INDEX(MMULT(inverseG,BV$12:BV$62),$A56+1,1),MAX(strike-$B56,0)),"")</f>
        <v>1.877744016952651E-2</v>
      </c>
      <c r="BX56" s="9">
        <f t="array" ref="BX56">IF(BX$11&gt;=0,MAX(INDEX(MMULT(inverseG,BW$12:BW$62),$A56+1,1),MAX(strike-$B56,0)),"")</f>
        <v>1.9270253526517293E-2</v>
      </c>
      <c r="BY56" s="9">
        <f t="array" ref="BY56">IF(BY$11&gt;=0,MAX(INDEX(MMULT(inverseG,BX$12:BX$62),$A56+1,1),MAX(strike-$B56,0)),"")</f>
        <v>1.9762110504634785E-2</v>
      </c>
      <c r="BZ56" s="9">
        <f t="array" ref="BZ56">IF(BZ$11&gt;=0,MAX(INDEX(MMULT(inverseG,BY$12:BY$62),$A56+1,1),MAX(strike-$B56,0)),"")</f>
        <v>2.0252823962934929E-2</v>
      </c>
      <c r="CA56" s="9">
        <f t="array" ref="CA56">IF(CA$11&gt;=0,MAX(INDEX(MMULT(inverseG,BZ$12:BZ$62),$A56+1,1),MAX(strike-$B56,0)),"")</f>
        <v>2.0742217006137015E-2</v>
      </c>
      <c r="CB56" s="9">
        <f t="array" ref="CB56">IF(CB$11&gt;=0,MAX(INDEX(MMULT(inverseG,CA$12:CA$62),$A56+1,1),MAX(strike-$B56,0)),"")</f>
        <v>2.1230122590356899E-2</v>
      </c>
      <c r="CC56" s="9">
        <f t="array" ref="CC56">IF(CC$11&gt;=0,MAX(INDEX(MMULT(inverseG,CB$12:CB$62),$A56+1,1),MAX(strike-$B56,0)),"")</f>
        <v>2.1716383133814972E-2</v>
      </c>
      <c r="CD56" s="9">
        <f t="array" ref="CD56">IF(CD$11&gt;=0,MAX(INDEX(MMULT(inverseG,CC$12:CC$62),$A56+1,1),MAX(strike-$B56,0)),"")</f>
        <v>2.2200850133934327E-2</v>
      </c>
      <c r="CE56" s="9">
        <f t="array" ref="CE56">IF(CE$11&gt;=0,MAX(INDEX(MMULT(inverseG,CD$12:CD$62),$A56+1,1),MAX(strike-$B56,0)),"")</f>
        <v>2.2683383792009272E-2</v>
      </c>
      <c r="CF56" s="9">
        <f t="array" ref="CF56">IF(CF$11&gt;=0,MAX(INDEX(MMULT(inverseG,CE$12:CE$62),$A56+1,1),MAX(strike-$B56,0)),"")</f>
        <v>2.3163852646412197E-2</v>
      </c>
      <c r="CG56" s="9">
        <f t="array" ref="CG56">IF(CG$11&gt;=0,MAX(INDEX(MMULT(inverseG,CF$12:CF$62),$A56+1,1),MAX(strike-$B56,0)),"")</f>
        <v>2.3642133215117236E-2</v>
      </c>
      <c r="CH56" s="9">
        <f t="array" ref="CH56">IF(CH$11&gt;=0,MAX(INDEX(MMULT(inverseG,CG$12:CG$62),$A56+1,1),MAX(strike-$B56,0)),"")</f>
        <v>2.4118109648150383E-2</v>
      </c>
      <c r="CI56" s="9">
        <f t="array" ref="CI56">IF(CI$11&gt;=0,MAX(INDEX(MMULT(inverseG,CH$12:CH$62),$A56+1,1),MAX(strike-$B56,0)),"")</f>
        <v>2.4591673390426585E-2</v>
      </c>
      <c r="CJ56" s="9">
        <f t="array" ref="CJ56">IF(CJ$11&gt;=0,MAX(INDEX(MMULT(inverseG,CI$12:CI$62),$A56+1,1),MAX(strike-$B56,0)),"")</f>
        <v>2.5062722855303313E-2</v>
      </c>
      <c r="CK56" s="9">
        <f t="array" ref="CK56">IF(CK$11&gt;=0,MAX(INDEX(MMULT(inverseG,CJ$12:CJ$62),$A56+1,1),MAX(strike-$B56,0)),"")</f>
        <v>2.5531163109065707E-2</v>
      </c>
      <c r="CL56" s="9">
        <f t="array" ref="CL56">IF(CL$11&gt;=0,MAX(INDEX(MMULT(inverseG,CK$12:CK$62),$A56+1,1),MAX(strike-$B56,0)),"")</f>
        <v>2.5996905566459418E-2</v>
      </c>
      <c r="CM56" s="9">
        <f t="array" ref="CM56">IF(CM$11&gt;=0,MAX(INDEX(MMULT(inverseG,CL$12:CL$62),$A56+1,1),MAX(strike-$B56,0)),"")</f>
        <v>2.6459867697301916E-2</v>
      </c>
      <c r="CN56" s="9">
        <f t="array" ref="CN56">IF(CN$11&gt;=0,MAX(INDEX(MMULT(inverseG,CM$12:CM$62),$A56+1,1),MAX(strike-$B56,0)),"")</f>
        <v>2.6919972744130591E-2</v>
      </c>
      <c r="CO56" s="9">
        <f t="array" ref="CO56">IF(CO$11&gt;=0,MAX(INDEX(MMULT(inverseG,CN$12:CN$62),$A56+1,1),MAX(strike-$B56,0)),"")</f>
        <v>2.7377149450784521E-2</v>
      </c>
      <c r="CP56" s="9">
        <f t="array" ref="CP56">IF(CP$11&gt;=0,MAX(INDEX(MMULT(inverseG,CO$12:CO$62),$A56+1,1),MAX(strike-$B56,0)),"")</f>
        <v>2.7831331801765381E-2</v>
      </c>
      <c r="CQ56" s="9">
        <f t="array" ref="CQ56">IF(CQ$11&gt;=0,MAX(INDEX(MMULT(inverseG,CP$12:CP$62),$A56+1,1),MAX(strike-$B56,0)),"")</f>
        <v>2.8282458772180909E-2</v>
      </c>
      <c r="CR56" s="9">
        <f t="array" ref="CR56">IF(CR$11&gt;=0,MAX(INDEX(MMULT(inverseG,CQ$12:CQ$62),$A56+1,1),MAX(strike-$B56,0)),"")</f>
        <v>2.8730474088039835E-2</v>
      </c>
      <c r="CS56" s="9">
        <f t="array" ref="CS56">IF(CS$11&gt;=0,MAX(INDEX(MMULT(inverseG,CR$12:CR$62),$A56+1,1),MAX(strike-$B56,0)),"")</f>
        <v>2.9175325996639686E-2</v>
      </c>
      <c r="CT56" s="9">
        <f t="array" ref="CT56">IF(CT$11&gt;=0,MAX(INDEX(MMULT(inverseG,CS$12:CS$62),$A56+1,1),MAX(strike-$B56,0)),"")</f>
        <v>2.9616967046768135E-2</v>
      </c>
      <c r="CU56" s="9">
        <f t="array" ref="CU56">IF(CU$11&gt;=0,MAX(INDEX(MMULT(inverseG,CT$12:CT$62),$A56+1,1),MAX(strike-$B56,0)),"")</f>
        <v>3.0055353878423421E-2</v>
      </c>
      <c r="CV56" s="9">
        <f t="array" ref="CV56">IF(CV$11&gt;=0,MAX(INDEX(MMULT(inverseG,CU$12:CU$62),$A56+1,1),MAX(strike-$B56,0)),"")</f>
        <v>3.0490447021751303E-2</v>
      </c>
      <c r="CW56" s="9">
        <f t="array" ref="CW56">IF(CW$11&gt;=0,MAX(INDEX(MMULT(inverseG,CV$12:CV$62),$A56+1,1),MAX(strike-$B56,0)),"")</f>
        <v>3.09222107048953E-2</v>
      </c>
      <c r="CX56" s="9">
        <f t="array" ref="CX56">IF(CX$11&gt;=0,MAX(INDEX(MMULT(inverseG,CW$12:CW$62),$A56+1,1),MAX(strike-$B56,0)),"")</f>
        <v>3.1350612670464913E-2</v>
      </c>
      <c r="CY56" s="9">
        <f t="array" ref="CY56">IF(CY$11&gt;=0,MAX(INDEX(MMULT(inverseG,CX$12:CX$62),$A56+1,1),MAX(strike-$B56,0)),"")</f>
        <v>3.1775624000342707E-2</v>
      </c>
      <c r="CZ56" s="9">
        <f t="array" ref="CZ56">IF(CZ$11&gt;=0,MAX(INDEX(MMULT(inverseG,CY$12:CY$62),$A56+1,1),MAX(strike-$B56,0)),"")</f>
        <v>3.2197218948574566E-2</v>
      </c>
      <c r="DA56" s="9" t="str">
        <f t="array" ref="DA56">IF(DA$11&gt;=0,MAX(INDEX(MMULT(inverseG,CZ$12:CZ$62),$A56+1,1),MAX(strike-$B56,0)),"")</f>
        <v/>
      </c>
      <c r="DB56" s="9" t="str">
        <f t="array" ref="DB56">IF(DB$11&gt;=0,MAX(INDEX(MMULT(inverseG,DA$12:DA$62),$A56+1,1),MAX(strike-$B56,0)),"")</f>
        <v/>
      </c>
      <c r="DC56" s="9" t="str">
        <f t="array" ref="DC56">IF(DC$11&gt;=0,MAX(INDEX(MMULT(inverseG,DB$12:DB$62),$A56+1,1),MAX(strike-$B56,0)),"")</f>
        <v/>
      </c>
      <c r="DD56" s="9" t="str">
        <f t="array" ref="DD56">IF(DD$11&gt;=0,MAX(INDEX(MMULT(inverseG,DC$12:DC$62),$A56+1,1),MAX(strike-$B56,0)),"")</f>
        <v/>
      </c>
      <c r="DE56" s="9" t="str">
        <f t="array" ref="DE56">IF(DE$11&gt;=0,MAX(INDEX(MMULT(inverseG,DD$12:DD$62),$A56+1,1),MAX(strike-$B56,0)),"")</f>
        <v/>
      </c>
      <c r="DF56" s="9" t="str">
        <f t="array" ref="DF56">IF(DF$11&gt;=0,MAX(INDEX(MMULT(inverseG,DE$12:DE$62),$A56+1,1),MAX(strike-$B56,0)),"")</f>
        <v/>
      </c>
      <c r="DG56" s="9" t="str">
        <f t="array" ref="DG56">IF(DG$11&gt;=0,MAX(INDEX(MMULT(inverseG,DF$12:DF$62),$A56+1,1),MAX(strike-$B56,0)),"")</f>
        <v/>
      </c>
      <c r="DH56" s="9" t="str">
        <f t="array" ref="DH56">IF(DH$11&gt;=0,MAX(INDEX(MMULT(inverseG,DG$12:DG$62),$A56+1,1),MAX(strike-$B56,0)),"")</f>
        <v/>
      </c>
      <c r="DI56" s="9" t="str">
        <f t="array" ref="DI56">IF(DI$11&gt;=0,MAX(INDEX(MMULT(inverseG,DH$12:DH$62),$A56+1,1),MAX(strike-$B56,0)),"")</f>
        <v/>
      </c>
      <c r="DJ56" s="9" t="str">
        <f t="array" ref="DJ56">IF(DJ$11&gt;=0,MAX(INDEX(MMULT(inverseG,DI$12:DI$62),$A56+1,1),MAX(strike-$B56,0)),"")</f>
        <v/>
      </c>
      <c r="DK56" s="9" t="str">
        <f t="array" ref="DK56">IF(DK$11&gt;=0,MAX(INDEX(MMULT(inverseG,DJ$12:DJ$62),$A56+1,1),MAX(strike-$B56,0)),"")</f>
        <v/>
      </c>
      <c r="DL56" s="9" t="str">
        <f t="array" ref="DL56">IF(DL$11&gt;=0,MAX(INDEX(MMULT(inverseG,DK$12:DK$62),$A56+1,1),MAX(strike-$B56,0)),"")</f>
        <v/>
      </c>
      <c r="DM56" s="9" t="str">
        <f t="array" ref="DM56">IF(DM$11&gt;=0,MAX(INDEX(MMULT(inverseG,DL$12:DL$62),$A56+1,1),MAX(strike-$B56,0)),"")</f>
        <v/>
      </c>
      <c r="DN56" s="9" t="str">
        <f t="array" ref="DN56">IF(DN$11&gt;=0,MAX(INDEX(MMULT(inverseG,DM$12:DM$62),$A56+1,1),MAX(strike-$B56,0)),"")</f>
        <v/>
      </c>
      <c r="DO56" s="9" t="str">
        <f t="array" ref="DO56">IF(DO$11&gt;=0,MAX(INDEX(MMULT(inverseG,DN$12:DN$62),$A56+1,1),MAX(strike-$B56,0)),"")</f>
        <v/>
      </c>
      <c r="DP56" s="9" t="str">
        <f t="array" ref="DP56">IF(DP$11&gt;=0,MAX(INDEX(MMULT(inverseG,DO$12:DO$62),$A56+1,1),MAX(strike-$B56,0)),"")</f>
        <v/>
      </c>
      <c r="DQ56" s="9" t="str">
        <f t="array" ref="DQ56">IF(DQ$11&gt;=0,MAX(INDEX(MMULT(inverseG,DP$12:DP$62),$A56+1,1),MAX(strike-$B56,0)),"")</f>
        <v/>
      </c>
      <c r="DR56" s="9" t="str">
        <f t="array" ref="DR56">IF(DR$11&gt;=0,MAX(INDEX(MMULT(inverseG,DQ$12:DQ$62),$A56+1,1),MAX(strike-$B56,0)),"")</f>
        <v/>
      </c>
      <c r="DS56" s="9" t="str">
        <f t="array" ref="DS56">IF(DS$11&gt;=0,MAX(INDEX(MMULT(inverseG,DR$12:DR$62),$A56+1,1),MAX(strike-$B56,0)),"")</f>
        <v/>
      </c>
      <c r="DT56" s="9" t="str">
        <f t="array" ref="DT56">IF(DT$11&gt;=0,MAX(INDEX(MMULT(inverseG,DS$12:DS$62),$A56+1,1),MAX(strike-$B56,0)),"")</f>
        <v/>
      </c>
      <c r="DU56" s="9" t="str">
        <f t="array" ref="DU56">IF(DU$11&gt;=0,MAX(INDEX(MMULT(inverseG,DT$12:DT$62),$A56+1,1),MAX(strike-$B56,0)),"")</f>
        <v/>
      </c>
      <c r="DV56" s="9" t="str">
        <f t="array" ref="DV56">IF(DV$11&gt;=0,MAX(INDEX(MMULT(inverseG,DU$12:DU$62),$A56+1,1),MAX(strike-$B56,0)),"")</f>
        <v/>
      </c>
      <c r="DW56" s="9" t="str">
        <f t="array" ref="DW56">IF(DW$11&gt;=0,MAX(INDEX(MMULT(inverseG,DV$12:DV$62),$A56+1,1),MAX(strike-$B56,0)),"")</f>
        <v/>
      </c>
      <c r="DX56" s="9" t="str">
        <f t="array" ref="DX56">IF(DX$11&gt;=0,MAX(INDEX(MMULT(inverseG,DW$12:DW$62),$A56+1,1),MAX(strike-$B56,0)),"")</f>
        <v/>
      </c>
      <c r="DY56" s="9" t="str">
        <f t="array" ref="DY56">IF(DY$11&gt;=0,MAX(INDEX(MMULT(inverseG,DX$12:DX$62),$A56+1,1),MAX(strike-$B56,0)),"")</f>
        <v/>
      </c>
      <c r="DZ56" s="9" t="str">
        <f t="array" ref="DZ56">IF(DZ$11&gt;=0,MAX(INDEX(MMULT(inverseG,DY$12:DY$62),$A56+1,1),MAX(strike-$B56,0)),"")</f>
        <v/>
      </c>
      <c r="EA56" s="9" t="str">
        <f t="array" ref="EA56">IF(EA$11&gt;=0,MAX(INDEX(MMULT(inverseG,DZ$12:DZ$62),$A56+1,1),MAX(strike-$B56,0)),"")</f>
        <v/>
      </c>
      <c r="EB56" s="9" t="str">
        <f t="array" ref="EB56">IF(EB$11&gt;=0,MAX(INDEX(MMULT(inverseG,EA$12:EA$62),$A56+1,1),MAX(strike-$B56,0)),"")</f>
        <v/>
      </c>
      <c r="EC56" s="9" t="str">
        <f t="array" ref="EC56">IF(EC$11&gt;=0,MAX(INDEX(MMULT(inverseG,EB$12:EB$62),$A56+1,1),MAX(strike-$B56,0)),"")</f>
        <v/>
      </c>
      <c r="ED56" s="9" t="str">
        <f t="array" ref="ED56">IF(ED$11&gt;=0,MAX(INDEX(MMULT(inverseG,EC$12:EC$62),$A56+1,1),MAX(strike-$B56,0)),"")</f>
        <v/>
      </c>
      <c r="EE56" s="9" t="str">
        <f t="array" ref="EE56">IF(EE$11&gt;=0,MAX(INDEX(MMULT(inverseG,ED$12:ED$62),$A56+1,1),MAX(strike-$B56,0)),"")</f>
        <v/>
      </c>
      <c r="EF56" s="9" t="str">
        <f t="array" ref="EF56">IF(EF$11&gt;=0,MAX(INDEX(MMULT(inverseG,EE$12:EE$62),$A56+1,1),MAX(strike-$B56,0)),"")</f>
        <v/>
      </c>
      <c r="EG56" s="9" t="str">
        <f t="array" ref="EG56">IF(EG$11&gt;=0,MAX(INDEX(MMULT(inverseG,EF$12:EF$62),$A56+1,1),MAX(strike-$B56,0)),"")</f>
        <v/>
      </c>
      <c r="EH56" s="9" t="str">
        <f t="array" ref="EH56">IF(EH$11&gt;=0,MAX(INDEX(MMULT(inverseG,EG$12:EG$62),$A56+1,1),MAX(strike-$B56,0)),"")</f>
        <v/>
      </c>
      <c r="EI56" s="9" t="str">
        <f t="array" ref="EI56">IF(EI$11&gt;=0,MAX(INDEX(MMULT(inverseG,EH$12:EH$62),$A56+1,1),MAX(strike-$B56,0)),"")</f>
        <v/>
      </c>
      <c r="EJ56" s="9" t="str">
        <f t="array" ref="EJ56">IF(EJ$11&gt;=0,MAX(INDEX(MMULT(inverseG,EI$12:EI$62),$A56+1,1),MAX(strike-$B56,0)),"")</f>
        <v/>
      </c>
      <c r="EK56" s="9" t="str">
        <f t="array" ref="EK56">IF(EK$11&gt;=0,MAX(INDEX(MMULT(inverseG,EJ$12:EJ$62),$A56+1,1),MAX(strike-$B56,0)),"")</f>
        <v/>
      </c>
      <c r="EL56" s="9" t="str">
        <f t="array" ref="EL56">IF(EL$11&gt;=0,MAX(INDEX(MMULT(inverseG,EK$12:EK$62),$A56+1,1),MAX(strike-$B56,0)),"")</f>
        <v/>
      </c>
      <c r="EM56" s="9" t="str">
        <f t="array" ref="EM56">IF(EM$11&gt;=0,MAX(INDEX(MMULT(inverseG,EL$12:EL$62),$A56+1,1),MAX(strike-$B56,0)),"")</f>
        <v/>
      </c>
      <c r="EN56" s="9" t="str">
        <f t="array" ref="EN56">IF(EN$11&gt;=0,MAX(INDEX(MMULT(inverseG,EM$12:EM$62),$A56+1,1),MAX(strike-$B56,0)),"")</f>
        <v/>
      </c>
      <c r="EO56" s="9" t="str">
        <f t="array" ref="EO56">IF(EO$11&gt;=0,MAX(INDEX(MMULT(inverseG,EN$12:EN$62),$A56+1,1),MAX(strike-$B56,0)),"")</f>
        <v/>
      </c>
      <c r="EP56" s="9" t="str">
        <f t="array" ref="EP56">IF(EP$11&gt;=0,MAX(INDEX(MMULT(inverseG,EO$12:EO$62),$A56+1,1),MAX(strike-$B56,0)),"")</f>
        <v/>
      </c>
      <c r="EQ56" s="9" t="str">
        <f t="array" ref="EQ56">IF(EQ$11&gt;=0,MAX(INDEX(MMULT(inverseG,EP$12:EP$62),$A56+1,1),MAX(strike-$B56,0)),"")</f>
        <v/>
      </c>
      <c r="ER56" s="9" t="str">
        <f t="array" ref="ER56">IF(ER$11&gt;=0,MAX(INDEX(MMULT(inverseG,EQ$12:EQ$62),$A56+1,1),MAX(strike-$B56,0)),"")</f>
        <v/>
      </c>
      <c r="ES56" s="9" t="str">
        <f t="array" ref="ES56">IF(ES$11&gt;=0,MAX(INDEX(MMULT(inverseG,ER$12:ER$62),$A56+1,1),MAX(strike-$B56,0)),"")</f>
        <v/>
      </c>
      <c r="ET56" s="9" t="str">
        <f t="array" ref="ET56">IF(ET$11&gt;=0,MAX(INDEX(MMULT(inverseG,ES$12:ES$62),$A56+1,1),MAX(strike-$B56,0)),"")</f>
        <v/>
      </c>
      <c r="EU56" s="9" t="str">
        <f t="array" ref="EU56">IF(EU$11&gt;=0,MAX(INDEX(MMULT(inverseG,ET$12:ET$62),$A56+1,1),MAX(strike-$B56,0)),"")</f>
        <v/>
      </c>
      <c r="EV56" s="9" t="str">
        <f t="array" ref="EV56">IF(EV$11&gt;=0,MAX(INDEX(MMULT(inverseG,EU$12:EU$62),$A56+1,1),MAX(strike-$B56,0)),"")</f>
        <v/>
      </c>
      <c r="EW56" s="9" t="str">
        <f t="array" ref="EW56">IF(EW$11&gt;=0,MAX(INDEX(MMULT(inverseG,EV$12:EV$62),$A56+1,1),MAX(strike-$B56,0)),"")</f>
        <v/>
      </c>
      <c r="EX56" s="9" t="str">
        <f t="array" ref="EX56">IF(EX$11&gt;=0,MAX(INDEX(MMULT(inverseG,EW$12:EW$62),$A56+1,1),MAX(strike-$B56,0)),"")</f>
        <v/>
      </c>
      <c r="EY56" s="9" t="str">
        <f t="array" ref="EY56">IF(EY$11&gt;=0,MAX(INDEX(MMULT(inverseG,EX$12:EX$62),$A56+1,1),MAX(strike-$B56,0)),"")</f>
        <v/>
      </c>
      <c r="EZ56" s="9" t="str">
        <f t="array" ref="EZ56">IF(EZ$11&gt;=0,MAX(INDEX(MMULT(inverseG,EY$12:EY$62),$A56+1,1),MAX(strike-$B56,0)),"")</f>
        <v/>
      </c>
      <c r="FA56" s="9" t="str">
        <f t="array" ref="FA56">IF(FA$11&gt;=0,MAX(INDEX(MMULT(inverseG,EZ$12:EZ$62),$A56+1,1),MAX(strike-$B56,0)),"")</f>
        <v/>
      </c>
      <c r="FB56" s="9" t="str">
        <f t="array" ref="FB56">IF(FB$11&gt;=0,MAX(INDEX(MMULT(inverseG,FA$12:FA$62),$A56+1,1),MAX(strike-$B56,0)),"")</f>
        <v/>
      </c>
      <c r="FC56" s="9" t="str">
        <f t="array" ref="FC56">IF(FC$11&gt;=0,MAX(INDEX(MMULT(inverseG,FB$12:FB$62),$A56+1,1),MAX(strike-$B56,0)),"")</f>
        <v/>
      </c>
      <c r="FD56" s="9" t="str">
        <f t="array" ref="FD56">IF(FD$11&gt;=0,MAX(INDEX(MMULT(inverseG,FC$12:FC$62),$A56+1,1),MAX(strike-$B56,0)),"")</f>
        <v/>
      </c>
      <c r="FE56" s="9" t="str">
        <f t="array" ref="FE56">IF(FE$11&gt;=0,MAX(INDEX(MMULT(inverseG,FD$12:FD$62),$A56+1,1),MAX(strike-$B56,0)),"")</f>
        <v/>
      </c>
      <c r="FF56" s="9" t="str">
        <f t="array" ref="FF56">IF(FF$11&gt;=0,MAX(INDEX(MMULT(inverseG,FE$12:FE$62),$A56+1,1),MAX(strike-$B56,0)),"")</f>
        <v/>
      </c>
      <c r="FG56" s="9" t="str">
        <f t="array" ref="FG56">IF(FG$11&gt;=0,MAX(INDEX(MMULT(inverseG,FF$12:FF$62),$A56+1,1),MAX(strike-$B56,0)),"")</f>
        <v/>
      </c>
      <c r="FH56" s="9" t="str">
        <f t="array" ref="FH56">IF(FH$11&gt;=0,MAX(INDEX(MMULT(inverseG,FG$12:FG$62),$A56+1,1),MAX(strike-$B56,0)),"")</f>
        <v/>
      </c>
      <c r="FI56" s="9" t="str">
        <f t="array" ref="FI56">IF(FI$11&gt;=0,MAX(INDEX(MMULT(inverseG,FH$12:FH$62),$A56+1,1),MAX(strike-$B56,0)),"")</f>
        <v/>
      </c>
      <c r="FJ56" s="9" t="str">
        <f t="array" ref="FJ56">IF(FJ$11&gt;=0,MAX(INDEX(MMULT(inverseG,FI$12:FI$62),$A56+1,1),MAX(strike-$B56,0)),"")</f>
        <v/>
      </c>
      <c r="FK56" s="9" t="str">
        <f t="array" ref="FK56">IF(FK$11&gt;=0,MAX(INDEX(MMULT(inverseG,FJ$12:FJ$62),$A56+1,1),MAX(strike-$B56,0)),"")</f>
        <v/>
      </c>
      <c r="FL56" s="9" t="str">
        <f t="array" ref="FL56">IF(FL$11&gt;=0,MAX(INDEX(MMULT(inverseG,FK$12:FK$62),$A56+1,1),MAX(strike-$B56,0)),"")</f>
        <v/>
      </c>
      <c r="FM56" s="9" t="str">
        <f t="array" ref="FM56">IF(FM$11&gt;=0,MAX(INDEX(MMULT(inverseG,FL$12:FL$62),$A56+1,1),MAX(strike-$B56,0)),"")</f>
        <v/>
      </c>
      <c r="FN56" s="9" t="str">
        <f t="array" ref="FN56">IF(FN$11&gt;=0,MAX(INDEX(MMULT(inverseG,FM$12:FM$62),$A56+1,1),MAX(strike-$B56,0)),"")</f>
        <v/>
      </c>
      <c r="FO56" s="9" t="str">
        <f t="array" ref="FO56">IF(FO$11&gt;=0,MAX(INDEX(MMULT(inverseG,FN$12:FN$62),$A56+1,1),MAX(strike-$B56,0)),"")</f>
        <v/>
      </c>
      <c r="FP56" s="9" t="str">
        <f t="array" ref="FP56">IF(FP$11&gt;=0,MAX(INDEX(MMULT(inverseG,FO$12:FO$62),$A56+1,1),MAX(strike-$B56,0)),"")</f>
        <v/>
      </c>
      <c r="FQ56" s="9" t="str">
        <f t="array" ref="FQ56">IF(FQ$11&gt;=0,MAX(INDEX(MMULT(inverseG,FP$12:FP$62),$A56+1,1),MAX(strike-$B56,0)),"")</f>
        <v/>
      </c>
      <c r="FR56" s="9" t="str">
        <f t="array" ref="FR56">IF(FR$11&gt;=0,MAX(INDEX(MMULT(inverseG,FQ$12:FQ$62),$A56+1,1),MAX(strike-$B56,0)),"")</f>
        <v/>
      </c>
      <c r="FS56" s="9" t="str">
        <f t="array" ref="FS56">IF(FS$11&gt;=0,MAX(INDEX(MMULT(inverseG,FR$12:FR$62),$A56+1,1),MAX(strike-$B56,0)),"")</f>
        <v/>
      </c>
      <c r="FT56" s="9" t="str">
        <f t="array" ref="FT56">IF(FT$11&gt;=0,MAX(INDEX(MMULT(inverseG,FS$12:FS$62),$A56+1,1),MAX(strike-$B56,0)),"")</f>
        <v/>
      </c>
      <c r="FU56" s="9" t="str">
        <f t="array" ref="FU56">IF(FU$11&gt;=0,MAX(INDEX(MMULT(inverseG,FT$12:FT$62),$A56+1,1),MAX(strike-$B56,0)),"")</f>
        <v/>
      </c>
      <c r="FV56" s="9" t="str">
        <f t="array" ref="FV56">IF(FV$11&gt;=0,MAX(INDEX(MMULT(inverseG,FU$12:FU$62),$A56+1,1),MAX(strike-$B56,0)),"")</f>
        <v/>
      </c>
      <c r="FW56" s="9" t="str">
        <f t="array" ref="FW56">IF(FW$11&gt;=0,MAX(INDEX(MMULT(inverseG,FV$12:FV$62),$A56+1,1),MAX(strike-$B56,0)),"")</f>
        <v/>
      </c>
      <c r="FX56" s="9" t="str">
        <f t="array" ref="FX56">IF(FX$11&gt;=0,MAX(INDEX(MMULT(inverseG,FW$12:FW$62),$A56+1,1),MAX(strike-$B56,0)),"")</f>
        <v/>
      </c>
      <c r="FY56" s="9" t="str">
        <f t="array" ref="FY56">IF(FY$11&gt;=0,MAX(INDEX(MMULT(inverseG,FX$12:FX$62),$A56+1,1),MAX(strike-$B56,0)),"")</f>
        <v/>
      </c>
      <c r="FZ56" s="9" t="str">
        <f t="array" ref="FZ56">IF(FZ$11&gt;=0,MAX(INDEX(MMULT(inverseG,FY$12:FY$62),$A56+1,1),MAX(strike-$B56,0)),"")</f>
        <v/>
      </c>
      <c r="GA56" s="9" t="str">
        <f t="array" ref="GA56">IF(GA$11&gt;=0,MAX(INDEX(MMULT(inverseG,FZ$12:FZ$62),$A56+1,1),MAX(strike-$B56,0)),"")</f>
        <v/>
      </c>
      <c r="GB56" s="9" t="str">
        <f t="array" ref="GB56">IF(GB$11&gt;=0,MAX(INDEX(MMULT(inverseG,GA$12:GA$62),$A56+1,1),MAX(strike-$B56,0)),"")</f>
        <v/>
      </c>
      <c r="GC56" s="9" t="str">
        <f t="array" ref="GC56">IF(GC$11&gt;=0,MAX(INDEX(MMULT(inverseG,GB$12:GB$62),$A56+1,1),MAX(strike-$B56,0)),"")</f>
        <v/>
      </c>
      <c r="GD56" s="9" t="str">
        <f t="array" ref="GD56">IF(GD$11&gt;=0,MAX(INDEX(MMULT(inverseG,GC$12:GC$62),$A56+1,1),MAX(strike-$B56,0)),"")</f>
        <v/>
      </c>
      <c r="GE56" s="9" t="str">
        <f t="array" ref="GE56">IF(GE$11&gt;=0,MAX(INDEX(MMULT(inverseG,GD$12:GD$62),$A56+1,1),MAX(strike-$B56,0)),"")</f>
        <v/>
      </c>
      <c r="GF56" s="9" t="str">
        <f t="array" ref="GF56">IF(GF$11&gt;=0,MAX(INDEX(MMULT(inverseG,GE$12:GE$62),$A56+1,1),MAX(strike-$B56,0)),"")</f>
        <v/>
      </c>
      <c r="GG56" s="9" t="str">
        <f t="array" ref="GG56">IF(GG$11&gt;=0,MAX(INDEX(MMULT(inverseG,GF$12:GF$62),$A56+1,1),MAX(strike-$B56,0)),"")</f>
        <v/>
      </c>
      <c r="GH56" s="9" t="str">
        <f t="array" ref="GH56">IF(GH$11&gt;=0,MAX(INDEX(MMULT(inverseG,GG$12:GG$62),$A56+1,1),MAX(strike-$B56,0)),"")</f>
        <v/>
      </c>
      <c r="GI56" s="9" t="str">
        <f t="array" ref="GI56">IF(GI$11&gt;=0,MAX(INDEX(MMULT(inverseG,GH$12:GH$62),$A56+1,1),MAX(strike-$B56,0)),"")</f>
        <v/>
      </c>
      <c r="GJ56" s="9" t="str">
        <f t="array" ref="GJ56">IF(GJ$11&gt;=0,MAX(INDEX(MMULT(inverseG,GI$12:GI$62),$A56+1,1),MAX(strike-$B56,0)),"")</f>
        <v/>
      </c>
      <c r="GK56" s="9" t="str">
        <f t="array" ref="GK56">IF(GK$11&gt;=0,MAX(INDEX(MMULT(inverseG,GJ$12:GJ$62),$A56+1,1),MAX(strike-$B56,0)),"")</f>
        <v/>
      </c>
      <c r="GL56" s="9" t="str">
        <f t="array" ref="GL56">IF(GL$11&gt;=0,MAX(INDEX(MMULT(inverseG,GK$12:GK$62),$A56+1,1),MAX(strike-$B56,0)),"")</f>
        <v/>
      </c>
      <c r="GM56" s="9" t="str">
        <f t="array" ref="GM56">IF(GM$11&gt;=0,MAX(INDEX(MMULT(inverseG,GL$12:GL$62),$A56+1,1),MAX(strike-$B56,0)),"")</f>
        <v/>
      </c>
      <c r="GN56" s="9" t="str">
        <f t="array" ref="GN56">IF(GN$11&gt;=0,MAX(INDEX(MMULT(inverseG,GM$12:GM$62),$A56+1,1),MAX(strike-$B56,0)),"")</f>
        <v/>
      </c>
      <c r="GO56" s="9" t="str">
        <f t="array" ref="GO56">IF(GO$11&gt;=0,MAX(INDEX(MMULT(inverseG,GN$12:GN$62),$A56+1,1),MAX(strike-$B56,0)),"")</f>
        <v/>
      </c>
      <c r="GP56" s="9" t="str">
        <f t="array" ref="GP56">IF(GP$11&gt;=0,MAX(INDEX(MMULT(inverseG,GO$12:GO$62),$A56+1,1),MAX(strike-$B56,0)),"")</f>
        <v/>
      </c>
      <c r="GQ56" s="9" t="str">
        <f t="array" ref="GQ56">IF(GQ$11&gt;=0,MAX(INDEX(MMULT(inverseG,GP$12:GP$62),$A56+1,1),MAX(strike-$B56,0)),"")</f>
        <v/>
      </c>
      <c r="GR56" s="9" t="str">
        <f t="array" ref="GR56">IF(GR$11&gt;=0,MAX(INDEX(MMULT(inverseG,GQ$12:GQ$62),$A56+1,1),MAX(strike-$B56,0)),"")</f>
        <v/>
      </c>
      <c r="GS56" s="9" t="str">
        <f t="array" ref="GS56">IF(GS$11&gt;=0,MAX(INDEX(MMULT(inverseG,GR$12:GR$62),$A56+1,1),MAX(strike-$B56,0)),"")</f>
        <v/>
      </c>
      <c r="GT56" s="9" t="str">
        <f t="array" ref="GT56">IF(GT$11&gt;=0,MAX(INDEX(MMULT(inverseG,GS$12:GS$62),$A56+1,1),MAX(strike-$B56,0)),"")</f>
        <v/>
      </c>
      <c r="GU56" s="9" t="str">
        <f t="array" ref="GU56">IF(GU$11&gt;=0,MAX(INDEX(MMULT(inverseG,GT$12:GT$62),$A56+1,1),MAX(strike-$B56,0)),"")</f>
        <v/>
      </c>
      <c r="GV56" s="9" t="str">
        <f t="array" ref="GV56">IF(GV$11&gt;=0,MAX(INDEX(MMULT(inverseG,GU$12:GU$62),$A56+1,1),MAX(strike-$B56,0)),"")</f>
        <v/>
      </c>
      <c r="GW56" s="9" t="str">
        <f t="array" ref="GW56">IF(GW$11&gt;=0,MAX(INDEX(MMULT(inverseG,GV$12:GV$62),$A56+1,1),MAX(strike-$B56,0)),"")</f>
        <v/>
      </c>
      <c r="GX56" s="9" t="str">
        <f t="array" ref="GX56">IF(GX$11&gt;=0,MAX(INDEX(MMULT(inverseG,GW$12:GW$62),$A56+1,1),MAX(strike-$B56,0)),"")</f>
        <v/>
      </c>
      <c r="GY56" s="9" t="str">
        <f t="array" ref="GY56">IF(GY$11&gt;=0,MAX(INDEX(MMULT(inverseG,GX$12:GX$62),$A56+1,1),MAX(strike-$B56,0)),"")</f>
        <v/>
      </c>
      <c r="GZ56" s="9" t="str">
        <f t="array" ref="GZ56">IF(GZ$11&gt;=0,MAX(INDEX(MMULT(inverseG,GY$12:GY$62),$A56+1,1),MAX(strike-$B56,0)),"")</f>
        <v/>
      </c>
      <c r="HA56" s="9" t="str">
        <f t="array" ref="HA56">IF(HA$11&gt;=0,MAX(INDEX(MMULT(inverseG,GZ$12:GZ$62),$A56+1,1),MAX(strike-$B56,0)),"")</f>
        <v/>
      </c>
      <c r="HB56" s="9" t="str">
        <f t="array" ref="HB56">IF(HB$11&gt;=0,MAX(INDEX(MMULT(inverseG,HA$12:HA$62),$A56+1,1),MAX(strike-$B56,0)),"")</f>
        <v/>
      </c>
      <c r="HC56" s="9" t="str">
        <f t="array" ref="HC56">IF(HC$11&gt;=0,MAX(INDEX(MMULT(inverseG,HB$12:HB$62),$A56+1,1),MAX(strike-$B56,0)),"")</f>
        <v/>
      </c>
      <c r="HD56" s="9" t="str">
        <f t="array" ref="HD56">IF(HD$11&gt;=0,MAX(INDEX(MMULT(inverseG,HC$12:HC$62),$A56+1,1),MAX(strike-$B56,0)),"")</f>
        <v/>
      </c>
      <c r="HE56" s="9" t="str">
        <f t="array" ref="HE56">IF(HE$11&gt;=0,MAX(INDEX(MMULT(inverseG,HD$12:HD$62),$A56+1,1),MAX(strike-$B56,0)),"")</f>
        <v/>
      </c>
      <c r="HF56" s="9" t="str">
        <f t="array" ref="HF56">IF(HF$11&gt;=0,MAX(INDEX(MMULT(inverseG,HE$12:HE$62),$A56+1,1),MAX(strike-$B56,0)),"")</f>
        <v/>
      </c>
      <c r="HG56" s="9" t="str">
        <f t="array" ref="HG56">IF(HG$11&gt;=0,MAX(INDEX(MMULT(inverseG,HF$12:HF$62),$A56+1,1),MAX(strike-$B56,0)),"")</f>
        <v/>
      </c>
      <c r="HH56" s="9" t="str">
        <f t="array" ref="HH56">IF(HH$11&gt;=0,MAX(INDEX(MMULT(inverseG,HG$12:HG$62),$A56+1,1),MAX(strike-$B56,0)),"")</f>
        <v/>
      </c>
      <c r="HI56" s="9" t="str">
        <f t="array" ref="HI56">IF(HI$11&gt;=0,MAX(INDEX(MMULT(inverseG,HH$12:HH$62),$A56+1,1),MAX(strike-$B56,0)),"")</f>
        <v/>
      </c>
      <c r="HJ56" s="9" t="str">
        <f t="array" ref="HJ56">IF(HJ$11&gt;=0,MAX(INDEX(MMULT(inverseG,HI$12:HI$62),$A56+1,1),MAX(strike-$B56,0)),"")</f>
        <v/>
      </c>
      <c r="HK56" s="9" t="str">
        <f t="array" ref="HK56">IF(HK$11&gt;=0,MAX(INDEX(MMULT(inverseG,HJ$12:HJ$62),$A56+1,1),MAX(strike-$B56,0)),"")</f>
        <v/>
      </c>
      <c r="HL56" s="9" t="str">
        <f t="array" ref="HL56">IF(HL$11&gt;=0,MAX(INDEX(MMULT(inverseG,HK$12:HK$62),$A56+1,1),MAX(strike-$B56,0)),"")</f>
        <v/>
      </c>
      <c r="HM56" s="9" t="str">
        <f t="array" ref="HM56">IF(HM$11&gt;=0,MAX(INDEX(MMULT(inverseG,HL$12:HL$62),$A56+1,1),MAX(strike-$B56,0)),"")</f>
        <v/>
      </c>
      <c r="HN56" s="9" t="str">
        <f t="array" ref="HN56">IF(HN$11&gt;=0,MAX(INDEX(MMULT(inverseG,HM$12:HM$62),$A56+1,1),MAX(strike-$B56,0)),"")</f>
        <v/>
      </c>
      <c r="HO56" s="9" t="str">
        <f t="array" ref="HO56">IF(HO$11&gt;=0,MAX(INDEX(MMULT(inverseG,HN$12:HN$62),$A56+1,1),MAX(strike-$B56,0)),"")</f>
        <v/>
      </c>
      <c r="HP56" s="9" t="str">
        <f t="array" ref="HP56">IF(HP$11&gt;=0,MAX(INDEX(MMULT(inverseG,HO$12:HO$62),$A56+1,1),MAX(strike-$B56,0)),"")</f>
        <v/>
      </c>
      <c r="HQ56" s="9" t="str">
        <f t="array" ref="HQ56">IF(HQ$11&gt;=0,MAX(INDEX(MMULT(inverseG,HP$12:HP$62),$A56+1,1),MAX(strike-$B56,0)),"")</f>
        <v/>
      </c>
      <c r="HR56" s="9" t="str">
        <f t="array" ref="HR56">IF(HR$11&gt;=0,MAX(INDEX(MMULT(inverseG,HQ$12:HQ$62),$A56+1,1),MAX(strike-$B56,0)),"")</f>
        <v/>
      </c>
      <c r="HS56" s="9" t="str">
        <f t="array" ref="HS56">IF(HS$11&gt;=0,MAX(INDEX(MMULT(inverseG,HR$12:HR$62),$A56+1,1),MAX(strike-$B56,0)),"")</f>
        <v/>
      </c>
      <c r="HT56" s="9" t="str">
        <f t="array" ref="HT56">IF(HT$11&gt;=0,MAX(INDEX(MMULT(inverseG,HS$12:HS$62),$A56+1,1),MAX(strike-$B56,0)),"")</f>
        <v/>
      </c>
      <c r="HU56" s="9" t="str">
        <f t="array" ref="HU56">IF(HU$11&gt;=0,MAX(INDEX(MMULT(inverseG,HT$12:HT$62),$A56+1,1),MAX(strike-$B56,0)),"")</f>
        <v/>
      </c>
      <c r="HV56" s="9" t="str">
        <f t="array" ref="HV56">IF(HV$11&gt;=0,MAX(INDEX(MMULT(inverseG,HU$12:HU$62),$A56+1,1),MAX(strike-$B56,0)),"")</f>
        <v/>
      </c>
      <c r="HW56" s="9" t="str">
        <f t="array" ref="HW56">IF(HW$11&gt;=0,MAX(INDEX(MMULT(inverseG,HV$12:HV$62),$A56+1,1),MAX(strike-$B56,0)),"")</f>
        <v/>
      </c>
      <c r="HX56" s="9" t="str">
        <f t="array" ref="HX56">IF(HX$11&gt;=0,MAX(INDEX(MMULT(inverseG,HW$12:HW$62),$A56+1,1),MAX(strike-$B56,0)),"")</f>
        <v/>
      </c>
      <c r="HY56" s="9" t="str">
        <f t="array" ref="HY56">IF(HY$11&gt;=0,MAX(INDEX(MMULT(inverseG,HX$12:HX$62),$A56+1,1),MAX(strike-$B56,0)),"")</f>
        <v/>
      </c>
      <c r="HZ56" s="9" t="str">
        <f t="array" ref="HZ56">IF(HZ$11&gt;=0,MAX(INDEX(MMULT(inverseG,HY$12:HY$62),$A56+1,1),MAX(strike-$B56,0)),"")</f>
        <v/>
      </c>
      <c r="IA56" s="9" t="str">
        <f t="array" ref="IA56">IF(IA$11&gt;=0,MAX(INDEX(MMULT(inverseG,HZ$12:HZ$62),$A56+1,1),MAX(strike-$B56,0)),"")</f>
        <v/>
      </c>
      <c r="IB56" s="9" t="str">
        <f t="array" ref="IB56">IF(IB$11&gt;=0,MAX(INDEX(MMULT(inverseG,IA$12:IA$62),$A56+1,1),MAX(strike-$B56,0)),"")</f>
        <v/>
      </c>
      <c r="IC56" s="9" t="str">
        <f t="array" ref="IC56">IF(IC$11&gt;=0,MAX(INDEX(MMULT(inverseG,IB$12:IB$62),$A56+1,1),MAX(strike-$B56,0)),"")</f>
        <v/>
      </c>
      <c r="ID56" s="9" t="str">
        <f t="array" ref="ID56">IF(ID$11&gt;=0,MAX(INDEX(MMULT(inverseG,IC$12:IC$62),$A56+1,1),MAX(strike-$B56,0)),"")</f>
        <v/>
      </c>
      <c r="IE56" s="9" t="str">
        <f t="array" ref="IE56">IF(IE$11&gt;=0,MAX(INDEX(MMULT(inverseG,ID$12:ID$62),$A56+1,1),MAX(strike-$B56,0)),"")</f>
        <v/>
      </c>
      <c r="IF56" s="9" t="str">
        <f t="array" ref="IF56">IF(IF$11&gt;=0,MAX(INDEX(MMULT(inverseG,IE$12:IE$62),$A56+1,1),MAX(strike-$B56,0)),"")</f>
        <v/>
      </c>
      <c r="IG56" s="9" t="str">
        <f t="array" ref="IG56">IF(IG$11&gt;=0,MAX(INDEX(MMULT(inverseG,IF$12:IF$62),$A56+1,1),MAX(strike-$B56,0)),"")</f>
        <v/>
      </c>
      <c r="IH56" s="9" t="str">
        <f t="array" ref="IH56">IF(IH$11&gt;=0,MAX(INDEX(MMULT(inverseG,IG$12:IG$62),$A56+1,1),MAX(strike-$B56,0)),"")</f>
        <v/>
      </c>
      <c r="II56" s="9" t="str">
        <f t="array" ref="II56">IF(II$11&gt;=0,MAX(INDEX(MMULT(inverseG,IH$12:IH$62),$A56+1,1),MAX(strike-$B56,0)),"")</f>
        <v/>
      </c>
      <c r="IJ56" s="9" t="str">
        <f t="array" ref="IJ56">IF(IJ$11&gt;=0,MAX(INDEX(MMULT(inverseG,II$12:II$62),$A56+1,1),MAX(strike-$B56,0)),"")</f>
        <v/>
      </c>
      <c r="IK56" s="9" t="str">
        <f t="array" ref="IK56">IF(IK$11&gt;=0,MAX(INDEX(MMULT(inverseG,IJ$12:IJ$62),$A56+1,1),MAX(strike-$B56,0)),"")</f>
        <v/>
      </c>
      <c r="IL56" s="9" t="str">
        <f t="array" ref="IL56">IF(IL$11&gt;=0,MAX(INDEX(MMULT(inverseG,IK$12:IK$62),$A56+1,1),MAX(strike-$B56,0)),"")</f>
        <v/>
      </c>
      <c r="IM56" s="9" t="str">
        <f t="array" ref="IM56">IF(IM$11&gt;=0,MAX(INDEX(MMULT(inverseG,IL$12:IL$62),$A56+1,1),MAX(strike-$B56,0)),"")</f>
        <v/>
      </c>
      <c r="IN56" s="9" t="str">
        <f t="array" ref="IN56">IF(IN$11&gt;=0,MAX(INDEX(MMULT(inverseG,IM$12:IM$62),$A56+1,1),MAX(strike-$B56,0)),"")</f>
        <v/>
      </c>
      <c r="IO56" s="9" t="str">
        <f t="array" ref="IO56">IF(IO$11&gt;=0,MAX(INDEX(MMULT(inverseG,IN$12:IN$62),$A56+1,1),MAX(strike-$B56,0)),"")</f>
        <v/>
      </c>
      <c r="IP56" s="9" t="str">
        <f t="array" ref="IP56">IF(IP$11&gt;=0,MAX(INDEX(MMULT(inverseG,IO$12:IO$62),$A56+1,1),MAX(strike-$B56,0)),"")</f>
        <v/>
      </c>
      <c r="IQ56" s="9" t="str">
        <f t="array" ref="IQ56">IF(IQ$11&gt;=0,MAX(INDEX(MMULT(inverseG,IP$12:IP$62),$A56+1,1),MAX(strike-$B56,0)),"")</f>
        <v/>
      </c>
      <c r="IR56" s="9" t="str">
        <f t="array" ref="IR56">IF(IR$11&gt;=0,MAX(INDEX(MMULT(inverseG,IQ$12:IQ$62),$A56+1,1),MAX(strike-$B56,0)),"")</f>
        <v/>
      </c>
      <c r="IS56" s="9" t="str">
        <f t="array" ref="IS56">IF(IS$11&gt;=0,MAX(INDEX(MMULT(inverseG,IR$12:IR$62),$A56+1,1),MAX(strike-$B56,0)),"")</f>
        <v/>
      </c>
      <c r="IT56" s="9" t="str">
        <f t="array" ref="IT56">IF(IT$11&gt;=0,MAX(INDEX(MMULT(inverseG,IS$12:IS$62),$A56+1,1),MAX(strike-$B56,0)),"")</f>
        <v/>
      </c>
      <c r="IU56" s="9" t="str">
        <f t="array" ref="IU56">IF(IU$11&gt;=0,MAX(INDEX(MMULT(inverseG,IT$12:IT$62),$A56+1,1),MAX(strike-$B56,0)),"")</f>
        <v/>
      </c>
      <c r="IV56" s="9" t="str">
        <f t="array" ref="IV56">IF(IV$11&gt;=0,MAX(INDEX(MMULT(inverseG,IU$12:IU$62),$A56+1,1),MAX(strike-$B56,0)),"")</f>
        <v/>
      </c>
    </row>
    <row r="57" spans="1:256" x14ac:dyDescent="0.2">
      <c r="A57" s="8">
        <f t="shared" si="7"/>
        <v>45</v>
      </c>
      <c r="B57" s="6">
        <f t="shared" si="8"/>
        <v>11.25</v>
      </c>
      <c r="C57" s="30">
        <f t="shared" ca="1" si="6"/>
        <v>2.6127011960452487E-2</v>
      </c>
      <c r="D57" s="9">
        <f t="shared" si="9"/>
        <v>0</v>
      </c>
      <c r="E57" s="9">
        <f t="array" ref="E57">IF(E$11&gt;=0,MAX(INDEX(MMULT(inverseG,D$12:D$62),$A57+1,1),MAX(strike-$B57,0)),"")</f>
        <v>1.4278203695613009E-10</v>
      </c>
      <c r="F57" s="9">
        <f t="array" ref="F57">IF(F$11&gt;=0,MAX(INDEX(MMULT(inverseG,E$12:E$62),$A57+1,1),MAX(strike-$B57,0)),"")</f>
        <v>1.5606640763603534E-9</v>
      </c>
      <c r="G57" s="9">
        <f t="array" ref="G57">IF(G$11&gt;=0,MAX(INDEX(MMULT(inverseG,F$12:F$62),$A57+1,1),MAX(strike-$B57,0)),"")</f>
        <v>9.0190062069426839E-9</v>
      </c>
      <c r="H57" s="9">
        <f t="array" ref="H57">IF(H$11&gt;=0,MAX(INDEX(MMULT(inverseG,G$12:G$62),$A57+1,1),MAX(strike-$B57,0)),"")</f>
        <v>3.6683185426582489E-8</v>
      </c>
      <c r="I57" s="9">
        <f t="array" ref="I57">IF(I$11&gt;=0,MAX(INDEX(MMULT(inverseG,H$12:H$62),$A57+1,1),MAX(strike-$B57,0)),"")</f>
        <v>1.1795623464696923E-7</v>
      </c>
      <c r="J57" s="9">
        <f t="array" ref="J57">IF(J$11&gt;=0,MAX(INDEX(MMULT(inverseG,I$12:I$62),$A57+1,1),MAX(strike-$B57,0)),"")</f>
        <v>3.1937965516895693E-7</v>
      </c>
      <c r="K57" s="9">
        <f t="array" ref="K57">IF(K$11&gt;=0,MAX(INDEX(MMULT(inverseG,J$12:J$62),$A57+1,1),MAX(strike-$B57,0)),"")</f>
        <v>7.5741781320210468E-7</v>
      </c>
      <c r="L57" s="9">
        <f t="array" ref="L57">IF(L$11&gt;=0,MAX(INDEX(MMULT(inverseG,K$12:K$62),$A57+1,1),MAX(strike-$B57,0)),"")</f>
        <v>1.6160013178380564E-6</v>
      </c>
      <c r="M57" s="9">
        <f t="array" ref="M57">IF(M$11&gt;=0,MAX(INDEX(MMULT(inverseG,L$12:L$62),$A57+1,1),MAX(strike-$B57,0)),"")</f>
        <v>3.1622918967493324E-6</v>
      </c>
      <c r="N57" s="9">
        <f t="array" ref="N57">IF(N$11&gt;=0,MAX(INDEX(MMULT(inverseG,M$12:M$62),$A57+1,1),MAX(strike-$B57,0)),"")</f>
        <v>5.7583199125470848E-6</v>
      </c>
      <c r="O57" s="9">
        <f t="array" ref="O57">IF(O$11&gt;=0,MAX(INDEX(MMULT(inverseG,N$12:N$62),$A57+1,1),MAX(strike-$B57,0)),"")</f>
        <v>9.8668042591504902E-6</v>
      </c>
      <c r="P57" s="9">
        <f t="array" ref="P57">IF(P$11&gt;=0,MAX(INDEX(MMULT(inverseG,O$12:O$62),$A57+1,1),MAX(strike-$B57,0)),"")</f>
        <v>1.6050361010845079E-5</v>
      </c>
      <c r="Q57" s="9">
        <f t="array" ref="Q57">IF(Q$11&gt;=0,MAX(INDEX(MMULT(inverseG,P$12:P$62),$A57+1,1),MAX(strike-$B57,0)),"")</f>
        <v>2.4964209389069211E-5</v>
      </c>
      <c r="R57" s="9">
        <f t="array" ref="R57">IF(R$11&gt;=0,MAX(INDEX(MMULT(inverseG,Q$12:Q$62),$A57+1,1),MAX(strike-$B57,0)),"")</f>
        <v>3.7343221430019555E-5</v>
      </c>
      <c r="S57" s="9">
        <f t="array" ref="S57">IF(S$11&gt;=0,MAX(INDEX(MMULT(inverseG,R$12:R$62),$A57+1,1),MAX(strike-$B57,0)),"")</f>
        <v>5.3984648670960455E-5</v>
      </c>
      <c r="T57" s="9">
        <f t="array" ref="T57">IF(T$11&gt;=0,MAX(INDEX(MMULT(inverseG,S$12:S$62),$A57+1,1),MAX(strike-$B57,0)),"")</f>
        <v>7.5728082667345507E-5</v>
      </c>
      <c r="U57" s="9">
        <f t="array" ref="U57">IF(U$11&gt;=0,MAX(INDEX(MMULT(inverseG,T$12:T$62),$A57+1,1),MAX(strike-$B57,0)),"")</f>
        <v>1.0343420379168321E-4</v>
      </c>
      <c r="V57" s="9">
        <f t="array" ref="V57">IF(V$11&gt;=0,MAX(INDEX(MMULT(inverseG,U$12:U$62),$A57+1,1),MAX(strike-$B57,0)),"")</f>
        <v>1.3796370674584632E-4</v>
      </c>
      <c r="W57" s="9">
        <f t="array" ref="W57">IF(W$11&gt;=0,MAX(INDEX(MMULT(inverseG,V$12:V$62),$A57+1,1),MAX(strike-$B57,0)),"")</f>
        <v>1.8015752808730022E-4</v>
      </c>
      <c r="X57" s="9">
        <f t="array" ref="X57">IF(X$11&gt;=0,MAX(INDEX(MMULT(inverseG,W$12:W$62),$A57+1,1),MAX(strike-$B57,0)),"")</f>
        <v>2.3081919894754545E-4</v>
      </c>
      <c r="Y57" s="9">
        <f t="array" ref="Y57">IF(Y$11&gt;=0,MAX(INDEX(MMULT(inverseG,X$12:X$62),$A57+1,1),MAX(strike-$B57,0)),"")</f>
        <v>2.906998487490617E-4</v>
      </c>
      <c r="Z57" s="9">
        <f t="array" ref="Z57">IF(Z$11&gt;=0,MAX(INDEX(MMULT(inverseG,Y$12:Y$62),$A57+1,1),MAX(strike-$B57,0)),"")</f>
        <v>3.6048612144651813E-4</v>
      </c>
      <c r="AA57" s="9">
        <f t="array" ref="AA57">IF(AA$11&gt;=0,MAX(INDEX(MMULT(inverseG,Z$12:Z$62),$A57+1,1),MAX(strike-$B57,0)),"")</f>
        <v>4.4079104946897227E-4</v>
      </c>
      <c r="AB57" s="9">
        <f t="array" ref="AB57">IF(AB$11&gt;=0,MAX(INDEX(MMULT(inverseG,AA$12:AA$62),$A57+1,1),MAX(strike-$B57,0)),"")</f>
        <v>5.3214776664661833E-4</v>
      </c>
      <c r="AC57" s="9">
        <f t="array" ref="AC57">IF(AC$11&gt;=0,MAX(INDEX(MMULT(inverseG,AB$12:AB$62),$A57+1,1),MAX(strike-$B57,0)),"")</f>
        <v>6.350058275493974E-4</v>
      </c>
      <c r="AD57" s="9">
        <f t="array" ref="AD57">IF(AD$11&gt;=0,MAX(INDEX(MMULT(inverseG,AC$12:AC$62),$A57+1,1),MAX(strike-$B57,0)),"")</f>
        <v>7.4972983042354479E-4</v>
      </c>
      <c r="AE57" s="9">
        <f t="array" ref="AE57">IF(AE$11&gt;=0,MAX(INDEX(MMULT(inverseG,AD$12:AD$62),$A57+1,1),MAX(strike-$B57,0)),"")</f>
        <v>8.7660000611211684E-4</v>
      </c>
      <c r="AF57" s="9">
        <f t="array" ref="AF57">IF(AF$11&gt;=0,MAX(INDEX(MMULT(inverseG,AE$12:AE$62),$A57+1,1),MAX(strike-$B57,0)),"")</f>
        <v>1.0158144275978251E-3</v>
      </c>
      <c r="AG57" s="9">
        <f t="array" ref="AG57">IF(AG$11&gt;=0,MAX(INDEX(MMULT(inverseG,AF$12:AF$62),$A57+1,1),MAX(strike-$B57,0)),"")</f>
        <v>1.1674925064292018E-3</v>
      </c>
      <c r="AH57" s="9">
        <f t="array" ref="AH57">IF(AH$11&gt;=0,MAX(INDEX(MMULT(inverseG,AG$12:AG$62),$A57+1,1),MAX(strike-$B57,0)),"")</f>
        <v>1.3316794667650117E-3</v>
      </c>
      <c r="AI57" s="9">
        <f t="array" ref="AI57">IF(AI$11&gt;=0,MAX(INDEX(MMULT(inverseG,AH$12:AH$62),$A57+1,1),MAX(strike-$B57,0)),"")</f>
        <v>1.5083515198782592E-3</v>
      </c>
      <c r="AJ57" s="9">
        <f t="array" ref="AJ57">IF(AJ$11&gt;=0,MAX(INDEX(MMULT(inverseG,AI$12:AI$62),$A57+1,1),MAX(strike-$B57,0)),"")</f>
        <v>1.6974214977271802E-3</v>
      </c>
      <c r="AK57" s="9">
        <f t="array" ref="AK57">IF(AK$11&gt;=0,MAX(INDEX(MMULT(inverseG,AJ$12:AJ$62),$A57+1,1),MAX(strike-$B57,0)),"")</f>
        <v>1.8987447407445624E-3</v>
      </c>
      <c r="AL57" s="9">
        <f t="array" ref="AL57">IF(AL$11&gt;=0,MAX(INDEX(MMULT(inverseG,AK$12:AK$62),$A57+1,1),MAX(strike-$B57,0)),"")</f>
        <v>2.1121250703365424E-3</v>
      </c>
      <c r="AM57" s="9">
        <f t="array" ref="AM57">IF(AM$11&gt;=0,MAX(INDEX(MMULT(inverseG,AL$12:AL$62),$A57+1,1),MAX(strike-$B57,0)),"")</f>
        <v>2.3373207094436882E-3</v>
      </c>
      <c r="AN57" s="9">
        <f t="array" ref="AN57">IF(AN$11&gt;=0,MAX(INDEX(MMULT(inverseG,AM$12:AM$62),$A57+1,1),MAX(strike-$B57,0)),"")</f>
        <v>2.5740500441633293E-3</v>
      </c>
      <c r="AO57" s="9">
        <f t="array" ref="AO57">IF(AO$11&gt;=0,MAX(INDEX(MMULT(inverseG,AN$12:AN$62),$A57+1,1),MAX(strike-$B57,0)),"")</f>
        <v>2.8219971455181289E-3</v>
      </c>
      <c r="AP57" s="9">
        <f t="array" ref="AP57">IF(AP$11&gt;=0,MAX(INDEX(MMULT(inverseG,AO$12:AO$62),$A57+1,1),MAX(strike-$B57,0)),"")</f>
        <v>3.0808169929160772E-3</v>
      </c>
      <c r="AQ57" s="9">
        <f t="array" ref="AQ57">IF(AQ$11&gt;=0,MAX(INDEX(MMULT(inverseG,AP$12:AP$62),$A57+1,1),MAX(strike-$B57,0)),"")</f>
        <v>3.3501403598059933E-3</v>
      </c>
      <c r="AR57" s="9">
        <f t="array" ref="AR57">IF(AR$11&gt;=0,MAX(INDEX(MMULT(inverseG,AQ$12:AQ$62),$A57+1,1),MAX(strike-$B57,0)),"")</f>
        <v>3.6295783377371586E-3</v>
      </c>
      <c r="AS57" s="9">
        <f t="array" ref="AS57">IF(AS$11&gt;=0,MAX(INDEX(MMULT(inverseG,AR$12:AR$62),$A57+1,1),MAX(strike-$B57,0)),"")</f>
        <v>3.9187264877972288E-3</v>
      </c>
      <c r="AT57" s="9">
        <f t="array" ref="AT57">IF(AT$11&gt;=0,MAX(INDEX(MMULT(inverseG,AS$12:AS$62),$A57+1,1),MAX(strike-$B57,0)),"")</f>
        <v>4.2171686185710011E-3</v>
      </c>
      <c r="AU57" s="9">
        <f t="array" ref="AU57">IF(AU$11&gt;=0,MAX(INDEX(MMULT(inverseG,AT$12:AT$62),$A57+1,1),MAX(strike-$B57,0)),"")</f>
        <v>4.524480197672584E-3</v>
      </c>
      <c r="AV57" s="9">
        <f t="array" ref="AV57">IF(AV$11&gt;=0,MAX(INDEX(MMULT(inverseG,AU$12:AU$62),$A57+1,1),MAX(strike-$B57,0)),"")</f>
        <v>4.8402314098713378E-3</v>
      </c>
      <c r="AW57" s="9">
        <f t="array" ref="AW57">IF(AW$11&gt;=0,MAX(INDEX(MMULT(inverseG,AV$12:AV$62),$A57+1,1),MAX(strike-$B57,0)),"")</f>
        <v>5.1639898791445539E-3</v>
      </c>
      <c r="AX57" s="9">
        <f t="array" ref="AX57">IF(AX$11&gt;=0,MAX(INDEX(MMULT(inverseG,AW$12:AW$62),$A57+1,1),MAX(strike-$B57,0)),"")</f>
        <v>5.4953230749044584E-3</v>
      </c>
      <c r="AY57" s="9">
        <f t="array" ref="AY57">IF(AY$11&gt;=0,MAX(INDEX(MMULT(inverseG,AX$12:AX$62),$A57+1,1),MAX(strike-$B57,0)),"")</f>
        <v>5.8338004243959594E-3</v>
      </c>
      <c r="AZ57" s="9">
        <f t="array" ref="AZ57">IF(AZ$11&gt;=0,MAX(INDEX(MMULT(inverseG,AY$12:AY$62),$A57+1,1),MAX(strike-$B57,0)),"")</f>
        <v>6.1789951540563298E-3</v>
      </c>
      <c r="BA57" s="9">
        <f t="array" ref="BA57">IF(BA$11&gt;=0,MAX(INDEX(MMULT(inverseG,AZ$12:AZ$62),$A57+1,1),MAX(strike-$B57,0)),"")</f>
        <v>6.530485882663562E-3</v>
      </c>
      <c r="BB57" s="9">
        <f t="array" ref="BB57">IF(BB$11&gt;=0,MAX(INDEX(MMULT(inverseG,BA$12:BA$62),$A57+1,1),MAX(strike-$B57,0)),"")</f>
        <v>6.8878579885548906E-3</v>
      </c>
      <c r="BC57" s="9">
        <f t="array" ref="BC57">IF(BC$11&gt;=0,MAX(INDEX(MMULT(inverseG,BB$12:BB$62),$A57+1,1),MAX(strike-$B57,0)),"")</f>
        <v>7.2507047722316816E-3</v>
      </c>
      <c r="BD57" s="9">
        <f t="array" ref="BD57">IF(BD$11&gt;=0,MAX(INDEX(MMULT(inverseG,BC$12:BC$62),$A57+1,1),MAX(strike-$B57,0)),"")</f>
        <v>7.6186284344224421E-3</v>
      </c>
      <c r="BE57" s="9">
        <f t="array" ref="BE57">IF(BE$11&gt;=0,MAX(INDEX(MMULT(inverseG,BD$12:BD$62),$A57+1,1),MAX(strike-$B57,0)),"")</f>
        <v>7.9912408882708182E-3</v>
      </c>
      <c r="BF57" s="9">
        <f t="array" ref="BF57">IF(BF$11&gt;=0,MAX(INDEX(MMULT(inverseG,BE$12:BE$62),$A57+1,1),MAX(strike-$B57,0)),"")</f>
        <v>8.3681644228455337E-3</v>
      </c>
      <c r="BG57" s="9">
        <f t="array" ref="BG57">IF(BG$11&gt;=0,MAX(INDEX(MMULT(inverseG,BF$12:BF$62),$A57+1,1),MAX(strike-$B57,0)),"")</f>
        <v>8.749032233706721E-3</v>
      </c>
      <c r="BH57" s="9">
        <f t="array" ref="BH57">IF(BH$11&gt;=0,MAX(INDEX(MMULT(inverseG,BG$12:BG$62),$A57+1,1),MAX(strike-$B57,0)),"")</f>
        <v>9.133488834858634E-3</v>
      </c>
      <c r="BI57" s="9">
        <f t="array" ref="BI57">IF(BI$11&gt;=0,MAX(INDEX(MMULT(inverseG,BH$12:BH$62),$A57+1,1),MAX(strike-$B57,0)),"")</f>
        <v>9.521190365104874E-3</v>
      </c>
      <c r="BJ57" s="9">
        <f t="array" ref="BJ57">IF(BJ$11&gt;=0,MAX(INDEX(MMULT(inverseG,BI$12:BI$62),$A57+1,1),MAX(strike-$B57,0)),"")</f>
        <v>9.9118048006154799E-3</v>
      </c>
      <c r="BK57" s="9">
        <f t="array" ref="BK57">IF(BK$11&gt;=0,MAX(INDEX(MMULT(inverseG,BJ$12:BJ$62),$A57+1,1),MAX(strike-$B57,0)),"")</f>
        <v>1.0305012084420848E-2</v>
      </c>
      <c r="BL57" s="9">
        <f t="array" ref="BL57">IF(BL$11&gt;=0,MAX(INDEX(MMULT(inverseG,BK$12:BK$62),$A57+1,1),MAX(strike-$B57,0)),"")</f>
        <v>1.0700504182562319E-2</v>
      </c>
      <c r="BM57" s="9">
        <f t="array" ref="BM57">IF(BM$11&gt;=0,MAX(INDEX(MMULT(inverseG,BL$12:BL$62),$A57+1,1),MAX(strike-$B57,0)),"")</f>
        <v>1.1097985075745125E-2</v>
      </c>
      <c r="BN57" s="9">
        <f t="array" ref="BN57">IF(BN$11&gt;=0,MAX(INDEX(MMULT(inverseG,BM$12:BM$62),$A57+1,1),MAX(strike-$B57,0)),"")</f>
        <v>1.1497170694544858E-2</v>
      </c>
      <c r="BO57" s="9">
        <f t="array" ref="BO57">IF(BO$11&gt;=0,MAX(INDEX(MMULT(inverseG,BN$12:BN$62),$A57+1,1),MAX(strike-$B57,0)),"")</f>
        <v>1.1897788805502305E-2</v>
      </c>
      <c r="BP57" s="9">
        <f t="array" ref="BP57">IF(BP$11&gt;=0,MAX(INDEX(MMULT(inverseG,BO$12:BO$62),$A57+1,1),MAX(strike-$B57,0)),"")</f>
        <v>1.2299578854791372E-2</v>
      </c>
      <c r="BQ57" s="9">
        <f t="array" ref="BQ57">IF(BQ$11&gt;=0,MAX(INDEX(MMULT(inverseG,BP$12:BP$62),$A57+1,1),MAX(strike-$B57,0)),"")</f>
        <v>1.2702291775550687E-2</v>
      </c>
      <c r="BR57" s="9">
        <f t="array" ref="BR57">IF(BR$11&gt;=0,MAX(INDEX(MMULT(inverseG,BQ$12:BQ$62),$A57+1,1),MAX(strike-$B57,0)),"")</f>
        <v>1.3105689764422843E-2</v>
      </c>
      <c r="BS57" s="9">
        <f t="array" ref="BS57">IF(BS$11&gt;=0,MAX(INDEX(MMULT(inverseG,BR$12:BR$62),$A57+1,1),MAX(strike-$B57,0)),"")</f>
        <v>1.350954603233877E-2</v>
      </c>
      <c r="BT57" s="9">
        <f t="array" ref="BT57">IF(BT$11&gt;=0,MAX(INDEX(MMULT(inverseG,BS$12:BS$62),$A57+1,1),MAX(strike-$B57,0)),"")</f>
        <v>1.3913644534113253E-2</v>
      </c>
      <c r="BU57" s="9">
        <f t="array" ref="BU57">IF(BU$11&gt;=0,MAX(INDEX(MMULT(inverseG,BT$12:BT$62),$A57+1,1),MAX(strike-$B57,0)),"")</f>
        <v>1.4317779680976996E-2</v>
      </c>
      <c r="BV57" s="9">
        <f t="array" ref="BV57">IF(BV$11&gt;=0,MAX(INDEX(MMULT(inverseG,BU$12:BU$62),$A57+1,1),MAX(strike-$B57,0)),"")</f>
        <v>1.4721756039758383E-2</v>
      </c>
      <c r="BW57" s="9">
        <f t="array" ref="BW57">IF(BW$11&gt;=0,MAX(INDEX(MMULT(inverseG,BV$12:BV$62),$A57+1,1),MAX(strike-$B57,0)),"")</f>
        <v>1.5125388022041761E-2</v>
      </c>
      <c r="BX57" s="9">
        <f t="array" ref="BX57">IF(BX$11&gt;=0,MAX(INDEX(MMULT(inverseG,BW$12:BW$62),$A57+1,1),MAX(strike-$B57,0)),"")</f>
        <v>1.5528499566268061E-2</v>
      </c>
      <c r="BY57" s="9">
        <f t="array" ref="BY57">IF(BY$11&gt;=0,MAX(INDEX(MMULT(inverseG,BX$12:BX$62),$A57+1,1),MAX(strike-$B57,0)),"")</f>
        <v>1.5930923815406419E-2</v>
      </c>
      <c r="BZ57" s="9">
        <f t="array" ref="BZ57">IF(BZ$11&gt;=0,MAX(INDEX(MMULT(inverseG,BY$12:BY$62),$A57+1,1),MAX(strike-$B57,0)),"")</f>
        <v>1.6332502792512013E-2</v>
      </c>
      <c r="CA57" s="9">
        <f t="array" ref="CA57">IF(CA$11&gt;=0,MAX(INDEX(MMULT(inverseG,BZ$12:BZ$62),$A57+1,1),MAX(strike-$B57,0)),"")</f>
        <v>1.6733087076194791E-2</v>
      </c>
      <c r="CB57" s="9">
        <f t="array" ref="CB57">IF(CB$11&gt;=0,MAX(INDEX(MMULT(inverseG,CA$12:CA$62),$A57+1,1),MAX(strike-$B57,0)),"")</f>
        <v>1.713253547775586E-2</v>
      </c>
      <c r="CC57" s="9">
        <f t="array" ref="CC57">IF(CC$11&gt;=0,MAX(INDEX(MMULT(inverseG,CB$12:CB$62),$A57+1,1),MAX(strike-$B57,0)),"")</f>
        <v>1.7530714721502218E-2</v>
      </c>
      <c r="CD57" s="9">
        <f t="array" ref="CD57">IF(CD$11&gt;=0,MAX(INDEX(MMULT(inverseG,CC$12:CC$62),$A57+1,1),MAX(strike-$B57,0)),"")</f>
        <v>1.7927499129525952E-2</v>
      </c>
      <c r="CE57" s="9">
        <f t="array" ref="CE57">IF(CE$11&gt;=0,MAX(INDEX(MMULT(inverseG,CD$12:CD$62),$A57+1,1),MAX(strike-$B57,0)),"")</f>
        <v>1.8322770312029918E-2</v>
      </c>
      <c r="CF57" s="9">
        <f t="array" ref="CF57">IF(CF$11&gt;=0,MAX(INDEX(MMULT(inverseG,CE$12:CE$62),$A57+1,1),MAX(strike-$B57,0)),"")</f>
        <v>1.8716416864097446E-2</v>
      </c>
      <c r="CG57" s="9">
        <f t="array" ref="CG57">IF(CG$11&gt;=0,MAX(INDEX(MMULT(inverseG,CF$12:CF$62),$A57+1,1),MAX(strike-$B57,0)),"")</f>
        <v>1.9108334069638154E-2</v>
      </c>
      <c r="CH57" s="9">
        <f t="array" ref="CH57">IF(CH$11&gt;=0,MAX(INDEX(MMULT(inverseG,CG$12:CG$62),$A57+1,1),MAX(strike-$B57,0)),"")</f>
        <v>1.9498423613093761E-2</v>
      </c>
      <c r="CI57" s="9">
        <f t="array" ref="CI57">IF(CI$11&gt;=0,MAX(INDEX(MMULT(inverseG,CH$12:CH$62),$A57+1,1),MAX(strike-$B57,0)),"")</f>
        <v>1.9886593299356752E-2</v>
      </c>
      <c r="CJ57" s="9">
        <f t="array" ref="CJ57">IF(CJ$11&gt;=0,MAX(INDEX(MMULT(inverseG,CI$12:CI$62),$A57+1,1),MAX(strike-$B57,0)),"")</f>
        <v>2.0272756782238541E-2</v>
      </c>
      <c r="CK57" s="9">
        <f t="array" ref="CK57">IF(CK$11&gt;=0,MAX(INDEX(MMULT(inverseG,CJ$12:CJ$62),$A57+1,1),MAX(strike-$B57,0)),"")</f>
        <v>2.0656833301722324E-2</v>
      </c>
      <c r="CL57" s="9">
        <f t="array" ref="CL57">IF(CL$11&gt;=0,MAX(INDEX(MMULT(inverseG,CK$12:CK$62),$A57+1,1),MAX(strike-$B57,0)),"")</f>
        <v>2.1038747430147307E-2</v>
      </c>
      <c r="CM57" s="9">
        <f t="array" ref="CM57">IF(CM$11&gt;=0,MAX(INDEX(MMULT(inverseG,CL$12:CL$62),$A57+1,1),MAX(strike-$B57,0)),"")</f>
        <v>2.1418428827394361E-2</v>
      </c>
      <c r="CN57" s="9">
        <f t="array" ref="CN57">IF(CN$11&gt;=0,MAX(INDEX(MMULT(inverseG,CM$12:CM$62),$A57+1,1),MAX(strike-$B57,0)),"")</f>
        <v>2.179581200507771E-2</v>
      </c>
      <c r="CO57" s="9">
        <f t="array" ref="CO57">IF(CO$11&gt;=0,MAX(INDEX(MMULT(inverseG,CN$12:CN$62),$A57+1,1),MAX(strike-$B57,0)),"")</f>
        <v>2.2170836099691234E-2</v>
      </c>
      <c r="CP57" s="9">
        <f t="array" ref="CP57">IF(CP$11&gt;=0,MAX(INDEX(MMULT(inverseG,CO$12:CO$62),$A57+1,1),MAX(strike-$B57,0)),"")</f>
        <v>2.2543444654611149E-2</v>
      </c>
      <c r="CQ57" s="9">
        <f t="array" ref="CQ57">IF(CQ$11&gt;=0,MAX(INDEX(MMULT(inverseG,CP$12:CP$62),$A57+1,1),MAX(strike-$B57,0)),"")</f>
        <v>2.2913585410817536E-2</v>
      </c>
      <c r="CR57" s="9">
        <f t="array" ref="CR57">IF(CR$11&gt;=0,MAX(INDEX(MMULT(inverseG,CQ$12:CQ$62),$A57+1,1),MAX(strike-$B57,0)),"")</f>
        <v>2.3281210106165136E-2</v>
      </c>
      <c r="CS57" s="9">
        <f t="array" ref="CS57">IF(CS$11&gt;=0,MAX(INDEX(MMULT(inverseG,CR$12:CR$62),$A57+1,1),MAX(strike-$B57,0)),"")</f>
        <v>2.3646274283007827E-2</v>
      </c>
      <c r="CT57" s="9">
        <f t="array" ref="CT57">IF(CT$11&gt;=0,MAX(INDEX(MMULT(inverseG,CS$12:CS$62),$A57+1,1),MAX(strike-$B57,0)),"")</f>
        <v>2.4008737103960748E-2</v>
      </c>
      <c r="CU57" s="9">
        <f t="array" ref="CU57">IF(CU$11&gt;=0,MAX(INDEX(MMULT(inverseG,CT$12:CT$62),$A57+1,1),MAX(strike-$B57,0)),"")</f>
        <v>2.4368561175568904E-2</v>
      </c>
      <c r="CV57" s="9">
        <f t="array" ref="CV57">IF(CV$11&gt;=0,MAX(INDEX(MMULT(inverseG,CU$12:CU$62),$A57+1,1),MAX(strike-$B57,0)),"")</f>
        <v>2.472571237964136E-2</v>
      </c>
      <c r="CW57" s="9">
        <f t="array" ref="CW57">IF(CW$11&gt;=0,MAX(INDEX(MMULT(inverseG,CV$12:CV$62),$A57+1,1),MAX(strike-$B57,0)),"")</f>
        <v>2.5080159712006351E-2</v>
      </c>
      <c r="CX57" s="9">
        <f t="array" ref="CX57">IF(CX$11&gt;=0,MAX(INDEX(MMULT(inverseG,CW$12:CW$62),$A57+1,1),MAX(strike-$B57,0)),"")</f>
        <v>2.5431875128445334E-2</v>
      </c>
      <c r="CY57" s="9">
        <f t="array" ref="CY57">IF(CY$11&gt;=0,MAX(INDEX(MMULT(inverseG,CX$12:CX$62),$A57+1,1),MAX(strike-$B57,0)),"")</f>
        <v>2.5780833397573841E-2</v>
      </c>
      <c r="CZ57" s="9">
        <f t="array" ref="CZ57">IF(CZ$11&gt;=0,MAX(INDEX(MMULT(inverseG,CY$12:CY$62),$A57+1,1),MAX(strike-$B57,0)),"")</f>
        <v>2.6127011960452487E-2</v>
      </c>
      <c r="DA57" s="9" t="str">
        <f t="array" ref="DA57">IF(DA$11&gt;=0,MAX(INDEX(MMULT(inverseG,CZ$12:CZ$62),$A57+1,1),MAX(strike-$B57,0)),"")</f>
        <v/>
      </c>
      <c r="DB57" s="9" t="str">
        <f t="array" ref="DB57">IF(DB$11&gt;=0,MAX(INDEX(MMULT(inverseG,DA$12:DA$62),$A57+1,1),MAX(strike-$B57,0)),"")</f>
        <v/>
      </c>
      <c r="DC57" s="9" t="str">
        <f t="array" ref="DC57">IF(DC$11&gt;=0,MAX(INDEX(MMULT(inverseG,DB$12:DB$62),$A57+1,1),MAX(strike-$B57,0)),"")</f>
        <v/>
      </c>
      <c r="DD57" s="9" t="str">
        <f t="array" ref="DD57">IF(DD$11&gt;=0,MAX(INDEX(MMULT(inverseG,DC$12:DC$62),$A57+1,1),MAX(strike-$B57,0)),"")</f>
        <v/>
      </c>
      <c r="DE57" s="9" t="str">
        <f t="array" ref="DE57">IF(DE$11&gt;=0,MAX(INDEX(MMULT(inverseG,DD$12:DD$62),$A57+1,1),MAX(strike-$B57,0)),"")</f>
        <v/>
      </c>
      <c r="DF57" s="9" t="str">
        <f t="array" ref="DF57">IF(DF$11&gt;=0,MAX(INDEX(MMULT(inverseG,DE$12:DE$62),$A57+1,1),MAX(strike-$B57,0)),"")</f>
        <v/>
      </c>
      <c r="DG57" s="9" t="str">
        <f t="array" ref="DG57">IF(DG$11&gt;=0,MAX(INDEX(MMULT(inverseG,DF$12:DF$62),$A57+1,1),MAX(strike-$B57,0)),"")</f>
        <v/>
      </c>
      <c r="DH57" s="9" t="str">
        <f t="array" ref="DH57">IF(DH$11&gt;=0,MAX(INDEX(MMULT(inverseG,DG$12:DG$62),$A57+1,1),MAX(strike-$B57,0)),"")</f>
        <v/>
      </c>
      <c r="DI57" s="9" t="str">
        <f t="array" ref="DI57">IF(DI$11&gt;=0,MAX(INDEX(MMULT(inverseG,DH$12:DH$62),$A57+1,1),MAX(strike-$B57,0)),"")</f>
        <v/>
      </c>
      <c r="DJ57" s="9" t="str">
        <f t="array" ref="DJ57">IF(DJ$11&gt;=0,MAX(INDEX(MMULT(inverseG,DI$12:DI$62),$A57+1,1),MAX(strike-$B57,0)),"")</f>
        <v/>
      </c>
      <c r="DK57" s="9" t="str">
        <f t="array" ref="DK57">IF(DK$11&gt;=0,MAX(INDEX(MMULT(inverseG,DJ$12:DJ$62),$A57+1,1),MAX(strike-$B57,0)),"")</f>
        <v/>
      </c>
      <c r="DL57" s="9" t="str">
        <f t="array" ref="DL57">IF(DL$11&gt;=0,MAX(INDEX(MMULT(inverseG,DK$12:DK$62),$A57+1,1),MAX(strike-$B57,0)),"")</f>
        <v/>
      </c>
      <c r="DM57" s="9" t="str">
        <f t="array" ref="DM57">IF(DM$11&gt;=0,MAX(INDEX(MMULT(inverseG,DL$12:DL$62),$A57+1,1),MAX(strike-$B57,0)),"")</f>
        <v/>
      </c>
      <c r="DN57" s="9" t="str">
        <f t="array" ref="DN57">IF(DN$11&gt;=0,MAX(INDEX(MMULT(inverseG,DM$12:DM$62),$A57+1,1),MAX(strike-$B57,0)),"")</f>
        <v/>
      </c>
      <c r="DO57" s="9" t="str">
        <f t="array" ref="DO57">IF(DO$11&gt;=0,MAX(INDEX(MMULT(inverseG,DN$12:DN$62),$A57+1,1),MAX(strike-$B57,0)),"")</f>
        <v/>
      </c>
      <c r="DP57" s="9" t="str">
        <f t="array" ref="DP57">IF(DP$11&gt;=0,MAX(INDEX(MMULT(inverseG,DO$12:DO$62),$A57+1,1),MAX(strike-$B57,0)),"")</f>
        <v/>
      </c>
      <c r="DQ57" s="9" t="str">
        <f t="array" ref="DQ57">IF(DQ$11&gt;=0,MAX(INDEX(MMULT(inverseG,DP$12:DP$62),$A57+1,1),MAX(strike-$B57,0)),"")</f>
        <v/>
      </c>
      <c r="DR57" s="9" t="str">
        <f t="array" ref="DR57">IF(DR$11&gt;=0,MAX(INDEX(MMULT(inverseG,DQ$12:DQ$62),$A57+1,1),MAX(strike-$B57,0)),"")</f>
        <v/>
      </c>
      <c r="DS57" s="9" t="str">
        <f t="array" ref="DS57">IF(DS$11&gt;=0,MAX(INDEX(MMULT(inverseG,DR$12:DR$62),$A57+1,1),MAX(strike-$B57,0)),"")</f>
        <v/>
      </c>
      <c r="DT57" s="9" t="str">
        <f t="array" ref="DT57">IF(DT$11&gt;=0,MAX(INDEX(MMULT(inverseG,DS$12:DS$62),$A57+1,1),MAX(strike-$B57,0)),"")</f>
        <v/>
      </c>
      <c r="DU57" s="9" t="str">
        <f t="array" ref="DU57">IF(DU$11&gt;=0,MAX(INDEX(MMULT(inverseG,DT$12:DT$62),$A57+1,1),MAX(strike-$B57,0)),"")</f>
        <v/>
      </c>
      <c r="DV57" s="9" t="str">
        <f t="array" ref="DV57">IF(DV$11&gt;=0,MAX(INDEX(MMULT(inverseG,DU$12:DU$62),$A57+1,1),MAX(strike-$B57,0)),"")</f>
        <v/>
      </c>
      <c r="DW57" s="9" t="str">
        <f t="array" ref="DW57">IF(DW$11&gt;=0,MAX(INDEX(MMULT(inverseG,DV$12:DV$62),$A57+1,1),MAX(strike-$B57,0)),"")</f>
        <v/>
      </c>
      <c r="DX57" s="9" t="str">
        <f t="array" ref="DX57">IF(DX$11&gt;=0,MAX(INDEX(MMULT(inverseG,DW$12:DW$62),$A57+1,1),MAX(strike-$B57,0)),"")</f>
        <v/>
      </c>
      <c r="DY57" s="9" t="str">
        <f t="array" ref="DY57">IF(DY$11&gt;=0,MAX(INDEX(MMULT(inverseG,DX$12:DX$62),$A57+1,1),MAX(strike-$B57,0)),"")</f>
        <v/>
      </c>
      <c r="DZ57" s="9" t="str">
        <f t="array" ref="DZ57">IF(DZ$11&gt;=0,MAX(INDEX(MMULT(inverseG,DY$12:DY$62),$A57+1,1),MAX(strike-$B57,0)),"")</f>
        <v/>
      </c>
      <c r="EA57" s="9" t="str">
        <f t="array" ref="EA57">IF(EA$11&gt;=0,MAX(INDEX(MMULT(inverseG,DZ$12:DZ$62),$A57+1,1),MAX(strike-$B57,0)),"")</f>
        <v/>
      </c>
      <c r="EB57" s="9" t="str">
        <f t="array" ref="EB57">IF(EB$11&gt;=0,MAX(INDEX(MMULT(inverseG,EA$12:EA$62),$A57+1,1),MAX(strike-$B57,0)),"")</f>
        <v/>
      </c>
      <c r="EC57" s="9" t="str">
        <f t="array" ref="EC57">IF(EC$11&gt;=0,MAX(INDEX(MMULT(inverseG,EB$12:EB$62),$A57+1,1),MAX(strike-$B57,0)),"")</f>
        <v/>
      </c>
      <c r="ED57" s="9" t="str">
        <f t="array" ref="ED57">IF(ED$11&gt;=0,MAX(INDEX(MMULT(inverseG,EC$12:EC$62),$A57+1,1),MAX(strike-$B57,0)),"")</f>
        <v/>
      </c>
      <c r="EE57" s="9" t="str">
        <f t="array" ref="EE57">IF(EE$11&gt;=0,MAX(INDEX(MMULT(inverseG,ED$12:ED$62),$A57+1,1),MAX(strike-$B57,0)),"")</f>
        <v/>
      </c>
      <c r="EF57" s="9" t="str">
        <f t="array" ref="EF57">IF(EF$11&gt;=0,MAX(INDEX(MMULT(inverseG,EE$12:EE$62),$A57+1,1),MAX(strike-$B57,0)),"")</f>
        <v/>
      </c>
      <c r="EG57" s="9" t="str">
        <f t="array" ref="EG57">IF(EG$11&gt;=0,MAX(INDEX(MMULT(inverseG,EF$12:EF$62),$A57+1,1),MAX(strike-$B57,0)),"")</f>
        <v/>
      </c>
      <c r="EH57" s="9" t="str">
        <f t="array" ref="EH57">IF(EH$11&gt;=0,MAX(INDEX(MMULT(inverseG,EG$12:EG$62),$A57+1,1),MAX(strike-$B57,0)),"")</f>
        <v/>
      </c>
      <c r="EI57" s="9" t="str">
        <f t="array" ref="EI57">IF(EI$11&gt;=0,MAX(INDEX(MMULT(inverseG,EH$12:EH$62),$A57+1,1),MAX(strike-$B57,0)),"")</f>
        <v/>
      </c>
      <c r="EJ57" s="9" t="str">
        <f t="array" ref="EJ57">IF(EJ$11&gt;=0,MAX(INDEX(MMULT(inverseG,EI$12:EI$62),$A57+1,1),MAX(strike-$B57,0)),"")</f>
        <v/>
      </c>
      <c r="EK57" s="9" t="str">
        <f t="array" ref="EK57">IF(EK$11&gt;=0,MAX(INDEX(MMULT(inverseG,EJ$12:EJ$62),$A57+1,1),MAX(strike-$B57,0)),"")</f>
        <v/>
      </c>
      <c r="EL57" s="9" t="str">
        <f t="array" ref="EL57">IF(EL$11&gt;=0,MAX(INDEX(MMULT(inverseG,EK$12:EK$62),$A57+1,1),MAX(strike-$B57,0)),"")</f>
        <v/>
      </c>
      <c r="EM57" s="9" t="str">
        <f t="array" ref="EM57">IF(EM$11&gt;=0,MAX(INDEX(MMULT(inverseG,EL$12:EL$62),$A57+1,1),MAX(strike-$B57,0)),"")</f>
        <v/>
      </c>
      <c r="EN57" s="9" t="str">
        <f t="array" ref="EN57">IF(EN$11&gt;=0,MAX(INDEX(MMULT(inverseG,EM$12:EM$62),$A57+1,1),MAX(strike-$B57,0)),"")</f>
        <v/>
      </c>
      <c r="EO57" s="9" t="str">
        <f t="array" ref="EO57">IF(EO$11&gt;=0,MAX(INDEX(MMULT(inverseG,EN$12:EN$62),$A57+1,1),MAX(strike-$B57,0)),"")</f>
        <v/>
      </c>
      <c r="EP57" s="9" t="str">
        <f t="array" ref="EP57">IF(EP$11&gt;=0,MAX(INDEX(MMULT(inverseG,EO$12:EO$62),$A57+1,1),MAX(strike-$B57,0)),"")</f>
        <v/>
      </c>
      <c r="EQ57" s="9" t="str">
        <f t="array" ref="EQ57">IF(EQ$11&gt;=0,MAX(INDEX(MMULT(inverseG,EP$12:EP$62),$A57+1,1),MAX(strike-$B57,0)),"")</f>
        <v/>
      </c>
      <c r="ER57" s="9" t="str">
        <f t="array" ref="ER57">IF(ER$11&gt;=0,MAX(INDEX(MMULT(inverseG,EQ$12:EQ$62),$A57+1,1),MAX(strike-$B57,0)),"")</f>
        <v/>
      </c>
      <c r="ES57" s="9" t="str">
        <f t="array" ref="ES57">IF(ES$11&gt;=0,MAX(INDEX(MMULT(inverseG,ER$12:ER$62),$A57+1,1),MAX(strike-$B57,0)),"")</f>
        <v/>
      </c>
      <c r="ET57" s="9" t="str">
        <f t="array" ref="ET57">IF(ET$11&gt;=0,MAX(INDEX(MMULT(inverseG,ES$12:ES$62),$A57+1,1),MAX(strike-$B57,0)),"")</f>
        <v/>
      </c>
      <c r="EU57" s="9" t="str">
        <f t="array" ref="EU57">IF(EU$11&gt;=0,MAX(INDEX(MMULT(inverseG,ET$12:ET$62),$A57+1,1),MAX(strike-$B57,0)),"")</f>
        <v/>
      </c>
      <c r="EV57" s="9" t="str">
        <f t="array" ref="EV57">IF(EV$11&gt;=0,MAX(INDEX(MMULT(inverseG,EU$12:EU$62),$A57+1,1),MAX(strike-$B57,0)),"")</f>
        <v/>
      </c>
      <c r="EW57" s="9" t="str">
        <f t="array" ref="EW57">IF(EW$11&gt;=0,MAX(INDEX(MMULT(inverseG,EV$12:EV$62),$A57+1,1),MAX(strike-$B57,0)),"")</f>
        <v/>
      </c>
      <c r="EX57" s="9" t="str">
        <f t="array" ref="EX57">IF(EX$11&gt;=0,MAX(INDEX(MMULT(inverseG,EW$12:EW$62),$A57+1,1),MAX(strike-$B57,0)),"")</f>
        <v/>
      </c>
      <c r="EY57" s="9" t="str">
        <f t="array" ref="EY57">IF(EY$11&gt;=0,MAX(INDEX(MMULT(inverseG,EX$12:EX$62),$A57+1,1),MAX(strike-$B57,0)),"")</f>
        <v/>
      </c>
      <c r="EZ57" s="9" t="str">
        <f t="array" ref="EZ57">IF(EZ$11&gt;=0,MAX(INDEX(MMULT(inverseG,EY$12:EY$62),$A57+1,1),MAX(strike-$B57,0)),"")</f>
        <v/>
      </c>
      <c r="FA57" s="9" t="str">
        <f t="array" ref="FA57">IF(FA$11&gt;=0,MAX(INDEX(MMULT(inverseG,EZ$12:EZ$62),$A57+1,1),MAX(strike-$B57,0)),"")</f>
        <v/>
      </c>
      <c r="FB57" s="9" t="str">
        <f t="array" ref="FB57">IF(FB$11&gt;=0,MAX(INDEX(MMULT(inverseG,FA$12:FA$62),$A57+1,1),MAX(strike-$B57,0)),"")</f>
        <v/>
      </c>
      <c r="FC57" s="9" t="str">
        <f t="array" ref="FC57">IF(FC$11&gt;=0,MAX(INDEX(MMULT(inverseG,FB$12:FB$62),$A57+1,1),MAX(strike-$B57,0)),"")</f>
        <v/>
      </c>
      <c r="FD57" s="9" t="str">
        <f t="array" ref="FD57">IF(FD$11&gt;=0,MAX(INDEX(MMULT(inverseG,FC$12:FC$62),$A57+1,1),MAX(strike-$B57,0)),"")</f>
        <v/>
      </c>
      <c r="FE57" s="9" t="str">
        <f t="array" ref="FE57">IF(FE$11&gt;=0,MAX(INDEX(MMULT(inverseG,FD$12:FD$62),$A57+1,1),MAX(strike-$B57,0)),"")</f>
        <v/>
      </c>
      <c r="FF57" s="9" t="str">
        <f t="array" ref="FF57">IF(FF$11&gt;=0,MAX(INDEX(MMULT(inverseG,FE$12:FE$62),$A57+1,1),MAX(strike-$B57,0)),"")</f>
        <v/>
      </c>
      <c r="FG57" s="9" t="str">
        <f t="array" ref="FG57">IF(FG$11&gt;=0,MAX(INDEX(MMULT(inverseG,FF$12:FF$62),$A57+1,1),MAX(strike-$B57,0)),"")</f>
        <v/>
      </c>
      <c r="FH57" s="9" t="str">
        <f t="array" ref="FH57">IF(FH$11&gt;=0,MAX(INDEX(MMULT(inverseG,FG$12:FG$62),$A57+1,1),MAX(strike-$B57,0)),"")</f>
        <v/>
      </c>
      <c r="FI57" s="9" t="str">
        <f t="array" ref="FI57">IF(FI$11&gt;=0,MAX(INDEX(MMULT(inverseG,FH$12:FH$62),$A57+1,1),MAX(strike-$B57,0)),"")</f>
        <v/>
      </c>
      <c r="FJ57" s="9" t="str">
        <f t="array" ref="FJ57">IF(FJ$11&gt;=0,MAX(INDEX(MMULT(inverseG,FI$12:FI$62),$A57+1,1),MAX(strike-$B57,0)),"")</f>
        <v/>
      </c>
      <c r="FK57" s="9" t="str">
        <f t="array" ref="FK57">IF(FK$11&gt;=0,MAX(INDEX(MMULT(inverseG,FJ$12:FJ$62),$A57+1,1),MAX(strike-$B57,0)),"")</f>
        <v/>
      </c>
      <c r="FL57" s="9" t="str">
        <f t="array" ref="FL57">IF(FL$11&gt;=0,MAX(INDEX(MMULT(inverseG,FK$12:FK$62),$A57+1,1),MAX(strike-$B57,0)),"")</f>
        <v/>
      </c>
      <c r="FM57" s="9" t="str">
        <f t="array" ref="FM57">IF(FM$11&gt;=0,MAX(INDEX(MMULT(inverseG,FL$12:FL$62),$A57+1,1),MAX(strike-$B57,0)),"")</f>
        <v/>
      </c>
      <c r="FN57" s="9" t="str">
        <f t="array" ref="FN57">IF(FN$11&gt;=0,MAX(INDEX(MMULT(inverseG,FM$12:FM$62),$A57+1,1),MAX(strike-$B57,0)),"")</f>
        <v/>
      </c>
      <c r="FO57" s="9" t="str">
        <f t="array" ref="FO57">IF(FO$11&gt;=0,MAX(INDEX(MMULT(inverseG,FN$12:FN$62),$A57+1,1),MAX(strike-$B57,0)),"")</f>
        <v/>
      </c>
      <c r="FP57" s="9" t="str">
        <f t="array" ref="FP57">IF(FP$11&gt;=0,MAX(INDEX(MMULT(inverseG,FO$12:FO$62),$A57+1,1),MAX(strike-$B57,0)),"")</f>
        <v/>
      </c>
      <c r="FQ57" s="9" t="str">
        <f t="array" ref="FQ57">IF(FQ$11&gt;=0,MAX(INDEX(MMULT(inverseG,FP$12:FP$62),$A57+1,1),MAX(strike-$B57,0)),"")</f>
        <v/>
      </c>
      <c r="FR57" s="9" t="str">
        <f t="array" ref="FR57">IF(FR$11&gt;=0,MAX(INDEX(MMULT(inverseG,FQ$12:FQ$62),$A57+1,1),MAX(strike-$B57,0)),"")</f>
        <v/>
      </c>
      <c r="FS57" s="9" t="str">
        <f t="array" ref="FS57">IF(FS$11&gt;=0,MAX(INDEX(MMULT(inverseG,FR$12:FR$62),$A57+1,1),MAX(strike-$B57,0)),"")</f>
        <v/>
      </c>
      <c r="FT57" s="9" t="str">
        <f t="array" ref="FT57">IF(FT$11&gt;=0,MAX(INDEX(MMULT(inverseG,FS$12:FS$62),$A57+1,1),MAX(strike-$B57,0)),"")</f>
        <v/>
      </c>
      <c r="FU57" s="9" t="str">
        <f t="array" ref="FU57">IF(FU$11&gt;=0,MAX(INDEX(MMULT(inverseG,FT$12:FT$62),$A57+1,1),MAX(strike-$B57,0)),"")</f>
        <v/>
      </c>
      <c r="FV57" s="9" t="str">
        <f t="array" ref="FV57">IF(FV$11&gt;=0,MAX(INDEX(MMULT(inverseG,FU$12:FU$62),$A57+1,1),MAX(strike-$B57,0)),"")</f>
        <v/>
      </c>
      <c r="FW57" s="9" t="str">
        <f t="array" ref="FW57">IF(FW$11&gt;=0,MAX(INDEX(MMULT(inverseG,FV$12:FV$62),$A57+1,1),MAX(strike-$B57,0)),"")</f>
        <v/>
      </c>
      <c r="FX57" s="9" t="str">
        <f t="array" ref="FX57">IF(FX$11&gt;=0,MAX(INDEX(MMULT(inverseG,FW$12:FW$62),$A57+1,1),MAX(strike-$B57,0)),"")</f>
        <v/>
      </c>
      <c r="FY57" s="9" t="str">
        <f t="array" ref="FY57">IF(FY$11&gt;=0,MAX(INDEX(MMULT(inverseG,FX$12:FX$62),$A57+1,1),MAX(strike-$B57,0)),"")</f>
        <v/>
      </c>
      <c r="FZ57" s="9" t="str">
        <f t="array" ref="FZ57">IF(FZ$11&gt;=0,MAX(INDEX(MMULT(inverseG,FY$12:FY$62),$A57+1,1),MAX(strike-$B57,0)),"")</f>
        <v/>
      </c>
      <c r="GA57" s="9" t="str">
        <f t="array" ref="GA57">IF(GA$11&gt;=0,MAX(INDEX(MMULT(inverseG,FZ$12:FZ$62),$A57+1,1),MAX(strike-$B57,0)),"")</f>
        <v/>
      </c>
      <c r="GB57" s="9" t="str">
        <f t="array" ref="GB57">IF(GB$11&gt;=0,MAX(INDEX(MMULT(inverseG,GA$12:GA$62),$A57+1,1),MAX(strike-$B57,0)),"")</f>
        <v/>
      </c>
      <c r="GC57" s="9" t="str">
        <f t="array" ref="GC57">IF(GC$11&gt;=0,MAX(INDEX(MMULT(inverseG,GB$12:GB$62),$A57+1,1),MAX(strike-$B57,0)),"")</f>
        <v/>
      </c>
      <c r="GD57" s="9" t="str">
        <f t="array" ref="GD57">IF(GD$11&gt;=0,MAX(INDEX(MMULT(inverseG,GC$12:GC$62),$A57+1,1),MAX(strike-$B57,0)),"")</f>
        <v/>
      </c>
      <c r="GE57" s="9" t="str">
        <f t="array" ref="GE57">IF(GE$11&gt;=0,MAX(INDEX(MMULT(inverseG,GD$12:GD$62),$A57+1,1),MAX(strike-$B57,0)),"")</f>
        <v/>
      </c>
      <c r="GF57" s="9" t="str">
        <f t="array" ref="GF57">IF(GF$11&gt;=0,MAX(INDEX(MMULT(inverseG,GE$12:GE$62),$A57+1,1),MAX(strike-$B57,0)),"")</f>
        <v/>
      </c>
      <c r="GG57" s="9" t="str">
        <f t="array" ref="GG57">IF(GG$11&gt;=0,MAX(INDEX(MMULT(inverseG,GF$12:GF$62),$A57+1,1),MAX(strike-$B57,0)),"")</f>
        <v/>
      </c>
      <c r="GH57" s="9" t="str">
        <f t="array" ref="GH57">IF(GH$11&gt;=0,MAX(INDEX(MMULT(inverseG,GG$12:GG$62),$A57+1,1),MAX(strike-$B57,0)),"")</f>
        <v/>
      </c>
      <c r="GI57" s="9" t="str">
        <f t="array" ref="GI57">IF(GI$11&gt;=0,MAX(INDEX(MMULT(inverseG,GH$12:GH$62),$A57+1,1),MAX(strike-$B57,0)),"")</f>
        <v/>
      </c>
      <c r="GJ57" s="9" t="str">
        <f t="array" ref="GJ57">IF(GJ$11&gt;=0,MAX(INDEX(MMULT(inverseG,GI$12:GI$62),$A57+1,1),MAX(strike-$B57,0)),"")</f>
        <v/>
      </c>
      <c r="GK57" s="9" t="str">
        <f t="array" ref="GK57">IF(GK$11&gt;=0,MAX(INDEX(MMULT(inverseG,GJ$12:GJ$62),$A57+1,1),MAX(strike-$B57,0)),"")</f>
        <v/>
      </c>
      <c r="GL57" s="9" t="str">
        <f t="array" ref="GL57">IF(GL$11&gt;=0,MAX(INDEX(MMULT(inverseG,GK$12:GK$62),$A57+1,1),MAX(strike-$B57,0)),"")</f>
        <v/>
      </c>
      <c r="GM57" s="9" t="str">
        <f t="array" ref="GM57">IF(GM$11&gt;=0,MAX(INDEX(MMULT(inverseG,GL$12:GL$62),$A57+1,1),MAX(strike-$B57,0)),"")</f>
        <v/>
      </c>
      <c r="GN57" s="9" t="str">
        <f t="array" ref="GN57">IF(GN$11&gt;=0,MAX(INDEX(MMULT(inverseG,GM$12:GM$62),$A57+1,1),MAX(strike-$B57,0)),"")</f>
        <v/>
      </c>
      <c r="GO57" s="9" t="str">
        <f t="array" ref="GO57">IF(GO$11&gt;=0,MAX(INDEX(MMULT(inverseG,GN$12:GN$62),$A57+1,1),MAX(strike-$B57,0)),"")</f>
        <v/>
      </c>
      <c r="GP57" s="9" t="str">
        <f t="array" ref="GP57">IF(GP$11&gt;=0,MAX(INDEX(MMULT(inverseG,GO$12:GO$62),$A57+1,1),MAX(strike-$B57,0)),"")</f>
        <v/>
      </c>
      <c r="GQ57" s="9" t="str">
        <f t="array" ref="GQ57">IF(GQ$11&gt;=0,MAX(INDEX(MMULT(inverseG,GP$12:GP$62),$A57+1,1),MAX(strike-$B57,0)),"")</f>
        <v/>
      </c>
      <c r="GR57" s="9" t="str">
        <f t="array" ref="GR57">IF(GR$11&gt;=0,MAX(INDEX(MMULT(inverseG,GQ$12:GQ$62),$A57+1,1),MAX(strike-$B57,0)),"")</f>
        <v/>
      </c>
      <c r="GS57" s="9" t="str">
        <f t="array" ref="GS57">IF(GS$11&gt;=0,MAX(INDEX(MMULT(inverseG,GR$12:GR$62),$A57+1,1),MAX(strike-$B57,0)),"")</f>
        <v/>
      </c>
      <c r="GT57" s="9" t="str">
        <f t="array" ref="GT57">IF(GT$11&gt;=0,MAX(INDEX(MMULT(inverseG,GS$12:GS$62),$A57+1,1),MAX(strike-$B57,0)),"")</f>
        <v/>
      </c>
      <c r="GU57" s="9" t="str">
        <f t="array" ref="GU57">IF(GU$11&gt;=0,MAX(INDEX(MMULT(inverseG,GT$12:GT$62),$A57+1,1),MAX(strike-$B57,0)),"")</f>
        <v/>
      </c>
      <c r="GV57" s="9" t="str">
        <f t="array" ref="GV57">IF(GV$11&gt;=0,MAX(INDEX(MMULT(inverseG,GU$12:GU$62),$A57+1,1),MAX(strike-$B57,0)),"")</f>
        <v/>
      </c>
      <c r="GW57" s="9" t="str">
        <f t="array" ref="GW57">IF(GW$11&gt;=0,MAX(INDEX(MMULT(inverseG,GV$12:GV$62),$A57+1,1),MAX(strike-$B57,0)),"")</f>
        <v/>
      </c>
      <c r="GX57" s="9" t="str">
        <f t="array" ref="GX57">IF(GX$11&gt;=0,MAX(INDEX(MMULT(inverseG,GW$12:GW$62),$A57+1,1),MAX(strike-$B57,0)),"")</f>
        <v/>
      </c>
      <c r="GY57" s="9" t="str">
        <f t="array" ref="GY57">IF(GY$11&gt;=0,MAX(INDEX(MMULT(inverseG,GX$12:GX$62),$A57+1,1),MAX(strike-$B57,0)),"")</f>
        <v/>
      </c>
      <c r="GZ57" s="9" t="str">
        <f t="array" ref="GZ57">IF(GZ$11&gt;=0,MAX(INDEX(MMULT(inverseG,GY$12:GY$62),$A57+1,1),MAX(strike-$B57,0)),"")</f>
        <v/>
      </c>
      <c r="HA57" s="9" t="str">
        <f t="array" ref="HA57">IF(HA$11&gt;=0,MAX(INDEX(MMULT(inverseG,GZ$12:GZ$62),$A57+1,1),MAX(strike-$B57,0)),"")</f>
        <v/>
      </c>
      <c r="HB57" s="9" t="str">
        <f t="array" ref="HB57">IF(HB$11&gt;=0,MAX(INDEX(MMULT(inverseG,HA$12:HA$62),$A57+1,1),MAX(strike-$B57,0)),"")</f>
        <v/>
      </c>
      <c r="HC57" s="9" t="str">
        <f t="array" ref="HC57">IF(HC$11&gt;=0,MAX(INDEX(MMULT(inverseG,HB$12:HB$62),$A57+1,1),MAX(strike-$B57,0)),"")</f>
        <v/>
      </c>
      <c r="HD57" s="9" t="str">
        <f t="array" ref="HD57">IF(HD$11&gt;=0,MAX(INDEX(MMULT(inverseG,HC$12:HC$62),$A57+1,1),MAX(strike-$B57,0)),"")</f>
        <v/>
      </c>
      <c r="HE57" s="9" t="str">
        <f t="array" ref="HE57">IF(HE$11&gt;=0,MAX(INDEX(MMULT(inverseG,HD$12:HD$62),$A57+1,1),MAX(strike-$B57,0)),"")</f>
        <v/>
      </c>
      <c r="HF57" s="9" t="str">
        <f t="array" ref="HF57">IF(HF$11&gt;=0,MAX(INDEX(MMULT(inverseG,HE$12:HE$62),$A57+1,1),MAX(strike-$B57,0)),"")</f>
        <v/>
      </c>
      <c r="HG57" s="9" t="str">
        <f t="array" ref="HG57">IF(HG$11&gt;=0,MAX(INDEX(MMULT(inverseG,HF$12:HF$62),$A57+1,1),MAX(strike-$B57,0)),"")</f>
        <v/>
      </c>
      <c r="HH57" s="9" t="str">
        <f t="array" ref="HH57">IF(HH$11&gt;=0,MAX(INDEX(MMULT(inverseG,HG$12:HG$62),$A57+1,1),MAX(strike-$B57,0)),"")</f>
        <v/>
      </c>
      <c r="HI57" s="9" t="str">
        <f t="array" ref="HI57">IF(HI$11&gt;=0,MAX(INDEX(MMULT(inverseG,HH$12:HH$62),$A57+1,1),MAX(strike-$B57,0)),"")</f>
        <v/>
      </c>
      <c r="HJ57" s="9" t="str">
        <f t="array" ref="HJ57">IF(HJ$11&gt;=0,MAX(INDEX(MMULT(inverseG,HI$12:HI$62),$A57+1,1),MAX(strike-$B57,0)),"")</f>
        <v/>
      </c>
      <c r="HK57" s="9" t="str">
        <f t="array" ref="HK57">IF(HK$11&gt;=0,MAX(INDEX(MMULT(inverseG,HJ$12:HJ$62),$A57+1,1),MAX(strike-$B57,0)),"")</f>
        <v/>
      </c>
      <c r="HL57" s="9" t="str">
        <f t="array" ref="HL57">IF(HL$11&gt;=0,MAX(INDEX(MMULT(inverseG,HK$12:HK$62),$A57+1,1),MAX(strike-$B57,0)),"")</f>
        <v/>
      </c>
      <c r="HM57" s="9" t="str">
        <f t="array" ref="HM57">IF(HM$11&gt;=0,MAX(INDEX(MMULT(inverseG,HL$12:HL$62),$A57+1,1),MAX(strike-$B57,0)),"")</f>
        <v/>
      </c>
      <c r="HN57" s="9" t="str">
        <f t="array" ref="HN57">IF(HN$11&gt;=0,MAX(INDEX(MMULT(inverseG,HM$12:HM$62),$A57+1,1),MAX(strike-$B57,0)),"")</f>
        <v/>
      </c>
      <c r="HO57" s="9" t="str">
        <f t="array" ref="HO57">IF(HO$11&gt;=0,MAX(INDEX(MMULT(inverseG,HN$12:HN$62),$A57+1,1),MAX(strike-$B57,0)),"")</f>
        <v/>
      </c>
      <c r="HP57" s="9" t="str">
        <f t="array" ref="HP57">IF(HP$11&gt;=0,MAX(INDEX(MMULT(inverseG,HO$12:HO$62),$A57+1,1),MAX(strike-$B57,0)),"")</f>
        <v/>
      </c>
      <c r="HQ57" s="9" t="str">
        <f t="array" ref="HQ57">IF(HQ$11&gt;=0,MAX(INDEX(MMULT(inverseG,HP$12:HP$62),$A57+1,1),MAX(strike-$B57,0)),"")</f>
        <v/>
      </c>
      <c r="HR57" s="9" t="str">
        <f t="array" ref="HR57">IF(HR$11&gt;=0,MAX(INDEX(MMULT(inverseG,HQ$12:HQ$62),$A57+1,1),MAX(strike-$B57,0)),"")</f>
        <v/>
      </c>
      <c r="HS57" s="9" t="str">
        <f t="array" ref="HS57">IF(HS$11&gt;=0,MAX(INDEX(MMULT(inverseG,HR$12:HR$62),$A57+1,1),MAX(strike-$B57,0)),"")</f>
        <v/>
      </c>
      <c r="HT57" s="9" t="str">
        <f t="array" ref="HT57">IF(HT$11&gt;=0,MAX(INDEX(MMULT(inverseG,HS$12:HS$62),$A57+1,1),MAX(strike-$B57,0)),"")</f>
        <v/>
      </c>
      <c r="HU57" s="9" t="str">
        <f t="array" ref="HU57">IF(HU$11&gt;=0,MAX(INDEX(MMULT(inverseG,HT$12:HT$62),$A57+1,1),MAX(strike-$B57,0)),"")</f>
        <v/>
      </c>
      <c r="HV57" s="9" t="str">
        <f t="array" ref="HV57">IF(HV$11&gt;=0,MAX(INDEX(MMULT(inverseG,HU$12:HU$62),$A57+1,1),MAX(strike-$B57,0)),"")</f>
        <v/>
      </c>
      <c r="HW57" s="9" t="str">
        <f t="array" ref="HW57">IF(HW$11&gt;=0,MAX(INDEX(MMULT(inverseG,HV$12:HV$62),$A57+1,1),MAX(strike-$B57,0)),"")</f>
        <v/>
      </c>
      <c r="HX57" s="9" t="str">
        <f t="array" ref="HX57">IF(HX$11&gt;=0,MAX(INDEX(MMULT(inverseG,HW$12:HW$62),$A57+1,1),MAX(strike-$B57,0)),"")</f>
        <v/>
      </c>
      <c r="HY57" s="9" t="str">
        <f t="array" ref="HY57">IF(HY$11&gt;=0,MAX(INDEX(MMULT(inverseG,HX$12:HX$62),$A57+1,1),MAX(strike-$B57,0)),"")</f>
        <v/>
      </c>
      <c r="HZ57" s="9" t="str">
        <f t="array" ref="HZ57">IF(HZ$11&gt;=0,MAX(INDEX(MMULT(inverseG,HY$12:HY$62),$A57+1,1),MAX(strike-$B57,0)),"")</f>
        <v/>
      </c>
      <c r="IA57" s="9" t="str">
        <f t="array" ref="IA57">IF(IA$11&gt;=0,MAX(INDEX(MMULT(inverseG,HZ$12:HZ$62),$A57+1,1),MAX(strike-$B57,0)),"")</f>
        <v/>
      </c>
      <c r="IB57" s="9" t="str">
        <f t="array" ref="IB57">IF(IB$11&gt;=0,MAX(INDEX(MMULT(inverseG,IA$12:IA$62),$A57+1,1),MAX(strike-$B57,0)),"")</f>
        <v/>
      </c>
      <c r="IC57" s="9" t="str">
        <f t="array" ref="IC57">IF(IC$11&gt;=0,MAX(INDEX(MMULT(inverseG,IB$12:IB$62),$A57+1,1),MAX(strike-$B57,0)),"")</f>
        <v/>
      </c>
      <c r="ID57" s="9" t="str">
        <f t="array" ref="ID57">IF(ID$11&gt;=0,MAX(INDEX(MMULT(inverseG,IC$12:IC$62),$A57+1,1),MAX(strike-$B57,0)),"")</f>
        <v/>
      </c>
      <c r="IE57" s="9" t="str">
        <f t="array" ref="IE57">IF(IE$11&gt;=0,MAX(INDEX(MMULT(inverseG,ID$12:ID$62),$A57+1,1),MAX(strike-$B57,0)),"")</f>
        <v/>
      </c>
      <c r="IF57" s="9" t="str">
        <f t="array" ref="IF57">IF(IF$11&gt;=0,MAX(INDEX(MMULT(inverseG,IE$12:IE$62),$A57+1,1),MAX(strike-$B57,0)),"")</f>
        <v/>
      </c>
      <c r="IG57" s="9" t="str">
        <f t="array" ref="IG57">IF(IG$11&gt;=0,MAX(INDEX(MMULT(inverseG,IF$12:IF$62),$A57+1,1),MAX(strike-$B57,0)),"")</f>
        <v/>
      </c>
      <c r="IH57" s="9" t="str">
        <f t="array" ref="IH57">IF(IH$11&gt;=0,MAX(INDEX(MMULT(inverseG,IG$12:IG$62),$A57+1,1),MAX(strike-$B57,0)),"")</f>
        <v/>
      </c>
      <c r="II57" s="9" t="str">
        <f t="array" ref="II57">IF(II$11&gt;=0,MAX(INDEX(MMULT(inverseG,IH$12:IH$62),$A57+1,1),MAX(strike-$B57,0)),"")</f>
        <v/>
      </c>
      <c r="IJ57" s="9" t="str">
        <f t="array" ref="IJ57">IF(IJ$11&gt;=0,MAX(INDEX(MMULT(inverseG,II$12:II$62),$A57+1,1),MAX(strike-$B57,0)),"")</f>
        <v/>
      </c>
      <c r="IK57" s="9" t="str">
        <f t="array" ref="IK57">IF(IK$11&gt;=0,MAX(INDEX(MMULT(inverseG,IJ$12:IJ$62),$A57+1,1),MAX(strike-$B57,0)),"")</f>
        <v/>
      </c>
      <c r="IL57" s="9" t="str">
        <f t="array" ref="IL57">IF(IL$11&gt;=0,MAX(INDEX(MMULT(inverseG,IK$12:IK$62),$A57+1,1),MAX(strike-$B57,0)),"")</f>
        <v/>
      </c>
      <c r="IM57" s="9" t="str">
        <f t="array" ref="IM57">IF(IM$11&gt;=0,MAX(INDEX(MMULT(inverseG,IL$12:IL$62),$A57+1,1),MAX(strike-$B57,0)),"")</f>
        <v/>
      </c>
      <c r="IN57" s="9" t="str">
        <f t="array" ref="IN57">IF(IN$11&gt;=0,MAX(INDEX(MMULT(inverseG,IM$12:IM$62),$A57+1,1),MAX(strike-$B57,0)),"")</f>
        <v/>
      </c>
      <c r="IO57" s="9" t="str">
        <f t="array" ref="IO57">IF(IO$11&gt;=0,MAX(INDEX(MMULT(inverseG,IN$12:IN$62),$A57+1,1),MAX(strike-$B57,0)),"")</f>
        <v/>
      </c>
      <c r="IP57" s="9" t="str">
        <f t="array" ref="IP57">IF(IP$11&gt;=0,MAX(INDEX(MMULT(inverseG,IO$12:IO$62),$A57+1,1),MAX(strike-$B57,0)),"")</f>
        <v/>
      </c>
      <c r="IQ57" s="9" t="str">
        <f t="array" ref="IQ57">IF(IQ$11&gt;=0,MAX(INDEX(MMULT(inverseG,IP$12:IP$62),$A57+1,1),MAX(strike-$B57,0)),"")</f>
        <v/>
      </c>
      <c r="IR57" s="9" t="str">
        <f t="array" ref="IR57">IF(IR$11&gt;=0,MAX(INDEX(MMULT(inverseG,IQ$12:IQ$62),$A57+1,1),MAX(strike-$B57,0)),"")</f>
        <v/>
      </c>
      <c r="IS57" s="9" t="str">
        <f t="array" ref="IS57">IF(IS$11&gt;=0,MAX(INDEX(MMULT(inverseG,IR$12:IR$62),$A57+1,1),MAX(strike-$B57,0)),"")</f>
        <v/>
      </c>
      <c r="IT57" s="9" t="str">
        <f t="array" ref="IT57">IF(IT$11&gt;=0,MAX(INDEX(MMULT(inverseG,IS$12:IS$62),$A57+1,1),MAX(strike-$B57,0)),"")</f>
        <v/>
      </c>
      <c r="IU57" s="9" t="str">
        <f t="array" ref="IU57">IF(IU$11&gt;=0,MAX(INDEX(MMULT(inverseG,IT$12:IT$62),$A57+1,1),MAX(strike-$B57,0)),"")</f>
        <v/>
      </c>
      <c r="IV57" s="9" t="str">
        <f t="array" ref="IV57">IF(IV$11&gt;=0,MAX(INDEX(MMULT(inverseG,IU$12:IU$62),$A57+1,1),MAX(strike-$B57,0)),"")</f>
        <v/>
      </c>
    </row>
    <row r="58" spans="1:256" x14ac:dyDescent="0.2">
      <c r="A58" s="8">
        <f t="shared" si="7"/>
        <v>46</v>
      </c>
      <c r="B58" s="6">
        <f t="shared" si="8"/>
        <v>11.5</v>
      </c>
      <c r="C58" s="30">
        <f t="shared" ca="1" si="6"/>
        <v>2.0396646021589908E-2</v>
      </c>
      <c r="D58" s="9">
        <f t="shared" si="9"/>
        <v>0</v>
      </c>
      <c r="E58" s="9">
        <f t="array" ref="E58">IF(E$11&gt;=0,MAX(INDEX(MMULT(inverseG,D$12:D$62),$A58+1,1),MAX(strike-$B58,0)),"")</f>
        <v>8.1074920849751199E-11</v>
      </c>
      <c r="F58" s="9">
        <f t="array" ref="F58">IF(F$11&gt;=0,MAX(INDEX(MMULT(inverseG,E$12:E$62),$A58+1,1),MAX(strike-$B58,0)),"")</f>
        <v>9.0630408016875223E-10</v>
      </c>
      <c r="G58" s="9">
        <f t="array" ref="G58">IF(G$11&gt;=0,MAX(INDEX(MMULT(inverseG,F$12:F$62),$A58+1,1),MAX(strike-$B58,0)),"")</f>
        <v>5.3477652543756206E-9</v>
      </c>
      <c r="H58" s="9">
        <f t="array" ref="H58">IF(H$11&gt;=0,MAX(INDEX(MMULT(inverseG,G$12:G$62),$A58+1,1),MAX(strike-$B58,0)),"")</f>
        <v>2.2175463166250406E-8</v>
      </c>
      <c r="I58" s="9">
        <f t="array" ref="I58">IF(I$11&gt;=0,MAX(INDEX(MMULT(inverseG,H$12:H$62),$A58+1,1),MAX(strike-$B58,0)),"")</f>
        <v>7.2594592974150992E-8</v>
      </c>
      <c r="J58" s="9">
        <f t="array" ref="J58">IF(J$11&gt;=0,MAX(INDEX(MMULT(inverseG,I$12:I$62),$A58+1,1),MAX(strike-$B58,0)),"")</f>
        <v>1.9984566618941897E-7</v>
      </c>
      <c r="K58" s="9">
        <f t="array" ref="K58">IF(K$11&gt;=0,MAX(INDEX(MMULT(inverseG,J$12:J$62),$A58+1,1),MAX(strike-$B58,0)),"")</f>
        <v>4.8127379626656241E-7</v>
      </c>
      <c r="L58" s="9">
        <f t="array" ref="L58">IF(L$11&gt;=0,MAX(INDEX(MMULT(inverseG,K$12:K$62),$A58+1,1),MAX(strike-$B58,0)),"")</f>
        <v>1.0415246347212506E-6</v>
      </c>
      <c r="M58" s="9">
        <f t="array" ref="M58">IF(M$11&gt;=0,MAX(INDEX(MMULT(inverseG,L$12:L$62),$A58+1,1),MAX(strike-$B58,0)),"")</f>
        <v>2.0650845376456526E-6</v>
      </c>
      <c r="N58" s="9">
        <f t="array" ref="N58">IF(N$11&gt;=0,MAX(INDEX(MMULT(inverseG,M$12:M$62),$A58+1,1),MAX(strike-$B58,0)),"")</f>
        <v>3.8063595819687545E-6</v>
      </c>
      <c r="O58" s="9">
        <f t="array" ref="O58">IF(O$11&gt;=0,MAX(INDEX(MMULT(inverseG,N$12:N$62),$A58+1,1),MAX(strike-$B58,0)),"")</f>
        <v>6.5958411830996657E-6</v>
      </c>
      <c r="P58" s="9">
        <f t="array" ref="P58">IF(P$11&gt;=0,MAX(INDEX(MMULT(inverseG,O$12:O$62),$A58+1,1),MAX(strike-$B58,0)),"")</f>
        <v>1.0841497744049272E-5</v>
      </c>
      <c r="Q58" s="9">
        <f t="array" ref="Q58">IF(Q$11&gt;=0,MAX(INDEX(MMULT(inverseG,P$12:P$62),$A58+1,1),MAX(strike-$B58,0)),"")</f>
        <v>1.7025196350385584E-5</v>
      </c>
      <c r="R58" s="9">
        <f t="array" ref="R58">IF(R$11&gt;=0,MAX(INDEX(MMULT(inverseG,Q$12:Q$62),$A58+1,1),MAX(strike-$B58,0)),"")</f>
        <v>2.5694555839249751E-5</v>
      </c>
      <c r="S58" s="9">
        <f t="array" ref="S58">IF(S$11&gt;=0,MAX(INDEX(MMULT(inverseG,R$12:R$62),$A58+1,1),MAX(strike-$B58,0)),"")</f>
        <v>3.7451074627096391E-5</v>
      </c>
      <c r="T58" s="9">
        <f t="array" ref="T58">IF(T$11&gt;=0,MAX(INDEX(MMULT(inverseG,S$12:S$62),$A58+1,1),MAX(strike-$B58,0)),"")</f>
        <v>5.2935630480415536E-5</v>
      </c>
      <c r="U58" s="9">
        <f t="array" ref="U58">IF(U$11&gt;=0,MAX(INDEX(MMULT(inverseG,T$12:T$62),$A58+1,1),MAX(strike-$B58,0)),"")</f>
        <v>7.2812525123593948E-5</v>
      </c>
      <c r="V58" s="9">
        <f t="array" ref="V58">IF(V$11&gt;=0,MAX(INDEX(MMULT(inverseG,U$12:U$62),$A58+1,1),MAX(strike-$B58,0)),"")</f>
        <v>9.7753180465625866E-5</v>
      </c>
      <c r="W58" s="9">
        <f t="array" ref="W58">IF(W$11&gt;=0,MAX(INDEX(MMULT(inverseG,V$12:V$62),$A58+1,1),MAX(strike-$B58,0)),"")</f>
        <v>1.2842043179662994E-4</v>
      </c>
      <c r="X58" s="9">
        <f t="array" ref="X58">IF(X$11&gt;=0,MAX(INDEX(MMULT(inverseG,W$12:W$62),$A58+1,1),MAX(strike-$B58,0)),"")</f>
        <v>1.6545415173123765E-4</v>
      </c>
      <c r="Y58" s="9">
        <f t="array" ref="Y58">IF(Y$11&gt;=0,MAX(INDEX(MMULT(inverseG,X$12:X$62),$A58+1,1),MAX(strike-$B58,0)),"")</f>
        <v>2.0945871412384815E-4</v>
      </c>
      <c r="Z58" s="9">
        <f t="array" ref="Z58">IF(Z$11&gt;=0,MAX(INDEX(MMULT(inverseG,Y$12:Y$62),$A58+1,1),MAX(strike-$B58,0)),"")</f>
        <v>2.6099259620647279E-4</v>
      </c>
      <c r="AA58" s="9">
        <f t="array" ref="AA58">IF(AA$11&gt;=0,MAX(INDEX(MMULT(inverseG,Z$12:Z$62),$A58+1,1),MAX(strike-$B58,0)),"")</f>
        <v>3.2056023593965416E-4</v>
      </c>
      <c r="AB58" s="9">
        <f t="array" ref="AB58">IF(AB$11&gt;=0,MAX(INDEX(MMULT(inverseG,AA$12:AA$62),$A58+1,1),MAX(strike-$B58,0)),"")</f>
        <v>3.8860611746631033E-4</v>
      </c>
      <c r="AC58" s="9">
        <f t="array" ref="AC58">IF(AC$11&gt;=0,MAX(INDEX(MMULT(inverseG,AB$12:AB$62),$A58+1,1),MAX(strike-$B58,0)),"")</f>
        <v>4.6551095168078125E-4</v>
      </c>
      <c r="AD58" s="9">
        <f t="array" ref="AD58">IF(AD$11&gt;=0,MAX(INDEX(MMULT(inverseG,AC$12:AC$62),$A58+1,1),MAX(strike-$B58,0)),"")</f>
        <v>5.5158974821792155E-4</v>
      </c>
      <c r="AE58" s="9">
        <f t="array" ref="AE58">IF(AE$11&gt;=0,MAX(INDEX(MMULT(inverseG,AD$12:AD$62),$A58+1,1),MAX(strike-$B58,0)),"")</f>
        <v>6.4709153435393895E-4</v>
      </c>
      <c r="AF58" s="9">
        <f t="array" ref="AF58">IF(AF$11&gt;=0,MAX(INDEX(MMULT(inverseG,AE$12:AE$62),$A58+1,1),MAX(strike-$B58,0)),"")</f>
        <v>7.5220045929666685E-4</v>
      </c>
      <c r="AG58" s="9">
        <f t="array" ref="AG58">IF(AG$11&gt;=0,MAX(INDEX(MMULT(inverseG,AF$12:AF$62),$A58+1,1),MAX(strike-$B58,0)),"")</f>
        <v>8.67038023142068E-4</v>
      </c>
      <c r="AH58" s="9">
        <f t="array" ref="AH58">IF(AH$11&gt;=0,MAX(INDEX(MMULT(inverseG,AG$12:AG$62),$A58+1,1),MAX(strike-$B58,0)),"")</f>
        <v>9.916661830434196E-4</v>
      </c>
      <c r="AI58" s="9">
        <f t="array" ref="AI58">IF(AI$11&gt;=0,MAX(INDEX(MMULT(inverseG,AH$12:AH$62),$A58+1,1),MAX(strike-$B58,0)),"")</f>
        <v>1.1260911104240495E-3</v>
      </c>
      <c r="AJ58" s="9">
        <f t="array" ref="AJ58">IF(AJ$11&gt;=0,MAX(INDEX(MMULT(inverseG,AI$12:AI$62),$A58+1,1),MAX(strike-$B58,0)),"")</f>
        <v>1.2702673988445466E-3</v>
      </c>
      <c r="AK58" s="9">
        <f t="array" ref="AK58">IF(AK$11&gt;=0,MAX(INDEX(MMULT(inverseG,AJ$12:AJ$62),$A58+1,1),MAX(strike-$B58,0)),"")</f>
        <v>1.4241025497643482E-3</v>
      </c>
      <c r="AL58" s="9">
        <f t="array" ref="AL58">IF(AL$11&gt;=0,MAX(INDEX(MMULT(inverseG,AK$12:AK$62),$A58+1,1),MAX(strike-$B58,0)),"")</f>
        <v>1.5874615910210855E-3</v>
      </c>
      <c r="AM58" s="9">
        <f t="array" ref="AM58">IF(AM$11&gt;=0,MAX(INDEX(MMULT(inverseG,AL$12:AL$62),$A58+1,1),MAX(strike-$B58,0)),"")</f>
        <v>1.7601717091082995E-3</v>
      </c>
      <c r="AN58" s="9">
        <f t="array" ref="AN58">IF(AN$11&gt;=0,MAX(INDEX(MMULT(inverseG,AM$12:AM$62),$A58+1,1),MAX(strike-$B58,0)),"")</f>
        <v>1.9420268004620371E-3</v>
      </c>
      <c r="AO58" s="9">
        <f t="array" ref="AO58">IF(AO$11&gt;=0,MAX(INDEX(MMULT(inverseG,AN$12:AN$62),$A58+1,1),MAX(strike-$B58,0)),"")</f>
        <v>2.1327918685295558E-3</v>
      </c>
      <c r="AP58" s="9">
        <f t="array" ref="AP58">IF(AP$11&gt;=0,MAX(INDEX(MMULT(inverseG,AO$12:AO$62),$A58+1,1),MAX(strike-$B58,0)),"")</f>
        <v>2.332207212212467E-3</v>
      </c>
      <c r="AQ58" s="9">
        <f t="array" ref="AQ58">IF(AQ$11&gt;=0,MAX(INDEX(MMULT(inverseG,AP$12:AP$62),$A58+1,1),MAX(strike-$B58,0)),"")</f>
        <v>2.5399923673611164E-3</v>
      </c>
      <c r="AR58" s="9">
        <f t="array" ref="AR58">IF(AR$11&gt;=0,MAX(INDEX(MMULT(inverseG,AQ$12:AQ$62),$A58+1,1),MAX(strike-$B58,0)),"")</f>
        <v>2.7558497764801561E-3</v>
      </c>
      <c r="AS58" s="9">
        <f t="array" ref="AS58">IF(AS$11&gt;=0,MAX(INDEX(MMULT(inverseG,AR$12:AR$62),$A58+1,1),MAX(strike-$B58,0)),"")</f>
        <v>2.9794681728966626E-3</v>
      </c>
      <c r="AT58" s="9">
        <f t="array" ref="AT58">IF(AT$11&gt;=0,MAX(INDEX(MMULT(inverseG,AS$12:AS$62),$A58+1,1),MAX(strike-$B58,0)),"")</f>
        <v>3.2105256745897752E-3</v>
      </c>
      <c r="AU58" s="9">
        <f t="array" ref="AU58">IF(AU$11&gt;=0,MAX(INDEX(MMULT(inverseG,AT$12:AT$62),$A58+1,1),MAX(strike-$B58,0)),"")</f>
        <v>3.4486925899431531E-3</v>
      </c>
      <c r="AV58" s="9">
        <f t="array" ref="AV58">IF(AV$11&gt;=0,MAX(INDEX(MMULT(inverseG,AU$12:AU$62),$A58+1,1),MAX(strike-$B58,0)),"")</f>
        <v>3.693633943108854E-3</v>
      </c>
      <c r="AW58" s="9">
        <f t="array" ref="AW58">IF(AW$11&gt;=0,MAX(INDEX(MMULT(inverseG,AV$12:AV$62),$A58+1,1),MAX(strike-$B58,0)),"")</f>
        <v>3.9450117306954425E-3</v>
      </c>
      <c r="AX58" s="9">
        <f t="array" ref="AX58">IF(AX$11&gt;=0,MAX(INDEX(MMULT(inverseG,AW$12:AW$62),$A58+1,1),MAX(strike-$B58,0)),"")</f>
        <v>4.2024869243252917E-3</v>
      </c>
      <c r="AY58" s="9">
        <f t="array" ref="AY58">IF(AY$11&gt;=0,MAX(INDEX(MMULT(inverseG,AX$12:AX$62),$A58+1,1),MAX(strike-$B58,0)),"")</f>
        <v>4.4657212354368798E-3</v>
      </c>
      <c r="AZ58" s="9">
        <f t="array" ref="AZ58">IF(AZ$11&gt;=0,MAX(INDEX(MMULT(inverseG,AY$12:AY$62),$A58+1,1),MAX(strike-$B58,0)),"")</f>
        <v>4.7343786597115614E-3</v>
      </c>
      <c r="BA58" s="9">
        <f t="array" ref="BA58">IF(BA$11&gt;=0,MAX(INDEX(MMULT(inverseG,AZ$12:AZ$62),$A58+1,1),MAX(strike-$B58,0)),"")</f>
        <v>5.0081268188401666E-3</v>
      </c>
      <c r="BB58" s="9">
        <f t="array" ref="BB58">IF(BB$11&gt;=0,MAX(INDEX(MMULT(inverseG,BA$12:BA$62),$A58+1,1),MAX(strike-$B58,0)),"")</f>
        <v>5.286638117159047E-3</v>
      </c>
      <c r="BC58" s="9">
        <f t="array" ref="BC58">IF(BC$11&gt;=0,MAX(INDEX(MMULT(inverseG,BB$12:BB$62),$A58+1,1),MAX(strike-$B58,0)),"")</f>
        <v>5.5695907301101522E-3</v>
      </c>
      <c r="BD58" s="9">
        <f t="array" ref="BD58">IF(BD$11&gt;=0,MAX(INDEX(MMULT(inverseG,BC$12:BC$62),$A58+1,1),MAX(strike-$B58,0)),"")</f>
        <v>5.8566694406327162E-3</v>
      </c>
      <c r="BE58" s="9">
        <f t="array" ref="BE58">IF(BE$11&gt;=0,MAX(INDEX(MMULT(inverseG,BD$12:BD$62),$A58+1,1),MAX(strike-$B58,0)),"")</f>
        <v>6.1475663385753459E-3</v>
      </c>
      <c r="BF58" s="9">
        <f t="array" ref="BF58">IF(BF$11&gt;=0,MAX(INDEX(MMULT(inverseG,BE$12:BE$62),$A58+1,1),MAX(strike-$B58,0)),"")</f>
        <v>6.4419813971098756E-3</v>
      </c>
      <c r="BG58" s="9">
        <f t="array" ref="BG58">IF(BG$11&gt;=0,MAX(INDEX(MMULT(inverseG,BF$12:BF$62),$A58+1,1),MAX(strike-$B58,0)),"")</f>
        <v>6.7396229389964264E-3</v>
      </c>
      <c r="BH58" s="9">
        <f t="array" ref="BH58">IF(BH$11&gt;=0,MAX(INDEX(MMULT(inverseG,BG$12:BG$62),$A58+1,1),MAX(strike-$B58,0)),"")</f>
        <v>7.0402080044407915E-3</v>
      </c>
      <c r="BI58" s="9">
        <f t="array" ref="BI58">IF(BI$11&gt;=0,MAX(INDEX(MMULT(inverseG,BH$12:BH$62),$A58+1,1),MAX(strike-$B58,0)),"")</f>
        <v>7.3434626312321796E-3</v>
      </c>
      <c r="BJ58" s="9">
        <f t="array" ref="BJ58">IF(BJ$11&gt;=0,MAX(INDEX(MMULT(inverseG,BI$12:BI$62),$A58+1,1),MAX(strike-$B58,0)),"")</f>
        <v>7.6491220568710759E-3</v>
      </c>
      <c r="BK58" s="9">
        <f t="array" ref="BK58">IF(BK$11&gt;=0,MAX(INDEX(MMULT(inverseG,BJ$12:BJ$62),$A58+1,1),MAX(strike-$B58,0)),"")</f>
        <v>7.9569308515020174E-3</v>
      </c>
      <c r="BL58" s="9">
        <f t="array" ref="BL58">IF(BL$11&gt;=0,MAX(INDEX(MMULT(inverseG,BK$12:BK$62),$A58+1,1),MAX(strike-$B58,0)),"")</f>
        <v>8.2666429896556225E-3</v>
      </c>
      <c r="BM58" s="9">
        <f t="array" ref="BM58">IF(BM$11&gt;=0,MAX(INDEX(MMULT(inverseG,BL$12:BL$62),$A58+1,1),MAX(strike-$B58,0)),"")</f>
        <v>8.5780218680744178E-3</v>
      </c>
      <c r="BN58" s="9">
        <f t="array" ref="BN58">IF(BN$11&gt;=0,MAX(INDEX(MMULT(inverseG,BM$12:BM$62),$A58+1,1),MAX(strike-$B58,0)),"")</f>
        <v>8.8908402762403159E-3</v>
      </c>
      <c r="BO58" s="9">
        <f t="array" ref="BO58">IF(BO$11&gt;=0,MAX(INDEX(MMULT(inverseG,BN$12:BN$62),$A58+1,1),MAX(strike-$B58,0)),"")</f>
        <v>9.2048803256299765E-3</v>
      </c>
      <c r="BP58" s="9">
        <f t="array" ref="BP58">IF(BP$11&gt;=0,MAX(INDEX(MMULT(inverseG,BO$12:BO$62),$A58+1,1),MAX(strike-$B58,0)),"")</f>
        <v>9.519933343188321E-3</v>
      </c>
      <c r="BQ58" s="9">
        <f t="array" ref="BQ58">IF(BQ$11&gt;=0,MAX(INDEX(MMULT(inverseG,BP$12:BP$62),$A58+1,1),MAX(strike-$B58,0)),"")</f>
        <v>9.8357997340223265E-3</v>
      </c>
      <c r="BR58" s="9">
        <f t="array" ref="BR58">IF(BR$11&gt;=0,MAX(INDEX(MMULT(inverseG,BQ$12:BQ$62),$A58+1,1),MAX(strike-$B58,0)),"")</f>
        <v>1.0152288817869533E-2</v>
      </c>
      <c r="BS58" s="9">
        <f t="array" ref="BS58">IF(BS$11&gt;=0,MAX(INDEX(MMULT(inverseG,BR$12:BR$62),$A58+1,1),MAX(strike-$B58,0)),"")</f>
        <v>1.04692186434822E-2</v>
      </c>
      <c r="BT58" s="9">
        <f t="array" ref="BT58">IF(BT$11&gt;=0,MAX(INDEX(MMULT(inverseG,BS$12:BS$62),$A58+1,1),MAX(strike-$B58,0)),"")</f>
        <v>1.0786415784684398E-2</v>
      </c>
      <c r="BU58" s="9">
        <f t="array" ref="BU58">IF(BU$11&gt;=0,MAX(INDEX(MMULT(inverseG,BT$12:BT$62),$A58+1,1),MAX(strike-$B58,0)),"")</f>
        <v>1.1103715121501555E-2</v>
      </c>
      <c r="BV58" s="9">
        <f t="array" ref="BV58">IF(BV$11&gt;=0,MAX(INDEX(MMULT(inverseG,BU$12:BU$62),$A58+1,1),MAX(strike-$B58,0)),"")</f>
        <v>1.1420959609427538E-2</v>
      </c>
      <c r="BW58" s="9">
        <f t="array" ref="BW58">IF(BW$11&gt;=0,MAX(INDEX(MMULT(inverseG,BV$12:BV$62),$A58+1,1),MAX(strike-$B58,0)),"")</f>
        <v>1.1738000039581533E-2</v>
      </c>
      <c r="BX58" s="9">
        <f t="array" ref="BX58">IF(BX$11&gt;=0,MAX(INDEX(MMULT(inverseG,BW$12:BW$62),$A58+1,1),MAX(strike-$B58,0)),"")</f>
        <v>1.2054694792214278E-2</v>
      </c>
      <c r="BY58" s="9">
        <f t="array" ref="BY58">IF(BY$11&gt;=0,MAX(INDEX(MMULT(inverseG,BX$12:BX$62),$A58+1,1),MAX(strike-$B58,0)),"")</f>
        <v>1.2370909585749931E-2</v>
      </c>
      <c r="BZ58" s="9">
        <f t="array" ref="BZ58">IF(BZ$11&gt;=0,MAX(INDEX(MMULT(inverseG,BY$12:BY$62),$A58+1,1),MAX(strike-$B58,0)),"")</f>
        <v>1.2686517223295318E-2</v>
      </c>
      <c r="CA58" s="9">
        <f t="array" ref="CA58">IF(CA$11&gt;=0,MAX(INDEX(MMULT(inverseG,BZ$12:BZ$62),$A58+1,1),MAX(strike-$B58,0)),"")</f>
        <v>1.3001397338312107E-2</v>
      </c>
      <c r="CB58" s="9">
        <f t="array" ref="CB58">IF(CB$11&gt;=0,MAX(INDEX(MMULT(inverseG,CA$12:CA$62),$A58+1,1),MAX(strike-$B58,0)),"")</f>
        <v>1.3315436140929081E-2</v>
      </c>
      <c r="CC58" s="9">
        <f t="array" ref="CC58">IF(CC$11&gt;=0,MAX(INDEX(MMULT(inverseG,CB$12:CB$62),$A58+1,1),MAX(strike-$B58,0)),"")</f>
        <v>1.3628526166170819E-2</v>
      </c>
      <c r="CD58" s="9">
        <f t="array" ref="CD58">IF(CD$11&gt;=0,MAX(INDEX(MMULT(inverseG,CC$12:CC$62),$A58+1,1),MAX(strike-$B58,0)),"")</f>
        <v>1.3940566025195122E-2</v>
      </c>
      <c r="CE58" s="9">
        <f t="array" ref="CE58">IF(CE$11&gt;=0,MAX(INDEX(MMULT(inverseG,CD$12:CD$62),$A58+1,1),MAX(strike-$B58,0)),"")</f>
        <v>1.4251460160464089E-2</v>
      </c>
      <c r="CF58" s="9">
        <f t="array" ref="CF58">IF(CF$11&gt;=0,MAX(INDEX(MMULT(inverseG,CE$12:CE$62),$A58+1,1),MAX(strike-$B58,0)),"")</f>
        <v>1.4561118605621818E-2</v>
      </c>
      <c r="CG58" s="9">
        <f t="array" ref="CG58">IF(CG$11&gt;=0,MAX(INDEX(MMULT(inverseG,CF$12:CF$62),$A58+1,1),MAX(strike-$B58,0)),"")</f>
        <v>1.4869456750715087E-2</v>
      </c>
      <c r="CH58" s="9">
        <f t="array" ref="CH58">IF(CH$11&gt;=0,MAX(INDEX(MMULT(inverseG,CG$12:CG$62),$A58+1,1),MAX(strike-$B58,0)),"")</f>
        <v>1.5176395113270805E-2</v>
      </c>
      <c r="CI58" s="9">
        <f t="array" ref="CI58">IF(CI$11&gt;=0,MAX(INDEX(MMULT(inverseG,CH$12:CH$62),$A58+1,1),MAX(strike-$B58,0)),"")</f>
        <v>1.5481859115634947E-2</v>
      </c>
      <c r="CJ58" s="9">
        <f t="array" ref="CJ58">IF(CJ$11&gt;=0,MAX(INDEX(MMULT(inverseG,CI$12:CI$62),$A58+1,1),MAX(strike-$B58,0)),"")</f>
        <v>1.5785778868880978E-2</v>
      </c>
      <c r="CK58" s="9">
        <f t="array" ref="CK58">IF(CK$11&gt;=0,MAX(INDEX(MMULT(inverseG,CJ$12:CJ$62),$A58+1,1),MAX(strike-$B58,0)),"")</f>
        <v>1.6088088963510955E-2</v>
      </c>
      <c r="CL58" s="9">
        <f t="array" ref="CL58">IF(CL$11&gt;=0,MAX(INDEX(MMULT(inverseG,CK$12:CK$62),$A58+1,1),MAX(strike-$B58,0)),"")</f>
        <v>1.6388728267098016E-2</v>
      </c>
      <c r="CM58" s="9">
        <f t="array" ref="CM58">IF(CM$11&gt;=0,MAX(INDEX(MMULT(inverseG,CL$12:CL$62),$A58+1,1),MAX(strike-$B58,0)),"")</f>
        <v>1.6687639728954682E-2</v>
      </c>
      <c r="CN58" s="9">
        <f t="array" ref="CN58">IF(CN$11&gt;=0,MAX(INDEX(MMULT(inverseG,CM$12:CM$62),$A58+1,1),MAX(strike-$B58,0)),"")</f>
        <v>1.6984770191855621E-2</v>
      </c>
      <c r="CO58" s="9">
        <f t="array" ref="CO58">IF(CO$11&gt;=0,MAX(INDEX(MMULT(inverseG,CN$12:CN$62),$A58+1,1),MAX(strike-$B58,0)),"")</f>
        <v>1.728007021079633E-2</v>
      </c>
      <c r="CP58" s="9">
        <f t="array" ref="CP58">IF(CP$11&gt;=0,MAX(INDEX(MMULT(inverseG,CO$12:CO$62),$A58+1,1),MAX(strike-$B58,0)),"")</f>
        <v>1.7573493878728738E-2</v>
      </c>
      <c r="CQ58" s="9">
        <f t="array" ref="CQ58">IF(CQ$11&gt;=0,MAX(INDEX(MMULT(inverseG,CP$12:CP$62),$A58+1,1),MAX(strike-$B58,0)),"")</f>
        <v>1.7864998659181251E-2</v>
      </c>
      <c r="CR58" s="9">
        <f t="array" ref="CR58">IF(CR$11&gt;=0,MAX(INDEX(MMULT(inverseG,CQ$12:CQ$62),$A58+1,1),MAX(strike-$B58,0)),"")</f>
        <v>1.8154545225642835E-2</v>
      </c>
      <c r="CS58" s="9">
        <f t="array" ref="CS58">IF(CS$11&gt;=0,MAX(INDEX(MMULT(inverseG,CR$12:CR$62),$A58+1,1),MAX(strike-$B58,0)),"")</f>
        <v>1.8442097307567931E-2</v>
      </c>
      <c r="CT58" s="9">
        <f t="array" ref="CT58">IF(CT$11&gt;=0,MAX(INDEX(MMULT(inverseG,CS$12:CS$62),$A58+1,1),MAX(strike-$B58,0)),"")</f>
        <v>1.8727621542841053E-2</v>
      </c>
      <c r="CU58" s="9">
        <f t="array" ref="CU58">IF(CU$11&gt;=0,MAX(INDEX(MMULT(inverseG,CT$12:CT$62),$A58+1,1),MAX(strike-$B58,0)),"")</f>
        <v>1.9011087336525945E-2</v>
      </c>
      <c r="CV58" s="9">
        <f t="array" ref="CV58">IF(CV$11&gt;=0,MAX(INDEX(MMULT(inverseG,CU$12:CU$62),$A58+1,1),MAX(strike-$B58,0)),"")</f>
        <v>1.929246672571468E-2</v>
      </c>
      <c r="CW58" s="9">
        <f t="array" ref="CW58">IF(CW$11&gt;=0,MAX(INDEX(MMULT(inverseG,CV$12:CV$62),$A58+1,1),MAX(strike-$B58,0)),"")</f>
        <v>1.9571734250287125E-2</v>
      </c>
      <c r="CX58" s="9">
        <f t="array" ref="CX58">IF(CX$11&gt;=0,MAX(INDEX(MMULT(inverseG,CW$12:CW$62),$A58+1,1),MAX(strike-$B58,0)),"")</f>
        <v>1.9848866829391229E-2</v>
      </c>
      <c r="CY58" s="9">
        <f t="array" ref="CY58">IF(CY$11&gt;=0,MAX(INDEX(MMULT(inverseG,CX$12:CX$62),$A58+1,1),MAX(strike-$B58,0)),"")</f>
        <v>2.012384364345984E-2</v>
      </c>
      <c r="CZ58" s="9">
        <f t="array" ref="CZ58">IF(CZ$11&gt;=0,MAX(INDEX(MMULT(inverseG,CY$12:CY$62),$A58+1,1),MAX(strike-$B58,0)),"")</f>
        <v>2.0396646021589908E-2</v>
      </c>
      <c r="DA58" s="9" t="str">
        <f t="array" ref="DA58">IF(DA$11&gt;=0,MAX(INDEX(MMULT(inverseG,CZ$12:CZ$62),$A58+1,1),MAX(strike-$B58,0)),"")</f>
        <v/>
      </c>
      <c r="DB58" s="9" t="str">
        <f t="array" ref="DB58">IF(DB$11&gt;=0,MAX(INDEX(MMULT(inverseG,DA$12:DA$62),$A58+1,1),MAX(strike-$B58,0)),"")</f>
        <v/>
      </c>
      <c r="DC58" s="9" t="str">
        <f t="array" ref="DC58">IF(DC$11&gt;=0,MAX(INDEX(MMULT(inverseG,DB$12:DB$62),$A58+1,1),MAX(strike-$B58,0)),"")</f>
        <v/>
      </c>
      <c r="DD58" s="9" t="str">
        <f t="array" ref="DD58">IF(DD$11&gt;=0,MAX(INDEX(MMULT(inverseG,DC$12:DC$62),$A58+1,1),MAX(strike-$B58,0)),"")</f>
        <v/>
      </c>
      <c r="DE58" s="9" t="str">
        <f t="array" ref="DE58">IF(DE$11&gt;=0,MAX(INDEX(MMULT(inverseG,DD$12:DD$62),$A58+1,1),MAX(strike-$B58,0)),"")</f>
        <v/>
      </c>
      <c r="DF58" s="9" t="str">
        <f t="array" ref="DF58">IF(DF$11&gt;=0,MAX(INDEX(MMULT(inverseG,DE$12:DE$62),$A58+1,1),MAX(strike-$B58,0)),"")</f>
        <v/>
      </c>
      <c r="DG58" s="9" t="str">
        <f t="array" ref="DG58">IF(DG$11&gt;=0,MAX(INDEX(MMULT(inverseG,DF$12:DF$62),$A58+1,1),MAX(strike-$B58,0)),"")</f>
        <v/>
      </c>
      <c r="DH58" s="9" t="str">
        <f t="array" ref="DH58">IF(DH$11&gt;=0,MAX(INDEX(MMULT(inverseG,DG$12:DG$62),$A58+1,1),MAX(strike-$B58,0)),"")</f>
        <v/>
      </c>
      <c r="DI58" s="9" t="str">
        <f t="array" ref="DI58">IF(DI$11&gt;=0,MAX(INDEX(MMULT(inverseG,DH$12:DH$62),$A58+1,1),MAX(strike-$B58,0)),"")</f>
        <v/>
      </c>
      <c r="DJ58" s="9" t="str">
        <f t="array" ref="DJ58">IF(DJ$11&gt;=0,MAX(INDEX(MMULT(inverseG,DI$12:DI$62),$A58+1,1),MAX(strike-$B58,0)),"")</f>
        <v/>
      </c>
      <c r="DK58" s="9" t="str">
        <f t="array" ref="DK58">IF(DK$11&gt;=0,MAX(INDEX(MMULT(inverseG,DJ$12:DJ$62),$A58+1,1),MAX(strike-$B58,0)),"")</f>
        <v/>
      </c>
      <c r="DL58" s="9" t="str">
        <f t="array" ref="DL58">IF(DL$11&gt;=0,MAX(INDEX(MMULT(inverseG,DK$12:DK$62),$A58+1,1),MAX(strike-$B58,0)),"")</f>
        <v/>
      </c>
      <c r="DM58" s="9" t="str">
        <f t="array" ref="DM58">IF(DM$11&gt;=0,MAX(INDEX(MMULT(inverseG,DL$12:DL$62),$A58+1,1),MAX(strike-$B58,0)),"")</f>
        <v/>
      </c>
      <c r="DN58" s="9" t="str">
        <f t="array" ref="DN58">IF(DN$11&gt;=0,MAX(INDEX(MMULT(inverseG,DM$12:DM$62),$A58+1,1),MAX(strike-$B58,0)),"")</f>
        <v/>
      </c>
      <c r="DO58" s="9" t="str">
        <f t="array" ref="DO58">IF(DO$11&gt;=0,MAX(INDEX(MMULT(inverseG,DN$12:DN$62),$A58+1,1),MAX(strike-$B58,0)),"")</f>
        <v/>
      </c>
      <c r="DP58" s="9" t="str">
        <f t="array" ref="DP58">IF(DP$11&gt;=0,MAX(INDEX(MMULT(inverseG,DO$12:DO$62),$A58+1,1),MAX(strike-$B58,0)),"")</f>
        <v/>
      </c>
      <c r="DQ58" s="9" t="str">
        <f t="array" ref="DQ58">IF(DQ$11&gt;=0,MAX(INDEX(MMULT(inverseG,DP$12:DP$62),$A58+1,1),MAX(strike-$B58,0)),"")</f>
        <v/>
      </c>
      <c r="DR58" s="9" t="str">
        <f t="array" ref="DR58">IF(DR$11&gt;=0,MAX(INDEX(MMULT(inverseG,DQ$12:DQ$62),$A58+1,1),MAX(strike-$B58,0)),"")</f>
        <v/>
      </c>
      <c r="DS58" s="9" t="str">
        <f t="array" ref="DS58">IF(DS$11&gt;=0,MAX(INDEX(MMULT(inverseG,DR$12:DR$62),$A58+1,1),MAX(strike-$B58,0)),"")</f>
        <v/>
      </c>
      <c r="DT58" s="9" t="str">
        <f t="array" ref="DT58">IF(DT$11&gt;=0,MAX(INDEX(MMULT(inverseG,DS$12:DS$62),$A58+1,1),MAX(strike-$B58,0)),"")</f>
        <v/>
      </c>
      <c r="DU58" s="9" t="str">
        <f t="array" ref="DU58">IF(DU$11&gt;=0,MAX(INDEX(MMULT(inverseG,DT$12:DT$62),$A58+1,1),MAX(strike-$B58,0)),"")</f>
        <v/>
      </c>
      <c r="DV58" s="9" t="str">
        <f t="array" ref="DV58">IF(DV$11&gt;=0,MAX(INDEX(MMULT(inverseG,DU$12:DU$62),$A58+1,1),MAX(strike-$B58,0)),"")</f>
        <v/>
      </c>
      <c r="DW58" s="9" t="str">
        <f t="array" ref="DW58">IF(DW$11&gt;=0,MAX(INDEX(MMULT(inverseG,DV$12:DV$62),$A58+1,1),MAX(strike-$B58,0)),"")</f>
        <v/>
      </c>
      <c r="DX58" s="9" t="str">
        <f t="array" ref="DX58">IF(DX$11&gt;=0,MAX(INDEX(MMULT(inverseG,DW$12:DW$62),$A58+1,1),MAX(strike-$B58,0)),"")</f>
        <v/>
      </c>
      <c r="DY58" s="9" t="str">
        <f t="array" ref="DY58">IF(DY$11&gt;=0,MAX(INDEX(MMULT(inverseG,DX$12:DX$62),$A58+1,1),MAX(strike-$B58,0)),"")</f>
        <v/>
      </c>
      <c r="DZ58" s="9" t="str">
        <f t="array" ref="DZ58">IF(DZ$11&gt;=0,MAX(INDEX(MMULT(inverseG,DY$12:DY$62),$A58+1,1),MAX(strike-$B58,0)),"")</f>
        <v/>
      </c>
      <c r="EA58" s="9" t="str">
        <f t="array" ref="EA58">IF(EA$11&gt;=0,MAX(INDEX(MMULT(inverseG,DZ$12:DZ$62),$A58+1,1),MAX(strike-$B58,0)),"")</f>
        <v/>
      </c>
      <c r="EB58" s="9" t="str">
        <f t="array" ref="EB58">IF(EB$11&gt;=0,MAX(INDEX(MMULT(inverseG,EA$12:EA$62),$A58+1,1),MAX(strike-$B58,0)),"")</f>
        <v/>
      </c>
      <c r="EC58" s="9" t="str">
        <f t="array" ref="EC58">IF(EC$11&gt;=0,MAX(INDEX(MMULT(inverseG,EB$12:EB$62),$A58+1,1),MAX(strike-$B58,0)),"")</f>
        <v/>
      </c>
      <c r="ED58" s="9" t="str">
        <f t="array" ref="ED58">IF(ED$11&gt;=0,MAX(INDEX(MMULT(inverseG,EC$12:EC$62),$A58+1,1),MAX(strike-$B58,0)),"")</f>
        <v/>
      </c>
      <c r="EE58" s="9" t="str">
        <f t="array" ref="EE58">IF(EE$11&gt;=0,MAX(INDEX(MMULT(inverseG,ED$12:ED$62),$A58+1,1),MAX(strike-$B58,0)),"")</f>
        <v/>
      </c>
      <c r="EF58" s="9" t="str">
        <f t="array" ref="EF58">IF(EF$11&gt;=0,MAX(INDEX(MMULT(inverseG,EE$12:EE$62),$A58+1,1),MAX(strike-$B58,0)),"")</f>
        <v/>
      </c>
      <c r="EG58" s="9" t="str">
        <f t="array" ref="EG58">IF(EG$11&gt;=0,MAX(INDEX(MMULT(inverseG,EF$12:EF$62),$A58+1,1),MAX(strike-$B58,0)),"")</f>
        <v/>
      </c>
      <c r="EH58" s="9" t="str">
        <f t="array" ref="EH58">IF(EH$11&gt;=0,MAX(INDEX(MMULT(inverseG,EG$12:EG$62),$A58+1,1),MAX(strike-$B58,0)),"")</f>
        <v/>
      </c>
      <c r="EI58" s="9" t="str">
        <f t="array" ref="EI58">IF(EI$11&gt;=0,MAX(INDEX(MMULT(inverseG,EH$12:EH$62),$A58+1,1),MAX(strike-$B58,0)),"")</f>
        <v/>
      </c>
      <c r="EJ58" s="9" t="str">
        <f t="array" ref="EJ58">IF(EJ$11&gt;=0,MAX(INDEX(MMULT(inverseG,EI$12:EI$62),$A58+1,1),MAX(strike-$B58,0)),"")</f>
        <v/>
      </c>
      <c r="EK58" s="9" t="str">
        <f t="array" ref="EK58">IF(EK$11&gt;=0,MAX(INDEX(MMULT(inverseG,EJ$12:EJ$62),$A58+1,1),MAX(strike-$B58,0)),"")</f>
        <v/>
      </c>
      <c r="EL58" s="9" t="str">
        <f t="array" ref="EL58">IF(EL$11&gt;=0,MAX(INDEX(MMULT(inverseG,EK$12:EK$62),$A58+1,1),MAX(strike-$B58,0)),"")</f>
        <v/>
      </c>
      <c r="EM58" s="9" t="str">
        <f t="array" ref="EM58">IF(EM$11&gt;=0,MAX(INDEX(MMULT(inverseG,EL$12:EL$62),$A58+1,1),MAX(strike-$B58,0)),"")</f>
        <v/>
      </c>
      <c r="EN58" s="9" t="str">
        <f t="array" ref="EN58">IF(EN$11&gt;=0,MAX(INDEX(MMULT(inverseG,EM$12:EM$62),$A58+1,1),MAX(strike-$B58,0)),"")</f>
        <v/>
      </c>
      <c r="EO58" s="9" t="str">
        <f t="array" ref="EO58">IF(EO$11&gt;=0,MAX(INDEX(MMULT(inverseG,EN$12:EN$62),$A58+1,1),MAX(strike-$B58,0)),"")</f>
        <v/>
      </c>
      <c r="EP58" s="9" t="str">
        <f t="array" ref="EP58">IF(EP$11&gt;=0,MAX(INDEX(MMULT(inverseG,EO$12:EO$62),$A58+1,1),MAX(strike-$B58,0)),"")</f>
        <v/>
      </c>
      <c r="EQ58" s="9" t="str">
        <f t="array" ref="EQ58">IF(EQ$11&gt;=0,MAX(INDEX(MMULT(inverseG,EP$12:EP$62),$A58+1,1),MAX(strike-$B58,0)),"")</f>
        <v/>
      </c>
      <c r="ER58" s="9" t="str">
        <f t="array" ref="ER58">IF(ER$11&gt;=0,MAX(INDEX(MMULT(inverseG,EQ$12:EQ$62),$A58+1,1),MAX(strike-$B58,0)),"")</f>
        <v/>
      </c>
      <c r="ES58" s="9" t="str">
        <f t="array" ref="ES58">IF(ES$11&gt;=0,MAX(INDEX(MMULT(inverseG,ER$12:ER$62),$A58+1,1),MAX(strike-$B58,0)),"")</f>
        <v/>
      </c>
      <c r="ET58" s="9" t="str">
        <f t="array" ref="ET58">IF(ET$11&gt;=0,MAX(INDEX(MMULT(inverseG,ES$12:ES$62),$A58+1,1),MAX(strike-$B58,0)),"")</f>
        <v/>
      </c>
      <c r="EU58" s="9" t="str">
        <f t="array" ref="EU58">IF(EU$11&gt;=0,MAX(INDEX(MMULT(inverseG,ET$12:ET$62),$A58+1,1),MAX(strike-$B58,0)),"")</f>
        <v/>
      </c>
      <c r="EV58" s="9" t="str">
        <f t="array" ref="EV58">IF(EV$11&gt;=0,MAX(INDEX(MMULT(inverseG,EU$12:EU$62),$A58+1,1),MAX(strike-$B58,0)),"")</f>
        <v/>
      </c>
      <c r="EW58" s="9" t="str">
        <f t="array" ref="EW58">IF(EW$11&gt;=0,MAX(INDEX(MMULT(inverseG,EV$12:EV$62),$A58+1,1),MAX(strike-$B58,0)),"")</f>
        <v/>
      </c>
      <c r="EX58" s="9" t="str">
        <f t="array" ref="EX58">IF(EX$11&gt;=0,MAX(INDEX(MMULT(inverseG,EW$12:EW$62),$A58+1,1),MAX(strike-$B58,0)),"")</f>
        <v/>
      </c>
      <c r="EY58" s="9" t="str">
        <f t="array" ref="EY58">IF(EY$11&gt;=0,MAX(INDEX(MMULT(inverseG,EX$12:EX$62),$A58+1,1),MAX(strike-$B58,0)),"")</f>
        <v/>
      </c>
      <c r="EZ58" s="9" t="str">
        <f t="array" ref="EZ58">IF(EZ$11&gt;=0,MAX(INDEX(MMULT(inverseG,EY$12:EY$62),$A58+1,1),MAX(strike-$B58,0)),"")</f>
        <v/>
      </c>
      <c r="FA58" s="9" t="str">
        <f t="array" ref="FA58">IF(FA$11&gt;=0,MAX(INDEX(MMULT(inverseG,EZ$12:EZ$62),$A58+1,1),MAX(strike-$B58,0)),"")</f>
        <v/>
      </c>
      <c r="FB58" s="9" t="str">
        <f t="array" ref="FB58">IF(FB$11&gt;=0,MAX(INDEX(MMULT(inverseG,FA$12:FA$62),$A58+1,1),MAX(strike-$B58,0)),"")</f>
        <v/>
      </c>
      <c r="FC58" s="9" t="str">
        <f t="array" ref="FC58">IF(FC$11&gt;=0,MAX(INDEX(MMULT(inverseG,FB$12:FB$62),$A58+1,1),MAX(strike-$B58,0)),"")</f>
        <v/>
      </c>
      <c r="FD58" s="9" t="str">
        <f t="array" ref="FD58">IF(FD$11&gt;=0,MAX(INDEX(MMULT(inverseG,FC$12:FC$62),$A58+1,1),MAX(strike-$B58,0)),"")</f>
        <v/>
      </c>
      <c r="FE58" s="9" t="str">
        <f t="array" ref="FE58">IF(FE$11&gt;=0,MAX(INDEX(MMULT(inverseG,FD$12:FD$62),$A58+1,1),MAX(strike-$B58,0)),"")</f>
        <v/>
      </c>
      <c r="FF58" s="9" t="str">
        <f t="array" ref="FF58">IF(FF$11&gt;=0,MAX(INDEX(MMULT(inverseG,FE$12:FE$62),$A58+1,1),MAX(strike-$B58,0)),"")</f>
        <v/>
      </c>
      <c r="FG58" s="9" t="str">
        <f t="array" ref="FG58">IF(FG$11&gt;=0,MAX(INDEX(MMULT(inverseG,FF$12:FF$62),$A58+1,1),MAX(strike-$B58,0)),"")</f>
        <v/>
      </c>
      <c r="FH58" s="9" t="str">
        <f t="array" ref="FH58">IF(FH$11&gt;=0,MAX(INDEX(MMULT(inverseG,FG$12:FG$62),$A58+1,1),MAX(strike-$B58,0)),"")</f>
        <v/>
      </c>
      <c r="FI58" s="9" t="str">
        <f t="array" ref="FI58">IF(FI$11&gt;=0,MAX(INDEX(MMULT(inverseG,FH$12:FH$62),$A58+1,1),MAX(strike-$B58,0)),"")</f>
        <v/>
      </c>
      <c r="FJ58" s="9" t="str">
        <f t="array" ref="FJ58">IF(FJ$11&gt;=0,MAX(INDEX(MMULT(inverseG,FI$12:FI$62),$A58+1,1),MAX(strike-$B58,0)),"")</f>
        <v/>
      </c>
      <c r="FK58" s="9" t="str">
        <f t="array" ref="FK58">IF(FK$11&gt;=0,MAX(INDEX(MMULT(inverseG,FJ$12:FJ$62),$A58+1,1),MAX(strike-$B58,0)),"")</f>
        <v/>
      </c>
      <c r="FL58" s="9" t="str">
        <f t="array" ref="FL58">IF(FL$11&gt;=0,MAX(INDEX(MMULT(inverseG,FK$12:FK$62),$A58+1,1),MAX(strike-$B58,0)),"")</f>
        <v/>
      </c>
      <c r="FM58" s="9" t="str">
        <f t="array" ref="FM58">IF(FM$11&gt;=0,MAX(INDEX(MMULT(inverseG,FL$12:FL$62),$A58+1,1),MAX(strike-$B58,0)),"")</f>
        <v/>
      </c>
      <c r="FN58" s="9" t="str">
        <f t="array" ref="FN58">IF(FN$11&gt;=0,MAX(INDEX(MMULT(inverseG,FM$12:FM$62),$A58+1,1),MAX(strike-$B58,0)),"")</f>
        <v/>
      </c>
      <c r="FO58" s="9" t="str">
        <f t="array" ref="FO58">IF(FO$11&gt;=0,MAX(INDEX(MMULT(inverseG,FN$12:FN$62),$A58+1,1),MAX(strike-$B58,0)),"")</f>
        <v/>
      </c>
      <c r="FP58" s="9" t="str">
        <f t="array" ref="FP58">IF(FP$11&gt;=0,MAX(INDEX(MMULT(inverseG,FO$12:FO$62),$A58+1,1),MAX(strike-$B58,0)),"")</f>
        <v/>
      </c>
      <c r="FQ58" s="9" t="str">
        <f t="array" ref="FQ58">IF(FQ$11&gt;=0,MAX(INDEX(MMULT(inverseG,FP$12:FP$62),$A58+1,1),MAX(strike-$B58,0)),"")</f>
        <v/>
      </c>
      <c r="FR58" s="9" t="str">
        <f t="array" ref="FR58">IF(FR$11&gt;=0,MAX(INDEX(MMULT(inverseG,FQ$12:FQ$62),$A58+1,1),MAX(strike-$B58,0)),"")</f>
        <v/>
      </c>
      <c r="FS58" s="9" t="str">
        <f t="array" ref="FS58">IF(FS$11&gt;=0,MAX(INDEX(MMULT(inverseG,FR$12:FR$62),$A58+1,1),MAX(strike-$B58,0)),"")</f>
        <v/>
      </c>
      <c r="FT58" s="9" t="str">
        <f t="array" ref="FT58">IF(FT$11&gt;=0,MAX(INDEX(MMULT(inverseG,FS$12:FS$62),$A58+1,1),MAX(strike-$B58,0)),"")</f>
        <v/>
      </c>
      <c r="FU58" s="9" t="str">
        <f t="array" ref="FU58">IF(FU$11&gt;=0,MAX(INDEX(MMULT(inverseG,FT$12:FT$62),$A58+1,1),MAX(strike-$B58,0)),"")</f>
        <v/>
      </c>
      <c r="FV58" s="9" t="str">
        <f t="array" ref="FV58">IF(FV$11&gt;=0,MAX(INDEX(MMULT(inverseG,FU$12:FU$62),$A58+1,1),MAX(strike-$B58,0)),"")</f>
        <v/>
      </c>
      <c r="FW58" s="9" t="str">
        <f t="array" ref="FW58">IF(FW$11&gt;=0,MAX(INDEX(MMULT(inverseG,FV$12:FV$62),$A58+1,1),MAX(strike-$B58,0)),"")</f>
        <v/>
      </c>
      <c r="FX58" s="9" t="str">
        <f t="array" ref="FX58">IF(FX$11&gt;=0,MAX(INDEX(MMULT(inverseG,FW$12:FW$62),$A58+1,1),MAX(strike-$B58,0)),"")</f>
        <v/>
      </c>
      <c r="FY58" s="9" t="str">
        <f t="array" ref="FY58">IF(FY$11&gt;=0,MAX(INDEX(MMULT(inverseG,FX$12:FX$62),$A58+1,1),MAX(strike-$B58,0)),"")</f>
        <v/>
      </c>
      <c r="FZ58" s="9" t="str">
        <f t="array" ref="FZ58">IF(FZ$11&gt;=0,MAX(INDEX(MMULT(inverseG,FY$12:FY$62),$A58+1,1),MAX(strike-$B58,0)),"")</f>
        <v/>
      </c>
      <c r="GA58" s="9" t="str">
        <f t="array" ref="GA58">IF(GA$11&gt;=0,MAX(INDEX(MMULT(inverseG,FZ$12:FZ$62),$A58+1,1),MAX(strike-$B58,0)),"")</f>
        <v/>
      </c>
      <c r="GB58" s="9" t="str">
        <f t="array" ref="GB58">IF(GB$11&gt;=0,MAX(INDEX(MMULT(inverseG,GA$12:GA$62),$A58+1,1),MAX(strike-$B58,0)),"")</f>
        <v/>
      </c>
      <c r="GC58" s="9" t="str">
        <f t="array" ref="GC58">IF(GC$11&gt;=0,MAX(INDEX(MMULT(inverseG,GB$12:GB$62),$A58+1,1),MAX(strike-$B58,0)),"")</f>
        <v/>
      </c>
      <c r="GD58" s="9" t="str">
        <f t="array" ref="GD58">IF(GD$11&gt;=0,MAX(INDEX(MMULT(inverseG,GC$12:GC$62),$A58+1,1),MAX(strike-$B58,0)),"")</f>
        <v/>
      </c>
      <c r="GE58" s="9" t="str">
        <f t="array" ref="GE58">IF(GE$11&gt;=0,MAX(INDEX(MMULT(inverseG,GD$12:GD$62),$A58+1,1),MAX(strike-$B58,0)),"")</f>
        <v/>
      </c>
      <c r="GF58" s="9" t="str">
        <f t="array" ref="GF58">IF(GF$11&gt;=0,MAX(INDEX(MMULT(inverseG,GE$12:GE$62),$A58+1,1),MAX(strike-$B58,0)),"")</f>
        <v/>
      </c>
      <c r="GG58" s="9" t="str">
        <f t="array" ref="GG58">IF(GG$11&gt;=0,MAX(INDEX(MMULT(inverseG,GF$12:GF$62),$A58+1,1),MAX(strike-$B58,0)),"")</f>
        <v/>
      </c>
      <c r="GH58" s="9" t="str">
        <f t="array" ref="GH58">IF(GH$11&gt;=0,MAX(INDEX(MMULT(inverseG,GG$12:GG$62),$A58+1,1),MAX(strike-$B58,0)),"")</f>
        <v/>
      </c>
      <c r="GI58" s="9" t="str">
        <f t="array" ref="GI58">IF(GI$11&gt;=0,MAX(INDEX(MMULT(inverseG,GH$12:GH$62),$A58+1,1),MAX(strike-$B58,0)),"")</f>
        <v/>
      </c>
      <c r="GJ58" s="9" t="str">
        <f t="array" ref="GJ58">IF(GJ$11&gt;=0,MAX(INDEX(MMULT(inverseG,GI$12:GI$62),$A58+1,1),MAX(strike-$B58,0)),"")</f>
        <v/>
      </c>
      <c r="GK58" s="9" t="str">
        <f t="array" ref="GK58">IF(GK$11&gt;=0,MAX(INDEX(MMULT(inverseG,GJ$12:GJ$62),$A58+1,1),MAX(strike-$B58,0)),"")</f>
        <v/>
      </c>
      <c r="GL58" s="9" t="str">
        <f t="array" ref="GL58">IF(GL$11&gt;=0,MAX(INDEX(MMULT(inverseG,GK$12:GK$62),$A58+1,1),MAX(strike-$B58,0)),"")</f>
        <v/>
      </c>
      <c r="GM58" s="9" t="str">
        <f t="array" ref="GM58">IF(GM$11&gt;=0,MAX(INDEX(MMULT(inverseG,GL$12:GL$62),$A58+1,1),MAX(strike-$B58,0)),"")</f>
        <v/>
      </c>
      <c r="GN58" s="9" t="str">
        <f t="array" ref="GN58">IF(GN$11&gt;=0,MAX(INDEX(MMULT(inverseG,GM$12:GM$62),$A58+1,1),MAX(strike-$B58,0)),"")</f>
        <v/>
      </c>
      <c r="GO58" s="9" t="str">
        <f t="array" ref="GO58">IF(GO$11&gt;=0,MAX(INDEX(MMULT(inverseG,GN$12:GN$62),$A58+1,1),MAX(strike-$B58,0)),"")</f>
        <v/>
      </c>
      <c r="GP58" s="9" t="str">
        <f t="array" ref="GP58">IF(GP$11&gt;=0,MAX(INDEX(MMULT(inverseG,GO$12:GO$62),$A58+1,1),MAX(strike-$B58,0)),"")</f>
        <v/>
      </c>
      <c r="GQ58" s="9" t="str">
        <f t="array" ref="GQ58">IF(GQ$11&gt;=0,MAX(INDEX(MMULT(inverseG,GP$12:GP$62),$A58+1,1),MAX(strike-$B58,0)),"")</f>
        <v/>
      </c>
      <c r="GR58" s="9" t="str">
        <f t="array" ref="GR58">IF(GR$11&gt;=0,MAX(INDEX(MMULT(inverseG,GQ$12:GQ$62),$A58+1,1),MAX(strike-$B58,0)),"")</f>
        <v/>
      </c>
      <c r="GS58" s="9" t="str">
        <f t="array" ref="GS58">IF(GS$11&gt;=0,MAX(INDEX(MMULT(inverseG,GR$12:GR$62),$A58+1,1),MAX(strike-$B58,0)),"")</f>
        <v/>
      </c>
      <c r="GT58" s="9" t="str">
        <f t="array" ref="GT58">IF(GT$11&gt;=0,MAX(INDEX(MMULT(inverseG,GS$12:GS$62),$A58+1,1),MAX(strike-$B58,0)),"")</f>
        <v/>
      </c>
      <c r="GU58" s="9" t="str">
        <f t="array" ref="GU58">IF(GU$11&gt;=0,MAX(INDEX(MMULT(inverseG,GT$12:GT$62),$A58+1,1),MAX(strike-$B58,0)),"")</f>
        <v/>
      </c>
      <c r="GV58" s="9" t="str">
        <f t="array" ref="GV58">IF(GV$11&gt;=0,MAX(INDEX(MMULT(inverseG,GU$12:GU$62),$A58+1,1),MAX(strike-$B58,0)),"")</f>
        <v/>
      </c>
      <c r="GW58" s="9" t="str">
        <f t="array" ref="GW58">IF(GW$11&gt;=0,MAX(INDEX(MMULT(inverseG,GV$12:GV$62),$A58+1,1),MAX(strike-$B58,0)),"")</f>
        <v/>
      </c>
      <c r="GX58" s="9" t="str">
        <f t="array" ref="GX58">IF(GX$11&gt;=0,MAX(INDEX(MMULT(inverseG,GW$12:GW$62),$A58+1,1),MAX(strike-$B58,0)),"")</f>
        <v/>
      </c>
      <c r="GY58" s="9" t="str">
        <f t="array" ref="GY58">IF(GY$11&gt;=0,MAX(INDEX(MMULT(inverseG,GX$12:GX$62),$A58+1,1),MAX(strike-$B58,0)),"")</f>
        <v/>
      </c>
      <c r="GZ58" s="9" t="str">
        <f t="array" ref="GZ58">IF(GZ$11&gt;=0,MAX(INDEX(MMULT(inverseG,GY$12:GY$62),$A58+1,1),MAX(strike-$B58,0)),"")</f>
        <v/>
      </c>
      <c r="HA58" s="9" t="str">
        <f t="array" ref="HA58">IF(HA$11&gt;=0,MAX(INDEX(MMULT(inverseG,GZ$12:GZ$62),$A58+1,1),MAX(strike-$B58,0)),"")</f>
        <v/>
      </c>
      <c r="HB58" s="9" t="str">
        <f t="array" ref="HB58">IF(HB$11&gt;=0,MAX(INDEX(MMULT(inverseG,HA$12:HA$62),$A58+1,1),MAX(strike-$B58,0)),"")</f>
        <v/>
      </c>
      <c r="HC58" s="9" t="str">
        <f t="array" ref="HC58">IF(HC$11&gt;=0,MAX(INDEX(MMULT(inverseG,HB$12:HB$62),$A58+1,1),MAX(strike-$B58,0)),"")</f>
        <v/>
      </c>
      <c r="HD58" s="9" t="str">
        <f t="array" ref="HD58">IF(HD$11&gt;=0,MAX(INDEX(MMULT(inverseG,HC$12:HC$62),$A58+1,1),MAX(strike-$B58,0)),"")</f>
        <v/>
      </c>
      <c r="HE58" s="9" t="str">
        <f t="array" ref="HE58">IF(HE$11&gt;=0,MAX(INDEX(MMULT(inverseG,HD$12:HD$62),$A58+1,1),MAX(strike-$B58,0)),"")</f>
        <v/>
      </c>
      <c r="HF58" s="9" t="str">
        <f t="array" ref="HF58">IF(HF$11&gt;=0,MAX(INDEX(MMULT(inverseG,HE$12:HE$62),$A58+1,1),MAX(strike-$B58,0)),"")</f>
        <v/>
      </c>
      <c r="HG58" s="9" t="str">
        <f t="array" ref="HG58">IF(HG$11&gt;=0,MAX(INDEX(MMULT(inverseG,HF$12:HF$62),$A58+1,1),MAX(strike-$B58,0)),"")</f>
        <v/>
      </c>
      <c r="HH58" s="9" t="str">
        <f t="array" ref="HH58">IF(HH$11&gt;=0,MAX(INDEX(MMULT(inverseG,HG$12:HG$62),$A58+1,1),MAX(strike-$B58,0)),"")</f>
        <v/>
      </c>
      <c r="HI58" s="9" t="str">
        <f t="array" ref="HI58">IF(HI$11&gt;=0,MAX(INDEX(MMULT(inverseG,HH$12:HH$62),$A58+1,1),MAX(strike-$B58,0)),"")</f>
        <v/>
      </c>
      <c r="HJ58" s="9" t="str">
        <f t="array" ref="HJ58">IF(HJ$11&gt;=0,MAX(INDEX(MMULT(inverseG,HI$12:HI$62),$A58+1,1),MAX(strike-$B58,0)),"")</f>
        <v/>
      </c>
      <c r="HK58" s="9" t="str">
        <f t="array" ref="HK58">IF(HK$11&gt;=0,MAX(INDEX(MMULT(inverseG,HJ$12:HJ$62),$A58+1,1),MAX(strike-$B58,0)),"")</f>
        <v/>
      </c>
      <c r="HL58" s="9" t="str">
        <f t="array" ref="HL58">IF(HL$11&gt;=0,MAX(INDEX(MMULT(inverseG,HK$12:HK$62),$A58+1,1),MAX(strike-$B58,0)),"")</f>
        <v/>
      </c>
      <c r="HM58" s="9" t="str">
        <f t="array" ref="HM58">IF(HM$11&gt;=0,MAX(INDEX(MMULT(inverseG,HL$12:HL$62),$A58+1,1),MAX(strike-$B58,0)),"")</f>
        <v/>
      </c>
      <c r="HN58" s="9" t="str">
        <f t="array" ref="HN58">IF(HN$11&gt;=0,MAX(INDEX(MMULT(inverseG,HM$12:HM$62),$A58+1,1),MAX(strike-$B58,0)),"")</f>
        <v/>
      </c>
      <c r="HO58" s="9" t="str">
        <f t="array" ref="HO58">IF(HO$11&gt;=0,MAX(INDEX(MMULT(inverseG,HN$12:HN$62),$A58+1,1),MAX(strike-$B58,0)),"")</f>
        <v/>
      </c>
      <c r="HP58" s="9" t="str">
        <f t="array" ref="HP58">IF(HP$11&gt;=0,MAX(INDEX(MMULT(inverseG,HO$12:HO$62),$A58+1,1),MAX(strike-$B58,0)),"")</f>
        <v/>
      </c>
      <c r="HQ58" s="9" t="str">
        <f t="array" ref="HQ58">IF(HQ$11&gt;=0,MAX(INDEX(MMULT(inverseG,HP$12:HP$62),$A58+1,1),MAX(strike-$B58,0)),"")</f>
        <v/>
      </c>
      <c r="HR58" s="9" t="str">
        <f t="array" ref="HR58">IF(HR$11&gt;=0,MAX(INDEX(MMULT(inverseG,HQ$12:HQ$62),$A58+1,1),MAX(strike-$B58,0)),"")</f>
        <v/>
      </c>
      <c r="HS58" s="9" t="str">
        <f t="array" ref="HS58">IF(HS$11&gt;=0,MAX(INDEX(MMULT(inverseG,HR$12:HR$62),$A58+1,1),MAX(strike-$B58,0)),"")</f>
        <v/>
      </c>
      <c r="HT58" s="9" t="str">
        <f t="array" ref="HT58">IF(HT$11&gt;=0,MAX(INDEX(MMULT(inverseG,HS$12:HS$62),$A58+1,1),MAX(strike-$B58,0)),"")</f>
        <v/>
      </c>
      <c r="HU58" s="9" t="str">
        <f t="array" ref="HU58">IF(HU$11&gt;=0,MAX(INDEX(MMULT(inverseG,HT$12:HT$62),$A58+1,1),MAX(strike-$B58,0)),"")</f>
        <v/>
      </c>
      <c r="HV58" s="9" t="str">
        <f t="array" ref="HV58">IF(HV$11&gt;=0,MAX(INDEX(MMULT(inverseG,HU$12:HU$62),$A58+1,1),MAX(strike-$B58,0)),"")</f>
        <v/>
      </c>
      <c r="HW58" s="9" t="str">
        <f t="array" ref="HW58">IF(HW$11&gt;=0,MAX(INDEX(MMULT(inverseG,HV$12:HV$62),$A58+1,1),MAX(strike-$B58,0)),"")</f>
        <v/>
      </c>
      <c r="HX58" s="9" t="str">
        <f t="array" ref="HX58">IF(HX$11&gt;=0,MAX(INDEX(MMULT(inverseG,HW$12:HW$62),$A58+1,1),MAX(strike-$B58,0)),"")</f>
        <v/>
      </c>
      <c r="HY58" s="9" t="str">
        <f t="array" ref="HY58">IF(HY$11&gt;=0,MAX(INDEX(MMULT(inverseG,HX$12:HX$62),$A58+1,1),MAX(strike-$B58,0)),"")</f>
        <v/>
      </c>
      <c r="HZ58" s="9" t="str">
        <f t="array" ref="HZ58">IF(HZ$11&gt;=0,MAX(INDEX(MMULT(inverseG,HY$12:HY$62),$A58+1,1),MAX(strike-$B58,0)),"")</f>
        <v/>
      </c>
      <c r="IA58" s="9" t="str">
        <f t="array" ref="IA58">IF(IA$11&gt;=0,MAX(INDEX(MMULT(inverseG,HZ$12:HZ$62),$A58+1,1),MAX(strike-$B58,0)),"")</f>
        <v/>
      </c>
      <c r="IB58" s="9" t="str">
        <f t="array" ref="IB58">IF(IB$11&gt;=0,MAX(INDEX(MMULT(inverseG,IA$12:IA$62),$A58+1,1),MAX(strike-$B58,0)),"")</f>
        <v/>
      </c>
      <c r="IC58" s="9" t="str">
        <f t="array" ref="IC58">IF(IC$11&gt;=0,MAX(INDEX(MMULT(inverseG,IB$12:IB$62),$A58+1,1),MAX(strike-$B58,0)),"")</f>
        <v/>
      </c>
      <c r="ID58" s="9" t="str">
        <f t="array" ref="ID58">IF(ID$11&gt;=0,MAX(INDEX(MMULT(inverseG,IC$12:IC$62),$A58+1,1),MAX(strike-$B58,0)),"")</f>
        <v/>
      </c>
      <c r="IE58" s="9" t="str">
        <f t="array" ref="IE58">IF(IE$11&gt;=0,MAX(INDEX(MMULT(inverseG,ID$12:ID$62),$A58+1,1),MAX(strike-$B58,0)),"")</f>
        <v/>
      </c>
      <c r="IF58" s="9" t="str">
        <f t="array" ref="IF58">IF(IF$11&gt;=0,MAX(INDEX(MMULT(inverseG,IE$12:IE$62),$A58+1,1),MAX(strike-$B58,0)),"")</f>
        <v/>
      </c>
      <c r="IG58" s="9" t="str">
        <f t="array" ref="IG58">IF(IG$11&gt;=0,MAX(INDEX(MMULT(inverseG,IF$12:IF$62),$A58+1,1),MAX(strike-$B58,0)),"")</f>
        <v/>
      </c>
      <c r="IH58" s="9" t="str">
        <f t="array" ref="IH58">IF(IH$11&gt;=0,MAX(INDEX(MMULT(inverseG,IG$12:IG$62),$A58+1,1),MAX(strike-$B58,0)),"")</f>
        <v/>
      </c>
      <c r="II58" s="9" t="str">
        <f t="array" ref="II58">IF(II$11&gt;=0,MAX(INDEX(MMULT(inverseG,IH$12:IH$62),$A58+1,1),MAX(strike-$B58,0)),"")</f>
        <v/>
      </c>
      <c r="IJ58" s="9" t="str">
        <f t="array" ref="IJ58">IF(IJ$11&gt;=0,MAX(INDEX(MMULT(inverseG,II$12:II$62),$A58+1,1),MAX(strike-$B58,0)),"")</f>
        <v/>
      </c>
      <c r="IK58" s="9" t="str">
        <f t="array" ref="IK58">IF(IK$11&gt;=0,MAX(INDEX(MMULT(inverseG,IJ$12:IJ$62),$A58+1,1),MAX(strike-$B58,0)),"")</f>
        <v/>
      </c>
      <c r="IL58" s="9" t="str">
        <f t="array" ref="IL58">IF(IL$11&gt;=0,MAX(INDEX(MMULT(inverseG,IK$12:IK$62),$A58+1,1),MAX(strike-$B58,0)),"")</f>
        <v/>
      </c>
      <c r="IM58" s="9" t="str">
        <f t="array" ref="IM58">IF(IM$11&gt;=0,MAX(INDEX(MMULT(inverseG,IL$12:IL$62),$A58+1,1),MAX(strike-$B58,0)),"")</f>
        <v/>
      </c>
      <c r="IN58" s="9" t="str">
        <f t="array" ref="IN58">IF(IN$11&gt;=0,MAX(INDEX(MMULT(inverseG,IM$12:IM$62),$A58+1,1),MAX(strike-$B58,0)),"")</f>
        <v/>
      </c>
      <c r="IO58" s="9" t="str">
        <f t="array" ref="IO58">IF(IO$11&gt;=0,MAX(INDEX(MMULT(inverseG,IN$12:IN$62),$A58+1,1),MAX(strike-$B58,0)),"")</f>
        <v/>
      </c>
      <c r="IP58" s="9" t="str">
        <f t="array" ref="IP58">IF(IP$11&gt;=0,MAX(INDEX(MMULT(inverseG,IO$12:IO$62),$A58+1,1),MAX(strike-$B58,0)),"")</f>
        <v/>
      </c>
      <c r="IQ58" s="9" t="str">
        <f t="array" ref="IQ58">IF(IQ$11&gt;=0,MAX(INDEX(MMULT(inverseG,IP$12:IP$62),$A58+1,1),MAX(strike-$B58,0)),"")</f>
        <v/>
      </c>
      <c r="IR58" s="9" t="str">
        <f t="array" ref="IR58">IF(IR$11&gt;=0,MAX(INDEX(MMULT(inverseG,IQ$12:IQ$62),$A58+1,1),MAX(strike-$B58,0)),"")</f>
        <v/>
      </c>
      <c r="IS58" s="9" t="str">
        <f t="array" ref="IS58">IF(IS$11&gt;=0,MAX(INDEX(MMULT(inverseG,IR$12:IR$62),$A58+1,1),MAX(strike-$B58,0)),"")</f>
        <v/>
      </c>
      <c r="IT58" s="9" t="str">
        <f t="array" ref="IT58">IF(IT$11&gt;=0,MAX(INDEX(MMULT(inverseG,IS$12:IS$62),$A58+1,1),MAX(strike-$B58,0)),"")</f>
        <v/>
      </c>
      <c r="IU58" s="9" t="str">
        <f t="array" ref="IU58">IF(IU$11&gt;=0,MAX(INDEX(MMULT(inverseG,IT$12:IT$62),$A58+1,1),MAX(strike-$B58,0)),"")</f>
        <v/>
      </c>
      <c r="IV58" s="9" t="str">
        <f t="array" ref="IV58">IF(IV$11&gt;=0,MAX(INDEX(MMULT(inverseG,IU$12:IU$62),$A58+1,1),MAX(strike-$B58,0)),"")</f>
        <v/>
      </c>
    </row>
    <row r="59" spans="1:256" x14ac:dyDescent="0.2">
      <c r="A59" s="8">
        <f t="shared" si="7"/>
        <v>47</v>
      </c>
      <c r="B59" s="6">
        <f t="shared" si="8"/>
        <v>11.75</v>
      </c>
      <c r="C59" s="30">
        <f t="shared" ca="1" si="6"/>
        <v>1.4958449856388639E-2</v>
      </c>
      <c r="D59" s="9">
        <f t="shared" si="9"/>
        <v>0</v>
      </c>
      <c r="E59" s="9">
        <f t="array" ref="E59">IF(E$11&gt;=0,MAX(INDEX(MMULT(inverseG,D$12:D$62),$A59+1,1),MAX(strike-$B59,0)),"")</f>
        <v>4.5640246662096698E-11</v>
      </c>
      <c r="F59" s="9">
        <f t="array" ref="F59">IF(F$11&gt;=0,MAX(INDEX(MMULT(inverseG,E$12:E$62),$A59+1,1),MAX(strike-$B59,0)),"")</f>
        <v>5.2031905806305389E-10</v>
      </c>
      <c r="G59" s="9">
        <f t="array" ref="G59">IF(G$11&gt;=0,MAX(INDEX(MMULT(inverseG,F$12:F$62),$A59+1,1),MAX(strike-$B59,0)),"")</f>
        <v>3.126401164502876E-9</v>
      </c>
      <c r="H59" s="9">
        <f t="array" ref="H59">IF(H$11&gt;=0,MAX(INDEX(MMULT(inverseG,G$12:G$62),$A59+1,1),MAX(strike-$B59,0)),"")</f>
        <v>1.318287271706023E-8</v>
      </c>
      <c r="I59" s="9">
        <f t="array" ref="I59">IF(I$11&gt;=0,MAX(INDEX(MMULT(inverseG,H$12:H$62),$A59+1,1),MAX(strike-$B59,0)),"")</f>
        <v>4.3826694915664951E-8</v>
      </c>
      <c r="J59" s="9">
        <f t="array" ref="J59">IF(J$11&gt;=0,MAX(INDEX(MMULT(inverseG,I$12:I$62),$A59+1,1),MAX(strike-$B59,0)),"")</f>
        <v>1.2237696033537737E-7</v>
      </c>
      <c r="K59" s="9">
        <f t="array" ref="K59">IF(K$11&gt;=0,MAX(INDEX(MMULT(inverseG,J$12:J$62),$A59+1,1),MAX(strike-$B59,0)),"")</f>
        <v>2.9859328777112338E-7</v>
      </c>
      <c r="L59" s="9">
        <f t="array" ref="L59">IF(L$11&gt;=0,MAX(INDEX(MMULT(inverseG,K$12:K$62),$A59+1,1),MAX(strike-$B59,0)),"")</f>
        <v>6.5401769329152706E-7</v>
      </c>
      <c r="M59" s="9">
        <f t="array" ref="M59">IF(M$11&gt;=0,MAX(INDEX(MMULT(inverseG,L$12:L$62),$A59+1,1),MAX(strike-$B59,0)),"")</f>
        <v>1.3112146621734671E-6</v>
      </c>
      <c r="N59" s="9">
        <f t="array" ref="N59">IF(N$11&gt;=0,MAX(INDEX(MMULT(inverseG,M$12:M$62),$A59+1,1),MAX(strike-$B59,0)),"")</f>
        <v>2.4416207694267038E-6</v>
      </c>
      <c r="O59" s="9">
        <f t="array" ref="O59">IF(O$11&gt;=0,MAX(INDEX(MMULT(inverseG,N$12:N$62),$A59+1,1),MAX(strike-$B59,0)),"")</f>
        <v>4.2708853780512973E-6</v>
      </c>
      <c r="P59" s="9">
        <f t="array" ref="P59">IF(P$11&gt;=0,MAX(INDEX(MMULT(inverseG,O$12:O$62),$A59+1,1),MAX(strike-$B59,0)),"")</f>
        <v>7.0809524500490802E-6</v>
      </c>
      <c r="Q59" s="9">
        <f t="array" ref="Q59">IF(Q$11&gt;=0,MAX(INDEX(MMULT(inverseG,P$12:P$62),$A59+1,1),MAX(strike-$B59,0)),"")</f>
        <v>1.1208590772619343E-5</v>
      </c>
      <c r="R59" s="9">
        <f t="array" ref="R59">IF(R$11&gt;=0,MAX(INDEX(MMULT(inverseG,Q$12:Q$62),$A59+1,1),MAX(strike-$B59,0)),"")</f>
        <v>1.704052196052775E-5</v>
      </c>
      <c r="S59" s="9">
        <f t="array" ref="S59">IF(S$11&gt;=0,MAX(INDEX(MMULT(inverseG,R$12:R$62),$A59+1,1),MAX(strike-$B59,0)),"")</f>
        <v>2.5005648480507311E-5</v>
      </c>
      <c r="T59" s="9">
        <f t="array" ref="T59">IF(T$11&gt;=0,MAX(INDEX(MMULT(inverseG,S$12:S$62),$A59+1,1),MAX(strike-$B59,0)),"")</f>
        <v>3.5565111234702102E-5</v>
      </c>
      <c r="U59" s="9">
        <f t="array" ref="U59">IF(U$11&gt;=0,MAX(INDEX(MMULT(inverseG,T$12:T$62),$A59+1,1),MAX(strike-$B59,0)),"")</f>
        <v>4.9201004464517737E-5</v>
      </c>
      <c r="V59" s="9">
        <f t="array" ref="V59">IF(V$11&gt;=0,MAX(INDEX(MMULT(inverseG,U$12:U$62),$A59+1,1),MAX(strike-$B59,0)),"")</f>
        <v>6.6404563903851033E-5</v>
      </c>
      <c r="W59" s="9">
        <f t="array" ref="W59">IF(W$11&gt;=0,MAX(INDEX(MMULT(inverseG,V$12:V$62),$A59+1,1),MAX(strike-$B59,0)),"")</f>
        <v>8.766455244655353E-5</v>
      </c>
      <c r="X59" s="9">
        <f t="array" ref="X59">IF(X$11&gt;=0,MAX(INDEX(MMULT(inverseG,W$12:W$62),$A59+1,1),MAX(strike-$B59,0)),"")</f>
        <v>1.1345642840755309E-4</v>
      </c>
      <c r="Y59" s="9">
        <f t="array" ref="Y59">IF(Y$11&gt;=0,MAX(INDEX(MMULT(inverseG,X$12:X$62),$A59+1,1),MAX(strike-$B59,0)),"")</f>
        <v>1.4423272321021239E-4</v>
      </c>
      <c r="Z59" s="9">
        <f t="array" ref="Z59">IF(Z$11&gt;=0,MAX(INDEX(MMULT(inverseG,Y$12:Y$62),$A59+1,1),MAX(strike-$B59,0)),"")</f>
        <v>1.8041489972175895E-4</v>
      </c>
      <c r="AA59" s="9">
        <f t="array" ref="AA59">IF(AA$11&gt;=0,MAX(INDEX(MMULT(inverseG,Z$12:Z$62),$A59+1,1),MAX(strike-$B59,0)),"")</f>
        <v>2.223868237864496E-4</v>
      </c>
      <c r="AB59" s="9">
        <f t="array" ref="AB59">IF(AB$11&gt;=0,MAX(INDEX(MMULT(inverseG,AA$12:AA$62),$A59+1,1),MAX(strike-$B59,0)),"")</f>
        <v>2.7048986746134462E-4</v>
      </c>
      <c r="AC59" s="9">
        <f t="array" ref="AC59">IF(AC$11&gt;=0,MAX(INDEX(MMULT(inverseG,AB$12:AB$62),$A59+1,1),MAX(strike-$B59,0)),"")</f>
        <v>3.2501957557242188E-4</v>
      </c>
      <c r="AD59" s="9">
        <f t="array" ref="AD59">IF(AD$11&gt;=0,MAX(INDEX(MMULT(inverseG,AC$12:AC$62),$A59+1,1),MAX(strike-$B59,0)),"")</f>
        <v>3.8622376645416602E-4</v>
      </c>
      <c r="AE59" s="9">
        <f t="array" ref="AE59">IF(AE$11&gt;=0,MAX(INDEX(MMULT(inverseG,AD$12:AD$62),$A59+1,1),MAX(strike-$B59,0)),"")</f>
        <v>4.5430189997193145E-4</v>
      </c>
      <c r="AF59" s="9">
        <f t="array" ref="AF59">IF(AF$11&gt;=0,MAX(INDEX(MMULT(inverseG,AE$12:AE$62),$A59+1,1),MAX(strike-$B59,0)),"")</f>
        <v>5.2940552702541608E-4</v>
      </c>
      <c r="AG59" s="9">
        <f t="array" ref="AG59">IF(AG$11&gt;=0,MAX(INDEX(MMULT(inverseG,AF$12:AF$62),$A59+1,1),MAX(strike-$B59,0)),"")</f>
        <v>6.1163963037333684E-4</v>
      </c>
      <c r="AH59" s="9">
        <f t="array" ref="AH59">IF(AH$11&gt;=0,MAX(INDEX(MMULT(inverseG,AG$12:AG$62),$A59+1,1),MAX(strike-$B59,0)),"")</f>
        <v>7.010646727850584E-4</v>
      </c>
      <c r="AI59" s="9">
        <f t="array" ref="AI59">IF(AI$11&gt;=0,MAX(INDEX(MMULT(inverseG,AH$12:AH$62),$A59+1,1),MAX(strike-$B59,0)),"")</f>
        <v>7.9769918175584477E-4</v>
      </c>
      <c r="AJ59" s="9">
        <f t="array" ref="AJ59">IF(AJ$11&gt;=0,MAX(INDEX(MMULT(inverseG,AI$12:AI$62),$A59+1,1),MAX(strike-$B59,0)),"")</f>
        <v>9.0152271751348816E-4</v>
      </c>
      <c r="AK59" s="9">
        <f t="array" ref="AK59">IF(AK$11&gt;=0,MAX(INDEX(MMULT(inverseG,AJ$12:AJ$62),$A59+1,1),MAX(strike-$B59,0)),"")</f>
        <v>1.0124790906330934E-3</v>
      </c>
      <c r="AL59" s="9">
        <f t="array" ref="AL59">IF(AL$11&gt;=0,MAX(INDEX(MMULT(inverseG,AK$12:AK$62),$A59+1,1),MAX(strike-$B59,0)),"")</f>
        <v>1.1304797156760685E-3</v>
      </c>
      <c r="AM59" s="9">
        <f t="array" ref="AM59">IF(AM$11&gt;=0,MAX(INDEX(MMULT(inverseG,AL$12:AL$62),$A59+1,1),MAX(strike-$B59,0)),"")</f>
        <v>1.2554070067732244E-3</v>
      </c>
      <c r="AN59" s="9">
        <f t="array" ref="AN59">IF(AN$11&gt;=0,MAX(INDEX(MMULT(inverseG,AM$12:AM$62),$A59+1,1),MAX(strike-$B59,0)),"")</f>
        <v>1.3871177392596051E-3</v>
      </c>
      <c r="AO59" s="9">
        <f t="array" ref="AO59">IF(AO$11&gt;=0,MAX(INDEX(MMULT(inverseG,AN$12:AN$62),$A59+1,1),MAX(strike-$B59,0)),"")</f>
        <v>1.5254463179155725E-3</v>
      </c>
      <c r="AP59" s="9">
        <f t="array" ref="AP59">IF(AP$11&gt;=0,MAX(INDEX(MMULT(inverseG,AO$12:AO$62),$A59+1,1),MAX(strike-$B59,0)),"")</f>
        <v>1.6702079068694978E-3</v>
      </c>
      <c r="AQ59" s="9">
        <f t="array" ref="AQ59">IF(AQ$11&gt;=0,MAX(INDEX(MMULT(inverseG,AP$12:AP$62),$A59+1,1),MAX(strike-$B59,0)),"")</f>
        <v>1.821201388724701E-3</v>
      </c>
      <c r="AR59" s="9">
        <f t="array" ref="AR59">IF(AR$11&gt;=0,MAX(INDEX(MMULT(inverseG,AQ$12:AQ$62),$A59+1,1),MAX(strike-$B59,0)),"")</f>
        <v>1.9782121310476923E-3</v>
      </c>
      <c r="AS59" s="9">
        <f t="array" ref="AS59">IF(AS$11&gt;=0,MAX(INDEX(MMULT(inverseG,AR$12:AR$62),$A59+1,1),MAX(strike-$B59,0)),"")</f>
        <v>2.1410145471264757E-3</v>
      </c>
      <c r="AT59" s="9">
        <f t="array" ref="AT59">IF(AT$11&gt;=0,MAX(INDEX(MMULT(inverseG,AS$12:AS$62),$A59+1,1),MAX(strike-$B59,0)),"")</f>
        <v>2.3093744450455394E-3</v>
      </c>
      <c r="AU59" s="9">
        <f t="array" ref="AU59">IF(AU$11&gt;=0,MAX(INDEX(MMULT(inverseG,AT$12:AT$62),$A59+1,1),MAX(strike-$B59,0)),"")</f>
        <v>2.483051164812644E-3</v>
      </c>
      <c r="AV59" s="9">
        <f t="array" ref="AV59">IF(AV$11&gt;=0,MAX(INDEX(MMULT(inverseG,AU$12:AU$62),$A59+1,1),MAX(strike-$B59,0)),"")</f>
        <v>2.6617995076956553E-3</v>
      </c>
      <c r="AW59" s="9">
        <f t="array" ref="AW59">IF(AW$11&gt;=0,MAX(INDEX(MMULT(inverseG,AV$12:AV$62),$A59+1,1),MAX(strike-$B59,0)),"")</f>
        <v>2.8453714652593312E-3</v>
      </c>
      <c r="AX59" s="9">
        <f t="array" ref="AX59">IF(AX$11&gt;=0,MAX(INDEX(MMULT(inverseG,AW$12:AW$62),$A59+1,1),MAX(strike-$B59,0)),"")</f>
        <v>3.0335177579920635E-3</v>
      </c>
      <c r="AY59" s="9">
        <f t="array" ref="AY59">IF(AY$11&gt;=0,MAX(INDEX(MMULT(inverseG,AX$12:AX$62),$A59+1,1),MAX(strike-$B59,0)),"")</f>
        <v>3.2259891950264367E-3</v>
      </c>
      <c r="AZ59" s="9">
        <f t="array" ref="AZ59">IF(AZ$11&gt;=0,MAX(INDEX(MMULT(inverseG,AY$12:AY$62),$A59+1,1),MAX(strike-$B59,0)),"")</f>
        <v>3.4225378674176605E-3</v>
      </c>
      <c r="BA59" s="9">
        <f t="array" ref="BA59">IF(BA$11&gt;=0,MAX(INDEX(MMULT(inverseG,AZ$12:AZ$62),$A59+1,1),MAX(strike-$B59,0)),"")</f>
        <v>3.6229181878715917E-3</v>
      </c>
      <c r="BB59" s="9">
        <f t="array" ref="BB59">IF(BB$11&gt;=0,MAX(INDEX(MMULT(inverseG,BA$12:BA$62),$A59+1,1),MAX(strike-$B59,0)),"")</f>
        <v>3.8268877898203703E-3</v>
      </c>
      <c r="BC59" s="9">
        <f t="array" ref="BC59">IF(BC$11&gt;=0,MAX(INDEX(MMULT(inverseG,BB$12:BB$62),$A59+1,1),MAX(strike-$B59,0)),"")</f>
        <v>4.0342082984294583E-3</v>
      </c>
      <c r="BD59" s="9">
        <f t="array" ref="BD59">IF(BD$11&gt;=0,MAX(INDEX(MMULT(inverseG,BC$12:BC$62),$A59+1,1),MAX(strike-$B59,0)),"")</f>
        <v>4.2446459855750478E-3</v>
      </c>
      <c r="BE59" s="9">
        <f t="array" ref="BE59">IF(BE$11&gt;=0,MAX(INDEX(MMULT(inverseG,BD$12:BD$62),$A59+1,1),MAX(strike-$B59,0)),"")</f>
        <v>4.4579723201334017E-3</v>
      </c>
      <c r="BF59" s="9">
        <f t="array" ref="BF59">IF(BF$11&gt;=0,MAX(INDEX(MMULT(inverseG,BE$12:BE$62),$A59+1,1),MAX(strike-$B59,0)),"")</f>
        <v>4.6739644241388092E-3</v>
      </c>
      <c r="BG59" s="9">
        <f t="array" ref="BG59">IF(BG$11&gt;=0,MAX(INDEX(MMULT(inverseG,BF$12:BF$62),$A59+1,1),MAX(strike-$B59,0)),"")</f>
        <v>4.8924054445464715E-3</v>
      </c>
      <c r="BH59" s="9">
        <f t="array" ref="BH59">IF(BH$11&gt;=0,MAX(INDEX(MMULT(inverseG,BG$12:BG$62),$A59+1,1),MAX(strike-$B59,0)),"")</f>
        <v>5.1130848495200927E-3</v>
      </c>
      <c r="BI59" s="9">
        <f t="array" ref="BI59">IF(BI$11&gt;=0,MAX(INDEX(MMULT(inverseG,BH$12:BH$62),$A59+1,1),MAX(strike-$B59,0)),"")</f>
        <v>5.335798657378754E-3</v>
      </c>
      <c r="BJ59" s="9">
        <f t="array" ref="BJ59">IF(BJ$11&gt;=0,MAX(INDEX(MMULT(inverseG,BI$12:BI$62),$A59+1,1),MAX(strike-$B59,0)),"")</f>
        <v>5.5603496056013434E-3</v>
      </c>
      <c r="BK59" s="9">
        <f t="array" ref="BK59">IF(BK$11&gt;=0,MAX(INDEX(MMULT(inverseG,BJ$12:BJ$62),$A59+1,1),MAX(strike-$B59,0)),"")</f>
        <v>5.7865472666085629E-3</v>
      </c>
      <c r="BL59" s="9">
        <f t="array" ref="BL59">IF(BL$11&gt;=0,MAX(INDEX(MMULT(inverseG,BK$12:BK$62),$A59+1,1),MAX(strike-$B59,0)),"")</f>
        <v>6.0142081164254848E-3</v>
      </c>
      <c r="BM59" s="9">
        <f t="array" ref="BM59">IF(BM$11&gt;=0,MAX(INDEX(MMULT(inverseG,BL$12:BL$62),$A59+1,1),MAX(strike-$B59,0)),"")</f>
        <v>6.2431555617700734E-3</v>
      </c>
      <c r="BN59" s="9">
        <f t="array" ref="BN59">IF(BN$11&gt;=0,MAX(INDEX(MMULT(inverseG,BM$12:BM$62),$A59+1,1),MAX(strike-$B59,0)),"")</f>
        <v>6.473219930611067E-3</v>
      </c>
      <c r="BO59" s="9">
        <f t="array" ref="BO59">IF(BO$11&gt;=0,MAX(INDEX(MMULT(inverseG,BN$12:BN$62),$A59+1,1),MAX(strike-$B59,0)),"")</f>
        <v>6.7042384307859845E-3</v>
      </c>
      <c r="BP59" s="9">
        <f t="array" ref="BP59">IF(BP$11&gt;=0,MAX(INDEX(MMULT(inverseG,BO$12:BO$62),$A59+1,1),MAX(strike-$B59,0)),"")</f>
        <v>6.9360550808608284E-3</v>
      </c>
      <c r="BQ59" s="9">
        <f t="array" ref="BQ59">IF(BQ$11&gt;=0,MAX(INDEX(MMULT(inverseG,BP$12:BP$62),$A59+1,1),MAX(strike-$B59,0)),"")</f>
        <v>7.1685206170409212E-3</v>
      </c>
      <c r="BR59" s="9">
        <f t="array" ref="BR59">IF(BR$11&gt;=0,MAX(INDEX(MMULT(inverseG,BQ$12:BQ$62),$A59+1,1),MAX(strike-$B59,0)),"")</f>
        <v>7.4014923796017727E-3</v>
      </c>
      <c r="BS59" s="9">
        <f t="array" ref="BS59">IF(BS$11&gt;=0,MAX(INDEX(MMULT(inverseG,BR$12:BR$62),$A59+1,1),MAX(strike-$B59,0)),"")</f>
        <v>7.6348341819953433E-3</v>
      </c>
      <c r="BT59" s="9">
        <f t="array" ref="BT59">IF(BT$11&gt;=0,MAX(INDEX(MMULT(inverseG,BS$12:BS$62),$A59+1,1),MAX(strike-$B59,0)),"")</f>
        <v>7.8684161654965657E-3</v>
      </c>
      <c r="BU59" s="9">
        <f t="array" ref="BU59">IF(BU$11&gt;=0,MAX(INDEX(MMULT(inverseG,BT$12:BT$62),$A59+1,1),MAX(strike-$B59,0)),"")</f>
        <v>8.1021146419846691E-3</v>
      </c>
      <c r="BV59" s="9">
        <f t="array" ref="BV59">IF(BV$11&gt;=0,MAX(INDEX(MMULT(inverseG,BU$12:BU$62),$A59+1,1),MAX(strike-$B59,0)),"")</f>
        <v>8.3358119272015137E-3</v>
      </c>
      <c r="BW59" s="9">
        <f t="array" ref="BW59">IF(BW$11&gt;=0,MAX(INDEX(MMULT(inverseG,BV$12:BV$62),$A59+1,1),MAX(strike-$B59,0)),"")</f>
        <v>8.5693961665931316E-3</v>
      </c>
      <c r="BX59" s="9">
        <f t="array" ref="BX59">IF(BX$11&gt;=0,MAX(INDEX(MMULT(inverseG,BW$12:BW$62),$A59+1,1),MAX(strike-$B59,0)),"")</f>
        <v>8.8027611556200109E-3</v>
      </c>
      <c r="BY59" s="9">
        <f t="array" ref="BY59">IF(BY$11&gt;=0,MAX(INDEX(MMULT(inverseG,BX$12:BX$62),$A59+1,1),MAX(strike-$B59,0)),"")</f>
        <v>9.0358061562154784E-3</v>
      </c>
      <c r="BZ59" s="9">
        <f t="array" ref="BZ59">IF(BZ$11&gt;=0,MAX(INDEX(MMULT(inverseG,BY$12:BY$62),$A59+1,1),MAX(strike-$B59,0)),"")</f>
        <v>9.2684357108793764E-3</v>
      </c>
      <c r="CA59" s="9">
        <f t="array" ref="CA59">IF(CA$11&gt;=0,MAX(INDEX(MMULT(inverseG,BZ$12:BZ$62),$A59+1,1),MAX(strike-$B59,0)),"")</f>
        <v>9.5005594557156601E-3</v>
      </c>
      <c r="CB59" s="9">
        <f t="array" ref="CB59">IF(CB$11&gt;=0,MAX(INDEX(MMULT(inverseG,CA$12:CA$62),$A59+1,1),MAX(strike-$B59,0)),"")</f>
        <v>9.7320919335573391E-3</v>
      </c>
      <c r="CC59" s="9">
        <f t="array" ref="CC59">IF(CC$11&gt;=0,MAX(INDEX(MMULT(inverseG,CB$12:CB$62),$A59+1,1),MAX(strike-$B59,0)),"")</f>
        <v>9.9629524081698596E-3</v>
      </c>
      <c r="CD59" s="9">
        <f t="array" ref="CD59">IF(CD$11&gt;=0,MAX(INDEX(MMULT(inverseG,CC$12:CC$62),$A59+1,1),MAX(strike-$B59,0)),"")</f>
        <v>1.0193064680384271E-2</v>
      </c>
      <c r="CE59" s="9">
        <f t="array" ref="CE59">IF(CE$11&gt;=0,MAX(INDEX(MMULT(inverseG,CD$12:CD$62),$A59+1,1),MAX(strike-$B59,0)),"")</f>
        <v>1.0422356906884204E-2</v>
      </c>
      <c r="CF59" s="9">
        <f t="array" ref="CF59">IF(CF$11&gt;=0,MAX(INDEX(MMULT(inverseG,CE$12:CE$62),$A59+1,1),MAX(strike-$B59,0)),"")</f>
        <v>1.0650761422254768E-2</v>
      </c>
      <c r="CG59" s="9">
        <f t="array" ref="CG59">IF(CG$11&gt;=0,MAX(INDEX(MMULT(inverseG,CF$12:CF$62),$A59+1,1),MAX(strike-$B59,0)),"")</f>
        <v>1.0878214564797208E-2</v>
      </c>
      <c r="CH59" s="9">
        <f t="array" ref="CH59">IF(CH$11&gt;=0,MAX(INDEX(MMULT(inverseG,CG$12:CG$62),$A59+1,1),MAX(strike-$B59,0)),"")</f>
        <v>1.1104656506519137E-2</v>
      </c>
      <c r="CI59" s="9">
        <f t="array" ref="CI59">IF(CI$11&gt;=0,MAX(INDEX(MMULT(inverseG,CH$12:CH$62),$A59+1,1),MAX(strike-$B59,0)),"")</f>
        <v>1.1330031087626627E-2</v>
      </c>
      <c r="CJ59" s="9">
        <f t="array" ref="CJ59">IF(CJ$11&gt;=0,MAX(INDEX(MMULT(inverseG,CI$12:CI$62),$A59+1,1),MAX(strike-$B59,0)),"")</f>
        <v>1.1554285655769976E-2</v>
      </c>
      <c r="CK59" s="9">
        <f t="array" ref="CK59">IF(CK$11&gt;=0,MAX(INDEX(MMULT(inverseG,CJ$12:CJ$62),$A59+1,1),MAX(strike-$B59,0)),"")</f>
        <v>1.1777370910229516E-2</v>
      </c>
      <c r="CL59" s="9">
        <f t="array" ref="CL59">IF(CL$11&gt;=0,MAX(INDEX(MMULT(inverseG,CK$12:CK$62),$A59+1,1),MAX(strike-$B59,0)),"")</f>
        <v>1.1999240751170386E-2</v>
      </c>
      <c r="CM59" s="9">
        <f t="array" ref="CM59">IF(CM$11&gt;=0,MAX(INDEX(MMULT(inverseG,CL$12:CL$62),$A59+1,1),MAX(strike-$B59,0)),"")</f>
        <v>1.2219852134045171E-2</v>
      </c>
      <c r="CN59" s="9">
        <f t="array" ref="CN59">IF(CN$11&gt;=0,MAX(INDEX(MMULT(inverseG,CM$12:CM$62),$A59+1,1),MAX(strike-$B59,0)),"")</f>
        <v>1.2439164929180129E-2</v>
      </c>
      <c r="CO59" s="9">
        <f t="array" ref="CO59">IF(CO$11&gt;=0,MAX(INDEX(MMULT(inverseG,CN$12:CN$62),$A59+1,1),MAX(strike-$B59,0)),"")</f>
        <v>1.2657141786543747E-2</v>
      </c>
      <c r="CP59" s="9">
        <f t="array" ref="CP59">IF(CP$11&gt;=0,MAX(INDEX(MMULT(inverseG,CO$12:CO$62),$A59+1,1),MAX(strike-$B59,0)),"")</f>
        <v>1.2873748005664813E-2</v>
      </c>
      <c r="CQ59" s="9">
        <f t="array" ref="CQ59">IF(CQ$11&gt;=0,MAX(INDEX(MMULT(inverseG,CP$12:CP$62),$A59+1,1),MAX(strike-$B59,0)),"")</f>
        <v>1.3088951410640811E-2</v>
      </c>
      <c r="CR59" s="9">
        <f t="array" ref="CR59">IF(CR$11&gt;=0,MAX(INDEX(MMULT(inverseG,CQ$12:CQ$62),$A59+1,1),MAX(strike-$B59,0)),"")</f>
        <v>1.3302722230155314E-2</v>
      </c>
      <c r="CS59" s="9">
        <f t="array" ref="CS59">IF(CS$11&gt;=0,MAX(INDEX(MMULT(inverseG,CR$12:CR$62),$A59+1,1),MAX(strike-$B59,0)),"")</f>
        <v>1.3515032982405126E-2</v>
      </c>
      <c r="CT59" s="9">
        <f t="array" ref="CT59">IF(CT$11&gt;=0,MAX(INDEX(MMULT(inverseG,CS$12:CS$62),$A59+1,1),MAX(strike-$B59,0)),"")</f>
        <v>1.3725858364823245E-2</v>
      </c>
      <c r="CU59" s="9">
        <f t="array" ref="CU59">IF(CU$11&gt;=0,MAX(INDEX(MMULT(inverseG,CT$12:CT$62),$A59+1,1),MAX(strike-$B59,0)),"")</f>
        <v>1.393517514847255E-2</v>
      </c>
      <c r="CV59" s="9">
        <f t="array" ref="CV59">IF(CV$11&gt;=0,MAX(INDEX(MMULT(inverseG,CU$12:CU$62),$A59+1,1),MAX(strike-$B59,0)),"")</f>
        <v>1.4142962076977022E-2</v>
      </c>
      <c r="CW59" s="9">
        <f t="array" ref="CW59">IF(CW$11&gt;=0,MAX(INDEX(MMULT(inverseG,CV$12:CV$62),$A59+1,1),MAX(strike-$B59,0)),"")</f>
        <v>1.4349199769852435E-2</v>
      </c>
      <c r="CX59" s="9">
        <f t="array" ref="CX59">IF(CX$11&gt;=0,MAX(INDEX(MMULT(inverseG,CW$12:CW$62),$A59+1,1),MAX(strike-$B59,0)),"")</f>
        <v>1.4553870630097453E-2</v>
      </c>
      <c r="CY59" s="9">
        <f t="array" ref="CY59">IF(CY$11&gt;=0,MAX(INDEX(MMULT(inverseG,CX$12:CX$62),$A59+1,1),MAX(strike-$B59,0)),"")</f>
        <v>1.4756958755908562E-2</v>
      </c>
      <c r="CZ59" s="9">
        <f t="array" ref="CZ59">IF(CZ$11&gt;=0,MAX(INDEX(MMULT(inverseG,CY$12:CY$62),$A59+1,1),MAX(strike-$B59,0)),"")</f>
        <v>1.4958449856388639E-2</v>
      </c>
      <c r="DA59" s="9" t="str">
        <f t="array" ref="DA59">IF(DA$11&gt;=0,MAX(INDEX(MMULT(inverseG,CZ$12:CZ$62),$A59+1,1),MAX(strike-$B59,0)),"")</f>
        <v/>
      </c>
      <c r="DB59" s="9" t="str">
        <f t="array" ref="DB59">IF(DB$11&gt;=0,MAX(INDEX(MMULT(inverseG,DA$12:DA$62),$A59+1,1),MAX(strike-$B59,0)),"")</f>
        <v/>
      </c>
      <c r="DC59" s="9" t="str">
        <f t="array" ref="DC59">IF(DC$11&gt;=0,MAX(INDEX(MMULT(inverseG,DB$12:DB$62),$A59+1,1),MAX(strike-$B59,0)),"")</f>
        <v/>
      </c>
      <c r="DD59" s="9" t="str">
        <f t="array" ref="DD59">IF(DD$11&gt;=0,MAX(INDEX(MMULT(inverseG,DC$12:DC$62),$A59+1,1),MAX(strike-$B59,0)),"")</f>
        <v/>
      </c>
      <c r="DE59" s="9" t="str">
        <f t="array" ref="DE59">IF(DE$11&gt;=0,MAX(INDEX(MMULT(inverseG,DD$12:DD$62),$A59+1,1),MAX(strike-$B59,0)),"")</f>
        <v/>
      </c>
      <c r="DF59" s="9" t="str">
        <f t="array" ref="DF59">IF(DF$11&gt;=0,MAX(INDEX(MMULT(inverseG,DE$12:DE$62),$A59+1,1),MAX(strike-$B59,0)),"")</f>
        <v/>
      </c>
      <c r="DG59" s="9" t="str">
        <f t="array" ref="DG59">IF(DG$11&gt;=0,MAX(INDEX(MMULT(inverseG,DF$12:DF$62),$A59+1,1),MAX(strike-$B59,0)),"")</f>
        <v/>
      </c>
      <c r="DH59" s="9" t="str">
        <f t="array" ref="DH59">IF(DH$11&gt;=0,MAX(INDEX(MMULT(inverseG,DG$12:DG$62),$A59+1,1),MAX(strike-$B59,0)),"")</f>
        <v/>
      </c>
      <c r="DI59" s="9" t="str">
        <f t="array" ref="DI59">IF(DI$11&gt;=0,MAX(INDEX(MMULT(inverseG,DH$12:DH$62),$A59+1,1),MAX(strike-$B59,0)),"")</f>
        <v/>
      </c>
      <c r="DJ59" s="9" t="str">
        <f t="array" ref="DJ59">IF(DJ$11&gt;=0,MAX(INDEX(MMULT(inverseG,DI$12:DI$62),$A59+1,1),MAX(strike-$B59,0)),"")</f>
        <v/>
      </c>
      <c r="DK59" s="9" t="str">
        <f t="array" ref="DK59">IF(DK$11&gt;=0,MAX(INDEX(MMULT(inverseG,DJ$12:DJ$62),$A59+1,1),MAX(strike-$B59,0)),"")</f>
        <v/>
      </c>
      <c r="DL59" s="9" t="str">
        <f t="array" ref="DL59">IF(DL$11&gt;=0,MAX(INDEX(MMULT(inverseG,DK$12:DK$62),$A59+1,1),MAX(strike-$B59,0)),"")</f>
        <v/>
      </c>
      <c r="DM59" s="9" t="str">
        <f t="array" ref="DM59">IF(DM$11&gt;=0,MAX(INDEX(MMULT(inverseG,DL$12:DL$62),$A59+1,1),MAX(strike-$B59,0)),"")</f>
        <v/>
      </c>
      <c r="DN59" s="9" t="str">
        <f t="array" ref="DN59">IF(DN$11&gt;=0,MAX(INDEX(MMULT(inverseG,DM$12:DM$62),$A59+1,1),MAX(strike-$B59,0)),"")</f>
        <v/>
      </c>
      <c r="DO59" s="9" t="str">
        <f t="array" ref="DO59">IF(DO$11&gt;=0,MAX(INDEX(MMULT(inverseG,DN$12:DN$62),$A59+1,1),MAX(strike-$B59,0)),"")</f>
        <v/>
      </c>
      <c r="DP59" s="9" t="str">
        <f t="array" ref="DP59">IF(DP$11&gt;=0,MAX(INDEX(MMULT(inverseG,DO$12:DO$62),$A59+1,1),MAX(strike-$B59,0)),"")</f>
        <v/>
      </c>
      <c r="DQ59" s="9" t="str">
        <f t="array" ref="DQ59">IF(DQ$11&gt;=0,MAX(INDEX(MMULT(inverseG,DP$12:DP$62),$A59+1,1),MAX(strike-$B59,0)),"")</f>
        <v/>
      </c>
      <c r="DR59" s="9" t="str">
        <f t="array" ref="DR59">IF(DR$11&gt;=0,MAX(INDEX(MMULT(inverseG,DQ$12:DQ$62),$A59+1,1),MAX(strike-$B59,0)),"")</f>
        <v/>
      </c>
      <c r="DS59" s="9" t="str">
        <f t="array" ref="DS59">IF(DS$11&gt;=0,MAX(INDEX(MMULT(inverseG,DR$12:DR$62),$A59+1,1),MAX(strike-$B59,0)),"")</f>
        <v/>
      </c>
      <c r="DT59" s="9" t="str">
        <f t="array" ref="DT59">IF(DT$11&gt;=0,MAX(INDEX(MMULT(inverseG,DS$12:DS$62),$A59+1,1),MAX(strike-$B59,0)),"")</f>
        <v/>
      </c>
      <c r="DU59" s="9" t="str">
        <f t="array" ref="DU59">IF(DU$11&gt;=0,MAX(INDEX(MMULT(inverseG,DT$12:DT$62),$A59+1,1),MAX(strike-$B59,0)),"")</f>
        <v/>
      </c>
      <c r="DV59" s="9" t="str">
        <f t="array" ref="DV59">IF(DV$11&gt;=0,MAX(INDEX(MMULT(inverseG,DU$12:DU$62),$A59+1,1),MAX(strike-$B59,0)),"")</f>
        <v/>
      </c>
      <c r="DW59" s="9" t="str">
        <f t="array" ref="DW59">IF(DW$11&gt;=0,MAX(INDEX(MMULT(inverseG,DV$12:DV$62),$A59+1,1),MAX(strike-$B59,0)),"")</f>
        <v/>
      </c>
      <c r="DX59" s="9" t="str">
        <f t="array" ref="DX59">IF(DX$11&gt;=0,MAX(INDEX(MMULT(inverseG,DW$12:DW$62),$A59+1,1),MAX(strike-$B59,0)),"")</f>
        <v/>
      </c>
      <c r="DY59" s="9" t="str">
        <f t="array" ref="DY59">IF(DY$11&gt;=0,MAX(INDEX(MMULT(inverseG,DX$12:DX$62),$A59+1,1),MAX(strike-$B59,0)),"")</f>
        <v/>
      </c>
      <c r="DZ59" s="9" t="str">
        <f t="array" ref="DZ59">IF(DZ$11&gt;=0,MAX(INDEX(MMULT(inverseG,DY$12:DY$62),$A59+1,1),MAX(strike-$B59,0)),"")</f>
        <v/>
      </c>
      <c r="EA59" s="9" t="str">
        <f t="array" ref="EA59">IF(EA$11&gt;=0,MAX(INDEX(MMULT(inverseG,DZ$12:DZ$62),$A59+1,1),MAX(strike-$B59,0)),"")</f>
        <v/>
      </c>
      <c r="EB59" s="9" t="str">
        <f t="array" ref="EB59">IF(EB$11&gt;=0,MAX(INDEX(MMULT(inverseG,EA$12:EA$62),$A59+1,1),MAX(strike-$B59,0)),"")</f>
        <v/>
      </c>
      <c r="EC59" s="9" t="str">
        <f t="array" ref="EC59">IF(EC$11&gt;=0,MAX(INDEX(MMULT(inverseG,EB$12:EB$62),$A59+1,1),MAX(strike-$B59,0)),"")</f>
        <v/>
      </c>
      <c r="ED59" s="9" t="str">
        <f t="array" ref="ED59">IF(ED$11&gt;=0,MAX(INDEX(MMULT(inverseG,EC$12:EC$62),$A59+1,1),MAX(strike-$B59,0)),"")</f>
        <v/>
      </c>
      <c r="EE59" s="9" t="str">
        <f t="array" ref="EE59">IF(EE$11&gt;=0,MAX(INDEX(MMULT(inverseG,ED$12:ED$62),$A59+1,1),MAX(strike-$B59,0)),"")</f>
        <v/>
      </c>
      <c r="EF59" s="9" t="str">
        <f t="array" ref="EF59">IF(EF$11&gt;=0,MAX(INDEX(MMULT(inverseG,EE$12:EE$62),$A59+1,1),MAX(strike-$B59,0)),"")</f>
        <v/>
      </c>
      <c r="EG59" s="9" t="str">
        <f t="array" ref="EG59">IF(EG$11&gt;=0,MAX(INDEX(MMULT(inverseG,EF$12:EF$62),$A59+1,1),MAX(strike-$B59,0)),"")</f>
        <v/>
      </c>
      <c r="EH59" s="9" t="str">
        <f t="array" ref="EH59">IF(EH$11&gt;=0,MAX(INDEX(MMULT(inverseG,EG$12:EG$62),$A59+1,1),MAX(strike-$B59,0)),"")</f>
        <v/>
      </c>
      <c r="EI59" s="9" t="str">
        <f t="array" ref="EI59">IF(EI$11&gt;=0,MAX(INDEX(MMULT(inverseG,EH$12:EH$62),$A59+1,1),MAX(strike-$B59,0)),"")</f>
        <v/>
      </c>
      <c r="EJ59" s="9" t="str">
        <f t="array" ref="EJ59">IF(EJ$11&gt;=0,MAX(INDEX(MMULT(inverseG,EI$12:EI$62),$A59+1,1),MAX(strike-$B59,0)),"")</f>
        <v/>
      </c>
      <c r="EK59" s="9" t="str">
        <f t="array" ref="EK59">IF(EK$11&gt;=0,MAX(INDEX(MMULT(inverseG,EJ$12:EJ$62),$A59+1,1),MAX(strike-$B59,0)),"")</f>
        <v/>
      </c>
      <c r="EL59" s="9" t="str">
        <f t="array" ref="EL59">IF(EL$11&gt;=0,MAX(INDEX(MMULT(inverseG,EK$12:EK$62),$A59+1,1),MAX(strike-$B59,0)),"")</f>
        <v/>
      </c>
      <c r="EM59" s="9" t="str">
        <f t="array" ref="EM59">IF(EM$11&gt;=0,MAX(INDEX(MMULT(inverseG,EL$12:EL$62),$A59+1,1),MAX(strike-$B59,0)),"")</f>
        <v/>
      </c>
      <c r="EN59" s="9" t="str">
        <f t="array" ref="EN59">IF(EN$11&gt;=0,MAX(INDEX(MMULT(inverseG,EM$12:EM$62),$A59+1,1),MAX(strike-$B59,0)),"")</f>
        <v/>
      </c>
      <c r="EO59" s="9" t="str">
        <f t="array" ref="EO59">IF(EO$11&gt;=0,MAX(INDEX(MMULT(inverseG,EN$12:EN$62),$A59+1,1),MAX(strike-$B59,0)),"")</f>
        <v/>
      </c>
      <c r="EP59" s="9" t="str">
        <f t="array" ref="EP59">IF(EP$11&gt;=0,MAX(INDEX(MMULT(inverseG,EO$12:EO$62),$A59+1,1),MAX(strike-$B59,0)),"")</f>
        <v/>
      </c>
      <c r="EQ59" s="9" t="str">
        <f t="array" ref="EQ59">IF(EQ$11&gt;=0,MAX(INDEX(MMULT(inverseG,EP$12:EP$62),$A59+1,1),MAX(strike-$B59,0)),"")</f>
        <v/>
      </c>
      <c r="ER59" s="9" t="str">
        <f t="array" ref="ER59">IF(ER$11&gt;=0,MAX(INDEX(MMULT(inverseG,EQ$12:EQ$62),$A59+1,1),MAX(strike-$B59,0)),"")</f>
        <v/>
      </c>
      <c r="ES59" s="9" t="str">
        <f t="array" ref="ES59">IF(ES$11&gt;=0,MAX(INDEX(MMULT(inverseG,ER$12:ER$62),$A59+1,1),MAX(strike-$B59,0)),"")</f>
        <v/>
      </c>
      <c r="ET59" s="9" t="str">
        <f t="array" ref="ET59">IF(ET$11&gt;=0,MAX(INDEX(MMULT(inverseG,ES$12:ES$62),$A59+1,1),MAX(strike-$B59,0)),"")</f>
        <v/>
      </c>
      <c r="EU59" s="9" t="str">
        <f t="array" ref="EU59">IF(EU$11&gt;=0,MAX(INDEX(MMULT(inverseG,ET$12:ET$62),$A59+1,1),MAX(strike-$B59,0)),"")</f>
        <v/>
      </c>
      <c r="EV59" s="9" t="str">
        <f t="array" ref="EV59">IF(EV$11&gt;=0,MAX(INDEX(MMULT(inverseG,EU$12:EU$62),$A59+1,1),MAX(strike-$B59,0)),"")</f>
        <v/>
      </c>
      <c r="EW59" s="9" t="str">
        <f t="array" ref="EW59">IF(EW$11&gt;=0,MAX(INDEX(MMULT(inverseG,EV$12:EV$62),$A59+1,1),MAX(strike-$B59,0)),"")</f>
        <v/>
      </c>
      <c r="EX59" s="9" t="str">
        <f t="array" ref="EX59">IF(EX$11&gt;=0,MAX(INDEX(MMULT(inverseG,EW$12:EW$62),$A59+1,1),MAX(strike-$B59,0)),"")</f>
        <v/>
      </c>
      <c r="EY59" s="9" t="str">
        <f t="array" ref="EY59">IF(EY$11&gt;=0,MAX(INDEX(MMULT(inverseG,EX$12:EX$62),$A59+1,1),MAX(strike-$B59,0)),"")</f>
        <v/>
      </c>
      <c r="EZ59" s="9" t="str">
        <f t="array" ref="EZ59">IF(EZ$11&gt;=0,MAX(INDEX(MMULT(inverseG,EY$12:EY$62),$A59+1,1),MAX(strike-$B59,0)),"")</f>
        <v/>
      </c>
      <c r="FA59" s="9" t="str">
        <f t="array" ref="FA59">IF(FA$11&gt;=0,MAX(INDEX(MMULT(inverseG,EZ$12:EZ$62),$A59+1,1),MAX(strike-$B59,0)),"")</f>
        <v/>
      </c>
      <c r="FB59" s="9" t="str">
        <f t="array" ref="FB59">IF(FB$11&gt;=0,MAX(INDEX(MMULT(inverseG,FA$12:FA$62),$A59+1,1),MAX(strike-$B59,0)),"")</f>
        <v/>
      </c>
      <c r="FC59" s="9" t="str">
        <f t="array" ref="FC59">IF(FC$11&gt;=0,MAX(INDEX(MMULT(inverseG,FB$12:FB$62),$A59+1,1),MAX(strike-$B59,0)),"")</f>
        <v/>
      </c>
      <c r="FD59" s="9" t="str">
        <f t="array" ref="FD59">IF(FD$11&gt;=0,MAX(INDEX(MMULT(inverseG,FC$12:FC$62),$A59+1,1),MAX(strike-$B59,0)),"")</f>
        <v/>
      </c>
      <c r="FE59" s="9" t="str">
        <f t="array" ref="FE59">IF(FE$11&gt;=0,MAX(INDEX(MMULT(inverseG,FD$12:FD$62),$A59+1,1),MAX(strike-$B59,0)),"")</f>
        <v/>
      </c>
      <c r="FF59" s="9" t="str">
        <f t="array" ref="FF59">IF(FF$11&gt;=0,MAX(INDEX(MMULT(inverseG,FE$12:FE$62),$A59+1,1),MAX(strike-$B59,0)),"")</f>
        <v/>
      </c>
      <c r="FG59" s="9" t="str">
        <f t="array" ref="FG59">IF(FG$11&gt;=0,MAX(INDEX(MMULT(inverseG,FF$12:FF$62),$A59+1,1),MAX(strike-$B59,0)),"")</f>
        <v/>
      </c>
      <c r="FH59" s="9" t="str">
        <f t="array" ref="FH59">IF(FH$11&gt;=0,MAX(INDEX(MMULT(inverseG,FG$12:FG$62),$A59+1,1),MAX(strike-$B59,0)),"")</f>
        <v/>
      </c>
      <c r="FI59" s="9" t="str">
        <f t="array" ref="FI59">IF(FI$11&gt;=0,MAX(INDEX(MMULT(inverseG,FH$12:FH$62),$A59+1,1),MAX(strike-$B59,0)),"")</f>
        <v/>
      </c>
      <c r="FJ59" s="9" t="str">
        <f t="array" ref="FJ59">IF(FJ$11&gt;=0,MAX(INDEX(MMULT(inverseG,FI$12:FI$62),$A59+1,1),MAX(strike-$B59,0)),"")</f>
        <v/>
      </c>
      <c r="FK59" s="9" t="str">
        <f t="array" ref="FK59">IF(FK$11&gt;=0,MAX(INDEX(MMULT(inverseG,FJ$12:FJ$62),$A59+1,1),MAX(strike-$B59,0)),"")</f>
        <v/>
      </c>
      <c r="FL59" s="9" t="str">
        <f t="array" ref="FL59">IF(FL$11&gt;=0,MAX(INDEX(MMULT(inverseG,FK$12:FK$62),$A59+1,1),MAX(strike-$B59,0)),"")</f>
        <v/>
      </c>
      <c r="FM59" s="9" t="str">
        <f t="array" ref="FM59">IF(FM$11&gt;=0,MAX(INDEX(MMULT(inverseG,FL$12:FL$62),$A59+1,1),MAX(strike-$B59,0)),"")</f>
        <v/>
      </c>
      <c r="FN59" s="9" t="str">
        <f t="array" ref="FN59">IF(FN$11&gt;=0,MAX(INDEX(MMULT(inverseG,FM$12:FM$62),$A59+1,1),MAX(strike-$B59,0)),"")</f>
        <v/>
      </c>
      <c r="FO59" s="9" t="str">
        <f t="array" ref="FO59">IF(FO$11&gt;=0,MAX(INDEX(MMULT(inverseG,FN$12:FN$62),$A59+1,1),MAX(strike-$B59,0)),"")</f>
        <v/>
      </c>
      <c r="FP59" s="9" t="str">
        <f t="array" ref="FP59">IF(FP$11&gt;=0,MAX(INDEX(MMULT(inverseG,FO$12:FO$62),$A59+1,1),MAX(strike-$B59,0)),"")</f>
        <v/>
      </c>
      <c r="FQ59" s="9" t="str">
        <f t="array" ref="FQ59">IF(FQ$11&gt;=0,MAX(INDEX(MMULT(inverseG,FP$12:FP$62),$A59+1,1),MAX(strike-$B59,0)),"")</f>
        <v/>
      </c>
      <c r="FR59" s="9" t="str">
        <f t="array" ref="FR59">IF(FR$11&gt;=0,MAX(INDEX(MMULT(inverseG,FQ$12:FQ$62),$A59+1,1),MAX(strike-$B59,0)),"")</f>
        <v/>
      </c>
      <c r="FS59" s="9" t="str">
        <f t="array" ref="FS59">IF(FS$11&gt;=0,MAX(INDEX(MMULT(inverseG,FR$12:FR$62),$A59+1,1),MAX(strike-$B59,0)),"")</f>
        <v/>
      </c>
      <c r="FT59" s="9" t="str">
        <f t="array" ref="FT59">IF(FT$11&gt;=0,MAX(INDEX(MMULT(inverseG,FS$12:FS$62),$A59+1,1),MAX(strike-$B59,0)),"")</f>
        <v/>
      </c>
      <c r="FU59" s="9" t="str">
        <f t="array" ref="FU59">IF(FU$11&gt;=0,MAX(INDEX(MMULT(inverseG,FT$12:FT$62),$A59+1,1),MAX(strike-$B59,0)),"")</f>
        <v/>
      </c>
      <c r="FV59" s="9" t="str">
        <f t="array" ref="FV59">IF(FV$11&gt;=0,MAX(INDEX(MMULT(inverseG,FU$12:FU$62),$A59+1,1),MAX(strike-$B59,0)),"")</f>
        <v/>
      </c>
      <c r="FW59" s="9" t="str">
        <f t="array" ref="FW59">IF(FW$11&gt;=0,MAX(INDEX(MMULT(inverseG,FV$12:FV$62),$A59+1,1),MAX(strike-$B59,0)),"")</f>
        <v/>
      </c>
      <c r="FX59" s="9" t="str">
        <f t="array" ref="FX59">IF(FX$11&gt;=0,MAX(INDEX(MMULT(inverseG,FW$12:FW$62),$A59+1,1),MAX(strike-$B59,0)),"")</f>
        <v/>
      </c>
      <c r="FY59" s="9" t="str">
        <f t="array" ref="FY59">IF(FY$11&gt;=0,MAX(INDEX(MMULT(inverseG,FX$12:FX$62),$A59+1,1),MAX(strike-$B59,0)),"")</f>
        <v/>
      </c>
      <c r="FZ59" s="9" t="str">
        <f t="array" ref="FZ59">IF(FZ$11&gt;=0,MAX(INDEX(MMULT(inverseG,FY$12:FY$62),$A59+1,1),MAX(strike-$B59,0)),"")</f>
        <v/>
      </c>
      <c r="GA59" s="9" t="str">
        <f t="array" ref="GA59">IF(GA$11&gt;=0,MAX(INDEX(MMULT(inverseG,FZ$12:FZ$62),$A59+1,1),MAX(strike-$B59,0)),"")</f>
        <v/>
      </c>
      <c r="GB59" s="9" t="str">
        <f t="array" ref="GB59">IF(GB$11&gt;=0,MAX(INDEX(MMULT(inverseG,GA$12:GA$62),$A59+1,1),MAX(strike-$B59,0)),"")</f>
        <v/>
      </c>
      <c r="GC59" s="9" t="str">
        <f t="array" ref="GC59">IF(GC$11&gt;=0,MAX(INDEX(MMULT(inverseG,GB$12:GB$62),$A59+1,1),MAX(strike-$B59,0)),"")</f>
        <v/>
      </c>
      <c r="GD59" s="9" t="str">
        <f t="array" ref="GD59">IF(GD$11&gt;=0,MAX(INDEX(MMULT(inverseG,GC$12:GC$62),$A59+1,1),MAX(strike-$B59,0)),"")</f>
        <v/>
      </c>
      <c r="GE59" s="9" t="str">
        <f t="array" ref="GE59">IF(GE$11&gt;=0,MAX(INDEX(MMULT(inverseG,GD$12:GD$62),$A59+1,1),MAX(strike-$B59,0)),"")</f>
        <v/>
      </c>
      <c r="GF59" s="9" t="str">
        <f t="array" ref="GF59">IF(GF$11&gt;=0,MAX(INDEX(MMULT(inverseG,GE$12:GE$62),$A59+1,1),MAX(strike-$B59,0)),"")</f>
        <v/>
      </c>
      <c r="GG59" s="9" t="str">
        <f t="array" ref="GG59">IF(GG$11&gt;=0,MAX(INDEX(MMULT(inverseG,GF$12:GF$62),$A59+1,1),MAX(strike-$B59,0)),"")</f>
        <v/>
      </c>
      <c r="GH59" s="9" t="str">
        <f t="array" ref="GH59">IF(GH$11&gt;=0,MAX(INDEX(MMULT(inverseG,GG$12:GG$62),$A59+1,1),MAX(strike-$B59,0)),"")</f>
        <v/>
      </c>
      <c r="GI59" s="9" t="str">
        <f t="array" ref="GI59">IF(GI$11&gt;=0,MAX(INDEX(MMULT(inverseG,GH$12:GH$62),$A59+1,1),MAX(strike-$B59,0)),"")</f>
        <v/>
      </c>
      <c r="GJ59" s="9" t="str">
        <f t="array" ref="GJ59">IF(GJ$11&gt;=0,MAX(INDEX(MMULT(inverseG,GI$12:GI$62),$A59+1,1),MAX(strike-$B59,0)),"")</f>
        <v/>
      </c>
      <c r="GK59" s="9" t="str">
        <f t="array" ref="GK59">IF(GK$11&gt;=0,MAX(INDEX(MMULT(inverseG,GJ$12:GJ$62),$A59+1,1),MAX(strike-$B59,0)),"")</f>
        <v/>
      </c>
      <c r="GL59" s="9" t="str">
        <f t="array" ref="GL59">IF(GL$11&gt;=0,MAX(INDEX(MMULT(inverseG,GK$12:GK$62),$A59+1,1),MAX(strike-$B59,0)),"")</f>
        <v/>
      </c>
      <c r="GM59" s="9" t="str">
        <f t="array" ref="GM59">IF(GM$11&gt;=0,MAX(INDEX(MMULT(inverseG,GL$12:GL$62),$A59+1,1),MAX(strike-$B59,0)),"")</f>
        <v/>
      </c>
      <c r="GN59" s="9" t="str">
        <f t="array" ref="GN59">IF(GN$11&gt;=0,MAX(INDEX(MMULT(inverseG,GM$12:GM$62),$A59+1,1),MAX(strike-$B59,0)),"")</f>
        <v/>
      </c>
      <c r="GO59" s="9" t="str">
        <f t="array" ref="GO59">IF(GO$11&gt;=0,MAX(INDEX(MMULT(inverseG,GN$12:GN$62),$A59+1,1),MAX(strike-$B59,0)),"")</f>
        <v/>
      </c>
      <c r="GP59" s="9" t="str">
        <f t="array" ref="GP59">IF(GP$11&gt;=0,MAX(INDEX(MMULT(inverseG,GO$12:GO$62),$A59+1,1),MAX(strike-$B59,0)),"")</f>
        <v/>
      </c>
      <c r="GQ59" s="9" t="str">
        <f t="array" ref="GQ59">IF(GQ$11&gt;=0,MAX(INDEX(MMULT(inverseG,GP$12:GP$62),$A59+1,1),MAX(strike-$B59,0)),"")</f>
        <v/>
      </c>
      <c r="GR59" s="9" t="str">
        <f t="array" ref="GR59">IF(GR$11&gt;=0,MAX(INDEX(MMULT(inverseG,GQ$12:GQ$62),$A59+1,1),MAX(strike-$B59,0)),"")</f>
        <v/>
      </c>
      <c r="GS59" s="9" t="str">
        <f t="array" ref="GS59">IF(GS$11&gt;=0,MAX(INDEX(MMULT(inverseG,GR$12:GR$62),$A59+1,1),MAX(strike-$B59,0)),"")</f>
        <v/>
      </c>
      <c r="GT59" s="9" t="str">
        <f t="array" ref="GT59">IF(GT$11&gt;=0,MAX(INDEX(MMULT(inverseG,GS$12:GS$62),$A59+1,1),MAX(strike-$B59,0)),"")</f>
        <v/>
      </c>
      <c r="GU59" s="9" t="str">
        <f t="array" ref="GU59">IF(GU$11&gt;=0,MAX(INDEX(MMULT(inverseG,GT$12:GT$62),$A59+1,1),MAX(strike-$B59,0)),"")</f>
        <v/>
      </c>
      <c r="GV59" s="9" t="str">
        <f t="array" ref="GV59">IF(GV$11&gt;=0,MAX(INDEX(MMULT(inverseG,GU$12:GU$62),$A59+1,1),MAX(strike-$B59,0)),"")</f>
        <v/>
      </c>
      <c r="GW59" s="9" t="str">
        <f t="array" ref="GW59">IF(GW$11&gt;=0,MAX(INDEX(MMULT(inverseG,GV$12:GV$62),$A59+1,1),MAX(strike-$B59,0)),"")</f>
        <v/>
      </c>
      <c r="GX59" s="9" t="str">
        <f t="array" ref="GX59">IF(GX$11&gt;=0,MAX(INDEX(MMULT(inverseG,GW$12:GW$62),$A59+1,1),MAX(strike-$B59,0)),"")</f>
        <v/>
      </c>
      <c r="GY59" s="9" t="str">
        <f t="array" ref="GY59">IF(GY$11&gt;=0,MAX(INDEX(MMULT(inverseG,GX$12:GX$62),$A59+1,1),MAX(strike-$B59,0)),"")</f>
        <v/>
      </c>
      <c r="GZ59" s="9" t="str">
        <f t="array" ref="GZ59">IF(GZ$11&gt;=0,MAX(INDEX(MMULT(inverseG,GY$12:GY$62),$A59+1,1),MAX(strike-$B59,0)),"")</f>
        <v/>
      </c>
      <c r="HA59" s="9" t="str">
        <f t="array" ref="HA59">IF(HA$11&gt;=0,MAX(INDEX(MMULT(inverseG,GZ$12:GZ$62),$A59+1,1),MAX(strike-$B59,0)),"")</f>
        <v/>
      </c>
      <c r="HB59" s="9" t="str">
        <f t="array" ref="HB59">IF(HB$11&gt;=0,MAX(INDEX(MMULT(inverseG,HA$12:HA$62),$A59+1,1),MAX(strike-$B59,0)),"")</f>
        <v/>
      </c>
      <c r="HC59" s="9" t="str">
        <f t="array" ref="HC59">IF(HC$11&gt;=0,MAX(INDEX(MMULT(inverseG,HB$12:HB$62),$A59+1,1),MAX(strike-$B59,0)),"")</f>
        <v/>
      </c>
      <c r="HD59" s="9" t="str">
        <f t="array" ref="HD59">IF(HD$11&gt;=0,MAX(INDEX(MMULT(inverseG,HC$12:HC$62),$A59+1,1),MAX(strike-$B59,0)),"")</f>
        <v/>
      </c>
      <c r="HE59" s="9" t="str">
        <f t="array" ref="HE59">IF(HE$11&gt;=0,MAX(INDEX(MMULT(inverseG,HD$12:HD$62),$A59+1,1),MAX(strike-$B59,0)),"")</f>
        <v/>
      </c>
      <c r="HF59" s="9" t="str">
        <f t="array" ref="HF59">IF(HF$11&gt;=0,MAX(INDEX(MMULT(inverseG,HE$12:HE$62),$A59+1,1),MAX(strike-$B59,0)),"")</f>
        <v/>
      </c>
      <c r="HG59" s="9" t="str">
        <f t="array" ref="HG59">IF(HG$11&gt;=0,MAX(INDEX(MMULT(inverseG,HF$12:HF$62),$A59+1,1),MAX(strike-$B59,0)),"")</f>
        <v/>
      </c>
      <c r="HH59" s="9" t="str">
        <f t="array" ref="HH59">IF(HH$11&gt;=0,MAX(INDEX(MMULT(inverseG,HG$12:HG$62),$A59+1,1),MAX(strike-$B59,0)),"")</f>
        <v/>
      </c>
      <c r="HI59" s="9" t="str">
        <f t="array" ref="HI59">IF(HI$11&gt;=0,MAX(INDEX(MMULT(inverseG,HH$12:HH$62),$A59+1,1),MAX(strike-$B59,0)),"")</f>
        <v/>
      </c>
      <c r="HJ59" s="9" t="str">
        <f t="array" ref="HJ59">IF(HJ$11&gt;=0,MAX(INDEX(MMULT(inverseG,HI$12:HI$62),$A59+1,1),MAX(strike-$B59,0)),"")</f>
        <v/>
      </c>
      <c r="HK59" s="9" t="str">
        <f t="array" ref="HK59">IF(HK$11&gt;=0,MAX(INDEX(MMULT(inverseG,HJ$12:HJ$62),$A59+1,1),MAX(strike-$B59,0)),"")</f>
        <v/>
      </c>
      <c r="HL59" s="9" t="str">
        <f t="array" ref="HL59">IF(HL$11&gt;=0,MAX(INDEX(MMULT(inverseG,HK$12:HK$62),$A59+1,1),MAX(strike-$B59,0)),"")</f>
        <v/>
      </c>
      <c r="HM59" s="9" t="str">
        <f t="array" ref="HM59">IF(HM$11&gt;=0,MAX(INDEX(MMULT(inverseG,HL$12:HL$62),$A59+1,1),MAX(strike-$B59,0)),"")</f>
        <v/>
      </c>
      <c r="HN59" s="9" t="str">
        <f t="array" ref="HN59">IF(HN$11&gt;=0,MAX(INDEX(MMULT(inverseG,HM$12:HM$62),$A59+1,1),MAX(strike-$B59,0)),"")</f>
        <v/>
      </c>
      <c r="HO59" s="9" t="str">
        <f t="array" ref="HO59">IF(HO$11&gt;=0,MAX(INDEX(MMULT(inverseG,HN$12:HN$62),$A59+1,1),MAX(strike-$B59,0)),"")</f>
        <v/>
      </c>
      <c r="HP59" s="9" t="str">
        <f t="array" ref="HP59">IF(HP$11&gt;=0,MAX(INDEX(MMULT(inverseG,HO$12:HO$62),$A59+1,1),MAX(strike-$B59,0)),"")</f>
        <v/>
      </c>
      <c r="HQ59" s="9" t="str">
        <f t="array" ref="HQ59">IF(HQ$11&gt;=0,MAX(INDEX(MMULT(inverseG,HP$12:HP$62),$A59+1,1),MAX(strike-$B59,0)),"")</f>
        <v/>
      </c>
      <c r="HR59" s="9" t="str">
        <f t="array" ref="HR59">IF(HR$11&gt;=0,MAX(INDEX(MMULT(inverseG,HQ$12:HQ$62),$A59+1,1),MAX(strike-$B59,0)),"")</f>
        <v/>
      </c>
      <c r="HS59" s="9" t="str">
        <f t="array" ref="HS59">IF(HS$11&gt;=0,MAX(INDEX(MMULT(inverseG,HR$12:HR$62),$A59+1,1),MAX(strike-$B59,0)),"")</f>
        <v/>
      </c>
      <c r="HT59" s="9" t="str">
        <f t="array" ref="HT59">IF(HT$11&gt;=0,MAX(INDEX(MMULT(inverseG,HS$12:HS$62),$A59+1,1),MAX(strike-$B59,0)),"")</f>
        <v/>
      </c>
      <c r="HU59" s="9" t="str">
        <f t="array" ref="HU59">IF(HU$11&gt;=0,MAX(INDEX(MMULT(inverseG,HT$12:HT$62),$A59+1,1),MAX(strike-$B59,0)),"")</f>
        <v/>
      </c>
      <c r="HV59" s="9" t="str">
        <f t="array" ref="HV59">IF(HV$11&gt;=0,MAX(INDEX(MMULT(inverseG,HU$12:HU$62),$A59+1,1),MAX(strike-$B59,0)),"")</f>
        <v/>
      </c>
      <c r="HW59" s="9" t="str">
        <f t="array" ref="HW59">IF(HW$11&gt;=0,MAX(INDEX(MMULT(inverseG,HV$12:HV$62),$A59+1,1),MAX(strike-$B59,0)),"")</f>
        <v/>
      </c>
      <c r="HX59" s="9" t="str">
        <f t="array" ref="HX59">IF(HX$11&gt;=0,MAX(INDEX(MMULT(inverseG,HW$12:HW$62),$A59+1,1),MAX(strike-$B59,0)),"")</f>
        <v/>
      </c>
      <c r="HY59" s="9" t="str">
        <f t="array" ref="HY59">IF(HY$11&gt;=0,MAX(INDEX(MMULT(inverseG,HX$12:HX$62),$A59+1,1),MAX(strike-$B59,0)),"")</f>
        <v/>
      </c>
      <c r="HZ59" s="9" t="str">
        <f t="array" ref="HZ59">IF(HZ$11&gt;=0,MAX(INDEX(MMULT(inverseG,HY$12:HY$62),$A59+1,1),MAX(strike-$B59,0)),"")</f>
        <v/>
      </c>
      <c r="IA59" s="9" t="str">
        <f t="array" ref="IA59">IF(IA$11&gt;=0,MAX(INDEX(MMULT(inverseG,HZ$12:HZ$62),$A59+1,1),MAX(strike-$B59,0)),"")</f>
        <v/>
      </c>
      <c r="IB59" s="9" t="str">
        <f t="array" ref="IB59">IF(IB$11&gt;=0,MAX(INDEX(MMULT(inverseG,IA$12:IA$62),$A59+1,1),MAX(strike-$B59,0)),"")</f>
        <v/>
      </c>
      <c r="IC59" s="9" t="str">
        <f t="array" ref="IC59">IF(IC$11&gt;=0,MAX(INDEX(MMULT(inverseG,IB$12:IB$62),$A59+1,1),MAX(strike-$B59,0)),"")</f>
        <v/>
      </c>
      <c r="ID59" s="9" t="str">
        <f t="array" ref="ID59">IF(ID$11&gt;=0,MAX(INDEX(MMULT(inverseG,IC$12:IC$62),$A59+1,1),MAX(strike-$B59,0)),"")</f>
        <v/>
      </c>
      <c r="IE59" s="9" t="str">
        <f t="array" ref="IE59">IF(IE$11&gt;=0,MAX(INDEX(MMULT(inverseG,ID$12:ID$62),$A59+1,1),MAX(strike-$B59,0)),"")</f>
        <v/>
      </c>
      <c r="IF59" s="9" t="str">
        <f t="array" ref="IF59">IF(IF$11&gt;=0,MAX(INDEX(MMULT(inverseG,IE$12:IE$62),$A59+1,1),MAX(strike-$B59,0)),"")</f>
        <v/>
      </c>
      <c r="IG59" s="9" t="str">
        <f t="array" ref="IG59">IF(IG$11&gt;=0,MAX(INDEX(MMULT(inverseG,IF$12:IF$62),$A59+1,1),MAX(strike-$B59,0)),"")</f>
        <v/>
      </c>
      <c r="IH59" s="9" t="str">
        <f t="array" ref="IH59">IF(IH$11&gt;=0,MAX(INDEX(MMULT(inverseG,IG$12:IG$62),$A59+1,1),MAX(strike-$B59,0)),"")</f>
        <v/>
      </c>
      <c r="II59" s="9" t="str">
        <f t="array" ref="II59">IF(II$11&gt;=0,MAX(INDEX(MMULT(inverseG,IH$12:IH$62),$A59+1,1),MAX(strike-$B59,0)),"")</f>
        <v/>
      </c>
      <c r="IJ59" s="9" t="str">
        <f t="array" ref="IJ59">IF(IJ$11&gt;=0,MAX(INDEX(MMULT(inverseG,II$12:II$62),$A59+1,1),MAX(strike-$B59,0)),"")</f>
        <v/>
      </c>
      <c r="IK59" s="9" t="str">
        <f t="array" ref="IK59">IF(IK$11&gt;=0,MAX(INDEX(MMULT(inverseG,IJ$12:IJ$62),$A59+1,1),MAX(strike-$B59,0)),"")</f>
        <v/>
      </c>
      <c r="IL59" s="9" t="str">
        <f t="array" ref="IL59">IF(IL$11&gt;=0,MAX(INDEX(MMULT(inverseG,IK$12:IK$62),$A59+1,1),MAX(strike-$B59,0)),"")</f>
        <v/>
      </c>
      <c r="IM59" s="9" t="str">
        <f t="array" ref="IM59">IF(IM$11&gt;=0,MAX(INDEX(MMULT(inverseG,IL$12:IL$62),$A59+1,1),MAX(strike-$B59,0)),"")</f>
        <v/>
      </c>
      <c r="IN59" s="9" t="str">
        <f t="array" ref="IN59">IF(IN$11&gt;=0,MAX(INDEX(MMULT(inverseG,IM$12:IM$62),$A59+1,1),MAX(strike-$B59,0)),"")</f>
        <v/>
      </c>
      <c r="IO59" s="9" t="str">
        <f t="array" ref="IO59">IF(IO$11&gt;=0,MAX(INDEX(MMULT(inverseG,IN$12:IN$62),$A59+1,1),MAX(strike-$B59,0)),"")</f>
        <v/>
      </c>
      <c r="IP59" s="9" t="str">
        <f t="array" ref="IP59">IF(IP$11&gt;=0,MAX(INDEX(MMULT(inverseG,IO$12:IO$62),$A59+1,1),MAX(strike-$B59,0)),"")</f>
        <v/>
      </c>
      <c r="IQ59" s="9" t="str">
        <f t="array" ref="IQ59">IF(IQ$11&gt;=0,MAX(INDEX(MMULT(inverseG,IP$12:IP$62),$A59+1,1),MAX(strike-$B59,0)),"")</f>
        <v/>
      </c>
      <c r="IR59" s="9" t="str">
        <f t="array" ref="IR59">IF(IR$11&gt;=0,MAX(INDEX(MMULT(inverseG,IQ$12:IQ$62),$A59+1,1),MAX(strike-$B59,0)),"")</f>
        <v/>
      </c>
      <c r="IS59" s="9" t="str">
        <f t="array" ref="IS59">IF(IS$11&gt;=0,MAX(INDEX(MMULT(inverseG,IR$12:IR$62),$A59+1,1),MAX(strike-$B59,0)),"")</f>
        <v/>
      </c>
      <c r="IT59" s="9" t="str">
        <f t="array" ref="IT59">IF(IT$11&gt;=0,MAX(INDEX(MMULT(inverseG,IS$12:IS$62),$A59+1,1),MAX(strike-$B59,0)),"")</f>
        <v/>
      </c>
      <c r="IU59" s="9" t="str">
        <f t="array" ref="IU59">IF(IU$11&gt;=0,MAX(INDEX(MMULT(inverseG,IT$12:IT$62),$A59+1,1),MAX(strike-$B59,0)),"")</f>
        <v/>
      </c>
      <c r="IV59" s="9" t="str">
        <f t="array" ref="IV59">IF(IV$11&gt;=0,MAX(INDEX(MMULT(inverseG,IU$12:IU$62),$A59+1,1),MAX(strike-$B59,0)),"")</f>
        <v/>
      </c>
    </row>
    <row r="60" spans="1:256" x14ac:dyDescent="0.2">
      <c r="A60" s="8">
        <f t="shared" si="7"/>
        <v>48</v>
      </c>
      <c r="B60" s="6">
        <f t="shared" si="8"/>
        <v>12</v>
      </c>
      <c r="C60" s="30">
        <f t="shared" ca="1" si="6"/>
        <v>9.7703383416372115E-3</v>
      </c>
      <c r="D60" s="9">
        <f t="shared" si="9"/>
        <v>0</v>
      </c>
      <c r="E60" s="9">
        <f t="array" ref="E60">IF(E$11&gt;=0,MAX(INDEX(MMULT(inverseG,D$12:D$62),$A60+1,1),MAX(strike-$B60,0)),"")</f>
        <v>2.4425936472177829E-11</v>
      </c>
      <c r="F60" s="9">
        <f t="array" ref="F60">IF(F$11&gt;=0,MAX(INDEX(MMULT(inverseG,E$12:E$62),$A60+1,1),MAX(strike-$B60,0)),"")</f>
        <v>2.8284869074764422E-10</v>
      </c>
      <c r="G60" s="9">
        <f t="array" ref="G60">IF(G$11&gt;=0,MAX(INDEX(MMULT(inverseG,F$12:F$62),$A60+1,1),MAX(strike-$B60,0)),"")</f>
        <v>1.7240263782636762E-9</v>
      </c>
      <c r="H60" s="9">
        <f t="array" ref="H60">IF(H$11&gt;=0,MAX(INDEX(MMULT(inverseG,G$12:G$62),$A60+1,1),MAX(strike-$B60,0)),"")</f>
        <v>7.3655147043354293E-9</v>
      </c>
      <c r="I60" s="9">
        <f t="array" ref="I60">IF(I$11&gt;=0,MAX(INDEX(MMULT(inverseG,H$12:H$62),$A60+1,1),MAX(strike-$B60,0)),"")</f>
        <v>2.4782608329167811E-8</v>
      </c>
      <c r="J60" s="9">
        <f t="array" ref="J60">IF(J$11&gt;=0,MAX(INDEX(MMULT(inverseG,I$12:I$62),$A60+1,1),MAX(strike-$B60,0)),"")</f>
        <v>6.9965505298293158E-8</v>
      </c>
      <c r="K60" s="9">
        <f t="array" ref="K60">IF(K$11&gt;=0,MAX(INDEX(MMULT(inverseG,J$12:J$62),$A60+1,1),MAX(strike-$B60,0)),"")</f>
        <v>1.7243987491272167E-7</v>
      </c>
      <c r="L60" s="9">
        <f t="array" ref="L60">IF(L$11&gt;=0,MAX(INDEX(MMULT(inverseG,K$12:K$62),$A60+1,1),MAX(strike-$B60,0)),"")</f>
        <v>3.8119897844323317E-7</v>
      </c>
      <c r="M60" s="9">
        <f t="array" ref="M60">IF(M$11&gt;=0,MAX(INDEX(MMULT(inverseG,L$12:L$62),$A60+1,1),MAX(strike-$B60,0)),"")</f>
        <v>7.7073169054683797E-7</v>
      </c>
      <c r="N60" s="9">
        <f t="array" ref="N60">IF(N$11&gt;=0,MAX(INDEX(MMULT(inverseG,M$12:M$62),$A60+1,1),MAX(strike-$B60,0)),"")</f>
        <v>1.4463268338437535E-6</v>
      </c>
      <c r="O60" s="9">
        <f t="array" ref="O60">IF(O$11&gt;=0,MAX(INDEX(MMULT(inverseG,N$12:N$62),$A60+1,1),MAX(strike-$B60,0)),"")</f>
        <v>2.5479056446953784E-6</v>
      </c>
      <c r="P60" s="9">
        <f t="array" ref="P60">IF(P$11&gt;=0,MAX(INDEX(MMULT(inverseG,O$12:O$62),$A60+1,1),MAX(strike-$B60,0)),"")</f>
        <v>4.2518437518414075E-6</v>
      </c>
      <c r="Q60" s="9">
        <f t="array" ref="Q60">IF(Q$11&gt;=0,MAX(INDEX(MMULT(inverseG,P$12:P$62),$A60+1,1),MAX(strike-$B60,0)),"")</f>
        <v>6.7705265511823087E-6</v>
      </c>
      <c r="R60" s="9">
        <f t="array" ref="R60">IF(R$11&gt;=0,MAX(INDEX(MMULT(inverseG,Q$12:Q$62),$A60+1,1),MAX(strike-$B60,0)),"")</f>
        <v>1.0349669842278521E-5</v>
      </c>
      <c r="S60" s="9">
        <f t="array" ref="S60">IF(S$11&gt;=0,MAX(INDEX(MMULT(inverseG,R$12:R$62),$A60+1,1),MAX(strike-$B60,0)),"")</f>
        <v>1.526367913823553E-5</v>
      </c>
      <c r="T60" s="9">
        <f t="array" ref="T60">IF(T$11&gt;=0,MAX(INDEX(MMULT(inverseG,S$12:S$62),$A60+1,1),MAX(strike-$B60,0)),"")</f>
        <v>2.1809487114038898E-5</v>
      </c>
      <c r="U60" s="9">
        <f t="array" ref="U60">IF(U$11&gt;=0,MAX(INDEX(MMULT(inverseG,T$12:T$62),$A60+1,1),MAX(strike-$B60,0)),"")</f>
        <v>3.0299391945647967E-5</v>
      </c>
      <c r="V60" s="9">
        <f t="array" ref="V60">IF(V$11&gt;=0,MAX(INDEX(MMULT(inverseG,U$12:U$62),$A60+1,1),MAX(strike-$B60,0)),"")</f>
        <v>4.1053428562081928E-5</v>
      </c>
      <c r="W60" s="9">
        <f t="array" ref="W60">IF(W$11&gt;=0,MAX(INDEX(MMULT(inverseG,V$12:V$62),$A60+1,1),MAX(strike-$B60,0)),"")</f>
        <v>5.4391757792626787E-5</v>
      </c>
      <c r="X60" s="9">
        <f t="array" ref="X60">IF(X$11&gt;=0,MAX(INDEX(MMULT(inverseG,W$12:W$62),$A60+1,1),MAX(strike-$B60,0)),"")</f>
        <v>7.0627475534519666E-5</v>
      </c>
      <c r="Y60" s="9">
        <f t="array" ref="Y60">IF(Y$11&gt;=0,MAX(INDEX(MMULT(inverseG,X$12:X$62),$A60+1,1),MAX(strike-$B60,0)),"")</f>
        <v>9.0060144362606886E-5</v>
      </c>
      <c r="Z60" s="9">
        <f t="array" ref="Z60">IF(Z$11&gt;=0,MAX(INDEX(MMULT(inverseG,Y$12:Y$62),$A60+1,1),MAX(strike-$B60,0)),"")</f>
        <v>1.1297024854221515E-4</v>
      </c>
      <c r="AA60" s="9">
        <f t="array" ref="AA60">IF(AA$11&gt;=0,MAX(INDEX(MMULT(inverseG,Z$12:Z$62),$A60+1,1),MAX(strike-$B60,0)),"")</f>
        <v>1.3961468062344412E-4</v>
      </c>
      <c r="AB60" s="9">
        <f t="array" ref="AB60">IF(AB$11&gt;=0,MAX(INDEX(MMULT(inverseG,AA$12:AA$62),$A60+1,1),MAX(strike-$B60,0)),"")</f>
        <v>1.702232897345968E-4</v>
      </c>
      <c r="AC60" s="9">
        <f t="array" ref="AC60">IF(AC$11&gt;=0,MAX(INDEX(MMULT(inverseG,AB$12:AB$62),$A60+1,1),MAX(strike-$B60,0)),"")</f>
        <v>2.0499646083473546E-4</v>
      </c>
      <c r="AD60" s="9">
        <f t="array" ref="AD60">IF(AD$11&gt;=0,MAX(INDEX(MMULT(inverseG,AC$12:AC$62),$A60+1,1),MAX(strike-$B60,0)),"")</f>
        <v>2.4410365045168407E-4</v>
      </c>
      <c r="AE60" s="9">
        <f t="array" ref="AE60">IF(AE$11&gt;=0,MAX(INDEX(MMULT(inverseG,AD$12:AD$62),$A60+1,1),MAX(strike-$B60,0)),"")</f>
        <v>2.8768277613779714E-4</v>
      </c>
      <c r="AF60" s="9">
        <f t="array" ref="AF60">IF(AF$11&gt;=0,MAX(INDEX(MMULT(inverseG,AE$12:AE$62),$A60+1,1),MAX(strike-$B60,0)),"")</f>
        <v>3.358403415111623E-4</v>
      </c>
      <c r="AG60" s="9">
        <f t="array" ref="AG60">IF(AG$11&gt;=0,MAX(INDEX(MMULT(inverseG,AF$12:AF$62),$A60+1,1),MAX(strike-$B60,0)),"")</f>
        <v>3.8865217354668469E-4</v>
      </c>
      <c r="AH60" s="9">
        <f t="array" ref="AH60">IF(AH$11&gt;=0,MAX(INDEX(MMULT(inverseG,AG$12:AG$62),$A60+1,1),MAX(strike-$B60,0)),"")</f>
        <v>4.4616465108335496E-4</v>
      </c>
      <c r="AI60" s="9">
        <f t="array" ref="AI60">IF(AI$11&gt;=0,MAX(INDEX(MMULT(inverseG,AH$12:AH$62),$A60+1,1),MAX(strike-$B60,0)),"")</f>
        <v>5.0839631098310964E-4</v>
      </c>
      <c r="AJ60" s="9">
        <f t="array" ref="AJ60">IF(AJ$11&gt;=0,MAX(INDEX(MMULT(inverseG,AI$12:AI$62),$A60+1,1),MAX(strike-$B60,0)),"")</f>
        <v>5.7533972908237175E-4</v>
      </c>
      <c r="AK60" s="9">
        <f t="array" ref="AK60">IF(AK$11&gt;=0,MAX(INDEX(MMULT(inverseG,AJ$12:AJ$62),$A60+1,1),MAX(strike-$B60,0)),"")</f>
        <v>6.4696358550710414E-4</v>
      </c>
      <c r="AL60" s="9">
        <f t="array" ref="AL60">IF(AL$11&gt;=0,MAX(INDEX(MMULT(inverseG,AK$12:AK$62),$A60+1,1),MAX(strike-$B60,0)),"")</f>
        <v>7.2321483694750817E-4</v>
      </c>
      <c r="AM60" s="9">
        <f t="array" ref="AM60">IF(AM$11&gt;=0,MAX(INDEX(MMULT(inverseG,AL$12:AL$62),$A60+1,1),MAX(strike-$B60,0)),"")</f>
        <v>8.0402093130924979E-4</v>
      </c>
      <c r="AN60" s="9">
        <f t="array" ref="AN60">IF(AN$11&gt;=0,MAX(INDEX(MMULT(inverseG,AM$12:AM$62),$A60+1,1),MAX(strike-$B60,0)),"")</f>
        <v>8.8929201224061637E-4</v>
      </c>
      <c r="AO60" s="9">
        <f t="array" ref="AO60">IF(AO$11&gt;=0,MAX(INDEX(MMULT(inverseG,AN$12:AN$62),$A60+1,1),MAX(strike-$B60,0)),"")</f>
        <v>9.7892307205306125E-4</v>
      </c>
      <c r="AP60" s="9">
        <f t="array" ref="AP60">IF(AP$11&gt;=0,MAX(INDEX(MMULT(inverseG,AO$12:AO$62),$A60+1,1),MAX(strike-$B60,0)),"")</f>
        <v>1.0727960213357049E-3</v>
      </c>
      <c r="AQ60" s="9">
        <f t="array" ref="AQ60">IF(AQ$11&gt;=0,MAX(INDEX(MMULT(inverseG,AP$12:AP$62),$A60+1,1),MAX(strike-$B60,0)),"")</f>
        <v>1.1707816520551463E-3</v>
      </c>
      <c r="AR60" s="9">
        <f t="array" ref="AR60">IF(AR$11&gt;=0,MAX(INDEX(MMULT(inverseG,AQ$12:AQ$62),$A60+1,1),MAX(strike-$B60,0)),"")</f>
        <v>1.2727414781519115E-3</v>
      </c>
      <c r="AS60" s="9">
        <f t="array" ref="AS60">IF(AS$11&gt;=0,MAX(INDEX(MMULT(inverseG,AR$12:AR$62),$A60+1,1),MAX(strike-$B60,0)),"")</f>
        <v>1.3785294436672218E-3</v>
      </c>
      <c r="AT60" s="9">
        <f t="array" ref="AT60">IF(AT$11&gt;=0,MAX(INDEX(MMULT(inverseG,AS$12:AS$62),$A60+1,1),MAX(strike-$B60,0)),"")</f>
        <v>1.4879934933620719E-3</v>
      </c>
      <c r="AU60" s="9">
        <f t="array" ref="AU60">IF(AU$11&gt;=0,MAX(INDEX(MMULT(inverseG,AT$12:AT$62),$A60+1,1),MAX(strike-$B60,0)),"")</f>
        <v>1.6009770047424321E-3</v>
      </c>
      <c r="AV60" s="9">
        <f t="array" ref="AV60">IF(AV$11&gt;=0,MAX(INDEX(MMULT(inverseG,AU$12:AU$62),$A60+1,1),MAX(strike-$B60,0)),"")</f>
        <v>1.7173200834996354E-3</v>
      </c>
      <c r="AW60" s="9">
        <f t="array" ref="AW60">IF(AW$11&gt;=0,MAX(INDEX(MMULT(inverseG,AV$12:AV$62),$A60+1,1),MAX(strike-$B60,0)),"")</f>
        <v>1.8368607267287506E-3</v>
      </c>
      <c r="AX60" s="9">
        <f t="array" ref="AX60">IF(AX$11&gt;=0,MAX(INDEX(MMULT(inverseG,AW$12:AW$62),$A60+1,1),MAX(strike-$B60,0)),"")</f>
        <v>1.9594358600065575E-3</v>
      </c>
      <c r="AY60" s="9">
        <f t="array" ref="AY60">IF(AY$11&gt;=0,MAX(INDEX(MMULT(inverseG,AX$12:AX$62),$A60+1,1),MAX(strike-$B60,0)),"")</f>
        <v>2.0848822555920932E-3</v>
      </c>
      <c r="AZ60" s="9">
        <f t="array" ref="AZ60">IF(AZ$11&gt;=0,MAX(INDEX(MMULT(inverseG,AY$12:AY$62),$A60+1,1),MAX(strike-$B60,0)),"")</f>
        <v>2.2130373397453006E-3</v>
      </c>
      <c r="BA60" s="9">
        <f t="array" ref="BA60">IF(BA$11&gt;=0,MAX(INDEX(MMULT(inverseG,AZ$12:AZ$62),$A60+1,1),MAX(strike-$B60,0)),"")</f>
        <v>2.3437398975243761E-3</v>
      </c>
      <c r="BB60" s="9">
        <f t="array" ref="BB60">IF(BB$11&gt;=0,MAX(INDEX(MMULT(inverseG,BA$12:BA$62),$A60+1,1),MAX(strike-$B60,0)),"")</f>
        <v>2.4768306834942471E-3</v>
      </c>
      <c r="BC60" s="9">
        <f t="array" ref="BC60">IF(BC$11&gt;=0,MAX(INDEX(MMULT(inverseG,BB$12:BB$62),$A60+1,1),MAX(strike-$B60,0)),"")</f>
        <v>2.6121529466248852E-3</v>
      </c>
      <c r="BD60" s="9">
        <f t="array" ref="BD60">IF(BD$11&gt;=0,MAX(INDEX(MMULT(inverseG,BC$12:BC$62),$A60+1,1),MAX(strike-$B60,0)),"")</f>
        <v>2.7495528773394365E-3</v>
      </c>
      <c r="BE60" s="9">
        <f t="array" ref="BE60">IF(BE$11&gt;=0,MAX(INDEX(MMULT(inverseG,BD$12:BD$62),$A60+1,1),MAX(strike-$B60,0)),"")</f>
        <v>2.8888799842412627E-3</v>
      </c>
      <c r="BF60" s="9">
        <f t="array" ref="BF60">IF(BF$11&gt;=0,MAX(INDEX(MMULT(inverseG,BE$12:BE$62),$A60+1,1),MAX(strike-$B60,0)),"")</f>
        <v>3.0299874075505042E-3</v>
      </c>
      <c r="BG60" s="9">
        <f t="array" ref="BG60">IF(BG$11&gt;=0,MAX(INDEX(MMULT(inverseG,BF$12:BF$62),$A60+1,1),MAX(strike-$B60,0)),"")</f>
        <v>3.1727321757507587E-3</v>
      </c>
      <c r="BH60" s="9">
        <f t="array" ref="BH60">IF(BH$11&gt;=0,MAX(INDEX(MMULT(inverseG,BG$12:BG$62),$A60+1,1),MAX(strike-$B60,0)),"")</f>
        <v>3.3169754114125284E-3</v>
      </c>
      <c r="BI60" s="9">
        <f t="array" ref="BI60">IF(BI$11&gt;=0,MAX(INDEX(MMULT(inverseG,BH$12:BH$62),$A60+1,1),MAX(strike-$B60,0)),"")</f>
        <v>3.4625824916420973E-3</v>
      </c>
      <c r="BJ60" s="9">
        <f t="array" ref="BJ60">IF(BJ$11&gt;=0,MAX(INDEX(MMULT(inverseG,BI$12:BI$62),$A60+1,1),MAX(strike-$B60,0)),"")</f>
        <v>3.6094231681155077E-3</v>
      </c>
      <c r="BK60" s="9">
        <f t="array" ref="BK60">IF(BK$11&gt;=0,MAX(INDEX(MMULT(inverseG,BJ$12:BJ$62),$A60+1,1),MAX(strike-$B60,0)),"")</f>
        <v>3.7573716512046421E-3</v>
      </c>
      <c r="BL60" s="9">
        <f t="array" ref="BL60">IF(BL$11&gt;=0,MAX(INDEX(MMULT(inverseG,BK$12:BK$62),$A60+1,1),MAX(strike-$B60,0)),"")</f>
        <v>3.9063066622890934E-3</v>
      </c>
      <c r="BM60" s="9">
        <f t="array" ref="BM60">IF(BM$11&gt;=0,MAX(INDEX(MMULT(inverseG,BL$12:BL$62),$A60+1,1),MAX(strike-$B60,0)),"")</f>
        <v>4.0561114579732768E-3</v>
      </c>
      <c r="BN60" s="9">
        <f t="array" ref="BN60">IF(BN$11&gt;=0,MAX(INDEX(MMULT(inverseG,BM$12:BM$62),$A60+1,1),MAX(strike-$B60,0)),"")</f>
        <v>4.2066738295907981E-3</v>
      </c>
      <c r="BO60" s="9">
        <f t="array" ref="BO60">IF(BO$11&gt;=0,MAX(INDEX(MMULT(inverseG,BN$12:BN$62),$A60+1,1),MAX(strike-$B60,0)),"")</f>
        <v>4.3578860810739549E-3</v>
      </c>
      <c r="BP60" s="9">
        <f t="array" ref="BP60">IF(BP$11&gt;=0,MAX(INDEX(MMULT(inverseG,BO$12:BO$62),$A60+1,1),MAX(strike-$B60,0)),"")</f>
        <v>4.50964498799132E-3</v>
      </c>
      <c r="BQ60" s="9">
        <f t="array" ref="BQ60">IF(BQ$11&gt;=0,MAX(INDEX(MMULT(inverseG,BP$12:BP$62),$A60+1,1),MAX(strike-$B60,0)),"")</f>
        <v>4.6618517403067923E-3</v>
      </c>
      <c r="BR60" s="9">
        <f t="array" ref="BR60">IF(BR$11&gt;=0,MAX(INDEX(MMULT(inverseG,BQ$12:BQ$62),$A60+1,1),MAX(strike-$B60,0)),"")</f>
        <v>4.8144118711853636E-3</v>
      </c>
      <c r="BS60" s="9">
        <f t="array" ref="BS60">IF(BS$11&gt;=0,MAX(INDEX(MMULT(inverseG,BR$12:BR$62),$A60+1,1),MAX(strike-$B60,0)),"")</f>
        <v>4.9672351739612113E-3</v>
      </c>
      <c r="BT60" s="9">
        <f t="array" ref="BT60">IF(BT$11&gt;=0,MAX(INDEX(MMULT(inverseG,BS$12:BS$62),$A60+1,1),MAX(strike-$B60,0)),"")</f>
        <v>5.1202356091897532E-3</v>
      </c>
      <c r="BU60" s="9">
        <f t="array" ref="BU60">IF(BU$11&gt;=0,MAX(INDEX(MMULT(inverseG,BT$12:BT$62),$A60+1,1),MAX(strike-$B60,0)),"")</f>
        <v>5.2733312035250397E-3</v>
      </c>
      <c r="BV60" s="9">
        <f t="array" ref="BV60">IF(BV$11&gt;=0,MAX(INDEX(MMULT(inverseG,BU$12:BU$62),$A60+1,1),MAX(strike-$B60,0)),"")</f>
        <v>5.4264439419957448E-3</v>
      </c>
      <c r="BW60" s="9">
        <f t="array" ref="BW60">IF(BW$11&gt;=0,MAX(INDEX(MMULT(inverseG,BV$12:BV$62),$A60+1,1),MAX(strike-$B60,0)),"")</f>
        <v>5.5794996550958343E-3</v>
      </c>
      <c r="BX60" s="9">
        <f t="array" ref="BX60">IF(BX$11&gt;=0,MAX(INDEX(MMULT(inverseG,BW$12:BW$62),$A60+1,1),MAX(strike-$B60,0)),"")</f>
        <v>5.7324279019591046E-3</v>
      </c>
      <c r="BY60" s="9">
        <f t="array" ref="BY60">IF(BY$11&gt;=0,MAX(INDEX(MMULT(inverseG,BX$12:BX$62),$A60+1,1),MAX(strike-$B60,0)),"")</f>
        <v>5.8851618507494196E-3</v>
      </c>
      <c r="BZ60" s="9">
        <f t="array" ref="BZ60">IF(BZ$11&gt;=0,MAX(INDEX(MMULT(inverseG,BY$12:BY$62),$A60+1,1),MAX(strike-$B60,0)),"")</f>
        <v>6.0376381572705175E-3</v>
      </c>
      <c r="CA60" s="9">
        <f t="array" ref="CA60">IF(CA$11&gt;=0,MAX(INDEX(MMULT(inverseG,BZ$12:BZ$62),$A60+1,1),MAX(strike-$B60,0)),"")</f>
        <v>6.1897968426801566E-3</v>
      </c>
      <c r="CB60" s="9">
        <f t="array" ref="CB60">IF(CB$11&gt;=0,MAX(INDEX(MMULT(inverseG,CA$12:CA$62),$A60+1,1),MAX(strike-$B60,0)),"")</f>
        <v>6.341581171083098E-3</v>
      </c>
      <c r="CC60" s="9">
        <f t="array" ref="CC60">IF(CC$11&gt;=0,MAX(INDEX(MMULT(inverseG,CB$12:CB$62),$A60+1,1),MAX(strike-$B60,0)),"")</f>
        <v>6.4929375276756938E-3</v>
      </c>
      <c r="CD60" s="9">
        <f t="array" ref="CD60">IF(CD$11&gt;=0,MAX(INDEX(MMULT(inverseG,CC$12:CC$62),$A60+1,1),MAX(strike-$B60,0)),"")</f>
        <v>6.6438152980213992E-3</v>
      </c>
      <c r="CE60" s="9">
        <f t="array" ref="CE60">IF(CE$11&gt;=0,MAX(INDEX(MMULT(inverseG,CD$12:CD$62),$A60+1,1),MAX(strike-$B60,0)),"")</f>
        <v>6.7941667489511528E-3</v>
      </c>
      <c r="CF60" s="9">
        <f t="array" ref="CF60">IF(CF$11&gt;=0,MAX(INDEX(MMULT(inverseG,CE$12:CE$62),$A60+1,1),MAX(strike-$B60,0)),"")</f>
        <v>6.9439469115049951E-3</v>
      </c>
      <c r="CG60" s="9">
        <f t="array" ref="CG60">IF(CG$11&gt;=0,MAX(INDEX(MMULT(inverseG,CF$12:CF$62),$A60+1,1),MAX(strike-$B60,0)),"")</f>
        <v>7.0931134662610903E-3</v>
      </c>
      <c r="CH60" s="9">
        <f t="array" ref="CH60">IF(CH$11&gt;=0,MAX(INDEX(MMULT(inverseG,CG$12:CG$62),$A60+1,1),MAX(strike-$B60,0)),"")</f>
        <v>7.2416266313352576E-3</v>
      </c>
      <c r="CI60" s="9">
        <f t="array" ref="CI60">IF(CI$11&gt;=0,MAX(INDEX(MMULT(inverseG,CH$12:CH$62),$A60+1,1),MAX(strike-$B60,0)),"")</f>
        <v>7.3894490532777158E-3</v>
      </c>
      <c r="CJ60" s="9">
        <f t="array" ref="CJ60">IF(CJ$11&gt;=0,MAX(INDEX(MMULT(inverseG,CI$12:CI$62),$A60+1,1),MAX(strike-$B60,0)),"")</f>
        <v>7.536545701043609E-3</v>
      </c>
      <c r="CK60" s="9">
        <f t="array" ref="CK60">IF(CK$11&gt;=0,MAX(INDEX(MMULT(inverseG,CJ$12:CJ$62),$A60+1,1),MAX(strike-$B60,0)),"")</f>
        <v>7.6828837631695845E-3</v>
      </c>
      <c r="CL60" s="9">
        <f t="array" ref="CL60">IF(CL$11&gt;=0,MAX(INDEX(MMULT(inverseG,CK$12:CK$62),$A60+1,1),MAX(strike-$B60,0)),"")</f>
        <v>7.8284325482498758E-3</v>
      </c>
      <c r="CM60" s="9">
        <f t="array" ref="CM60">IF(CM$11&gt;=0,MAX(INDEX(MMULT(inverseG,CL$12:CL$62),$A60+1,1),MAX(strike-$B60,0)),"")</f>
        <v>7.9731633887713486E-3</v>
      </c>
      <c r="CN60" s="9">
        <f t="array" ref="CN60">IF(CN$11&gt;=0,MAX(INDEX(MMULT(inverseG,CM$12:CM$62),$A60+1,1),MAX(strike-$B60,0)),"")</f>
        <v>8.1170495483377444E-3</v>
      </c>
      <c r="CO60" s="9">
        <f t="array" ref="CO60">IF(CO$11&gt;=0,MAX(INDEX(MMULT(inverseG,CN$12:CN$62),$A60+1,1),MAX(strike-$B60,0)),"")</f>
        <v>8.2600661322880381E-3</v>
      </c>
      <c r="CP60" s="9">
        <f t="array" ref="CP60">IF(CP$11&gt;=0,MAX(INDEX(MMULT(inverseG,CO$12:CO$62),$A60+1,1),MAX(strike-$B60,0)),"")</f>
        <v>8.4021900016923879E-3</v>
      </c>
      <c r="CQ60" s="9">
        <f t="array" ref="CQ60">IF(CQ$11&gt;=0,MAX(INDEX(MMULT(inverseG,CP$12:CP$62),$A60+1,1),MAX(strike-$B60,0)),"")</f>
        <v>8.5433996906910861E-3</v>
      </c>
      <c r="CR60" s="9">
        <f t="array" ref="CR60">IF(CR$11&gt;=0,MAX(INDEX(MMULT(inverseG,CQ$12:CQ$62),$A60+1,1),MAX(strike-$B60,0)),"")</f>
        <v>8.6836753271267077E-3</v>
      </c>
      <c r="CS60" s="9">
        <f t="array" ref="CS60">IF(CS$11&gt;=0,MAX(INDEX(MMULT(inverseG,CR$12:CR$62),$A60+1,1),MAX(strike-$B60,0)),"")</f>
        <v>8.822998556407273E-3</v>
      </c>
      <c r="CT60" s="9">
        <f t="array" ref="CT60">IF(CT$11&gt;=0,MAX(INDEX(MMULT(inverseG,CS$12:CS$62),$A60+1,1),MAX(strike-$B60,0)),"")</f>
        <v>8.9613524685281526E-3</v>
      </c>
      <c r="CU60" s="9">
        <f t="array" ref="CU60">IF(CU$11&gt;=0,MAX(INDEX(MMULT(inverseG,CT$12:CT$62),$A60+1,1),MAX(strike-$B60,0)),"")</f>
        <v>9.0987215281725323E-3</v>
      </c>
      <c r="CV60" s="9">
        <f t="array" ref="CV60">IF(CV$11&gt;=0,MAX(INDEX(MMULT(inverseG,CU$12:CU$62),$A60+1,1),MAX(strike-$B60,0)),"")</f>
        <v>9.2350915078045319E-3</v>
      </c>
      <c r="CW60" s="9">
        <f t="array" ref="CW60">IF(CW$11&gt;=0,MAX(INDEX(MMULT(inverseG,CV$12:CV$62),$A60+1,1),MAX(strike-$B60,0)),"")</f>
        <v>9.3704494236653748E-3</v>
      </c>
      <c r="CX60" s="9">
        <f t="array" ref="CX60">IF(CX$11&gt;=0,MAX(INDEX(MMULT(inverseG,CW$12:CW$62),$A60+1,1),MAX(strike-$B60,0)),"")</f>
        <v>9.5047834745817655E-3</v>
      </c>
      <c r="CY60" s="9">
        <f t="array" ref="CY60">IF(CY$11&gt;=0,MAX(INDEX(MMULT(inverseG,CX$12:CX$62),$A60+1,1),MAX(strike-$B60,0)),"")</f>
        <v>9.6380829834967988E-3</v>
      </c>
      <c r="CZ60" s="9">
        <f t="array" ref="CZ60">IF(CZ$11&gt;=0,MAX(INDEX(MMULT(inverseG,CY$12:CY$62),$A60+1,1),MAX(strike-$B60,0)),"")</f>
        <v>9.7703383416372115E-3</v>
      </c>
      <c r="DA60" s="9" t="str">
        <f t="array" ref="DA60">IF(DA$11&gt;=0,MAX(INDEX(MMULT(inverseG,CZ$12:CZ$62),$A60+1,1),MAX(strike-$B60,0)),"")</f>
        <v/>
      </c>
      <c r="DB60" s="9" t="str">
        <f t="array" ref="DB60">IF(DB$11&gt;=0,MAX(INDEX(MMULT(inverseG,DA$12:DA$62),$A60+1,1),MAX(strike-$B60,0)),"")</f>
        <v/>
      </c>
      <c r="DC60" s="9" t="str">
        <f t="array" ref="DC60">IF(DC$11&gt;=0,MAX(INDEX(MMULT(inverseG,DB$12:DB$62),$A60+1,1),MAX(strike-$B60,0)),"")</f>
        <v/>
      </c>
      <c r="DD60" s="9" t="str">
        <f t="array" ref="DD60">IF(DD$11&gt;=0,MAX(INDEX(MMULT(inverseG,DC$12:DC$62),$A60+1,1),MAX(strike-$B60,0)),"")</f>
        <v/>
      </c>
      <c r="DE60" s="9" t="str">
        <f t="array" ref="DE60">IF(DE$11&gt;=0,MAX(INDEX(MMULT(inverseG,DD$12:DD$62),$A60+1,1),MAX(strike-$B60,0)),"")</f>
        <v/>
      </c>
      <c r="DF60" s="9" t="str">
        <f t="array" ref="DF60">IF(DF$11&gt;=0,MAX(INDEX(MMULT(inverseG,DE$12:DE$62),$A60+1,1),MAX(strike-$B60,0)),"")</f>
        <v/>
      </c>
      <c r="DG60" s="9" t="str">
        <f t="array" ref="DG60">IF(DG$11&gt;=0,MAX(INDEX(MMULT(inverseG,DF$12:DF$62),$A60+1,1),MAX(strike-$B60,0)),"")</f>
        <v/>
      </c>
      <c r="DH60" s="9" t="str">
        <f t="array" ref="DH60">IF(DH$11&gt;=0,MAX(INDEX(MMULT(inverseG,DG$12:DG$62),$A60+1,1),MAX(strike-$B60,0)),"")</f>
        <v/>
      </c>
      <c r="DI60" s="9" t="str">
        <f t="array" ref="DI60">IF(DI$11&gt;=0,MAX(INDEX(MMULT(inverseG,DH$12:DH$62),$A60+1,1),MAX(strike-$B60,0)),"")</f>
        <v/>
      </c>
      <c r="DJ60" s="9" t="str">
        <f t="array" ref="DJ60">IF(DJ$11&gt;=0,MAX(INDEX(MMULT(inverseG,DI$12:DI$62),$A60+1,1),MAX(strike-$B60,0)),"")</f>
        <v/>
      </c>
      <c r="DK60" s="9" t="str">
        <f t="array" ref="DK60">IF(DK$11&gt;=0,MAX(INDEX(MMULT(inverseG,DJ$12:DJ$62),$A60+1,1),MAX(strike-$B60,0)),"")</f>
        <v/>
      </c>
      <c r="DL60" s="9" t="str">
        <f t="array" ref="DL60">IF(DL$11&gt;=0,MAX(INDEX(MMULT(inverseG,DK$12:DK$62),$A60+1,1),MAX(strike-$B60,0)),"")</f>
        <v/>
      </c>
      <c r="DM60" s="9" t="str">
        <f t="array" ref="DM60">IF(DM$11&gt;=0,MAX(INDEX(MMULT(inverseG,DL$12:DL$62),$A60+1,1),MAX(strike-$B60,0)),"")</f>
        <v/>
      </c>
      <c r="DN60" s="9" t="str">
        <f t="array" ref="DN60">IF(DN$11&gt;=0,MAX(INDEX(MMULT(inverseG,DM$12:DM$62),$A60+1,1),MAX(strike-$B60,0)),"")</f>
        <v/>
      </c>
      <c r="DO60" s="9" t="str">
        <f t="array" ref="DO60">IF(DO$11&gt;=0,MAX(INDEX(MMULT(inverseG,DN$12:DN$62),$A60+1,1),MAX(strike-$B60,0)),"")</f>
        <v/>
      </c>
      <c r="DP60" s="9" t="str">
        <f t="array" ref="DP60">IF(DP$11&gt;=0,MAX(INDEX(MMULT(inverseG,DO$12:DO$62),$A60+1,1),MAX(strike-$B60,0)),"")</f>
        <v/>
      </c>
      <c r="DQ60" s="9" t="str">
        <f t="array" ref="DQ60">IF(DQ$11&gt;=0,MAX(INDEX(MMULT(inverseG,DP$12:DP$62),$A60+1,1),MAX(strike-$B60,0)),"")</f>
        <v/>
      </c>
      <c r="DR60" s="9" t="str">
        <f t="array" ref="DR60">IF(DR$11&gt;=0,MAX(INDEX(MMULT(inverseG,DQ$12:DQ$62),$A60+1,1),MAX(strike-$B60,0)),"")</f>
        <v/>
      </c>
      <c r="DS60" s="9" t="str">
        <f t="array" ref="DS60">IF(DS$11&gt;=0,MAX(INDEX(MMULT(inverseG,DR$12:DR$62),$A60+1,1),MAX(strike-$B60,0)),"")</f>
        <v/>
      </c>
      <c r="DT60" s="9" t="str">
        <f t="array" ref="DT60">IF(DT$11&gt;=0,MAX(INDEX(MMULT(inverseG,DS$12:DS$62),$A60+1,1),MAX(strike-$B60,0)),"")</f>
        <v/>
      </c>
      <c r="DU60" s="9" t="str">
        <f t="array" ref="DU60">IF(DU$11&gt;=0,MAX(INDEX(MMULT(inverseG,DT$12:DT$62),$A60+1,1),MAX(strike-$B60,0)),"")</f>
        <v/>
      </c>
      <c r="DV60" s="9" t="str">
        <f t="array" ref="DV60">IF(DV$11&gt;=0,MAX(INDEX(MMULT(inverseG,DU$12:DU$62),$A60+1,1),MAX(strike-$B60,0)),"")</f>
        <v/>
      </c>
      <c r="DW60" s="9" t="str">
        <f t="array" ref="DW60">IF(DW$11&gt;=0,MAX(INDEX(MMULT(inverseG,DV$12:DV$62),$A60+1,1),MAX(strike-$B60,0)),"")</f>
        <v/>
      </c>
      <c r="DX60" s="9" t="str">
        <f t="array" ref="DX60">IF(DX$11&gt;=0,MAX(INDEX(MMULT(inverseG,DW$12:DW$62),$A60+1,1),MAX(strike-$B60,0)),"")</f>
        <v/>
      </c>
      <c r="DY60" s="9" t="str">
        <f t="array" ref="DY60">IF(DY$11&gt;=0,MAX(INDEX(MMULT(inverseG,DX$12:DX$62),$A60+1,1),MAX(strike-$B60,0)),"")</f>
        <v/>
      </c>
      <c r="DZ60" s="9" t="str">
        <f t="array" ref="DZ60">IF(DZ$11&gt;=0,MAX(INDEX(MMULT(inverseG,DY$12:DY$62),$A60+1,1),MAX(strike-$B60,0)),"")</f>
        <v/>
      </c>
      <c r="EA60" s="9" t="str">
        <f t="array" ref="EA60">IF(EA$11&gt;=0,MAX(INDEX(MMULT(inverseG,DZ$12:DZ$62),$A60+1,1),MAX(strike-$B60,0)),"")</f>
        <v/>
      </c>
      <c r="EB60" s="9" t="str">
        <f t="array" ref="EB60">IF(EB$11&gt;=0,MAX(INDEX(MMULT(inverseG,EA$12:EA$62),$A60+1,1),MAX(strike-$B60,0)),"")</f>
        <v/>
      </c>
      <c r="EC60" s="9" t="str">
        <f t="array" ref="EC60">IF(EC$11&gt;=0,MAX(INDEX(MMULT(inverseG,EB$12:EB$62),$A60+1,1),MAX(strike-$B60,0)),"")</f>
        <v/>
      </c>
      <c r="ED60" s="9" t="str">
        <f t="array" ref="ED60">IF(ED$11&gt;=0,MAX(INDEX(MMULT(inverseG,EC$12:EC$62),$A60+1,1),MAX(strike-$B60,0)),"")</f>
        <v/>
      </c>
      <c r="EE60" s="9" t="str">
        <f t="array" ref="EE60">IF(EE$11&gt;=0,MAX(INDEX(MMULT(inverseG,ED$12:ED$62),$A60+1,1),MAX(strike-$B60,0)),"")</f>
        <v/>
      </c>
      <c r="EF60" s="9" t="str">
        <f t="array" ref="EF60">IF(EF$11&gt;=0,MAX(INDEX(MMULT(inverseG,EE$12:EE$62),$A60+1,1),MAX(strike-$B60,0)),"")</f>
        <v/>
      </c>
      <c r="EG60" s="9" t="str">
        <f t="array" ref="EG60">IF(EG$11&gt;=0,MAX(INDEX(MMULT(inverseG,EF$12:EF$62),$A60+1,1),MAX(strike-$B60,0)),"")</f>
        <v/>
      </c>
      <c r="EH60" s="9" t="str">
        <f t="array" ref="EH60">IF(EH$11&gt;=0,MAX(INDEX(MMULT(inverseG,EG$12:EG$62),$A60+1,1),MAX(strike-$B60,0)),"")</f>
        <v/>
      </c>
      <c r="EI60" s="9" t="str">
        <f t="array" ref="EI60">IF(EI$11&gt;=0,MAX(INDEX(MMULT(inverseG,EH$12:EH$62),$A60+1,1),MAX(strike-$B60,0)),"")</f>
        <v/>
      </c>
      <c r="EJ60" s="9" t="str">
        <f t="array" ref="EJ60">IF(EJ$11&gt;=0,MAX(INDEX(MMULT(inverseG,EI$12:EI$62),$A60+1,1),MAX(strike-$B60,0)),"")</f>
        <v/>
      </c>
      <c r="EK60" s="9" t="str">
        <f t="array" ref="EK60">IF(EK$11&gt;=0,MAX(INDEX(MMULT(inverseG,EJ$12:EJ$62),$A60+1,1),MAX(strike-$B60,0)),"")</f>
        <v/>
      </c>
      <c r="EL60" s="9" t="str">
        <f t="array" ref="EL60">IF(EL$11&gt;=0,MAX(INDEX(MMULT(inverseG,EK$12:EK$62),$A60+1,1),MAX(strike-$B60,0)),"")</f>
        <v/>
      </c>
      <c r="EM60" s="9" t="str">
        <f t="array" ref="EM60">IF(EM$11&gt;=0,MAX(INDEX(MMULT(inverseG,EL$12:EL$62),$A60+1,1),MAX(strike-$B60,0)),"")</f>
        <v/>
      </c>
      <c r="EN60" s="9" t="str">
        <f t="array" ref="EN60">IF(EN$11&gt;=0,MAX(INDEX(MMULT(inverseG,EM$12:EM$62),$A60+1,1),MAX(strike-$B60,0)),"")</f>
        <v/>
      </c>
      <c r="EO60" s="9" t="str">
        <f t="array" ref="EO60">IF(EO$11&gt;=0,MAX(INDEX(MMULT(inverseG,EN$12:EN$62),$A60+1,1),MAX(strike-$B60,0)),"")</f>
        <v/>
      </c>
      <c r="EP60" s="9" t="str">
        <f t="array" ref="EP60">IF(EP$11&gt;=0,MAX(INDEX(MMULT(inverseG,EO$12:EO$62),$A60+1,1),MAX(strike-$B60,0)),"")</f>
        <v/>
      </c>
      <c r="EQ60" s="9" t="str">
        <f t="array" ref="EQ60">IF(EQ$11&gt;=0,MAX(INDEX(MMULT(inverseG,EP$12:EP$62),$A60+1,1),MAX(strike-$B60,0)),"")</f>
        <v/>
      </c>
      <c r="ER60" s="9" t="str">
        <f t="array" ref="ER60">IF(ER$11&gt;=0,MAX(INDEX(MMULT(inverseG,EQ$12:EQ$62),$A60+1,1),MAX(strike-$B60,0)),"")</f>
        <v/>
      </c>
      <c r="ES60" s="9" t="str">
        <f t="array" ref="ES60">IF(ES$11&gt;=0,MAX(INDEX(MMULT(inverseG,ER$12:ER$62),$A60+1,1),MAX(strike-$B60,0)),"")</f>
        <v/>
      </c>
      <c r="ET60" s="9" t="str">
        <f t="array" ref="ET60">IF(ET$11&gt;=0,MAX(INDEX(MMULT(inverseG,ES$12:ES$62),$A60+1,1),MAX(strike-$B60,0)),"")</f>
        <v/>
      </c>
      <c r="EU60" s="9" t="str">
        <f t="array" ref="EU60">IF(EU$11&gt;=0,MAX(INDEX(MMULT(inverseG,ET$12:ET$62),$A60+1,1),MAX(strike-$B60,0)),"")</f>
        <v/>
      </c>
      <c r="EV60" s="9" t="str">
        <f t="array" ref="EV60">IF(EV$11&gt;=0,MAX(INDEX(MMULT(inverseG,EU$12:EU$62),$A60+1,1),MAX(strike-$B60,0)),"")</f>
        <v/>
      </c>
      <c r="EW60" s="9" t="str">
        <f t="array" ref="EW60">IF(EW$11&gt;=0,MAX(INDEX(MMULT(inverseG,EV$12:EV$62),$A60+1,1),MAX(strike-$B60,0)),"")</f>
        <v/>
      </c>
      <c r="EX60" s="9" t="str">
        <f t="array" ref="EX60">IF(EX$11&gt;=0,MAX(INDEX(MMULT(inverseG,EW$12:EW$62),$A60+1,1),MAX(strike-$B60,0)),"")</f>
        <v/>
      </c>
      <c r="EY60" s="9" t="str">
        <f t="array" ref="EY60">IF(EY$11&gt;=0,MAX(INDEX(MMULT(inverseG,EX$12:EX$62),$A60+1,1),MAX(strike-$B60,0)),"")</f>
        <v/>
      </c>
      <c r="EZ60" s="9" t="str">
        <f t="array" ref="EZ60">IF(EZ$11&gt;=0,MAX(INDEX(MMULT(inverseG,EY$12:EY$62),$A60+1,1),MAX(strike-$B60,0)),"")</f>
        <v/>
      </c>
      <c r="FA60" s="9" t="str">
        <f t="array" ref="FA60">IF(FA$11&gt;=0,MAX(INDEX(MMULT(inverseG,EZ$12:EZ$62),$A60+1,1),MAX(strike-$B60,0)),"")</f>
        <v/>
      </c>
      <c r="FB60" s="9" t="str">
        <f t="array" ref="FB60">IF(FB$11&gt;=0,MAX(INDEX(MMULT(inverseG,FA$12:FA$62),$A60+1,1),MAX(strike-$B60,0)),"")</f>
        <v/>
      </c>
      <c r="FC60" s="9" t="str">
        <f t="array" ref="FC60">IF(FC$11&gt;=0,MAX(INDEX(MMULT(inverseG,FB$12:FB$62),$A60+1,1),MAX(strike-$B60,0)),"")</f>
        <v/>
      </c>
      <c r="FD60" s="9" t="str">
        <f t="array" ref="FD60">IF(FD$11&gt;=0,MAX(INDEX(MMULT(inverseG,FC$12:FC$62),$A60+1,1),MAX(strike-$B60,0)),"")</f>
        <v/>
      </c>
      <c r="FE60" s="9" t="str">
        <f t="array" ref="FE60">IF(FE$11&gt;=0,MAX(INDEX(MMULT(inverseG,FD$12:FD$62),$A60+1,1),MAX(strike-$B60,0)),"")</f>
        <v/>
      </c>
      <c r="FF60" s="9" t="str">
        <f t="array" ref="FF60">IF(FF$11&gt;=0,MAX(INDEX(MMULT(inverseG,FE$12:FE$62),$A60+1,1),MAX(strike-$B60,0)),"")</f>
        <v/>
      </c>
      <c r="FG60" s="9" t="str">
        <f t="array" ref="FG60">IF(FG$11&gt;=0,MAX(INDEX(MMULT(inverseG,FF$12:FF$62),$A60+1,1),MAX(strike-$B60,0)),"")</f>
        <v/>
      </c>
      <c r="FH60" s="9" t="str">
        <f t="array" ref="FH60">IF(FH$11&gt;=0,MAX(INDEX(MMULT(inverseG,FG$12:FG$62),$A60+1,1),MAX(strike-$B60,0)),"")</f>
        <v/>
      </c>
      <c r="FI60" s="9" t="str">
        <f t="array" ref="FI60">IF(FI$11&gt;=0,MAX(INDEX(MMULT(inverseG,FH$12:FH$62),$A60+1,1),MAX(strike-$B60,0)),"")</f>
        <v/>
      </c>
      <c r="FJ60" s="9" t="str">
        <f t="array" ref="FJ60">IF(FJ$11&gt;=0,MAX(INDEX(MMULT(inverseG,FI$12:FI$62),$A60+1,1),MAX(strike-$B60,0)),"")</f>
        <v/>
      </c>
      <c r="FK60" s="9" t="str">
        <f t="array" ref="FK60">IF(FK$11&gt;=0,MAX(INDEX(MMULT(inverseG,FJ$12:FJ$62),$A60+1,1),MAX(strike-$B60,0)),"")</f>
        <v/>
      </c>
      <c r="FL60" s="9" t="str">
        <f t="array" ref="FL60">IF(FL$11&gt;=0,MAX(INDEX(MMULT(inverseG,FK$12:FK$62),$A60+1,1),MAX(strike-$B60,0)),"")</f>
        <v/>
      </c>
      <c r="FM60" s="9" t="str">
        <f t="array" ref="FM60">IF(FM$11&gt;=0,MAX(INDEX(MMULT(inverseG,FL$12:FL$62),$A60+1,1),MAX(strike-$B60,0)),"")</f>
        <v/>
      </c>
      <c r="FN60" s="9" t="str">
        <f t="array" ref="FN60">IF(FN$11&gt;=0,MAX(INDEX(MMULT(inverseG,FM$12:FM$62),$A60+1,1),MAX(strike-$B60,0)),"")</f>
        <v/>
      </c>
      <c r="FO60" s="9" t="str">
        <f t="array" ref="FO60">IF(FO$11&gt;=0,MAX(INDEX(MMULT(inverseG,FN$12:FN$62),$A60+1,1),MAX(strike-$B60,0)),"")</f>
        <v/>
      </c>
      <c r="FP60" s="9" t="str">
        <f t="array" ref="FP60">IF(FP$11&gt;=0,MAX(INDEX(MMULT(inverseG,FO$12:FO$62),$A60+1,1),MAX(strike-$B60,0)),"")</f>
        <v/>
      </c>
      <c r="FQ60" s="9" t="str">
        <f t="array" ref="FQ60">IF(FQ$11&gt;=0,MAX(INDEX(MMULT(inverseG,FP$12:FP$62),$A60+1,1),MAX(strike-$B60,0)),"")</f>
        <v/>
      </c>
      <c r="FR60" s="9" t="str">
        <f t="array" ref="FR60">IF(FR$11&gt;=0,MAX(INDEX(MMULT(inverseG,FQ$12:FQ$62),$A60+1,1),MAX(strike-$B60,0)),"")</f>
        <v/>
      </c>
      <c r="FS60" s="9" t="str">
        <f t="array" ref="FS60">IF(FS$11&gt;=0,MAX(INDEX(MMULT(inverseG,FR$12:FR$62),$A60+1,1),MAX(strike-$B60,0)),"")</f>
        <v/>
      </c>
      <c r="FT60" s="9" t="str">
        <f t="array" ref="FT60">IF(FT$11&gt;=0,MAX(INDEX(MMULT(inverseG,FS$12:FS$62),$A60+1,1),MAX(strike-$B60,0)),"")</f>
        <v/>
      </c>
      <c r="FU60" s="9" t="str">
        <f t="array" ref="FU60">IF(FU$11&gt;=0,MAX(INDEX(MMULT(inverseG,FT$12:FT$62),$A60+1,1),MAX(strike-$B60,0)),"")</f>
        <v/>
      </c>
      <c r="FV60" s="9" t="str">
        <f t="array" ref="FV60">IF(FV$11&gt;=0,MAX(INDEX(MMULT(inverseG,FU$12:FU$62),$A60+1,1),MAX(strike-$B60,0)),"")</f>
        <v/>
      </c>
      <c r="FW60" s="9" t="str">
        <f t="array" ref="FW60">IF(FW$11&gt;=0,MAX(INDEX(MMULT(inverseG,FV$12:FV$62),$A60+1,1),MAX(strike-$B60,0)),"")</f>
        <v/>
      </c>
      <c r="FX60" s="9" t="str">
        <f t="array" ref="FX60">IF(FX$11&gt;=0,MAX(INDEX(MMULT(inverseG,FW$12:FW$62),$A60+1,1),MAX(strike-$B60,0)),"")</f>
        <v/>
      </c>
      <c r="FY60" s="9" t="str">
        <f t="array" ref="FY60">IF(FY$11&gt;=0,MAX(INDEX(MMULT(inverseG,FX$12:FX$62),$A60+1,1),MAX(strike-$B60,0)),"")</f>
        <v/>
      </c>
      <c r="FZ60" s="9" t="str">
        <f t="array" ref="FZ60">IF(FZ$11&gt;=0,MAX(INDEX(MMULT(inverseG,FY$12:FY$62),$A60+1,1),MAX(strike-$B60,0)),"")</f>
        <v/>
      </c>
      <c r="GA60" s="9" t="str">
        <f t="array" ref="GA60">IF(GA$11&gt;=0,MAX(INDEX(MMULT(inverseG,FZ$12:FZ$62),$A60+1,1),MAX(strike-$B60,0)),"")</f>
        <v/>
      </c>
      <c r="GB60" s="9" t="str">
        <f t="array" ref="GB60">IF(GB$11&gt;=0,MAX(INDEX(MMULT(inverseG,GA$12:GA$62),$A60+1,1),MAX(strike-$B60,0)),"")</f>
        <v/>
      </c>
      <c r="GC60" s="9" t="str">
        <f t="array" ref="GC60">IF(GC$11&gt;=0,MAX(INDEX(MMULT(inverseG,GB$12:GB$62),$A60+1,1),MAX(strike-$B60,0)),"")</f>
        <v/>
      </c>
      <c r="GD60" s="9" t="str">
        <f t="array" ref="GD60">IF(GD$11&gt;=0,MAX(INDEX(MMULT(inverseG,GC$12:GC$62),$A60+1,1),MAX(strike-$B60,0)),"")</f>
        <v/>
      </c>
      <c r="GE60" s="9" t="str">
        <f t="array" ref="GE60">IF(GE$11&gt;=0,MAX(INDEX(MMULT(inverseG,GD$12:GD$62),$A60+1,1),MAX(strike-$B60,0)),"")</f>
        <v/>
      </c>
      <c r="GF60" s="9" t="str">
        <f t="array" ref="GF60">IF(GF$11&gt;=0,MAX(INDEX(MMULT(inverseG,GE$12:GE$62),$A60+1,1),MAX(strike-$B60,0)),"")</f>
        <v/>
      </c>
      <c r="GG60" s="9" t="str">
        <f t="array" ref="GG60">IF(GG$11&gt;=0,MAX(INDEX(MMULT(inverseG,GF$12:GF$62),$A60+1,1),MAX(strike-$B60,0)),"")</f>
        <v/>
      </c>
      <c r="GH60" s="9" t="str">
        <f t="array" ref="GH60">IF(GH$11&gt;=0,MAX(INDEX(MMULT(inverseG,GG$12:GG$62),$A60+1,1),MAX(strike-$B60,0)),"")</f>
        <v/>
      </c>
      <c r="GI60" s="9" t="str">
        <f t="array" ref="GI60">IF(GI$11&gt;=0,MAX(INDEX(MMULT(inverseG,GH$12:GH$62),$A60+1,1),MAX(strike-$B60,0)),"")</f>
        <v/>
      </c>
      <c r="GJ60" s="9" t="str">
        <f t="array" ref="GJ60">IF(GJ$11&gt;=0,MAX(INDEX(MMULT(inverseG,GI$12:GI$62),$A60+1,1),MAX(strike-$B60,0)),"")</f>
        <v/>
      </c>
      <c r="GK60" s="9" t="str">
        <f t="array" ref="GK60">IF(GK$11&gt;=0,MAX(INDEX(MMULT(inverseG,GJ$12:GJ$62),$A60+1,1),MAX(strike-$B60,0)),"")</f>
        <v/>
      </c>
      <c r="GL60" s="9" t="str">
        <f t="array" ref="GL60">IF(GL$11&gt;=0,MAX(INDEX(MMULT(inverseG,GK$12:GK$62),$A60+1,1),MAX(strike-$B60,0)),"")</f>
        <v/>
      </c>
      <c r="GM60" s="9" t="str">
        <f t="array" ref="GM60">IF(GM$11&gt;=0,MAX(INDEX(MMULT(inverseG,GL$12:GL$62),$A60+1,1),MAX(strike-$B60,0)),"")</f>
        <v/>
      </c>
      <c r="GN60" s="9" t="str">
        <f t="array" ref="GN60">IF(GN$11&gt;=0,MAX(INDEX(MMULT(inverseG,GM$12:GM$62),$A60+1,1),MAX(strike-$B60,0)),"")</f>
        <v/>
      </c>
      <c r="GO60" s="9" t="str">
        <f t="array" ref="GO60">IF(GO$11&gt;=0,MAX(INDEX(MMULT(inverseG,GN$12:GN$62),$A60+1,1),MAX(strike-$B60,0)),"")</f>
        <v/>
      </c>
      <c r="GP60" s="9" t="str">
        <f t="array" ref="GP60">IF(GP$11&gt;=0,MAX(INDEX(MMULT(inverseG,GO$12:GO$62),$A60+1,1),MAX(strike-$B60,0)),"")</f>
        <v/>
      </c>
      <c r="GQ60" s="9" t="str">
        <f t="array" ref="GQ60">IF(GQ$11&gt;=0,MAX(INDEX(MMULT(inverseG,GP$12:GP$62),$A60+1,1),MAX(strike-$B60,0)),"")</f>
        <v/>
      </c>
      <c r="GR60" s="9" t="str">
        <f t="array" ref="GR60">IF(GR$11&gt;=0,MAX(INDEX(MMULT(inverseG,GQ$12:GQ$62),$A60+1,1),MAX(strike-$B60,0)),"")</f>
        <v/>
      </c>
      <c r="GS60" s="9" t="str">
        <f t="array" ref="GS60">IF(GS$11&gt;=0,MAX(INDEX(MMULT(inverseG,GR$12:GR$62),$A60+1,1),MAX(strike-$B60,0)),"")</f>
        <v/>
      </c>
      <c r="GT60" s="9" t="str">
        <f t="array" ref="GT60">IF(GT$11&gt;=0,MAX(INDEX(MMULT(inverseG,GS$12:GS$62),$A60+1,1),MAX(strike-$B60,0)),"")</f>
        <v/>
      </c>
      <c r="GU60" s="9" t="str">
        <f t="array" ref="GU60">IF(GU$11&gt;=0,MAX(INDEX(MMULT(inverseG,GT$12:GT$62),$A60+1,1),MAX(strike-$B60,0)),"")</f>
        <v/>
      </c>
      <c r="GV60" s="9" t="str">
        <f t="array" ref="GV60">IF(GV$11&gt;=0,MAX(INDEX(MMULT(inverseG,GU$12:GU$62),$A60+1,1),MAX(strike-$B60,0)),"")</f>
        <v/>
      </c>
      <c r="GW60" s="9" t="str">
        <f t="array" ref="GW60">IF(GW$11&gt;=0,MAX(INDEX(MMULT(inverseG,GV$12:GV$62),$A60+1,1),MAX(strike-$B60,0)),"")</f>
        <v/>
      </c>
      <c r="GX60" s="9" t="str">
        <f t="array" ref="GX60">IF(GX$11&gt;=0,MAX(INDEX(MMULT(inverseG,GW$12:GW$62),$A60+1,1),MAX(strike-$B60,0)),"")</f>
        <v/>
      </c>
      <c r="GY60" s="9" t="str">
        <f t="array" ref="GY60">IF(GY$11&gt;=0,MAX(INDEX(MMULT(inverseG,GX$12:GX$62),$A60+1,1),MAX(strike-$B60,0)),"")</f>
        <v/>
      </c>
      <c r="GZ60" s="9" t="str">
        <f t="array" ref="GZ60">IF(GZ$11&gt;=0,MAX(INDEX(MMULT(inverseG,GY$12:GY$62),$A60+1,1),MAX(strike-$B60,0)),"")</f>
        <v/>
      </c>
      <c r="HA60" s="9" t="str">
        <f t="array" ref="HA60">IF(HA$11&gt;=0,MAX(INDEX(MMULT(inverseG,GZ$12:GZ$62),$A60+1,1),MAX(strike-$B60,0)),"")</f>
        <v/>
      </c>
      <c r="HB60" s="9" t="str">
        <f t="array" ref="HB60">IF(HB$11&gt;=0,MAX(INDEX(MMULT(inverseG,HA$12:HA$62),$A60+1,1),MAX(strike-$B60,0)),"")</f>
        <v/>
      </c>
      <c r="HC60" s="9" t="str">
        <f t="array" ref="HC60">IF(HC$11&gt;=0,MAX(INDEX(MMULT(inverseG,HB$12:HB$62),$A60+1,1),MAX(strike-$B60,0)),"")</f>
        <v/>
      </c>
      <c r="HD60" s="9" t="str">
        <f t="array" ref="HD60">IF(HD$11&gt;=0,MAX(INDEX(MMULT(inverseG,HC$12:HC$62),$A60+1,1),MAX(strike-$B60,0)),"")</f>
        <v/>
      </c>
      <c r="HE60" s="9" t="str">
        <f t="array" ref="HE60">IF(HE$11&gt;=0,MAX(INDEX(MMULT(inverseG,HD$12:HD$62),$A60+1,1),MAX(strike-$B60,0)),"")</f>
        <v/>
      </c>
      <c r="HF60" s="9" t="str">
        <f t="array" ref="HF60">IF(HF$11&gt;=0,MAX(INDEX(MMULT(inverseG,HE$12:HE$62),$A60+1,1),MAX(strike-$B60,0)),"")</f>
        <v/>
      </c>
      <c r="HG60" s="9" t="str">
        <f t="array" ref="HG60">IF(HG$11&gt;=0,MAX(INDEX(MMULT(inverseG,HF$12:HF$62),$A60+1,1),MAX(strike-$B60,0)),"")</f>
        <v/>
      </c>
      <c r="HH60" s="9" t="str">
        <f t="array" ref="HH60">IF(HH$11&gt;=0,MAX(INDEX(MMULT(inverseG,HG$12:HG$62),$A60+1,1),MAX(strike-$B60,0)),"")</f>
        <v/>
      </c>
      <c r="HI60" s="9" t="str">
        <f t="array" ref="HI60">IF(HI$11&gt;=0,MAX(INDEX(MMULT(inverseG,HH$12:HH$62),$A60+1,1),MAX(strike-$B60,0)),"")</f>
        <v/>
      </c>
      <c r="HJ60" s="9" t="str">
        <f t="array" ref="HJ60">IF(HJ$11&gt;=0,MAX(INDEX(MMULT(inverseG,HI$12:HI$62),$A60+1,1),MAX(strike-$B60,0)),"")</f>
        <v/>
      </c>
      <c r="HK60" s="9" t="str">
        <f t="array" ref="HK60">IF(HK$11&gt;=0,MAX(INDEX(MMULT(inverseG,HJ$12:HJ$62),$A60+1,1),MAX(strike-$B60,0)),"")</f>
        <v/>
      </c>
      <c r="HL60" s="9" t="str">
        <f t="array" ref="HL60">IF(HL$11&gt;=0,MAX(INDEX(MMULT(inverseG,HK$12:HK$62),$A60+1,1),MAX(strike-$B60,0)),"")</f>
        <v/>
      </c>
      <c r="HM60" s="9" t="str">
        <f t="array" ref="HM60">IF(HM$11&gt;=0,MAX(INDEX(MMULT(inverseG,HL$12:HL$62),$A60+1,1),MAX(strike-$B60,0)),"")</f>
        <v/>
      </c>
      <c r="HN60" s="9" t="str">
        <f t="array" ref="HN60">IF(HN$11&gt;=0,MAX(INDEX(MMULT(inverseG,HM$12:HM$62),$A60+1,1),MAX(strike-$B60,0)),"")</f>
        <v/>
      </c>
      <c r="HO60" s="9" t="str">
        <f t="array" ref="HO60">IF(HO$11&gt;=0,MAX(INDEX(MMULT(inverseG,HN$12:HN$62),$A60+1,1),MAX(strike-$B60,0)),"")</f>
        <v/>
      </c>
      <c r="HP60" s="9" t="str">
        <f t="array" ref="HP60">IF(HP$11&gt;=0,MAX(INDEX(MMULT(inverseG,HO$12:HO$62),$A60+1,1),MAX(strike-$B60,0)),"")</f>
        <v/>
      </c>
      <c r="HQ60" s="9" t="str">
        <f t="array" ref="HQ60">IF(HQ$11&gt;=0,MAX(INDEX(MMULT(inverseG,HP$12:HP$62),$A60+1,1),MAX(strike-$B60,0)),"")</f>
        <v/>
      </c>
      <c r="HR60" s="9" t="str">
        <f t="array" ref="HR60">IF(HR$11&gt;=0,MAX(INDEX(MMULT(inverseG,HQ$12:HQ$62),$A60+1,1),MAX(strike-$B60,0)),"")</f>
        <v/>
      </c>
      <c r="HS60" s="9" t="str">
        <f t="array" ref="HS60">IF(HS$11&gt;=0,MAX(INDEX(MMULT(inverseG,HR$12:HR$62),$A60+1,1),MAX(strike-$B60,0)),"")</f>
        <v/>
      </c>
      <c r="HT60" s="9" t="str">
        <f t="array" ref="HT60">IF(HT$11&gt;=0,MAX(INDEX(MMULT(inverseG,HS$12:HS$62),$A60+1,1),MAX(strike-$B60,0)),"")</f>
        <v/>
      </c>
      <c r="HU60" s="9" t="str">
        <f t="array" ref="HU60">IF(HU$11&gt;=0,MAX(INDEX(MMULT(inverseG,HT$12:HT$62),$A60+1,1),MAX(strike-$B60,0)),"")</f>
        <v/>
      </c>
      <c r="HV60" s="9" t="str">
        <f t="array" ref="HV60">IF(HV$11&gt;=0,MAX(INDEX(MMULT(inverseG,HU$12:HU$62),$A60+1,1),MAX(strike-$B60,0)),"")</f>
        <v/>
      </c>
      <c r="HW60" s="9" t="str">
        <f t="array" ref="HW60">IF(HW$11&gt;=0,MAX(INDEX(MMULT(inverseG,HV$12:HV$62),$A60+1,1),MAX(strike-$B60,0)),"")</f>
        <v/>
      </c>
      <c r="HX60" s="9" t="str">
        <f t="array" ref="HX60">IF(HX$11&gt;=0,MAX(INDEX(MMULT(inverseG,HW$12:HW$62),$A60+1,1),MAX(strike-$B60,0)),"")</f>
        <v/>
      </c>
      <c r="HY60" s="9" t="str">
        <f t="array" ref="HY60">IF(HY$11&gt;=0,MAX(INDEX(MMULT(inverseG,HX$12:HX$62),$A60+1,1),MAX(strike-$B60,0)),"")</f>
        <v/>
      </c>
      <c r="HZ60" s="9" t="str">
        <f t="array" ref="HZ60">IF(HZ$11&gt;=0,MAX(INDEX(MMULT(inverseG,HY$12:HY$62),$A60+1,1),MAX(strike-$B60,0)),"")</f>
        <v/>
      </c>
      <c r="IA60" s="9" t="str">
        <f t="array" ref="IA60">IF(IA$11&gt;=0,MAX(INDEX(MMULT(inverseG,HZ$12:HZ$62),$A60+1,1),MAX(strike-$B60,0)),"")</f>
        <v/>
      </c>
      <c r="IB60" s="9" t="str">
        <f t="array" ref="IB60">IF(IB$11&gt;=0,MAX(INDEX(MMULT(inverseG,IA$12:IA$62),$A60+1,1),MAX(strike-$B60,0)),"")</f>
        <v/>
      </c>
      <c r="IC60" s="9" t="str">
        <f t="array" ref="IC60">IF(IC$11&gt;=0,MAX(INDEX(MMULT(inverseG,IB$12:IB$62),$A60+1,1),MAX(strike-$B60,0)),"")</f>
        <v/>
      </c>
      <c r="ID60" s="9" t="str">
        <f t="array" ref="ID60">IF(ID$11&gt;=0,MAX(INDEX(MMULT(inverseG,IC$12:IC$62),$A60+1,1),MAX(strike-$B60,0)),"")</f>
        <v/>
      </c>
      <c r="IE60" s="9" t="str">
        <f t="array" ref="IE60">IF(IE$11&gt;=0,MAX(INDEX(MMULT(inverseG,ID$12:ID$62),$A60+1,1),MAX(strike-$B60,0)),"")</f>
        <v/>
      </c>
      <c r="IF60" s="9" t="str">
        <f t="array" ref="IF60">IF(IF$11&gt;=0,MAX(INDEX(MMULT(inverseG,IE$12:IE$62),$A60+1,1),MAX(strike-$B60,0)),"")</f>
        <v/>
      </c>
      <c r="IG60" s="9" t="str">
        <f t="array" ref="IG60">IF(IG$11&gt;=0,MAX(INDEX(MMULT(inverseG,IF$12:IF$62),$A60+1,1),MAX(strike-$B60,0)),"")</f>
        <v/>
      </c>
      <c r="IH60" s="9" t="str">
        <f t="array" ref="IH60">IF(IH$11&gt;=0,MAX(INDEX(MMULT(inverseG,IG$12:IG$62),$A60+1,1),MAX(strike-$B60,0)),"")</f>
        <v/>
      </c>
      <c r="II60" s="9" t="str">
        <f t="array" ref="II60">IF(II$11&gt;=0,MAX(INDEX(MMULT(inverseG,IH$12:IH$62),$A60+1,1),MAX(strike-$B60,0)),"")</f>
        <v/>
      </c>
      <c r="IJ60" s="9" t="str">
        <f t="array" ref="IJ60">IF(IJ$11&gt;=0,MAX(INDEX(MMULT(inverseG,II$12:II$62),$A60+1,1),MAX(strike-$B60,0)),"")</f>
        <v/>
      </c>
      <c r="IK60" s="9" t="str">
        <f t="array" ref="IK60">IF(IK$11&gt;=0,MAX(INDEX(MMULT(inverseG,IJ$12:IJ$62),$A60+1,1),MAX(strike-$B60,0)),"")</f>
        <v/>
      </c>
      <c r="IL60" s="9" t="str">
        <f t="array" ref="IL60">IF(IL$11&gt;=0,MAX(INDEX(MMULT(inverseG,IK$12:IK$62),$A60+1,1),MAX(strike-$B60,0)),"")</f>
        <v/>
      </c>
      <c r="IM60" s="9" t="str">
        <f t="array" ref="IM60">IF(IM$11&gt;=0,MAX(INDEX(MMULT(inverseG,IL$12:IL$62),$A60+1,1),MAX(strike-$B60,0)),"")</f>
        <v/>
      </c>
      <c r="IN60" s="9" t="str">
        <f t="array" ref="IN60">IF(IN$11&gt;=0,MAX(INDEX(MMULT(inverseG,IM$12:IM$62),$A60+1,1),MAX(strike-$B60,0)),"")</f>
        <v/>
      </c>
      <c r="IO60" s="9" t="str">
        <f t="array" ref="IO60">IF(IO$11&gt;=0,MAX(INDEX(MMULT(inverseG,IN$12:IN$62),$A60+1,1),MAX(strike-$B60,0)),"")</f>
        <v/>
      </c>
      <c r="IP60" s="9" t="str">
        <f t="array" ref="IP60">IF(IP$11&gt;=0,MAX(INDEX(MMULT(inverseG,IO$12:IO$62),$A60+1,1),MAX(strike-$B60,0)),"")</f>
        <v/>
      </c>
      <c r="IQ60" s="9" t="str">
        <f t="array" ref="IQ60">IF(IQ$11&gt;=0,MAX(INDEX(MMULT(inverseG,IP$12:IP$62),$A60+1,1),MAX(strike-$B60,0)),"")</f>
        <v/>
      </c>
      <c r="IR60" s="9" t="str">
        <f t="array" ref="IR60">IF(IR$11&gt;=0,MAX(INDEX(MMULT(inverseG,IQ$12:IQ$62),$A60+1,1),MAX(strike-$B60,0)),"")</f>
        <v/>
      </c>
      <c r="IS60" s="9" t="str">
        <f t="array" ref="IS60">IF(IS$11&gt;=0,MAX(INDEX(MMULT(inverseG,IR$12:IR$62),$A60+1,1),MAX(strike-$B60,0)),"")</f>
        <v/>
      </c>
      <c r="IT60" s="9" t="str">
        <f t="array" ref="IT60">IF(IT$11&gt;=0,MAX(INDEX(MMULT(inverseG,IS$12:IS$62),$A60+1,1),MAX(strike-$B60,0)),"")</f>
        <v/>
      </c>
      <c r="IU60" s="9" t="str">
        <f t="array" ref="IU60">IF(IU$11&gt;=0,MAX(INDEX(MMULT(inverseG,IT$12:IT$62),$A60+1,1),MAX(strike-$B60,0)),"")</f>
        <v/>
      </c>
      <c r="IV60" s="9" t="str">
        <f t="array" ref="IV60">IF(IV$11&gt;=0,MAX(INDEX(MMULT(inverseG,IU$12:IU$62),$A60+1,1),MAX(strike-$B60,0)),"")</f>
        <v/>
      </c>
    </row>
    <row r="61" spans="1:256" x14ac:dyDescent="0.2">
      <c r="A61" s="8">
        <f t="shared" si="7"/>
        <v>49</v>
      </c>
      <c r="B61" s="6">
        <f t="shared" si="8"/>
        <v>12.25</v>
      </c>
      <c r="C61" s="30">
        <f t="shared" ca="1" si="6"/>
        <v>4.7951379158925238E-3</v>
      </c>
      <c r="D61" s="9">
        <f t="shared" si="9"/>
        <v>0</v>
      </c>
      <c r="E61" s="9">
        <f t="array" ref="E61">IF(E$11&gt;=0,MAX(INDEX(MMULT(inverseG,D$12:D$62),$A61+1,1),MAX(strike-$B61,0)),"")</f>
        <v>1.0597614953337792E-11</v>
      </c>
      <c r="F61" s="9">
        <f t="array" ref="F61">IF(F$11&gt;=0,MAX(INDEX(MMULT(inverseG,E$12:E$62),$A61+1,1),MAX(strike-$B61,0)),"")</f>
        <v>1.2396474968365095E-10</v>
      </c>
      <c r="G61" s="9">
        <f t="array" ref="G61">IF(G$11&gt;=0,MAX(INDEX(MMULT(inverseG,F$12:F$62),$A61+1,1),MAX(strike-$B61,0)),"")</f>
        <v>7.6257310235518559E-10</v>
      </c>
      <c r="H61" s="9">
        <f t="array" ref="H61">IF(H$11&gt;=0,MAX(INDEX(MMULT(inverseG,G$12:G$62),$A61+1,1),MAX(strike-$B61,0)),"")</f>
        <v>3.2853110835121505E-9</v>
      </c>
      <c r="I61" s="9">
        <f t="array" ref="I61">IF(I$11&gt;=0,MAX(INDEX(MMULT(inverseG,H$12:H$62),$A61+1,1),MAX(strike-$B61,0)),"")</f>
        <v>1.1138614785303164E-8</v>
      </c>
      <c r="J61" s="9">
        <f t="array" ref="J61">IF(J$11&gt;=0,MAX(INDEX(MMULT(inverseG,I$12:I$62),$A61+1,1),MAX(strike-$B61,0)),"")</f>
        <v>3.1665303085477039E-8</v>
      </c>
      <c r="K61" s="9">
        <f t="array" ref="K61">IF(K$11&gt;=0,MAX(INDEX(MMULT(inverseG,J$12:J$62),$A61+1,1),MAX(strike-$B61,0)),"")</f>
        <v>7.8538887968177584E-8</v>
      </c>
      <c r="L61" s="9">
        <f t="array" ref="L61">IF(L$11&gt;=0,MAX(INDEX(MMULT(inverseG,K$12:K$62),$A61+1,1),MAX(strike-$B61,0)),"")</f>
        <v>1.7462352773658273E-7</v>
      </c>
      <c r="M61" s="9">
        <f t="array" ref="M61">IF(M$11&gt;=0,MAX(INDEX(MMULT(inverseG,L$12:L$62),$A61+1,1),MAX(strike-$B61,0)),"")</f>
        <v>3.5492563092162081E-7</v>
      </c>
      <c r="N61" s="9">
        <f t="array" ref="N61">IF(N$11&gt;=0,MAX(INDEX(MMULT(inverseG,M$12:M$62),$A61+1,1),MAX(strike-$B61,0)),"")</f>
        <v>6.6924225144426745E-7</v>
      </c>
      <c r="O61" s="9">
        <f t="array" ref="O61">IF(O$11&gt;=0,MAX(INDEX(MMULT(inverseG,N$12:N$62),$A61+1,1),MAX(strike-$B61,0)),"")</f>
        <v>1.1841352400187149E-6</v>
      </c>
      <c r="P61" s="9">
        <f t="array" ref="P61">IF(P$11&gt;=0,MAX(INDEX(MMULT(inverseG,O$12:O$62),$A61+1,1),MAX(strike-$B61,0)),"")</f>
        <v>1.983953840603831E-6</v>
      </c>
      <c r="Q61" s="9">
        <f t="array" ref="Q61">IF(Q$11&gt;=0,MAX(INDEX(MMULT(inverseG,P$12:P$62),$A61+1,1),MAX(strike-$B61,0)),"")</f>
        <v>3.1707620079669391E-6</v>
      </c>
      <c r="R61" s="9">
        <f t="array" ref="R61">IF(R$11&gt;=0,MAX(INDEX(MMULT(inverseG,Q$12:Q$62),$A61+1,1),MAX(strike-$B61,0)),"")</f>
        <v>4.8631673742729546E-6</v>
      </c>
      <c r="S61" s="9">
        <f t="array" ref="S61">IF(S$11&gt;=0,MAX(INDEX(MMULT(inverseG,R$12:R$62),$A61+1,1),MAX(strike-$B61,0)),"")</f>
        <v>7.1941701278968641E-6</v>
      </c>
      <c r="T61" s="9">
        <f t="array" ref="T61">IF(T$11&gt;=0,MAX(INDEX(MMULT(inverseG,S$12:S$62),$A61+1,1),MAX(strike-$B61,0)),"")</f>
        <v>1.0308236378093736E-5</v>
      </c>
      <c r="U61" s="9">
        <f t="array" ref="U61">IF(U$11&gt;=0,MAX(INDEX(MMULT(inverseG,T$12:T$62),$A61+1,1),MAX(strike-$B61,0)),"")</f>
        <v>1.4357846862225616E-5</v>
      </c>
      <c r="V61" s="9">
        <f t="array" ref="V61">IF(V$11&gt;=0,MAX(INDEX(MMULT(inverseG,U$12:U$62),$A61+1,1),MAX(strike-$B61,0)),"")</f>
        <v>1.9499781315627435E-5</v>
      </c>
      <c r="W61" s="9">
        <f t="array" ref="W61">IF(W$11&gt;=0,MAX(INDEX(MMULT(inverseG,V$12:V$62),$A61+1,1),MAX(strike-$B61,0)),"")</f>
        <v>2.5891379527633828E-5</v>
      </c>
      <c r="X61" s="9">
        <f t="array" ref="X61">IF(X$11&gt;=0,MAX(INDEX(MMULT(inverseG,W$12:W$62),$A61+1,1),MAX(strike-$B61,0)),"")</f>
        <v>3.3686981889763062E-5</v>
      </c>
      <c r="Y61" s="9">
        <f t="array" ref="Y61">IF(Y$11&gt;=0,MAX(INDEX(MMULT(inverseG,X$12:X$62),$A61+1,1),MAX(strike-$B61,0)),"")</f>
        <v>4.3034704490604262E-5</v>
      </c>
      <c r="Z61" s="9">
        <f t="array" ref="Z61">IF(Z$11&gt;=0,MAX(INDEX(MMULT(inverseG,Y$12:Y$62),$A61+1,1),MAX(strike-$B61,0)),"")</f>
        <v>5.4073654177564578E-5</v>
      </c>
      <c r="AA61" s="9">
        <f t="array" ref="AA61">IF(AA$11&gt;=0,MAX(INDEX(MMULT(inverseG,Z$12:Z$62),$A61+1,1),MAX(strike-$B61,0)),"")</f>
        <v>6.6931642914632163E-5</v>
      </c>
      <c r="AB61" s="9">
        <f t="array" ref="AB61">IF(AB$11&gt;=0,MAX(INDEX(MMULT(inverseG,AA$12:AA$62),$A61+1,1),MAX(strike-$B61,0)),"")</f>
        <v>8.1723421478531726E-5</v>
      </c>
      <c r="AC61" s="9">
        <f t="array" ref="AC61">IF(AC$11&gt;=0,MAX(INDEX(MMULT(inverseG,AB$12:AB$62),$A61+1,1),MAX(strike-$B61,0)),"")</f>
        <v>9.8549421512553941E-5</v>
      </c>
      <c r="AD61" s="9">
        <f t="array" ref="AD61">IF(AD$11&gt;=0,MAX(INDEX(MMULT(inverseG,AC$12:AC$62),$A61+1,1),MAX(strike-$B61,0)),"")</f>
        <v>1.1749497233537037E-4</v>
      </c>
      <c r="AE61" s="9">
        <f t="array" ref="AE61">IF(AE$11&gt;=0,MAX(INDEX(MMULT(inverseG,AD$12:AD$62),$A61+1,1),MAX(strike-$B61,0)),"")</f>
        <v>1.3862994396665558E-4</v>
      </c>
      <c r="AF61" s="9">
        <f t="array" ref="AF61">IF(AF$11&gt;=0,MAX(INDEX(MMULT(inverseG,AE$12:AE$62),$A61+1,1),MAX(strike-$B61,0)),"")</f>
        <v>1.6200875940916359E-4</v>
      </c>
      <c r="AG61" s="9">
        <f t="array" ref="AG61">IF(AG$11&gt;=0,MAX(INDEX(MMULT(inverseG,AF$12:AF$62),$A61+1,1),MAX(strike-$B61,0)),"")</f>
        <v>1.8767071597920946E-4</v>
      </c>
      <c r="AH61" s="9">
        <f t="array" ref="AH61">IF(AH$11&gt;=0,MAX(INDEX(MMULT(inverseG,AG$12:AG$62),$A61+1,1),MAX(strike-$B61,0)),"")</f>
        <v>2.1564055609437906E-4</v>
      </c>
      <c r="AI61" s="9">
        <f t="array" ref="AI61">IF(AI$11&gt;=0,MAX(INDEX(MMULT(inverseG,AH$12:AH$62),$A61+1,1),MAX(strike-$B61,0)),"")</f>
        <v>2.4592923124041276E-4</v>
      </c>
      <c r="AJ61" s="9">
        <f t="array" ref="AJ61">IF(AJ$11&gt;=0,MAX(INDEX(MMULT(inverseG,AI$12:AI$62),$A61+1,1),MAX(strike-$B61,0)),"")</f>
        <v>2.7853480787357813E-4</v>
      </c>
      <c r="AK61" s="9">
        <f t="array" ref="AK61">IF(AK$11&gt;=0,MAX(INDEX(MMULT(inverseG,AJ$12:AJ$62),$A61+1,1),MAX(strike-$B61,0)),"")</f>
        <v>3.1344346999959008E-4</v>
      </c>
      <c r="AL61" s="9">
        <f t="array" ref="AL61">IF(AL$11&gt;=0,MAX(INDEX(MMULT(inverseG,AK$12:AK$62),$A61+1,1),MAX(strike-$B61,0)),"")</f>
        <v>3.5063057952501337E-4</v>
      </c>
      <c r="AM61" s="9">
        <f t="array" ref="AM61">IF(AM$11&gt;=0,MAX(INDEX(MMULT(inverseG,AL$12:AL$62),$A61+1,1),MAX(strike-$B61,0)),"")</f>
        <v>3.9006176178672108E-4</v>
      </c>
      <c r="AN61" s="9">
        <f t="array" ref="AN61">IF(AN$11&gt;=0,MAX(INDEX(MMULT(inverseG,AM$12:AM$62),$A61+1,1),MAX(strike-$B61,0)),"")</f>
        <v>4.3169398964901706E-4</v>
      </c>
      <c r="AO61" s="9">
        <f t="array" ref="AO61">IF(AO$11&gt;=0,MAX(INDEX(MMULT(inverseG,AN$12:AN$62),$A61+1,1),MAX(strike-$B61,0)),"")</f>
        <v>4.7547664504193752E-4</v>
      </c>
      <c r="AP61" s="9">
        <f t="array" ref="AP61">IF(AP$11&gt;=0,MAX(INDEX(MMULT(inverseG,AO$12:AO$62),$A61+1,1),MAX(strike-$B61,0)),"")</f>
        <v>5.2135254170356166E-4</v>
      </c>
      <c r="AQ61" s="9">
        <f t="array" ref="AQ61">IF(AQ$11&gt;=0,MAX(INDEX(MMULT(inverseG,AP$12:AP$62),$A61+1,1),MAX(strike-$B61,0)),"")</f>
        <v>5.692588971478662E-4</v>
      </c>
      <c r="AR61" s="9">
        <f t="array" ref="AR61">IF(AR$11&gt;=0,MAX(INDEX(MMULT(inverseG,AQ$12:AQ$62),$A61+1,1),MAX(strike-$B61,0)),"")</f>
        <v>6.1912824551286268E-4</v>
      </c>
      <c r="AS61" s="9">
        <f t="array" ref="AS61">IF(AS$11&gt;=0,MAX(INDEX(MMULT(inverseG,AR$12:AR$62),$A61+1,1),MAX(strike-$B61,0)),"")</f>
        <v>6.7088928598381164E-4</v>
      </c>
      <c r="AT61" s="9">
        <f t="array" ref="AT61">IF(AT$11&gt;=0,MAX(INDEX(MMULT(inverseG,AS$12:AS$62),$A61+1,1),MAX(strike-$B61,0)),"")</f>
        <v>7.24467663981957E-4</v>
      </c>
      <c r="AU61" s="9">
        <f t="array" ref="AU61">IF(AU$11&gt;=0,MAX(INDEX(MMULT(inverseG,AT$12:AT$62),$A61+1,1),MAX(strike-$B61,0)),"")</f>
        <v>7.7978668431720347E-4</v>
      </c>
      <c r="AV61" s="9">
        <f t="array" ref="AV61">IF(AV$11&gt;=0,MAX(INDEX(MMULT(inverseG,AU$12:AU$62),$A61+1,1),MAX(strike-$B61,0)),"")</f>
        <v>8.3676795708216068E-4</v>
      </c>
      <c r="AW61" s="9">
        <f t="array" ref="AW61">IF(AW$11&gt;=0,MAX(INDEX(MMULT(inverseG,AV$12:AV$62),$A61+1,1),MAX(strike-$B61,0)),"")</f>
        <v>8.9533197827183233E-4</v>
      </c>
      <c r="AX61" s="9">
        <f t="array" ref="AX61">IF(AX$11&gt;=0,MAX(INDEX(MMULT(inverseG,AW$12:AW$62),$A61+1,1),MAX(strike-$B61,0)),"")</f>
        <v>9.553986480008562E-4</v>
      </c>
      <c r="AY61" s="9">
        <f t="array" ref="AY61">IF(AY$11&gt;=0,MAX(INDEX(MMULT(inverseG,AX$12:AX$62),$A61+1,1),MAX(strike-$B61,0)),"")</f>
        <v>1.0168877298071047E-3</v>
      </c>
      <c r="AZ61" s="9">
        <f t="array" ref="AZ61">IF(AZ$11&gt;=0,MAX(INDEX(MMULT(inverseG,AY$12:AY$62),$A61+1,1),MAX(strike-$B61,0)),"")</f>
        <v>1.0797192549208243E-3</v>
      </c>
      <c r="BA61" s="9">
        <f t="array" ref="BA61">IF(BA$11&gt;=0,MAX(INDEX(MMULT(inverseG,AZ$12:AZ$62),$A61+1,1),MAX(strike-$B61,0)),"")</f>
        <v>1.143813875582776E-3</v>
      </c>
      <c r="BB61" s="9">
        <f t="array" ref="BB61">IF(BB$11&gt;=0,MAX(INDEX(MMULT(inverseG,BA$12:BA$62),$A61+1,1),MAX(strike-$B61,0)),"")</f>
        <v>1.2090931715500201E-3</v>
      </c>
      <c r="BC61" s="9">
        <f t="array" ref="BC61">IF(BC$11&gt;=0,MAX(INDEX(MMULT(inverseG,BB$12:BB$62),$A61+1,1),MAX(strike-$B61,0)),"")</f>
        <v>1.2754799138677835E-3</v>
      </c>
      <c r="BD61" s="9">
        <f t="array" ref="BD61">IF(BD$11&gt;=0,MAX(INDEX(MMULT(inverseG,BC$12:BC$62),$A61+1,1),MAX(strike-$B61,0)),"")</f>
        <v>1.3428982898404849E-3</v>
      </c>
      <c r="BE61" s="9">
        <f t="array" ref="BE61">IF(BE$11&gt;=0,MAX(INDEX(MMULT(inverseG,BD$12:BD$62),$A61+1,1),MAX(strike-$B61,0)),"")</f>
        <v>1.4112740929309513E-3</v>
      </c>
      <c r="BF61" s="9">
        <f t="array" ref="BF61">IF(BF$11&gt;=0,MAX(INDEX(MMULT(inverseG,BE$12:BE$62),$A61+1,1),MAX(strike-$B61,0)),"")</f>
        <v>1.480534881076602E-3</v>
      </c>
      <c r="BG61" s="9">
        <f t="array" ref="BG61">IF(BG$11&gt;=0,MAX(INDEX(MMULT(inverseG,BF$12:BF$62),$A61+1,1),MAX(strike-$B61,0)),"")</f>
        <v>1.5506101066531648E-3</v>
      </c>
      <c r="BH61" s="9">
        <f t="array" ref="BH61">IF(BH$11&gt;=0,MAX(INDEX(MMULT(inverseG,BG$12:BG$62),$A61+1,1),MAX(strike-$B61,0)),"")</f>
        <v>1.6214312210544744E-3</v>
      </c>
      <c r="BI61" s="9">
        <f t="array" ref="BI61">IF(BI$11&gt;=0,MAX(INDEX(MMULT(inverseG,BH$12:BH$62),$A61+1,1),MAX(strike-$B61,0)),"")</f>
        <v>1.6929317566013612E-3</v>
      </c>
      <c r="BJ61" s="9">
        <f t="array" ref="BJ61">IF(BJ$11&gt;=0,MAX(INDEX(MMULT(inverseG,BI$12:BI$62),$A61+1,1),MAX(strike-$B61,0)),"")</f>
        <v>1.7650473882504371E-3</v>
      </c>
      <c r="BK61" s="9">
        <f t="array" ref="BK61">IF(BK$11&gt;=0,MAX(INDEX(MMULT(inverseG,BJ$12:BJ$62),$A61+1,1),MAX(strike-$B61,0)),"")</f>
        <v>1.8377159773487041E-3</v>
      </c>
      <c r="BL61" s="9">
        <f t="array" ref="BL61">IF(BL$11&gt;=0,MAX(INDEX(MMULT(inverseG,BK$12:BK$62),$A61+1,1),MAX(strike-$B61,0)),"")</f>
        <v>1.9108775994741631E-3</v>
      </c>
      <c r="BM61" s="9">
        <f t="array" ref="BM61">IF(BM$11&gt;=0,MAX(INDEX(MMULT(inverseG,BL$12:BL$62),$A61+1,1),MAX(strike-$B61,0)),"")</f>
        <v>1.9844745582160246E-3</v>
      </c>
      <c r="BN61" s="9">
        <f t="array" ref="BN61">IF(BN$11&gt;=0,MAX(INDEX(MMULT(inverseG,BM$12:BM$62),$A61+1,1),MAX(strike-$B61,0)),"")</f>
        <v>2.0584513865798009E-3</v>
      </c>
      <c r="BO61" s="9">
        <f t="array" ref="BO61">IF(BO$11&gt;=0,MAX(INDEX(MMULT(inverseG,BN$12:BN$62),$A61+1,1),MAX(strike-$B61,0)),"")</f>
        <v>2.132754837550801E-3</v>
      </c>
      <c r="BP61" s="9">
        <f t="array" ref="BP61">IF(BP$11&gt;=0,MAX(INDEX(MMULT(inverseG,BO$12:BO$62),$A61+1,1),MAX(strike-$B61,0)),"")</f>
        <v>2.2073338652124352E-3</v>
      </c>
      <c r="BQ61" s="9">
        <f t="array" ref="BQ61">IF(BQ$11&gt;=0,MAX(INDEX(MMULT(inverseG,BP$12:BP$62),$A61+1,1),MAX(strike-$B61,0)),"")</f>
        <v>2.2821395976913334E-3</v>
      </c>
      <c r="BR61" s="9">
        <f t="array" ref="BR61">IF(BR$11&gt;=0,MAX(INDEX(MMULT(inverseG,BQ$12:BQ$62),$A61+1,1),MAX(strike-$B61,0)),"")</f>
        <v>2.3571253030876711E-3</v>
      </c>
      <c r="BS61" s="9">
        <f t="array" ref="BS61">IF(BS$11&gt;=0,MAX(INDEX(MMULT(inverseG,BR$12:BR$62),$A61+1,1),MAX(strike-$B61,0)),"")</f>
        <v>2.4322463494447981E-3</v>
      </c>
      <c r="BT61" s="9">
        <f t="array" ref="BT61">IF(BT$11&gt;=0,MAX(INDEX(MMULT(inverseG,BS$12:BS$62),$A61+1,1),MAX(strike-$B61,0)),"")</f>
        <v>2.5074601597158187E-3</v>
      </c>
      <c r="BU61" s="9">
        <f t="array" ref="BU61">IF(BU$11&gt;=0,MAX(INDEX(MMULT(inverseG,BT$12:BT$62),$A61+1,1),MAX(strike-$B61,0)),"")</f>
        <v>2.5827261625952611E-3</v>
      </c>
      <c r="BV61" s="9">
        <f t="array" ref="BV61">IF(BV$11&gt;=0,MAX(INDEX(MMULT(inverseG,BU$12:BU$62),$A61+1,1),MAX(strike-$B61,0)),"")</f>
        <v>2.6580057400004626E-3</v>
      </c>
      <c r="BW61" s="9">
        <f t="array" ref="BW61">IF(BW$11&gt;=0,MAX(INDEX(MMULT(inverseG,BV$12:BV$62),$A61+1,1),MAX(strike-$B61,0)),"")</f>
        <v>2.7332621719093324E-3</v>
      </c>
      <c r="BX61" s="9">
        <f t="array" ref="BX61">IF(BX$11&gt;=0,MAX(INDEX(MMULT(inverseG,BW$12:BW$62),$A61+1,1),MAX(strike-$B61,0)),"")</f>
        <v>2.8084605791882187E-3</v>
      </c>
      <c r="BY61" s="9">
        <f t="array" ref="BY61">IF(BY$11&gt;=0,MAX(INDEX(MMULT(inverseG,BX$12:BX$62),$A61+1,1),MAX(strike-$B61,0)),"")</f>
        <v>2.883567864975465E-3</v>
      </c>
      <c r="BZ61" s="9">
        <f t="array" ref="BZ61">IF(BZ$11&gt;=0,MAX(INDEX(MMULT(inverseG,BY$12:BY$62),$A61+1,1),MAX(strike-$B61,0)),"")</f>
        <v>2.9585526551226772E-3</v>
      </c>
      <c r="CA61" s="9">
        <f t="array" ref="CA61">IF(CA$11&gt;=0,MAX(INDEX(MMULT(inverseG,BZ$12:BZ$62),$A61+1,1),MAX(strike-$B61,0)),"")</f>
        <v>3.0333852381366207E-3</v>
      </c>
      <c r="CB61" s="9">
        <f t="array" ref="CB61">IF(CB$11&gt;=0,MAX(INDEX(MMULT(inverseG,CA$12:CA$62),$A61+1,1),MAX(strike-$B61,0)),"")</f>
        <v>3.1080375050098279E-3</v>
      </c>
      <c r="CC61" s="9">
        <f t="array" ref="CC61">IF(CC$11&gt;=0,MAX(INDEX(MMULT(inverseG,CB$12:CB$62),$A61+1,1),MAX(strike-$B61,0)),"")</f>
        <v>3.1824828892774537E-3</v>
      </c>
      <c r="CD61" s="9">
        <f t="array" ref="CD61">IF(CD$11&gt;=0,MAX(INDEX(MMULT(inverseG,CC$12:CC$62),$A61+1,1),MAX(strike-$B61,0)),"")</f>
        <v>3.2566963075913945E-3</v>
      </c>
      <c r="CE61" s="9">
        <f t="array" ref="CE61">IF(CE$11&gt;=0,MAX(INDEX(MMULT(inverseG,CD$12:CD$62),$A61+1,1),MAX(strike-$B61,0)),"")</f>
        <v>3.3306541010602042E-3</v>
      </c>
      <c r="CF61" s="9">
        <f t="array" ref="CF61">IF(CF$11&gt;=0,MAX(INDEX(MMULT(inverseG,CE$12:CE$62),$A61+1,1),MAX(strike-$B61,0)),"")</f>
        <v>3.4043339775646688E-3</v>
      </c>
      <c r="CG61" s="9">
        <f t="array" ref="CG61">IF(CG$11&gt;=0,MAX(INDEX(MMULT(inverseG,CF$12:CF$62),$A61+1,1),MAX(strike-$B61,0)),"")</f>
        <v>3.477714955223902E-3</v>
      </c>
      <c r="CH61" s="9">
        <f t="array" ref="CH61">IF(CH$11&gt;=0,MAX(INDEX(MMULT(inverseG,CG$12:CG$62),$A61+1,1),MAX(strike-$B61,0)),"")</f>
        <v>3.5507773071553591E-3</v>
      </c>
      <c r="CI61" s="9">
        <f t="array" ref="CI61">IF(CI$11&gt;=0,MAX(INDEX(MMULT(inverseG,CH$12:CH$62),$A61+1,1),MAX(strike-$B61,0)),"")</f>
        <v>3.6235025076439753E-3</v>
      </c>
      <c r="CJ61" s="9">
        <f t="array" ref="CJ61">IF(CJ$11&gt;=0,MAX(INDEX(MMULT(inverseG,CI$12:CI$62),$A61+1,1),MAX(strike-$B61,0)),"")</f>
        <v>3.6958731798105923E-3</v>
      </c>
      <c r="CK61" s="9">
        <f t="array" ref="CK61">IF(CK$11&gt;=0,MAX(INDEX(MMULT(inverseG,CJ$12:CJ$62),$A61+1,1),MAX(strike-$B61,0)),"")</f>
        <v>3.7678730448476574E-3</v>
      </c>
      <c r="CL61" s="9">
        <f t="array" ref="CL61">IF(CL$11&gt;=0,MAX(INDEX(MMULT(inverseG,CK$12:CK$62),$A61+1,1),MAX(strike-$B61,0)),"")</f>
        <v>3.8394868728707206E-3</v>
      </c>
      <c r="CM61" s="9">
        <f t="array" ref="CM61">IF(CM$11&gt;=0,MAX(INDEX(MMULT(inverseG,CL$12:CL$62),$A61+1,1),MAX(strike-$B61,0)),"")</f>
        <v>3.9107004354172661E-3</v>
      </c>
      <c r="CN61" s="9">
        <f t="array" ref="CN61">IF(CN$11&gt;=0,MAX(INDEX(MMULT(inverseG,CM$12:CM$62),$A61+1,1),MAX(strike-$B61,0)),"")</f>
        <v>3.9815004596096592E-3</v>
      </c>
      <c r="CO61" s="9">
        <f t="array" ref="CO61">IF(CO$11&gt;=0,MAX(INDEX(MMULT(inverseG,CN$12:CN$62),$A61+1,1),MAX(strike-$B61,0)),"")</f>
        <v>4.0518745839863458E-3</v>
      </c>
      <c r="CP61" s="9">
        <f t="array" ref="CP61">IF(CP$11&gt;=0,MAX(INDEX(MMULT(inverseG,CO$12:CO$62),$A61+1,1),MAX(strike-$B61,0)),"")</f>
        <v>4.1218113159946258E-3</v>
      </c>
      <c r="CQ61" s="9">
        <f t="array" ref="CQ61">IF(CQ$11&gt;=0,MAX(INDEX(MMULT(inverseG,CP$12:CP$62),$A61+1,1),MAX(strike-$B61,0)),"")</f>
        <v>4.1912999911291734E-3</v>
      </c>
      <c r="CR61" s="9">
        <f t="array" ref="CR61">IF(CR$11&gt;=0,MAX(INDEX(MMULT(inverseG,CQ$12:CQ$62),$A61+1,1),MAX(strike-$B61,0)),"")</f>
        <v>4.2603307336928744E-3</v>
      </c>
      <c r="CS61" s="9">
        <f t="array" ref="CS61">IF(CS$11&gt;=0,MAX(INDEX(MMULT(inverseG,CR$12:CR$62),$A61+1,1),MAX(strike-$B61,0)),"")</f>
        <v>4.3288944191502213E-3</v>
      </c>
      <c r="CT61" s="9">
        <f t="array" ref="CT61">IF(CT$11&gt;=0,MAX(INDEX(MMULT(inverseG,CS$12:CS$62),$A61+1,1),MAX(strike-$B61,0)),"")</f>
        <v>4.3969826380384188E-3</v>
      </c>
      <c r="CU61" s="9">
        <f t="array" ref="CU61">IF(CU$11&gt;=0,MAX(INDEX(MMULT(inverseG,CT$12:CT$62),$A61+1,1),MAX(strike-$B61,0)),"")</f>
        <v>4.4645876613973248E-3</v>
      </c>
      <c r="CV61" s="9">
        <f t="array" ref="CV61">IF(CV$11&gt;=0,MAX(INDEX(MMULT(inverseG,CU$12:CU$62),$A61+1,1),MAX(strike-$B61,0)),"")</f>
        <v>4.53170240767636E-3</v>
      </c>
      <c r="CW61" s="9">
        <f t="array" ref="CW61">IF(CW$11&gt;=0,MAX(INDEX(MMULT(inverseG,CV$12:CV$62),$A61+1,1),MAX(strike-$B61,0)),"")</f>
        <v>4.5983204110746113E-3</v>
      </c>
      <c r="CX61" s="9">
        <f t="array" ref="CX61">IF(CX$11&gt;=0,MAX(INDEX(MMULT(inverseG,CW$12:CW$62),$A61+1,1),MAX(strike-$B61,0)),"")</f>
        <v>4.6644357912695583E-3</v>
      </c>
      <c r="CY61" s="9">
        <f t="array" ref="CY61">IF(CY$11&gt;=0,MAX(INDEX(MMULT(inverseG,CX$12:CX$62),$A61+1,1),MAX(strike-$B61,0)),"")</f>
        <v>4.7300432244902742E-3</v>
      </c>
      <c r="CZ61" s="9">
        <f t="array" ref="CZ61">IF(CZ$11&gt;=0,MAX(INDEX(MMULT(inverseG,CY$12:CY$62),$A61+1,1),MAX(strike-$B61,0)),"")</f>
        <v>4.7951379158925238E-3</v>
      </c>
      <c r="DA61" s="9" t="str">
        <f t="array" ref="DA61">IF(DA$11&gt;=0,MAX(INDEX(MMULT(inverseG,CZ$12:CZ$62),$A61+1,1),MAX(strike-$B61,0)),"")</f>
        <v/>
      </c>
      <c r="DB61" s="9" t="str">
        <f t="array" ref="DB61">IF(DB$11&gt;=0,MAX(INDEX(MMULT(inverseG,DA$12:DA$62),$A61+1,1),MAX(strike-$B61,0)),"")</f>
        <v/>
      </c>
      <c r="DC61" s="9" t="str">
        <f t="array" ref="DC61">IF(DC$11&gt;=0,MAX(INDEX(MMULT(inverseG,DB$12:DB$62),$A61+1,1),MAX(strike-$B61,0)),"")</f>
        <v/>
      </c>
      <c r="DD61" s="9" t="str">
        <f t="array" ref="DD61">IF(DD$11&gt;=0,MAX(INDEX(MMULT(inverseG,DC$12:DC$62),$A61+1,1),MAX(strike-$B61,0)),"")</f>
        <v/>
      </c>
      <c r="DE61" s="9" t="str">
        <f t="array" ref="DE61">IF(DE$11&gt;=0,MAX(INDEX(MMULT(inverseG,DD$12:DD$62),$A61+1,1),MAX(strike-$B61,0)),"")</f>
        <v/>
      </c>
      <c r="DF61" s="9" t="str">
        <f t="array" ref="DF61">IF(DF$11&gt;=0,MAX(INDEX(MMULT(inverseG,DE$12:DE$62),$A61+1,1),MAX(strike-$B61,0)),"")</f>
        <v/>
      </c>
      <c r="DG61" s="9" t="str">
        <f t="array" ref="DG61">IF(DG$11&gt;=0,MAX(INDEX(MMULT(inverseG,DF$12:DF$62),$A61+1,1),MAX(strike-$B61,0)),"")</f>
        <v/>
      </c>
      <c r="DH61" s="9" t="str">
        <f t="array" ref="DH61">IF(DH$11&gt;=0,MAX(INDEX(MMULT(inverseG,DG$12:DG$62),$A61+1,1),MAX(strike-$B61,0)),"")</f>
        <v/>
      </c>
      <c r="DI61" s="9" t="str">
        <f t="array" ref="DI61">IF(DI$11&gt;=0,MAX(INDEX(MMULT(inverseG,DH$12:DH$62),$A61+1,1),MAX(strike-$B61,0)),"")</f>
        <v/>
      </c>
      <c r="DJ61" s="9" t="str">
        <f t="array" ref="DJ61">IF(DJ$11&gt;=0,MAX(INDEX(MMULT(inverseG,DI$12:DI$62),$A61+1,1),MAX(strike-$B61,0)),"")</f>
        <v/>
      </c>
      <c r="DK61" s="9" t="str">
        <f t="array" ref="DK61">IF(DK$11&gt;=0,MAX(INDEX(MMULT(inverseG,DJ$12:DJ$62),$A61+1,1),MAX(strike-$B61,0)),"")</f>
        <v/>
      </c>
      <c r="DL61" s="9" t="str">
        <f t="array" ref="DL61">IF(DL$11&gt;=0,MAX(INDEX(MMULT(inverseG,DK$12:DK$62),$A61+1,1),MAX(strike-$B61,0)),"")</f>
        <v/>
      </c>
      <c r="DM61" s="9" t="str">
        <f t="array" ref="DM61">IF(DM$11&gt;=0,MAX(INDEX(MMULT(inverseG,DL$12:DL$62),$A61+1,1),MAX(strike-$B61,0)),"")</f>
        <v/>
      </c>
      <c r="DN61" s="9" t="str">
        <f t="array" ref="DN61">IF(DN$11&gt;=0,MAX(INDEX(MMULT(inverseG,DM$12:DM$62),$A61+1,1),MAX(strike-$B61,0)),"")</f>
        <v/>
      </c>
      <c r="DO61" s="9" t="str">
        <f t="array" ref="DO61">IF(DO$11&gt;=0,MAX(INDEX(MMULT(inverseG,DN$12:DN$62),$A61+1,1),MAX(strike-$B61,0)),"")</f>
        <v/>
      </c>
      <c r="DP61" s="9" t="str">
        <f t="array" ref="DP61">IF(DP$11&gt;=0,MAX(INDEX(MMULT(inverseG,DO$12:DO$62),$A61+1,1),MAX(strike-$B61,0)),"")</f>
        <v/>
      </c>
      <c r="DQ61" s="9" t="str">
        <f t="array" ref="DQ61">IF(DQ$11&gt;=0,MAX(INDEX(MMULT(inverseG,DP$12:DP$62),$A61+1,1),MAX(strike-$B61,0)),"")</f>
        <v/>
      </c>
      <c r="DR61" s="9" t="str">
        <f t="array" ref="DR61">IF(DR$11&gt;=0,MAX(INDEX(MMULT(inverseG,DQ$12:DQ$62),$A61+1,1),MAX(strike-$B61,0)),"")</f>
        <v/>
      </c>
      <c r="DS61" s="9" t="str">
        <f t="array" ref="DS61">IF(DS$11&gt;=0,MAX(INDEX(MMULT(inverseG,DR$12:DR$62),$A61+1,1),MAX(strike-$B61,0)),"")</f>
        <v/>
      </c>
      <c r="DT61" s="9" t="str">
        <f t="array" ref="DT61">IF(DT$11&gt;=0,MAX(INDEX(MMULT(inverseG,DS$12:DS$62),$A61+1,1),MAX(strike-$B61,0)),"")</f>
        <v/>
      </c>
      <c r="DU61" s="9" t="str">
        <f t="array" ref="DU61">IF(DU$11&gt;=0,MAX(INDEX(MMULT(inverseG,DT$12:DT$62),$A61+1,1),MAX(strike-$B61,0)),"")</f>
        <v/>
      </c>
      <c r="DV61" s="9" t="str">
        <f t="array" ref="DV61">IF(DV$11&gt;=0,MAX(INDEX(MMULT(inverseG,DU$12:DU$62),$A61+1,1),MAX(strike-$B61,0)),"")</f>
        <v/>
      </c>
      <c r="DW61" s="9" t="str">
        <f t="array" ref="DW61">IF(DW$11&gt;=0,MAX(INDEX(MMULT(inverseG,DV$12:DV$62),$A61+1,1),MAX(strike-$B61,0)),"")</f>
        <v/>
      </c>
      <c r="DX61" s="9" t="str">
        <f t="array" ref="DX61">IF(DX$11&gt;=0,MAX(INDEX(MMULT(inverseG,DW$12:DW$62),$A61+1,1),MAX(strike-$B61,0)),"")</f>
        <v/>
      </c>
      <c r="DY61" s="9" t="str">
        <f t="array" ref="DY61">IF(DY$11&gt;=0,MAX(INDEX(MMULT(inverseG,DX$12:DX$62),$A61+1,1),MAX(strike-$B61,0)),"")</f>
        <v/>
      </c>
      <c r="DZ61" s="9" t="str">
        <f t="array" ref="DZ61">IF(DZ$11&gt;=0,MAX(INDEX(MMULT(inverseG,DY$12:DY$62),$A61+1,1),MAX(strike-$B61,0)),"")</f>
        <v/>
      </c>
      <c r="EA61" s="9" t="str">
        <f t="array" ref="EA61">IF(EA$11&gt;=0,MAX(INDEX(MMULT(inverseG,DZ$12:DZ$62),$A61+1,1),MAX(strike-$B61,0)),"")</f>
        <v/>
      </c>
      <c r="EB61" s="9" t="str">
        <f t="array" ref="EB61">IF(EB$11&gt;=0,MAX(INDEX(MMULT(inverseG,EA$12:EA$62),$A61+1,1),MAX(strike-$B61,0)),"")</f>
        <v/>
      </c>
      <c r="EC61" s="9" t="str">
        <f t="array" ref="EC61">IF(EC$11&gt;=0,MAX(INDEX(MMULT(inverseG,EB$12:EB$62),$A61+1,1),MAX(strike-$B61,0)),"")</f>
        <v/>
      </c>
      <c r="ED61" s="9" t="str">
        <f t="array" ref="ED61">IF(ED$11&gt;=0,MAX(INDEX(MMULT(inverseG,EC$12:EC$62),$A61+1,1),MAX(strike-$B61,0)),"")</f>
        <v/>
      </c>
      <c r="EE61" s="9" t="str">
        <f t="array" ref="EE61">IF(EE$11&gt;=0,MAX(INDEX(MMULT(inverseG,ED$12:ED$62),$A61+1,1),MAX(strike-$B61,0)),"")</f>
        <v/>
      </c>
      <c r="EF61" s="9" t="str">
        <f t="array" ref="EF61">IF(EF$11&gt;=0,MAX(INDEX(MMULT(inverseG,EE$12:EE$62),$A61+1,1),MAX(strike-$B61,0)),"")</f>
        <v/>
      </c>
      <c r="EG61" s="9" t="str">
        <f t="array" ref="EG61">IF(EG$11&gt;=0,MAX(INDEX(MMULT(inverseG,EF$12:EF$62),$A61+1,1),MAX(strike-$B61,0)),"")</f>
        <v/>
      </c>
      <c r="EH61" s="9" t="str">
        <f t="array" ref="EH61">IF(EH$11&gt;=0,MAX(INDEX(MMULT(inverseG,EG$12:EG$62),$A61+1,1),MAX(strike-$B61,0)),"")</f>
        <v/>
      </c>
      <c r="EI61" s="9" t="str">
        <f t="array" ref="EI61">IF(EI$11&gt;=0,MAX(INDEX(MMULT(inverseG,EH$12:EH$62),$A61+1,1),MAX(strike-$B61,0)),"")</f>
        <v/>
      </c>
      <c r="EJ61" s="9" t="str">
        <f t="array" ref="EJ61">IF(EJ$11&gt;=0,MAX(INDEX(MMULT(inverseG,EI$12:EI$62),$A61+1,1),MAX(strike-$B61,0)),"")</f>
        <v/>
      </c>
      <c r="EK61" s="9" t="str">
        <f t="array" ref="EK61">IF(EK$11&gt;=0,MAX(INDEX(MMULT(inverseG,EJ$12:EJ$62),$A61+1,1),MAX(strike-$B61,0)),"")</f>
        <v/>
      </c>
      <c r="EL61" s="9" t="str">
        <f t="array" ref="EL61">IF(EL$11&gt;=0,MAX(INDEX(MMULT(inverseG,EK$12:EK$62),$A61+1,1),MAX(strike-$B61,0)),"")</f>
        <v/>
      </c>
      <c r="EM61" s="9" t="str">
        <f t="array" ref="EM61">IF(EM$11&gt;=0,MAX(INDEX(MMULT(inverseG,EL$12:EL$62),$A61+1,1),MAX(strike-$B61,0)),"")</f>
        <v/>
      </c>
      <c r="EN61" s="9" t="str">
        <f t="array" ref="EN61">IF(EN$11&gt;=0,MAX(INDEX(MMULT(inverseG,EM$12:EM$62),$A61+1,1),MAX(strike-$B61,0)),"")</f>
        <v/>
      </c>
      <c r="EO61" s="9" t="str">
        <f t="array" ref="EO61">IF(EO$11&gt;=0,MAX(INDEX(MMULT(inverseG,EN$12:EN$62),$A61+1,1),MAX(strike-$B61,0)),"")</f>
        <v/>
      </c>
      <c r="EP61" s="9" t="str">
        <f t="array" ref="EP61">IF(EP$11&gt;=0,MAX(INDEX(MMULT(inverseG,EO$12:EO$62),$A61+1,1),MAX(strike-$B61,0)),"")</f>
        <v/>
      </c>
      <c r="EQ61" s="9" t="str">
        <f t="array" ref="EQ61">IF(EQ$11&gt;=0,MAX(INDEX(MMULT(inverseG,EP$12:EP$62),$A61+1,1),MAX(strike-$B61,0)),"")</f>
        <v/>
      </c>
      <c r="ER61" s="9" t="str">
        <f t="array" ref="ER61">IF(ER$11&gt;=0,MAX(INDEX(MMULT(inverseG,EQ$12:EQ$62),$A61+1,1),MAX(strike-$B61,0)),"")</f>
        <v/>
      </c>
      <c r="ES61" s="9" t="str">
        <f t="array" ref="ES61">IF(ES$11&gt;=0,MAX(INDEX(MMULT(inverseG,ER$12:ER$62),$A61+1,1),MAX(strike-$B61,0)),"")</f>
        <v/>
      </c>
      <c r="ET61" s="9" t="str">
        <f t="array" ref="ET61">IF(ET$11&gt;=0,MAX(INDEX(MMULT(inverseG,ES$12:ES$62),$A61+1,1),MAX(strike-$B61,0)),"")</f>
        <v/>
      </c>
      <c r="EU61" s="9" t="str">
        <f t="array" ref="EU61">IF(EU$11&gt;=0,MAX(INDEX(MMULT(inverseG,ET$12:ET$62),$A61+1,1),MAX(strike-$B61,0)),"")</f>
        <v/>
      </c>
      <c r="EV61" s="9" t="str">
        <f t="array" ref="EV61">IF(EV$11&gt;=0,MAX(INDEX(MMULT(inverseG,EU$12:EU$62),$A61+1,1),MAX(strike-$B61,0)),"")</f>
        <v/>
      </c>
      <c r="EW61" s="9" t="str">
        <f t="array" ref="EW61">IF(EW$11&gt;=0,MAX(INDEX(MMULT(inverseG,EV$12:EV$62),$A61+1,1),MAX(strike-$B61,0)),"")</f>
        <v/>
      </c>
      <c r="EX61" s="9" t="str">
        <f t="array" ref="EX61">IF(EX$11&gt;=0,MAX(INDEX(MMULT(inverseG,EW$12:EW$62),$A61+1,1),MAX(strike-$B61,0)),"")</f>
        <v/>
      </c>
      <c r="EY61" s="9" t="str">
        <f t="array" ref="EY61">IF(EY$11&gt;=0,MAX(INDEX(MMULT(inverseG,EX$12:EX$62),$A61+1,1),MAX(strike-$B61,0)),"")</f>
        <v/>
      </c>
      <c r="EZ61" s="9" t="str">
        <f t="array" ref="EZ61">IF(EZ$11&gt;=0,MAX(INDEX(MMULT(inverseG,EY$12:EY$62),$A61+1,1),MAX(strike-$B61,0)),"")</f>
        <v/>
      </c>
      <c r="FA61" s="9" t="str">
        <f t="array" ref="FA61">IF(FA$11&gt;=0,MAX(INDEX(MMULT(inverseG,EZ$12:EZ$62),$A61+1,1),MAX(strike-$B61,0)),"")</f>
        <v/>
      </c>
      <c r="FB61" s="9" t="str">
        <f t="array" ref="FB61">IF(FB$11&gt;=0,MAX(INDEX(MMULT(inverseG,FA$12:FA$62),$A61+1,1),MAX(strike-$B61,0)),"")</f>
        <v/>
      </c>
      <c r="FC61" s="9" t="str">
        <f t="array" ref="FC61">IF(FC$11&gt;=0,MAX(INDEX(MMULT(inverseG,FB$12:FB$62),$A61+1,1),MAX(strike-$B61,0)),"")</f>
        <v/>
      </c>
      <c r="FD61" s="9" t="str">
        <f t="array" ref="FD61">IF(FD$11&gt;=0,MAX(INDEX(MMULT(inverseG,FC$12:FC$62),$A61+1,1),MAX(strike-$B61,0)),"")</f>
        <v/>
      </c>
      <c r="FE61" s="9" t="str">
        <f t="array" ref="FE61">IF(FE$11&gt;=0,MAX(INDEX(MMULT(inverseG,FD$12:FD$62),$A61+1,1),MAX(strike-$B61,0)),"")</f>
        <v/>
      </c>
      <c r="FF61" s="9" t="str">
        <f t="array" ref="FF61">IF(FF$11&gt;=0,MAX(INDEX(MMULT(inverseG,FE$12:FE$62),$A61+1,1),MAX(strike-$B61,0)),"")</f>
        <v/>
      </c>
      <c r="FG61" s="9" t="str">
        <f t="array" ref="FG61">IF(FG$11&gt;=0,MAX(INDEX(MMULT(inverseG,FF$12:FF$62),$A61+1,1),MAX(strike-$B61,0)),"")</f>
        <v/>
      </c>
      <c r="FH61" s="9" t="str">
        <f t="array" ref="FH61">IF(FH$11&gt;=0,MAX(INDEX(MMULT(inverseG,FG$12:FG$62),$A61+1,1),MAX(strike-$B61,0)),"")</f>
        <v/>
      </c>
      <c r="FI61" s="9" t="str">
        <f t="array" ref="FI61">IF(FI$11&gt;=0,MAX(INDEX(MMULT(inverseG,FH$12:FH$62),$A61+1,1),MAX(strike-$B61,0)),"")</f>
        <v/>
      </c>
      <c r="FJ61" s="9" t="str">
        <f t="array" ref="FJ61">IF(FJ$11&gt;=0,MAX(INDEX(MMULT(inverseG,FI$12:FI$62),$A61+1,1),MAX(strike-$B61,0)),"")</f>
        <v/>
      </c>
      <c r="FK61" s="9" t="str">
        <f t="array" ref="FK61">IF(FK$11&gt;=0,MAX(INDEX(MMULT(inverseG,FJ$12:FJ$62),$A61+1,1),MAX(strike-$B61,0)),"")</f>
        <v/>
      </c>
      <c r="FL61" s="9" t="str">
        <f t="array" ref="FL61">IF(FL$11&gt;=0,MAX(INDEX(MMULT(inverseG,FK$12:FK$62),$A61+1,1),MAX(strike-$B61,0)),"")</f>
        <v/>
      </c>
      <c r="FM61" s="9" t="str">
        <f t="array" ref="FM61">IF(FM$11&gt;=0,MAX(INDEX(MMULT(inverseG,FL$12:FL$62),$A61+1,1),MAX(strike-$B61,0)),"")</f>
        <v/>
      </c>
      <c r="FN61" s="9" t="str">
        <f t="array" ref="FN61">IF(FN$11&gt;=0,MAX(INDEX(MMULT(inverseG,FM$12:FM$62),$A61+1,1),MAX(strike-$B61,0)),"")</f>
        <v/>
      </c>
      <c r="FO61" s="9" t="str">
        <f t="array" ref="FO61">IF(FO$11&gt;=0,MAX(INDEX(MMULT(inverseG,FN$12:FN$62),$A61+1,1),MAX(strike-$B61,0)),"")</f>
        <v/>
      </c>
      <c r="FP61" s="9" t="str">
        <f t="array" ref="FP61">IF(FP$11&gt;=0,MAX(INDEX(MMULT(inverseG,FO$12:FO$62),$A61+1,1),MAX(strike-$B61,0)),"")</f>
        <v/>
      </c>
      <c r="FQ61" s="9" t="str">
        <f t="array" ref="FQ61">IF(FQ$11&gt;=0,MAX(INDEX(MMULT(inverseG,FP$12:FP$62),$A61+1,1),MAX(strike-$B61,0)),"")</f>
        <v/>
      </c>
      <c r="FR61" s="9" t="str">
        <f t="array" ref="FR61">IF(FR$11&gt;=0,MAX(INDEX(MMULT(inverseG,FQ$12:FQ$62),$A61+1,1),MAX(strike-$B61,0)),"")</f>
        <v/>
      </c>
      <c r="FS61" s="9" t="str">
        <f t="array" ref="FS61">IF(FS$11&gt;=0,MAX(INDEX(MMULT(inverseG,FR$12:FR$62),$A61+1,1),MAX(strike-$B61,0)),"")</f>
        <v/>
      </c>
      <c r="FT61" s="9" t="str">
        <f t="array" ref="FT61">IF(FT$11&gt;=0,MAX(INDEX(MMULT(inverseG,FS$12:FS$62),$A61+1,1),MAX(strike-$B61,0)),"")</f>
        <v/>
      </c>
      <c r="FU61" s="9" t="str">
        <f t="array" ref="FU61">IF(FU$11&gt;=0,MAX(INDEX(MMULT(inverseG,FT$12:FT$62),$A61+1,1),MAX(strike-$B61,0)),"")</f>
        <v/>
      </c>
      <c r="FV61" s="9" t="str">
        <f t="array" ref="FV61">IF(FV$11&gt;=0,MAX(INDEX(MMULT(inverseG,FU$12:FU$62),$A61+1,1),MAX(strike-$B61,0)),"")</f>
        <v/>
      </c>
      <c r="FW61" s="9" t="str">
        <f t="array" ref="FW61">IF(FW$11&gt;=0,MAX(INDEX(MMULT(inverseG,FV$12:FV$62),$A61+1,1),MAX(strike-$B61,0)),"")</f>
        <v/>
      </c>
      <c r="FX61" s="9" t="str">
        <f t="array" ref="FX61">IF(FX$11&gt;=0,MAX(INDEX(MMULT(inverseG,FW$12:FW$62),$A61+1,1),MAX(strike-$B61,0)),"")</f>
        <v/>
      </c>
      <c r="FY61" s="9" t="str">
        <f t="array" ref="FY61">IF(FY$11&gt;=0,MAX(INDEX(MMULT(inverseG,FX$12:FX$62),$A61+1,1),MAX(strike-$B61,0)),"")</f>
        <v/>
      </c>
      <c r="FZ61" s="9" t="str">
        <f t="array" ref="FZ61">IF(FZ$11&gt;=0,MAX(INDEX(MMULT(inverseG,FY$12:FY$62),$A61+1,1),MAX(strike-$B61,0)),"")</f>
        <v/>
      </c>
      <c r="GA61" s="9" t="str">
        <f t="array" ref="GA61">IF(GA$11&gt;=0,MAX(INDEX(MMULT(inverseG,FZ$12:FZ$62),$A61+1,1),MAX(strike-$B61,0)),"")</f>
        <v/>
      </c>
      <c r="GB61" s="9" t="str">
        <f t="array" ref="GB61">IF(GB$11&gt;=0,MAX(INDEX(MMULT(inverseG,GA$12:GA$62),$A61+1,1),MAX(strike-$B61,0)),"")</f>
        <v/>
      </c>
      <c r="GC61" s="9" t="str">
        <f t="array" ref="GC61">IF(GC$11&gt;=0,MAX(INDEX(MMULT(inverseG,GB$12:GB$62),$A61+1,1),MAX(strike-$B61,0)),"")</f>
        <v/>
      </c>
      <c r="GD61" s="9" t="str">
        <f t="array" ref="GD61">IF(GD$11&gt;=0,MAX(INDEX(MMULT(inverseG,GC$12:GC$62),$A61+1,1),MAX(strike-$B61,0)),"")</f>
        <v/>
      </c>
      <c r="GE61" s="9" t="str">
        <f t="array" ref="GE61">IF(GE$11&gt;=0,MAX(INDEX(MMULT(inverseG,GD$12:GD$62),$A61+1,1),MAX(strike-$B61,0)),"")</f>
        <v/>
      </c>
      <c r="GF61" s="9" t="str">
        <f t="array" ref="GF61">IF(GF$11&gt;=0,MAX(INDEX(MMULT(inverseG,GE$12:GE$62),$A61+1,1),MAX(strike-$B61,0)),"")</f>
        <v/>
      </c>
      <c r="GG61" s="9" t="str">
        <f t="array" ref="GG61">IF(GG$11&gt;=0,MAX(INDEX(MMULT(inverseG,GF$12:GF$62),$A61+1,1),MAX(strike-$B61,0)),"")</f>
        <v/>
      </c>
      <c r="GH61" s="9" t="str">
        <f t="array" ref="GH61">IF(GH$11&gt;=0,MAX(INDEX(MMULT(inverseG,GG$12:GG$62),$A61+1,1),MAX(strike-$B61,0)),"")</f>
        <v/>
      </c>
      <c r="GI61" s="9" t="str">
        <f t="array" ref="GI61">IF(GI$11&gt;=0,MAX(INDEX(MMULT(inverseG,GH$12:GH$62),$A61+1,1),MAX(strike-$B61,0)),"")</f>
        <v/>
      </c>
      <c r="GJ61" s="9" t="str">
        <f t="array" ref="GJ61">IF(GJ$11&gt;=0,MAX(INDEX(MMULT(inverseG,GI$12:GI$62),$A61+1,1),MAX(strike-$B61,0)),"")</f>
        <v/>
      </c>
      <c r="GK61" s="9" t="str">
        <f t="array" ref="GK61">IF(GK$11&gt;=0,MAX(INDEX(MMULT(inverseG,GJ$12:GJ$62),$A61+1,1),MAX(strike-$B61,0)),"")</f>
        <v/>
      </c>
      <c r="GL61" s="9" t="str">
        <f t="array" ref="GL61">IF(GL$11&gt;=0,MAX(INDEX(MMULT(inverseG,GK$12:GK$62),$A61+1,1),MAX(strike-$B61,0)),"")</f>
        <v/>
      </c>
      <c r="GM61" s="9" t="str">
        <f t="array" ref="GM61">IF(GM$11&gt;=0,MAX(INDEX(MMULT(inverseG,GL$12:GL$62),$A61+1,1),MAX(strike-$B61,0)),"")</f>
        <v/>
      </c>
      <c r="GN61" s="9" t="str">
        <f t="array" ref="GN61">IF(GN$11&gt;=0,MAX(INDEX(MMULT(inverseG,GM$12:GM$62),$A61+1,1),MAX(strike-$B61,0)),"")</f>
        <v/>
      </c>
      <c r="GO61" s="9" t="str">
        <f t="array" ref="GO61">IF(GO$11&gt;=0,MAX(INDEX(MMULT(inverseG,GN$12:GN$62),$A61+1,1),MAX(strike-$B61,0)),"")</f>
        <v/>
      </c>
      <c r="GP61" s="9" t="str">
        <f t="array" ref="GP61">IF(GP$11&gt;=0,MAX(INDEX(MMULT(inverseG,GO$12:GO$62),$A61+1,1),MAX(strike-$B61,0)),"")</f>
        <v/>
      </c>
      <c r="GQ61" s="9" t="str">
        <f t="array" ref="GQ61">IF(GQ$11&gt;=0,MAX(INDEX(MMULT(inverseG,GP$12:GP$62),$A61+1,1),MAX(strike-$B61,0)),"")</f>
        <v/>
      </c>
      <c r="GR61" s="9" t="str">
        <f t="array" ref="GR61">IF(GR$11&gt;=0,MAX(INDEX(MMULT(inverseG,GQ$12:GQ$62),$A61+1,1),MAX(strike-$B61,0)),"")</f>
        <v/>
      </c>
      <c r="GS61" s="9" t="str">
        <f t="array" ref="GS61">IF(GS$11&gt;=0,MAX(INDEX(MMULT(inverseG,GR$12:GR$62),$A61+1,1),MAX(strike-$B61,0)),"")</f>
        <v/>
      </c>
      <c r="GT61" s="9" t="str">
        <f t="array" ref="GT61">IF(GT$11&gt;=0,MAX(INDEX(MMULT(inverseG,GS$12:GS$62),$A61+1,1),MAX(strike-$B61,0)),"")</f>
        <v/>
      </c>
      <c r="GU61" s="9" t="str">
        <f t="array" ref="GU61">IF(GU$11&gt;=0,MAX(INDEX(MMULT(inverseG,GT$12:GT$62),$A61+1,1),MAX(strike-$B61,0)),"")</f>
        <v/>
      </c>
      <c r="GV61" s="9" t="str">
        <f t="array" ref="GV61">IF(GV$11&gt;=0,MAX(INDEX(MMULT(inverseG,GU$12:GU$62),$A61+1,1),MAX(strike-$B61,0)),"")</f>
        <v/>
      </c>
      <c r="GW61" s="9" t="str">
        <f t="array" ref="GW61">IF(GW$11&gt;=0,MAX(INDEX(MMULT(inverseG,GV$12:GV$62),$A61+1,1),MAX(strike-$B61,0)),"")</f>
        <v/>
      </c>
      <c r="GX61" s="9" t="str">
        <f t="array" ref="GX61">IF(GX$11&gt;=0,MAX(INDEX(MMULT(inverseG,GW$12:GW$62),$A61+1,1),MAX(strike-$B61,0)),"")</f>
        <v/>
      </c>
      <c r="GY61" s="9" t="str">
        <f t="array" ref="GY61">IF(GY$11&gt;=0,MAX(INDEX(MMULT(inverseG,GX$12:GX$62),$A61+1,1),MAX(strike-$B61,0)),"")</f>
        <v/>
      </c>
      <c r="GZ61" s="9" t="str">
        <f t="array" ref="GZ61">IF(GZ$11&gt;=0,MAX(INDEX(MMULT(inverseG,GY$12:GY$62),$A61+1,1),MAX(strike-$B61,0)),"")</f>
        <v/>
      </c>
      <c r="HA61" s="9" t="str">
        <f t="array" ref="HA61">IF(HA$11&gt;=0,MAX(INDEX(MMULT(inverseG,GZ$12:GZ$62),$A61+1,1),MAX(strike-$B61,0)),"")</f>
        <v/>
      </c>
      <c r="HB61" s="9" t="str">
        <f t="array" ref="HB61">IF(HB$11&gt;=0,MAX(INDEX(MMULT(inverseG,HA$12:HA$62),$A61+1,1),MAX(strike-$B61,0)),"")</f>
        <v/>
      </c>
      <c r="HC61" s="9" t="str">
        <f t="array" ref="HC61">IF(HC$11&gt;=0,MAX(INDEX(MMULT(inverseG,HB$12:HB$62),$A61+1,1),MAX(strike-$B61,0)),"")</f>
        <v/>
      </c>
      <c r="HD61" s="9" t="str">
        <f t="array" ref="HD61">IF(HD$11&gt;=0,MAX(INDEX(MMULT(inverseG,HC$12:HC$62),$A61+1,1),MAX(strike-$B61,0)),"")</f>
        <v/>
      </c>
      <c r="HE61" s="9" t="str">
        <f t="array" ref="HE61">IF(HE$11&gt;=0,MAX(INDEX(MMULT(inverseG,HD$12:HD$62),$A61+1,1),MAX(strike-$B61,0)),"")</f>
        <v/>
      </c>
      <c r="HF61" s="9" t="str">
        <f t="array" ref="HF61">IF(HF$11&gt;=0,MAX(INDEX(MMULT(inverseG,HE$12:HE$62),$A61+1,1),MAX(strike-$B61,0)),"")</f>
        <v/>
      </c>
      <c r="HG61" s="9" t="str">
        <f t="array" ref="HG61">IF(HG$11&gt;=0,MAX(INDEX(MMULT(inverseG,HF$12:HF$62),$A61+1,1),MAX(strike-$B61,0)),"")</f>
        <v/>
      </c>
      <c r="HH61" s="9" t="str">
        <f t="array" ref="HH61">IF(HH$11&gt;=0,MAX(INDEX(MMULT(inverseG,HG$12:HG$62),$A61+1,1),MAX(strike-$B61,0)),"")</f>
        <v/>
      </c>
      <c r="HI61" s="9" t="str">
        <f t="array" ref="HI61">IF(HI$11&gt;=0,MAX(INDEX(MMULT(inverseG,HH$12:HH$62),$A61+1,1),MAX(strike-$B61,0)),"")</f>
        <v/>
      </c>
      <c r="HJ61" s="9" t="str">
        <f t="array" ref="HJ61">IF(HJ$11&gt;=0,MAX(INDEX(MMULT(inverseG,HI$12:HI$62),$A61+1,1),MAX(strike-$B61,0)),"")</f>
        <v/>
      </c>
      <c r="HK61" s="9" t="str">
        <f t="array" ref="HK61">IF(HK$11&gt;=0,MAX(INDEX(MMULT(inverseG,HJ$12:HJ$62),$A61+1,1),MAX(strike-$B61,0)),"")</f>
        <v/>
      </c>
      <c r="HL61" s="9" t="str">
        <f t="array" ref="HL61">IF(HL$11&gt;=0,MAX(INDEX(MMULT(inverseG,HK$12:HK$62),$A61+1,1),MAX(strike-$B61,0)),"")</f>
        <v/>
      </c>
      <c r="HM61" s="9" t="str">
        <f t="array" ref="HM61">IF(HM$11&gt;=0,MAX(INDEX(MMULT(inverseG,HL$12:HL$62),$A61+1,1),MAX(strike-$B61,0)),"")</f>
        <v/>
      </c>
      <c r="HN61" s="9" t="str">
        <f t="array" ref="HN61">IF(HN$11&gt;=0,MAX(INDEX(MMULT(inverseG,HM$12:HM$62),$A61+1,1),MAX(strike-$B61,0)),"")</f>
        <v/>
      </c>
      <c r="HO61" s="9" t="str">
        <f t="array" ref="HO61">IF(HO$11&gt;=0,MAX(INDEX(MMULT(inverseG,HN$12:HN$62),$A61+1,1),MAX(strike-$B61,0)),"")</f>
        <v/>
      </c>
      <c r="HP61" s="9" t="str">
        <f t="array" ref="HP61">IF(HP$11&gt;=0,MAX(INDEX(MMULT(inverseG,HO$12:HO$62),$A61+1,1),MAX(strike-$B61,0)),"")</f>
        <v/>
      </c>
      <c r="HQ61" s="9" t="str">
        <f t="array" ref="HQ61">IF(HQ$11&gt;=0,MAX(INDEX(MMULT(inverseG,HP$12:HP$62),$A61+1,1),MAX(strike-$B61,0)),"")</f>
        <v/>
      </c>
      <c r="HR61" s="9" t="str">
        <f t="array" ref="HR61">IF(HR$11&gt;=0,MAX(INDEX(MMULT(inverseG,HQ$12:HQ$62),$A61+1,1),MAX(strike-$B61,0)),"")</f>
        <v/>
      </c>
      <c r="HS61" s="9" t="str">
        <f t="array" ref="HS61">IF(HS$11&gt;=0,MAX(INDEX(MMULT(inverseG,HR$12:HR$62),$A61+1,1),MAX(strike-$B61,0)),"")</f>
        <v/>
      </c>
      <c r="HT61" s="9" t="str">
        <f t="array" ref="HT61">IF(HT$11&gt;=0,MAX(INDEX(MMULT(inverseG,HS$12:HS$62),$A61+1,1),MAX(strike-$B61,0)),"")</f>
        <v/>
      </c>
      <c r="HU61" s="9" t="str">
        <f t="array" ref="HU61">IF(HU$11&gt;=0,MAX(INDEX(MMULT(inverseG,HT$12:HT$62),$A61+1,1),MAX(strike-$B61,0)),"")</f>
        <v/>
      </c>
      <c r="HV61" s="9" t="str">
        <f t="array" ref="HV61">IF(HV$11&gt;=0,MAX(INDEX(MMULT(inverseG,HU$12:HU$62),$A61+1,1),MAX(strike-$B61,0)),"")</f>
        <v/>
      </c>
      <c r="HW61" s="9" t="str">
        <f t="array" ref="HW61">IF(HW$11&gt;=0,MAX(INDEX(MMULT(inverseG,HV$12:HV$62),$A61+1,1),MAX(strike-$B61,0)),"")</f>
        <v/>
      </c>
      <c r="HX61" s="9" t="str">
        <f t="array" ref="HX61">IF(HX$11&gt;=0,MAX(INDEX(MMULT(inverseG,HW$12:HW$62),$A61+1,1),MAX(strike-$B61,0)),"")</f>
        <v/>
      </c>
      <c r="HY61" s="9" t="str">
        <f t="array" ref="HY61">IF(HY$11&gt;=0,MAX(INDEX(MMULT(inverseG,HX$12:HX$62),$A61+1,1),MAX(strike-$B61,0)),"")</f>
        <v/>
      </c>
      <c r="HZ61" s="9" t="str">
        <f t="array" ref="HZ61">IF(HZ$11&gt;=0,MAX(INDEX(MMULT(inverseG,HY$12:HY$62),$A61+1,1),MAX(strike-$B61,0)),"")</f>
        <v/>
      </c>
      <c r="IA61" s="9" t="str">
        <f t="array" ref="IA61">IF(IA$11&gt;=0,MAX(INDEX(MMULT(inverseG,HZ$12:HZ$62),$A61+1,1),MAX(strike-$B61,0)),"")</f>
        <v/>
      </c>
      <c r="IB61" s="9" t="str">
        <f t="array" ref="IB61">IF(IB$11&gt;=0,MAX(INDEX(MMULT(inverseG,IA$12:IA$62),$A61+1,1),MAX(strike-$B61,0)),"")</f>
        <v/>
      </c>
      <c r="IC61" s="9" t="str">
        <f t="array" ref="IC61">IF(IC$11&gt;=0,MAX(INDEX(MMULT(inverseG,IB$12:IB$62),$A61+1,1),MAX(strike-$B61,0)),"")</f>
        <v/>
      </c>
      <c r="ID61" s="9" t="str">
        <f t="array" ref="ID61">IF(ID$11&gt;=0,MAX(INDEX(MMULT(inverseG,IC$12:IC$62),$A61+1,1),MAX(strike-$B61,0)),"")</f>
        <v/>
      </c>
      <c r="IE61" s="9" t="str">
        <f t="array" ref="IE61">IF(IE$11&gt;=0,MAX(INDEX(MMULT(inverseG,ID$12:ID$62),$A61+1,1),MAX(strike-$B61,0)),"")</f>
        <v/>
      </c>
      <c r="IF61" s="9" t="str">
        <f t="array" ref="IF61">IF(IF$11&gt;=0,MAX(INDEX(MMULT(inverseG,IE$12:IE$62),$A61+1,1),MAX(strike-$B61,0)),"")</f>
        <v/>
      </c>
      <c r="IG61" s="9" t="str">
        <f t="array" ref="IG61">IF(IG$11&gt;=0,MAX(INDEX(MMULT(inverseG,IF$12:IF$62),$A61+1,1),MAX(strike-$B61,0)),"")</f>
        <v/>
      </c>
      <c r="IH61" s="9" t="str">
        <f t="array" ref="IH61">IF(IH$11&gt;=0,MAX(INDEX(MMULT(inverseG,IG$12:IG$62),$A61+1,1),MAX(strike-$B61,0)),"")</f>
        <v/>
      </c>
      <c r="II61" s="9" t="str">
        <f t="array" ref="II61">IF(II$11&gt;=0,MAX(INDEX(MMULT(inverseG,IH$12:IH$62),$A61+1,1),MAX(strike-$B61,0)),"")</f>
        <v/>
      </c>
      <c r="IJ61" s="9" t="str">
        <f t="array" ref="IJ61">IF(IJ$11&gt;=0,MAX(INDEX(MMULT(inverseG,II$12:II$62),$A61+1,1),MAX(strike-$B61,0)),"")</f>
        <v/>
      </c>
      <c r="IK61" s="9" t="str">
        <f t="array" ref="IK61">IF(IK$11&gt;=0,MAX(INDEX(MMULT(inverseG,IJ$12:IJ$62),$A61+1,1),MAX(strike-$B61,0)),"")</f>
        <v/>
      </c>
      <c r="IL61" s="9" t="str">
        <f t="array" ref="IL61">IF(IL$11&gt;=0,MAX(INDEX(MMULT(inverseG,IK$12:IK$62),$A61+1,1),MAX(strike-$B61,0)),"")</f>
        <v/>
      </c>
      <c r="IM61" s="9" t="str">
        <f t="array" ref="IM61">IF(IM$11&gt;=0,MAX(INDEX(MMULT(inverseG,IL$12:IL$62),$A61+1,1),MAX(strike-$B61,0)),"")</f>
        <v/>
      </c>
      <c r="IN61" s="9" t="str">
        <f t="array" ref="IN61">IF(IN$11&gt;=0,MAX(INDEX(MMULT(inverseG,IM$12:IM$62),$A61+1,1),MAX(strike-$B61,0)),"")</f>
        <v/>
      </c>
      <c r="IO61" s="9" t="str">
        <f t="array" ref="IO61">IF(IO$11&gt;=0,MAX(INDEX(MMULT(inverseG,IN$12:IN$62),$A61+1,1),MAX(strike-$B61,0)),"")</f>
        <v/>
      </c>
      <c r="IP61" s="9" t="str">
        <f t="array" ref="IP61">IF(IP$11&gt;=0,MAX(INDEX(MMULT(inverseG,IO$12:IO$62),$A61+1,1),MAX(strike-$B61,0)),"")</f>
        <v/>
      </c>
      <c r="IQ61" s="9" t="str">
        <f t="array" ref="IQ61">IF(IQ$11&gt;=0,MAX(INDEX(MMULT(inverseG,IP$12:IP$62),$A61+1,1),MAX(strike-$B61,0)),"")</f>
        <v/>
      </c>
      <c r="IR61" s="9" t="str">
        <f t="array" ref="IR61">IF(IR$11&gt;=0,MAX(INDEX(MMULT(inverseG,IQ$12:IQ$62),$A61+1,1),MAX(strike-$B61,0)),"")</f>
        <v/>
      </c>
      <c r="IS61" s="9" t="str">
        <f t="array" ref="IS61">IF(IS$11&gt;=0,MAX(INDEX(MMULT(inverseG,IR$12:IR$62),$A61+1,1),MAX(strike-$B61,0)),"")</f>
        <v/>
      </c>
      <c r="IT61" s="9" t="str">
        <f t="array" ref="IT61">IF(IT$11&gt;=0,MAX(INDEX(MMULT(inverseG,IS$12:IS$62),$A61+1,1),MAX(strike-$B61,0)),"")</f>
        <v/>
      </c>
      <c r="IU61" s="9" t="str">
        <f t="array" ref="IU61">IF(IU$11&gt;=0,MAX(INDEX(MMULT(inverseG,IT$12:IT$62),$A61+1,1),MAX(strike-$B61,0)),"")</f>
        <v/>
      </c>
      <c r="IV61" s="9" t="str">
        <f t="array" ref="IV61">IF(IV$11&gt;=0,MAX(INDEX(MMULT(inverseG,IU$12:IU$62),$A61+1,1),MAX(strike-$B61,0)),"")</f>
        <v/>
      </c>
    </row>
    <row r="62" spans="1:256" ht="13.5" thickBot="1" x14ac:dyDescent="0.25">
      <c r="A62" s="8">
        <f t="shared" si="7"/>
        <v>50</v>
      </c>
      <c r="B62" s="6">
        <f t="shared" si="8"/>
        <v>12.5</v>
      </c>
      <c r="C62" s="31">
        <f t="shared" ca="1" si="6"/>
        <v>0</v>
      </c>
      <c r="D62" s="9">
        <f t="shared" si="9"/>
        <v>0</v>
      </c>
      <c r="E62" s="9">
        <f t="array" ref="E62">IF(E$11&gt;=0,MAX(INDEX(MMULT(inverseG,D$12:D$62),$A62+1,1),MAX(strike-$B62,0)),"")</f>
        <v>0</v>
      </c>
      <c r="F62" s="9">
        <f t="array" ref="F62">IF(F$11&gt;=0,MAX(INDEX(MMULT(inverseG,E$12:E$62),$A62+1,1),MAX(strike-$B62,0)),"")</f>
        <v>0</v>
      </c>
      <c r="G62" s="9">
        <f t="array" ref="G62">IF(G$11&gt;=0,MAX(INDEX(MMULT(inverseG,F$12:F$62),$A62+1,1),MAX(strike-$B62,0)),"")</f>
        <v>0</v>
      </c>
      <c r="H62" s="9">
        <f t="array" ref="H62">IF(H$11&gt;=0,MAX(INDEX(MMULT(inverseG,G$12:G$62),$A62+1,1),MAX(strike-$B62,0)),"")</f>
        <v>0</v>
      </c>
      <c r="I62" s="9">
        <f t="array" ref="I62">IF(I$11&gt;=0,MAX(INDEX(MMULT(inverseG,H$12:H$62),$A62+1,1),MAX(strike-$B62,0)),"")</f>
        <v>0</v>
      </c>
      <c r="J62" s="9">
        <f t="array" ref="J62">IF(J$11&gt;=0,MAX(INDEX(MMULT(inverseG,I$12:I$62),$A62+1,1),MAX(strike-$B62,0)),"")</f>
        <v>0</v>
      </c>
      <c r="K62" s="9">
        <f t="array" ref="K62">IF(K$11&gt;=0,MAX(INDEX(MMULT(inverseG,J$12:J$62),$A62+1,1),MAX(strike-$B62,0)),"")</f>
        <v>0</v>
      </c>
      <c r="L62" s="9">
        <f t="array" ref="L62">IF(L$11&gt;=0,MAX(INDEX(MMULT(inverseG,K$12:K$62),$A62+1,1),MAX(strike-$B62,0)),"")</f>
        <v>0</v>
      </c>
      <c r="M62" s="9">
        <f t="array" ref="M62">IF(M$11&gt;=0,MAX(INDEX(MMULT(inverseG,L$12:L$62),$A62+1,1),MAX(strike-$B62,0)),"")</f>
        <v>0</v>
      </c>
      <c r="N62" s="9">
        <f t="array" ref="N62">IF(N$11&gt;=0,MAX(INDEX(MMULT(inverseG,M$12:M$62),$A62+1,1),MAX(strike-$B62,0)),"")</f>
        <v>0</v>
      </c>
      <c r="O62" s="9">
        <f t="array" ref="O62">IF(O$11&gt;=0,MAX(INDEX(MMULT(inverseG,N$12:N$62),$A62+1,1),MAX(strike-$B62,0)),"")</f>
        <v>0</v>
      </c>
      <c r="P62" s="9">
        <f t="array" ref="P62">IF(P$11&gt;=0,MAX(INDEX(MMULT(inverseG,O$12:O$62),$A62+1,1),MAX(strike-$B62,0)),"")</f>
        <v>0</v>
      </c>
      <c r="Q62" s="9">
        <f t="array" ref="Q62">IF(Q$11&gt;=0,MAX(INDEX(MMULT(inverseG,P$12:P$62),$A62+1,1),MAX(strike-$B62,0)),"")</f>
        <v>0</v>
      </c>
      <c r="R62" s="9">
        <f t="array" ref="R62">IF(R$11&gt;=0,MAX(INDEX(MMULT(inverseG,Q$12:Q$62),$A62+1,1),MAX(strike-$B62,0)),"")</f>
        <v>0</v>
      </c>
      <c r="S62" s="9">
        <f t="array" ref="S62">IF(S$11&gt;=0,MAX(INDEX(MMULT(inverseG,R$12:R$62),$A62+1,1),MAX(strike-$B62,0)),"")</f>
        <v>0</v>
      </c>
      <c r="T62" s="9">
        <f t="array" ref="T62">IF(T$11&gt;=0,MAX(INDEX(MMULT(inverseG,S$12:S$62),$A62+1,1),MAX(strike-$B62,0)),"")</f>
        <v>0</v>
      </c>
      <c r="U62" s="9">
        <f t="array" ref="U62">IF(U$11&gt;=0,MAX(INDEX(MMULT(inverseG,T$12:T$62),$A62+1,1),MAX(strike-$B62,0)),"")</f>
        <v>0</v>
      </c>
      <c r="V62" s="9">
        <f t="array" ref="V62">IF(V$11&gt;=0,MAX(INDEX(MMULT(inverseG,U$12:U$62),$A62+1,1),MAX(strike-$B62,0)),"")</f>
        <v>0</v>
      </c>
      <c r="W62" s="9">
        <f t="array" ref="W62">IF(W$11&gt;=0,MAX(INDEX(MMULT(inverseG,V$12:V$62),$A62+1,1),MAX(strike-$B62,0)),"")</f>
        <v>0</v>
      </c>
      <c r="X62" s="9">
        <f t="array" ref="X62">IF(X$11&gt;=0,MAX(INDEX(MMULT(inverseG,W$12:W$62),$A62+1,1),MAX(strike-$B62,0)),"")</f>
        <v>0</v>
      </c>
      <c r="Y62" s="9">
        <f t="array" ref="Y62">IF(Y$11&gt;=0,MAX(INDEX(MMULT(inverseG,X$12:X$62),$A62+1,1),MAX(strike-$B62,0)),"")</f>
        <v>0</v>
      </c>
      <c r="Z62" s="9">
        <f t="array" ref="Z62">IF(Z$11&gt;=0,MAX(INDEX(MMULT(inverseG,Y$12:Y$62),$A62+1,1),MAX(strike-$B62,0)),"")</f>
        <v>0</v>
      </c>
      <c r="AA62" s="9">
        <f t="array" ref="AA62">IF(AA$11&gt;=0,MAX(INDEX(MMULT(inverseG,Z$12:Z$62),$A62+1,1),MAX(strike-$B62,0)),"")</f>
        <v>0</v>
      </c>
      <c r="AB62" s="9">
        <f t="array" ref="AB62">IF(AB$11&gt;=0,MAX(INDEX(MMULT(inverseG,AA$12:AA$62),$A62+1,1),MAX(strike-$B62,0)),"")</f>
        <v>0</v>
      </c>
      <c r="AC62" s="9">
        <f t="array" ref="AC62">IF(AC$11&gt;=0,MAX(INDEX(MMULT(inverseG,AB$12:AB$62),$A62+1,1),MAX(strike-$B62,0)),"")</f>
        <v>0</v>
      </c>
      <c r="AD62" s="9">
        <f t="array" ref="AD62">IF(AD$11&gt;=0,MAX(INDEX(MMULT(inverseG,AC$12:AC$62),$A62+1,1),MAX(strike-$B62,0)),"")</f>
        <v>0</v>
      </c>
      <c r="AE62" s="9">
        <f t="array" ref="AE62">IF(AE$11&gt;=0,MAX(INDEX(MMULT(inverseG,AD$12:AD$62),$A62+1,1),MAX(strike-$B62,0)),"")</f>
        <v>0</v>
      </c>
      <c r="AF62" s="9">
        <f t="array" ref="AF62">IF(AF$11&gt;=0,MAX(INDEX(MMULT(inverseG,AE$12:AE$62),$A62+1,1),MAX(strike-$B62,0)),"")</f>
        <v>0</v>
      </c>
      <c r="AG62" s="9">
        <f t="array" ref="AG62">IF(AG$11&gt;=0,MAX(INDEX(MMULT(inverseG,AF$12:AF$62),$A62+1,1),MAX(strike-$B62,0)),"")</f>
        <v>0</v>
      </c>
      <c r="AH62" s="9">
        <f t="array" ref="AH62">IF(AH$11&gt;=0,MAX(INDEX(MMULT(inverseG,AG$12:AG$62),$A62+1,1),MAX(strike-$B62,0)),"")</f>
        <v>0</v>
      </c>
      <c r="AI62" s="9">
        <f t="array" ref="AI62">IF(AI$11&gt;=0,MAX(INDEX(MMULT(inverseG,AH$12:AH$62),$A62+1,1),MAX(strike-$B62,0)),"")</f>
        <v>0</v>
      </c>
      <c r="AJ62" s="9">
        <f t="array" ref="AJ62">IF(AJ$11&gt;=0,MAX(INDEX(MMULT(inverseG,AI$12:AI$62),$A62+1,1),MAX(strike-$B62,0)),"")</f>
        <v>0</v>
      </c>
      <c r="AK62" s="9">
        <f t="array" ref="AK62">IF(AK$11&gt;=0,MAX(INDEX(MMULT(inverseG,AJ$12:AJ$62),$A62+1,1),MAX(strike-$B62,0)),"")</f>
        <v>0</v>
      </c>
      <c r="AL62" s="9">
        <f t="array" ref="AL62">IF(AL$11&gt;=0,MAX(INDEX(MMULT(inverseG,AK$12:AK$62),$A62+1,1),MAX(strike-$B62,0)),"")</f>
        <v>0</v>
      </c>
      <c r="AM62" s="9">
        <f t="array" ref="AM62">IF(AM$11&gt;=0,MAX(INDEX(MMULT(inverseG,AL$12:AL$62),$A62+1,1),MAX(strike-$B62,0)),"")</f>
        <v>0</v>
      </c>
      <c r="AN62" s="9">
        <f t="array" ref="AN62">IF(AN$11&gt;=0,MAX(INDEX(MMULT(inverseG,AM$12:AM$62),$A62+1,1),MAX(strike-$B62,0)),"")</f>
        <v>0</v>
      </c>
      <c r="AO62" s="9">
        <f t="array" ref="AO62">IF(AO$11&gt;=0,MAX(INDEX(MMULT(inverseG,AN$12:AN$62),$A62+1,1),MAX(strike-$B62,0)),"")</f>
        <v>0</v>
      </c>
      <c r="AP62" s="9">
        <f t="array" ref="AP62">IF(AP$11&gt;=0,MAX(INDEX(MMULT(inverseG,AO$12:AO$62),$A62+1,1),MAX(strike-$B62,0)),"")</f>
        <v>0</v>
      </c>
      <c r="AQ62" s="9">
        <f t="array" ref="AQ62">IF(AQ$11&gt;=0,MAX(INDEX(MMULT(inverseG,AP$12:AP$62),$A62+1,1),MAX(strike-$B62,0)),"")</f>
        <v>0</v>
      </c>
      <c r="AR62" s="9">
        <f t="array" ref="AR62">IF(AR$11&gt;=0,MAX(INDEX(MMULT(inverseG,AQ$12:AQ$62),$A62+1,1),MAX(strike-$B62,0)),"")</f>
        <v>0</v>
      </c>
      <c r="AS62" s="9">
        <f t="array" ref="AS62">IF(AS$11&gt;=0,MAX(INDEX(MMULT(inverseG,AR$12:AR$62),$A62+1,1),MAX(strike-$B62,0)),"")</f>
        <v>0</v>
      </c>
      <c r="AT62" s="9">
        <f t="array" ref="AT62">IF(AT$11&gt;=0,MAX(INDEX(MMULT(inverseG,AS$12:AS$62),$A62+1,1),MAX(strike-$B62,0)),"")</f>
        <v>0</v>
      </c>
      <c r="AU62" s="9">
        <f t="array" ref="AU62">IF(AU$11&gt;=0,MAX(INDEX(MMULT(inverseG,AT$12:AT$62),$A62+1,1),MAX(strike-$B62,0)),"")</f>
        <v>0</v>
      </c>
      <c r="AV62" s="9">
        <f t="array" ref="AV62">IF(AV$11&gt;=0,MAX(INDEX(MMULT(inverseG,AU$12:AU$62),$A62+1,1),MAX(strike-$B62,0)),"")</f>
        <v>0</v>
      </c>
      <c r="AW62" s="9">
        <f t="array" ref="AW62">IF(AW$11&gt;=0,MAX(INDEX(MMULT(inverseG,AV$12:AV$62),$A62+1,1),MAX(strike-$B62,0)),"")</f>
        <v>0</v>
      </c>
      <c r="AX62" s="9">
        <f t="array" ref="AX62">IF(AX$11&gt;=0,MAX(INDEX(MMULT(inverseG,AW$12:AW$62),$A62+1,1),MAX(strike-$B62,0)),"")</f>
        <v>0</v>
      </c>
      <c r="AY62" s="9">
        <f t="array" ref="AY62">IF(AY$11&gt;=0,MAX(INDEX(MMULT(inverseG,AX$12:AX$62),$A62+1,1),MAX(strike-$B62,0)),"")</f>
        <v>0</v>
      </c>
      <c r="AZ62" s="9">
        <f t="array" ref="AZ62">IF(AZ$11&gt;=0,MAX(INDEX(MMULT(inverseG,AY$12:AY$62),$A62+1,1),MAX(strike-$B62,0)),"")</f>
        <v>0</v>
      </c>
      <c r="BA62" s="9">
        <f t="array" ref="BA62">IF(BA$11&gt;=0,MAX(INDEX(MMULT(inverseG,AZ$12:AZ$62),$A62+1,1),MAX(strike-$B62,0)),"")</f>
        <v>0</v>
      </c>
      <c r="BB62" s="9">
        <f t="array" ref="BB62">IF(BB$11&gt;=0,MAX(INDEX(MMULT(inverseG,BA$12:BA$62),$A62+1,1),MAX(strike-$B62,0)),"")</f>
        <v>0</v>
      </c>
      <c r="BC62" s="9">
        <f t="array" ref="BC62">IF(BC$11&gt;=0,MAX(INDEX(MMULT(inverseG,BB$12:BB$62),$A62+1,1),MAX(strike-$B62,0)),"")</f>
        <v>0</v>
      </c>
      <c r="BD62" s="9">
        <f t="array" ref="BD62">IF(BD$11&gt;=0,MAX(INDEX(MMULT(inverseG,BC$12:BC$62),$A62+1,1),MAX(strike-$B62,0)),"")</f>
        <v>0</v>
      </c>
      <c r="BE62" s="9">
        <f t="array" ref="BE62">IF(BE$11&gt;=0,MAX(INDEX(MMULT(inverseG,BD$12:BD$62),$A62+1,1),MAX(strike-$B62,0)),"")</f>
        <v>0</v>
      </c>
      <c r="BF62" s="9">
        <f t="array" ref="BF62">IF(BF$11&gt;=0,MAX(INDEX(MMULT(inverseG,BE$12:BE$62),$A62+1,1),MAX(strike-$B62,0)),"")</f>
        <v>0</v>
      </c>
      <c r="BG62" s="9">
        <f t="array" ref="BG62">IF(BG$11&gt;=0,MAX(INDEX(MMULT(inverseG,BF$12:BF$62),$A62+1,1),MAX(strike-$B62,0)),"")</f>
        <v>0</v>
      </c>
      <c r="BH62" s="9">
        <f t="array" ref="BH62">IF(BH$11&gt;=0,MAX(INDEX(MMULT(inverseG,BG$12:BG$62),$A62+1,1),MAX(strike-$B62,0)),"")</f>
        <v>0</v>
      </c>
      <c r="BI62" s="9">
        <f t="array" ref="BI62">IF(BI$11&gt;=0,MAX(INDEX(MMULT(inverseG,BH$12:BH$62),$A62+1,1),MAX(strike-$B62,0)),"")</f>
        <v>0</v>
      </c>
      <c r="BJ62" s="9">
        <f t="array" ref="BJ62">IF(BJ$11&gt;=0,MAX(INDEX(MMULT(inverseG,BI$12:BI$62),$A62+1,1),MAX(strike-$B62,0)),"")</f>
        <v>0</v>
      </c>
      <c r="BK62" s="9">
        <f t="array" ref="BK62">IF(BK$11&gt;=0,MAX(INDEX(MMULT(inverseG,BJ$12:BJ$62),$A62+1,1),MAX(strike-$B62,0)),"")</f>
        <v>0</v>
      </c>
      <c r="BL62" s="9">
        <f t="array" ref="BL62">IF(BL$11&gt;=0,MAX(INDEX(MMULT(inverseG,BK$12:BK$62),$A62+1,1),MAX(strike-$B62,0)),"")</f>
        <v>0</v>
      </c>
      <c r="BM62" s="9">
        <f t="array" ref="BM62">IF(BM$11&gt;=0,MAX(INDEX(MMULT(inverseG,BL$12:BL$62),$A62+1,1),MAX(strike-$B62,0)),"")</f>
        <v>0</v>
      </c>
      <c r="BN62" s="9">
        <f t="array" ref="BN62">IF(BN$11&gt;=0,MAX(INDEX(MMULT(inverseG,BM$12:BM$62),$A62+1,1),MAX(strike-$B62,0)),"")</f>
        <v>0</v>
      </c>
      <c r="BO62" s="9">
        <f t="array" ref="BO62">IF(BO$11&gt;=0,MAX(INDEX(MMULT(inverseG,BN$12:BN$62),$A62+1,1),MAX(strike-$B62,0)),"")</f>
        <v>0</v>
      </c>
      <c r="BP62" s="9">
        <f t="array" ref="BP62">IF(BP$11&gt;=0,MAX(INDEX(MMULT(inverseG,BO$12:BO$62),$A62+1,1),MAX(strike-$B62,0)),"")</f>
        <v>0</v>
      </c>
      <c r="BQ62" s="9">
        <f t="array" ref="BQ62">IF(BQ$11&gt;=0,MAX(INDEX(MMULT(inverseG,BP$12:BP$62),$A62+1,1),MAX(strike-$B62,0)),"")</f>
        <v>0</v>
      </c>
      <c r="BR62" s="9">
        <f t="array" ref="BR62">IF(BR$11&gt;=0,MAX(INDEX(MMULT(inverseG,BQ$12:BQ$62),$A62+1,1),MAX(strike-$B62,0)),"")</f>
        <v>0</v>
      </c>
      <c r="BS62" s="9">
        <f t="array" ref="BS62">IF(BS$11&gt;=0,MAX(INDEX(MMULT(inverseG,BR$12:BR$62),$A62+1,1),MAX(strike-$B62,0)),"")</f>
        <v>0</v>
      </c>
      <c r="BT62" s="9">
        <f t="array" ref="BT62">IF(BT$11&gt;=0,MAX(INDEX(MMULT(inverseG,BS$12:BS$62),$A62+1,1),MAX(strike-$B62,0)),"")</f>
        <v>0</v>
      </c>
      <c r="BU62" s="9">
        <f t="array" ref="BU62">IF(BU$11&gt;=0,MAX(INDEX(MMULT(inverseG,BT$12:BT$62),$A62+1,1),MAX(strike-$B62,0)),"")</f>
        <v>0</v>
      </c>
      <c r="BV62" s="9">
        <f t="array" ref="BV62">IF(BV$11&gt;=0,MAX(INDEX(MMULT(inverseG,BU$12:BU$62),$A62+1,1),MAX(strike-$B62,0)),"")</f>
        <v>0</v>
      </c>
      <c r="BW62" s="9">
        <f t="array" ref="BW62">IF(BW$11&gt;=0,MAX(INDEX(MMULT(inverseG,BV$12:BV$62),$A62+1,1),MAX(strike-$B62,0)),"")</f>
        <v>0</v>
      </c>
      <c r="BX62" s="9">
        <f t="array" ref="BX62">IF(BX$11&gt;=0,MAX(INDEX(MMULT(inverseG,BW$12:BW$62),$A62+1,1),MAX(strike-$B62,0)),"")</f>
        <v>0</v>
      </c>
      <c r="BY62" s="9">
        <f t="array" ref="BY62">IF(BY$11&gt;=0,MAX(INDEX(MMULT(inverseG,BX$12:BX$62),$A62+1,1),MAX(strike-$B62,0)),"")</f>
        <v>0</v>
      </c>
      <c r="BZ62" s="9">
        <f t="array" ref="BZ62">IF(BZ$11&gt;=0,MAX(INDEX(MMULT(inverseG,BY$12:BY$62),$A62+1,1),MAX(strike-$B62,0)),"")</f>
        <v>0</v>
      </c>
      <c r="CA62" s="9">
        <f t="array" ref="CA62">IF(CA$11&gt;=0,MAX(INDEX(MMULT(inverseG,BZ$12:BZ$62),$A62+1,1),MAX(strike-$B62,0)),"")</f>
        <v>0</v>
      </c>
      <c r="CB62" s="9">
        <f t="array" ref="CB62">IF(CB$11&gt;=0,MAX(INDEX(MMULT(inverseG,CA$12:CA$62),$A62+1,1),MAX(strike-$B62,0)),"")</f>
        <v>0</v>
      </c>
      <c r="CC62" s="9">
        <f t="array" ref="CC62">IF(CC$11&gt;=0,MAX(INDEX(MMULT(inverseG,CB$12:CB$62),$A62+1,1),MAX(strike-$B62,0)),"")</f>
        <v>0</v>
      </c>
      <c r="CD62" s="9">
        <f t="array" ref="CD62">IF(CD$11&gt;=0,MAX(INDEX(MMULT(inverseG,CC$12:CC$62),$A62+1,1),MAX(strike-$B62,0)),"")</f>
        <v>0</v>
      </c>
      <c r="CE62" s="9">
        <f t="array" ref="CE62">IF(CE$11&gt;=0,MAX(INDEX(MMULT(inverseG,CD$12:CD$62),$A62+1,1),MAX(strike-$B62,0)),"")</f>
        <v>0</v>
      </c>
      <c r="CF62" s="9">
        <f t="array" ref="CF62">IF(CF$11&gt;=0,MAX(INDEX(MMULT(inverseG,CE$12:CE$62),$A62+1,1),MAX(strike-$B62,0)),"")</f>
        <v>0</v>
      </c>
      <c r="CG62" s="9">
        <f t="array" ref="CG62">IF(CG$11&gt;=0,MAX(INDEX(MMULT(inverseG,CF$12:CF$62),$A62+1,1),MAX(strike-$B62,0)),"")</f>
        <v>0</v>
      </c>
      <c r="CH62" s="9">
        <f t="array" ref="CH62">IF(CH$11&gt;=0,MAX(INDEX(MMULT(inverseG,CG$12:CG$62),$A62+1,1),MAX(strike-$B62,0)),"")</f>
        <v>0</v>
      </c>
      <c r="CI62" s="9">
        <f t="array" ref="CI62">IF(CI$11&gt;=0,MAX(INDEX(MMULT(inverseG,CH$12:CH$62),$A62+1,1),MAX(strike-$B62,0)),"")</f>
        <v>0</v>
      </c>
      <c r="CJ62" s="9">
        <f t="array" ref="CJ62">IF(CJ$11&gt;=0,MAX(INDEX(MMULT(inverseG,CI$12:CI$62),$A62+1,1),MAX(strike-$B62,0)),"")</f>
        <v>0</v>
      </c>
      <c r="CK62" s="9">
        <f t="array" ref="CK62">IF(CK$11&gt;=0,MAX(INDEX(MMULT(inverseG,CJ$12:CJ$62),$A62+1,1),MAX(strike-$B62,0)),"")</f>
        <v>0</v>
      </c>
      <c r="CL62" s="9">
        <f t="array" ref="CL62">IF(CL$11&gt;=0,MAX(INDEX(MMULT(inverseG,CK$12:CK$62),$A62+1,1),MAX(strike-$B62,0)),"")</f>
        <v>0</v>
      </c>
      <c r="CM62" s="9">
        <f t="array" ref="CM62">IF(CM$11&gt;=0,MAX(INDEX(MMULT(inverseG,CL$12:CL$62),$A62+1,1),MAX(strike-$B62,0)),"")</f>
        <v>0</v>
      </c>
      <c r="CN62" s="9">
        <f t="array" ref="CN62">IF(CN$11&gt;=0,MAX(INDEX(MMULT(inverseG,CM$12:CM$62),$A62+1,1),MAX(strike-$B62,0)),"")</f>
        <v>0</v>
      </c>
      <c r="CO62" s="9">
        <f t="array" ref="CO62">IF(CO$11&gt;=0,MAX(INDEX(MMULT(inverseG,CN$12:CN$62),$A62+1,1),MAX(strike-$B62,0)),"")</f>
        <v>0</v>
      </c>
      <c r="CP62" s="9">
        <f t="array" ref="CP62">IF(CP$11&gt;=0,MAX(INDEX(MMULT(inverseG,CO$12:CO$62),$A62+1,1),MAX(strike-$B62,0)),"")</f>
        <v>0</v>
      </c>
      <c r="CQ62" s="9">
        <f t="array" ref="CQ62">IF(CQ$11&gt;=0,MAX(INDEX(MMULT(inverseG,CP$12:CP$62),$A62+1,1),MAX(strike-$B62,0)),"")</f>
        <v>0</v>
      </c>
      <c r="CR62" s="9">
        <f t="array" ref="CR62">IF(CR$11&gt;=0,MAX(INDEX(MMULT(inverseG,CQ$12:CQ$62),$A62+1,1),MAX(strike-$B62,0)),"")</f>
        <v>0</v>
      </c>
      <c r="CS62" s="9">
        <f t="array" ref="CS62">IF(CS$11&gt;=0,MAX(INDEX(MMULT(inverseG,CR$12:CR$62),$A62+1,1),MAX(strike-$B62,0)),"")</f>
        <v>0</v>
      </c>
      <c r="CT62" s="9">
        <f t="array" ref="CT62">IF(CT$11&gt;=0,MAX(INDEX(MMULT(inverseG,CS$12:CS$62),$A62+1,1),MAX(strike-$B62,0)),"")</f>
        <v>0</v>
      </c>
      <c r="CU62" s="9">
        <f t="array" ref="CU62">IF(CU$11&gt;=0,MAX(INDEX(MMULT(inverseG,CT$12:CT$62),$A62+1,1),MAX(strike-$B62,0)),"")</f>
        <v>0</v>
      </c>
      <c r="CV62" s="9">
        <f t="array" ref="CV62">IF(CV$11&gt;=0,MAX(INDEX(MMULT(inverseG,CU$12:CU$62),$A62+1,1),MAX(strike-$B62,0)),"")</f>
        <v>0</v>
      </c>
      <c r="CW62" s="9">
        <f t="array" ref="CW62">IF(CW$11&gt;=0,MAX(INDEX(MMULT(inverseG,CV$12:CV$62),$A62+1,1),MAX(strike-$B62,0)),"")</f>
        <v>0</v>
      </c>
      <c r="CX62" s="9">
        <f t="array" ref="CX62">IF(CX$11&gt;=0,MAX(INDEX(MMULT(inverseG,CW$12:CW$62),$A62+1,1),MAX(strike-$B62,0)),"")</f>
        <v>0</v>
      </c>
      <c r="CY62" s="9">
        <f t="array" ref="CY62">IF(CY$11&gt;=0,MAX(INDEX(MMULT(inverseG,CX$12:CX$62),$A62+1,1),MAX(strike-$B62,0)),"")</f>
        <v>0</v>
      </c>
      <c r="CZ62" s="9">
        <f t="array" ref="CZ62">IF(CZ$11&gt;=0,MAX(INDEX(MMULT(inverseG,CY$12:CY$62),$A62+1,1),MAX(strike-$B62,0)),"")</f>
        <v>0</v>
      </c>
      <c r="DA62" s="9" t="str">
        <f t="array" ref="DA62">IF(DA$11&gt;=0,MAX(INDEX(MMULT(inverseG,CZ$12:CZ$62),$A62+1,1),MAX(strike-$B62,0)),"")</f>
        <v/>
      </c>
      <c r="DB62" s="9" t="str">
        <f t="array" ref="DB62">IF(DB$11&gt;=0,MAX(INDEX(MMULT(inverseG,DA$12:DA$62),$A62+1,1),MAX(strike-$B62,0)),"")</f>
        <v/>
      </c>
      <c r="DC62" s="9" t="str">
        <f t="array" ref="DC62">IF(DC$11&gt;=0,MAX(INDEX(MMULT(inverseG,DB$12:DB$62),$A62+1,1),MAX(strike-$B62,0)),"")</f>
        <v/>
      </c>
      <c r="DD62" s="9" t="str">
        <f t="array" ref="DD62">IF(DD$11&gt;=0,MAX(INDEX(MMULT(inverseG,DC$12:DC$62),$A62+1,1),MAX(strike-$B62,0)),"")</f>
        <v/>
      </c>
      <c r="DE62" s="9" t="str">
        <f t="array" ref="DE62">IF(DE$11&gt;=0,MAX(INDEX(MMULT(inverseG,DD$12:DD$62),$A62+1,1),MAX(strike-$B62,0)),"")</f>
        <v/>
      </c>
      <c r="DF62" s="9" t="str">
        <f t="array" ref="DF62">IF(DF$11&gt;=0,MAX(INDEX(MMULT(inverseG,DE$12:DE$62),$A62+1,1),MAX(strike-$B62,0)),"")</f>
        <v/>
      </c>
      <c r="DG62" s="9" t="str">
        <f t="array" ref="DG62">IF(DG$11&gt;=0,MAX(INDEX(MMULT(inverseG,DF$12:DF$62),$A62+1,1),MAX(strike-$B62,0)),"")</f>
        <v/>
      </c>
      <c r="DH62" s="9" t="str">
        <f t="array" ref="DH62">IF(DH$11&gt;=0,MAX(INDEX(MMULT(inverseG,DG$12:DG$62),$A62+1,1),MAX(strike-$B62,0)),"")</f>
        <v/>
      </c>
      <c r="DI62" s="9" t="str">
        <f t="array" ref="DI62">IF(DI$11&gt;=0,MAX(INDEX(MMULT(inverseG,DH$12:DH$62),$A62+1,1),MAX(strike-$B62,0)),"")</f>
        <v/>
      </c>
      <c r="DJ62" s="9" t="str">
        <f t="array" ref="DJ62">IF(DJ$11&gt;=0,MAX(INDEX(MMULT(inverseG,DI$12:DI$62),$A62+1,1),MAX(strike-$B62,0)),"")</f>
        <v/>
      </c>
      <c r="DK62" s="9" t="str">
        <f t="array" ref="DK62">IF(DK$11&gt;=0,MAX(INDEX(MMULT(inverseG,DJ$12:DJ$62),$A62+1,1),MAX(strike-$B62,0)),"")</f>
        <v/>
      </c>
      <c r="DL62" s="9" t="str">
        <f t="array" ref="DL62">IF(DL$11&gt;=0,MAX(INDEX(MMULT(inverseG,DK$12:DK$62),$A62+1,1),MAX(strike-$B62,0)),"")</f>
        <v/>
      </c>
      <c r="DM62" s="9" t="str">
        <f t="array" ref="DM62">IF(DM$11&gt;=0,MAX(INDEX(MMULT(inverseG,DL$12:DL$62),$A62+1,1),MAX(strike-$B62,0)),"")</f>
        <v/>
      </c>
      <c r="DN62" s="9" t="str">
        <f t="array" ref="DN62">IF(DN$11&gt;=0,MAX(INDEX(MMULT(inverseG,DM$12:DM$62),$A62+1,1),MAX(strike-$B62,0)),"")</f>
        <v/>
      </c>
      <c r="DO62" s="9" t="str">
        <f t="array" ref="DO62">IF(DO$11&gt;=0,MAX(INDEX(MMULT(inverseG,DN$12:DN$62),$A62+1,1),MAX(strike-$B62,0)),"")</f>
        <v/>
      </c>
      <c r="DP62" s="9" t="str">
        <f t="array" ref="DP62">IF(DP$11&gt;=0,MAX(INDEX(MMULT(inverseG,DO$12:DO$62),$A62+1,1),MAX(strike-$B62,0)),"")</f>
        <v/>
      </c>
      <c r="DQ62" s="9" t="str">
        <f t="array" ref="DQ62">IF(DQ$11&gt;=0,MAX(INDEX(MMULT(inverseG,DP$12:DP$62),$A62+1,1),MAX(strike-$B62,0)),"")</f>
        <v/>
      </c>
      <c r="DR62" s="9" t="str">
        <f t="array" ref="DR62">IF(DR$11&gt;=0,MAX(INDEX(MMULT(inverseG,DQ$12:DQ$62),$A62+1,1),MAX(strike-$B62,0)),"")</f>
        <v/>
      </c>
      <c r="DS62" s="9" t="str">
        <f t="array" ref="DS62">IF(DS$11&gt;=0,MAX(INDEX(MMULT(inverseG,DR$12:DR$62),$A62+1,1),MAX(strike-$B62,0)),"")</f>
        <v/>
      </c>
      <c r="DT62" s="9" t="str">
        <f t="array" ref="DT62">IF(DT$11&gt;=0,MAX(INDEX(MMULT(inverseG,DS$12:DS$62),$A62+1,1),MAX(strike-$B62,0)),"")</f>
        <v/>
      </c>
      <c r="DU62" s="9" t="str">
        <f t="array" ref="DU62">IF(DU$11&gt;=0,MAX(INDEX(MMULT(inverseG,DT$12:DT$62),$A62+1,1),MAX(strike-$B62,0)),"")</f>
        <v/>
      </c>
      <c r="DV62" s="9" t="str">
        <f t="array" ref="DV62">IF(DV$11&gt;=0,MAX(INDEX(MMULT(inverseG,DU$12:DU$62),$A62+1,1),MAX(strike-$B62,0)),"")</f>
        <v/>
      </c>
      <c r="DW62" s="9" t="str">
        <f t="array" ref="DW62">IF(DW$11&gt;=0,MAX(INDEX(MMULT(inverseG,DV$12:DV$62),$A62+1,1),MAX(strike-$B62,0)),"")</f>
        <v/>
      </c>
      <c r="DX62" s="9" t="str">
        <f t="array" ref="DX62">IF(DX$11&gt;=0,MAX(INDEX(MMULT(inverseG,DW$12:DW$62),$A62+1,1),MAX(strike-$B62,0)),"")</f>
        <v/>
      </c>
      <c r="DY62" s="9" t="str">
        <f t="array" ref="DY62">IF(DY$11&gt;=0,MAX(INDEX(MMULT(inverseG,DX$12:DX$62),$A62+1,1),MAX(strike-$B62,0)),"")</f>
        <v/>
      </c>
      <c r="DZ62" s="9" t="str">
        <f t="array" ref="DZ62">IF(DZ$11&gt;=0,MAX(INDEX(MMULT(inverseG,DY$12:DY$62),$A62+1,1),MAX(strike-$B62,0)),"")</f>
        <v/>
      </c>
      <c r="EA62" s="9" t="str">
        <f t="array" ref="EA62">IF(EA$11&gt;=0,MAX(INDEX(MMULT(inverseG,DZ$12:DZ$62),$A62+1,1),MAX(strike-$B62,0)),"")</f>
        <v/>
      </c>
      <c r="EB62" s="9" t="str">
        <f t="array" ref="EB62">IF(EB$11&gt;=0,MAX(INDEX(MMULT(inverseG,EA$12:EA$62),$A62+1,1),MAX(strike-$B62,0)),"")</f>
        <v/>
      </c>
      <c r="EC62" s="9" t="str">
        <f t="array" ref="EC62">IF(EC$11&gt;=0,MAX(INDEX(MMULT(inverseG,EB$12:EB$62),$A62+1,1),MAX(strike-$B62,0)),"")</f>
        <v/>
      </c>
      <c r="ED62" s="9" t="str">
        <f t="array" ref="ED62">IF(ED$11&gt;=0,MAX(INDEX(MMULT(inverseG,EC$12:EC$62),$A62+1,1),MAX(strike-$B62,0)),"")</f>
        <v/>
      </c>
      <c r="EE62" s="9" t="str">
        <f t="array" ref="EE62">IF(EE$11&gt;=0,MAX(INDEX(MMULT(inverseG,ED$12:ED$62),$A62+1,1),MAX(strike-$B62,0)),"")</f>
        <v/>
      </c>
      <c r="EF62" s="9" t="str">
        <f t="array" ref="EF62">IF(EF$11&gt;=0,MAX(INDEX(MMULT(inverseG,EE$12:EE$62),$A62+1,1),MAX(strike-$B62,0)),"")</f>
        <v/>
      </c>
      <c r="EG62" s="9" t="str">
        <f t="array" ref="EG62">IF(EG$11&gt;=0,MAX(INDEX(MMULT(inverseG,EF$12:EF$62),$A62+1,1),MAX(strike-$B62,0)),"")</f>
        <v/>
      </c>
      <c r="EH62" s="9" t="str">
        <f t="array" ref="EH62">IF(EH$11&gt;=0,MAX(INDEX(MMULT(inverseG,EG$12:EG$62),$A62+1,1),MAX(strike-$B62,0)),"")</f>
        <v/>
      </c>
      <c r="EI62" s="9" t="str">
        <f t="array" ref="EI62">IF(EI$11&gt;=0,MAX(INDEX(MMULT(inverseG,EH$12:EH$62),$A62+1,1),MAX(strike-$B62,0)),"")</f>
        <v/>
      </c>
      <c r="EJ62" s="9" t="str">
        <f t="array" ref="EJ62">IF(EJ$11&gt;=0,MAX(INDEX(MMULT(inverseG,EI$12:EI$62),$A62+1,1),MAX(strike-$B62,0)),"")</f>
        <v/>
      </c>
      <c r="EK62" s="9" t="str">
        <f t="array" ref="EK62">IF(EK$11&gt;=0,MAX(INDEX(MMULT(inverseG,EJ$12:EJ$62),$A62+1,1),MAX(strike-$B62,0)),"")</f>
        <v/>
      </c>
      <c r="EL62" s="9" t="str">
        <f t="array" ref="EL62">IF(EL$11&gt;=0,MAX(INDEX(MMULT(inverseG,EK$12:EK$62),$A62+1,1),MAX(strike-$B62,0)),"")</f>
        <v/>
      </c>
      <c r="EM62" s="9" t="str">
        <f t="array" ref="EM62">IF(EM$11&gt;=0,MAX(INDEX(MMULT(inverseG,EL$12:EL$62),$A62+1,1),MAX(strike-$B62,0)),"")</f>
        <v/>
      </c>
      <c r="EN62" s="9" t="str">
        <f t="array" ref="EN62">IF(EN$11&gt;=0,MAX(INDEX(MMULT(inverseG,EM$12:EM$62),$A62+1,1),MAX(strike-$B62,0)),"")</f>
        <v/>
      </c>
      <c r="EO62" s="9" t="str">
        <f t="array" ref="EO62">IF(EO$11&gt;=0,MAX(INDEX(MMULT(inverseG,EN$12:EN$62),$A62+1,1),MAX(strike-$B62,0)),"")</f>
        <v/>
      </c>
      <c r="EP62" s="9" t="str">
        <f t="array" ref="EP62">IF(EP$11&gt;=0,MAX(INDEX(MMULT(inverseG,EO$12:EO$62),$A62+1,1),MAX(strike-$B62,0)),"")</f>
        <v/>
      </c>
      <c r="EQ62" s="9" t="str">
        <f t="array" ref="EQ62">IF(EQ$11&gt;=0,MAX(INDEX(MMULT(inverseG,EP$12:EP$62),$A62+1,1),MAX(strike-$B62,0)),"")</f>
        <v/>
      </c>
      <c r="ER62" s="9" t="str">
        <f t="array" ref="ER62">IF(ER$11&gt;=0,MAX(INDEX(MMULT(inverseG,EQ$12:EQ$62),$A62+1,1),MAX(strike-$B62,0)),"")</f>
        <v/>
      </c>
      <c r="ES62" s="9" t="str">
        <f t="array" ref="ES62">IF(ES$11&gt;=0,MAX(INDEX(MMULT(inverseG,ER$12:ER$62),$A62+1,1),MAX(strike-$B62,0)),"")</f>
        <v/>
      </c>
      <c r="ET62" s="9" t="str">
        <f t="array" ref="ET62">IF(ET$11&gt;=0,MAX(INDEX(MMULT(inverseG,ES$12:ES$62),$A62+1,1),MAX(strike-$B62,0)),"")</f>
        <v/>
      </c>
      <c r="EU62" s="9" t="str">
        <f t="array" ref="EU62">IF(EU$11&gt;=0,MAX(INDEX(MMULT(inverseG,ET$12:ET$62),$A62+1,1),MAX(strike-$B62,0)),"")</f>
        <v/>
      </c>
      <c r="EV62" s="9" t="str">
        <f t="array" ref="EV62">IF(EV$11&gt;=0,MAX(INDEX(MMULT(inverseG,EU$12:EU$62),$A62+1,1),MAX(strike-$B62,0)),"")</f>
        <v/>
      </c>
      <c r="EW62" s="9" t="str">
        <f t="array" ref="EW62">IF(EW$11&gt;=0,MAX(INDEX(MMULT(inverseG,EV$12:EV$62),$A62+1,1),MAX(strike-$B62,0)),"")</f>
        <v/>
      </c>
      <c r="EX62" s="9" t="str">
        <f t="array" ref="EX62">IF(EX$11&gt;=0,MAX(INDEX(MMULT(inverseG,EW$12:EW$62),$A62+1,1),MAX(strike-$B62,0)),"")</f>
        <v/>
      </c>
      <c r="EY62" s="9" t="str">
        <f t="array" ref="EY62">IF(EY$11&gt;=0,MAX(INDEX(MMULT(inverseG,EX$12:EX$62),$A62+1,1),MAX(strike-$B62,0)),"")</f>
        <v/>
      </c>
      <c r="EZ62" s="9" t="str">
        <f t="array" ref="EZ62">IF(EZ$11&gt;=0,MAX(INDEX(MMULT(inverseG,EY$12:EY$62),$A62+1,1),MAX(strike-$B62,0)),"")</f>
        <v/>
      </c>
      <c r="FA62" s="9" t="str">
        <f t="array" ref="FA62">IF(FA$11&gt;=0,MAX(INDEX(MMULT(inverseG,EZ$12:EZ$62),$A62+1,1),MAX(strike-$B62,0)),"")</f>
        <v/>
      </c>
      <c r="FB62" s="9" t="str">
        <f t="array" ref="FB62">IF(FB$11&gt;=0,MAX(INDEX(MMULT(inverseG,FA$12:FA$62),$A62+1,1),MAX(strike-$B62,0)),"")</f>
        <v/>
      </c>
      <c r="FC62" s="9" t="str">
        <f t="array" ref="FC62">IF(FC$11&gt;=0,MAX(INDEX(MMULT(inverseG,FB$12:FB$62),$A62+1,1),MAX(strike-$B62,0)),"")</f>
        <v/>
      </c>
      <c r="FD62" s="9" t="str">
        <f t="array" ref="FD62">IF(FD$11&gt;=0,MAX(INDEX(MMULT(inverseG,FC$12:FC$62),$A62+1,1),MAX(strike-$B62,0)),"")</f>
        <v/>
      </c>
      <c r="FE62" s="9" t="str">
        <f t="array" ref="FE62">IF(FE$11&gt;=0,MAX(INDEX(MMULT(inverseG,FD$12:FD$62),$A62+1,1),MAX(strike-$B62,0)),"")</f>
        <v/>
      </c>
      <c r="FF62" s="9" t="str">
        <f t="array" ref="FF62">IF(FF$11&gt;=0,MAX(INDEX(MMULT(inverseG,FE$12:FE$62),$A62+1,1),MAX(strike-$B62,0)),"")</f>
        <v/>
      </c>
      <c r="FG62" s="9" t="str">
        <f t="array" ref="FG62">IF(FG$11&gt;=0,MAX(INDEX(MMULT(inverseG,FF$12:FF$62),$A62+1,1),MAX(strike-$B62,0)),"")</f>
        <v/>
      </c>
      <c r="FH62" s="9" t="str">
        <f t="array" ref="FH62">IF(FH$11&gt;=0,MAX(INDEX(MMULT(inverseG,FG$12:FG$62),$A62+1,1),MAX(strike-$B62,0)),"")</f>
        <v/>
      </c>
      <c r="FI62" s="9" t="str">
        <f t="array" ref="FI62">IF(FI$11&gt;=0,MAX(INDEX(MMULT(inverseG,FH$12:FH$62),$A62+1,1),MAX(strike-$B62,0)),"")</f>
        <v/>
      </c>
      <c r="FJ62" s="9" t="str">
        <f t="array" ref="FJ62">IF(FJ$11&gt;=0,MAX(INDEX(MMULT(inverseG,FI$12:FI$62),$A62+1,1),MAX(strike-$B62,0)),"")</f>
        <v/>
      </c>
      <c r="FK62" s="9" t="str">
        <f t="array" ref="FK62">IF(FK$11&gt;=0,MAX(INDEX(MMULT(inverseG,FJ$12:FJ$62),$A62+1,1),MAX(strike-$B62,0)),"")</f>
        <v/>
      </c>
      <c r="FL62" s="9" t="str">
        <f t="array" ref="FL62">IF(FL$11&gt;=0,MAX(INDEX(MMULT(inverseG,FK$12:FK$62),$A62+1,1),MAX(strike-$B62,0)),"")</f>
        <v/>
      </c>
      <c r="FM62" s="9" t="str">
        <f t="array" ref="FM62">IF(FM$11&gt;=0,MAX(INDEX(MMULT(inverseG,FL$12:FL$62),$A62+1,1),MAX(strike-$B62,0)),"")</f>
        <v/>
      </c>
      <c r="FN62" s="9" t="str">
        <f t="array" ref="FN62">IF(FN$11&gt;=0,MAX(INDEX(MMULT(inverseG,FM$12:FM$62),$A62+1,1),MAX(strike-$B62,0)),"")</f>
        <v/>
      </c>
      <c r="FO62" s="9" t="str">
        <f t="array" ref="FO62">IF(FO$11&gt;=0,MAX(INDEX(MMULT(inverseG,FN$12:FN$62),$A62+1,1),MAX(strike-$B62,0)),"")</f>
        <v/>
      </c>
      <c r="FP62" s="9" t="str">
        <f t="array" ref="FP62">IF(FP$11&gt;=0,MAX(INDEX(MMULT(inverseG,FO$12:FO$62),$A62+1,1),MAX(strike-$B62,0)),"")</f>
        <v/>
      </c>
      <c r="FQ62" s="9" t="str">
        <f t="array" ref="FQ62">IF(FQ$11&gt;=0,MAX(INDEX(MMULT(inverseG,FP$12:FP$62),$A62+1,1),MAX(strike-$B62,0)),"")</f>
        <v/>
      </c>
      <c r="FR62" s="9" t="str">
        <f t="array" ref="FR62">IF(FR$11&gt;=0,MAX(INDEX(MMULT(inverseG,FQ$12:FQ$62),$A62+1,1),MAX(strike-$B62,0)),"")</f>
        <v/>
      </c>
      <c r="FS62" s="9" t="str">
        <f t="array" ref="FS62">IF(FS$11&gt;=0,MAX(INDEX(MMULT(inverseG,FR$12:FR$62),$A62+1,1),MAX(strike-$B62,0)),"")</f>
        <v/>
      </c>
      <c r="FT62" s="9" t="str">
        <f t="array" ref="FT62">IF(FT$11&gt;=0,MAX(INDEX(MMULT(inverseG,FS$12:FS$62),$A62+1,1),MAX(strike-$B62,0)),"")</f>
        <v/>
      </c>
      <c r="FU62" s="9" t="str">
        <f t="array" ref="FU62">IF(FU$11&gt;=0,MAX(INDEX(MMULT(inverseG,FT$12:FT$62),$A62+1,1),MAX(strike-$B62,0)),"")</f>
        <v/>
      </c>
      <c r="FV62" s="9" t="str">
        <f t="array" ref="FV62">IF(FV$11&gt;=0,MAX(INDEX(MMULT(inverseG,FU$12:FU$62),$A62+1,1),MAX(strike-$B62,0)),"")</f>
        <v/>
      </c>
      <c r="FW62" s="9" t="str">
        <f t="array" ref="FW62">IF(FW$11&gt;=0,MAX(INDEX(MMULT(inverseG,FV$12:FV$62),$A62+1,1),MAX(strike-$B62,0)),"")</f>
        <v/>
      </c>
      <c r="FX62" s="9" t="str">
        <f t="array" ref="FX62">IF(FX$11&gt;=0,MAX(INDEX(MMULT(inverseG,FW$12:FW$62),$A62+1,1),MAX(strike-$B62,0)),"")</f>
        <v/>
      </c>
      <c r="FY62" s="9" t="str">
        <f t="array" ref="FY62">IF(FY$11&gt;=0,MAX(INDEX(MMULT(inverseG,FX$12:FX$62),$A62+1,1),MAX(strike-$B62,0)),"")</f>
        <v/>
      </c>
      <c r="FZ62" s="9" t="str">
        <f t="array" ref="FZ62">IF(FZ$11&gt;=0,MAX(INDEX(MMULT(inverseG,FY$12:FY$62),$A62+1,1),MAX(strike-$B62,0)),"")</f>
        <v/>
      </c>
      <c r="GA62" s="9" t="str">
        <f t="array" ref="GA62">IF(GA$11&gt;=0,MAX(INDEX(MMULT(inverseG,FZ$12:FZ$62),$A62+1,1),MAX(strike-$B62,0)),"")</f>
        <v/>
      </c>
      <c r="GB62" s="9" t="str">
        <f t="array" ref="GB62">IF(GB$11&gt;=0,MAX(INDEX(MMULT(inverseG,GA$12:GA$62),$A62+1,1),MAX(strike-$B62,0)),"")</f>
        <v/>
      </c>
      <c r="GC62" s="9" t="str">
        <f t="array" ref="GC62">IF(GC$11&gt;=0,MAX(INDEX(MMULT(inverseG,GB$12:GB$62),$A62+1,1),MAX(strike-$B62,0)),"")</f>
        <v/>
      </c>
      <c r="GD62" s="9" t="str">
        <f t="array" ref="GD62">IF(GD$11&gt;=0,MAX(INDEX(MMULT(inverseG,GC$12:GC$62),$A62+1,1),MAX(strike-$B62,0)),"")</f>
        <v/>
      </c>
      <c r="GE62" s="9" t="str">
        <f t="array" ref="GE62">IF(GE$11&gt;=0,MAX(INDEX(MMULT(inverseG,GD$12:GD$62),$A62+1,1),MAX(strike-$B62,0)),"")</f>
        <v/>
      </c>
      <c r="GF62" s="9" t="str">
        <f t="array" ref="GF62">IF(GF$11&gt;=0,MAX(INDEX(MMULT(inverseG,GE$12:GE$62),$A62+1,1),MAX(strike-$B62,0)),"")</f>
        <v/>
      </c>
      <c r="GG62" s="9" t="str">
        <f t="array" ref="GG62">IF(GG$11&gt;=0,MAX(INDEX(MMULT(inverseG,GF$12:GF$62),$A62+1,1),MAX(strike-$B62,0)),"")</f>
        <v/>
      </c>
      <c r="GH62" s="9" t="str">
        <f t="array" ref="GH62">IF(GH$11&gt;=0,MAX(INDEX(MMULT(inverseG,GG$12:GG$62),$A62+1,1),MAX(strike-$B62,0)),"")</f>
        <v/>
      </c>
      <c r="GI62" s="9" t="str">
        <f t="array" ref="GI62">IF(GI$11&gt;=0,MAX(INDEX(MMULT(inverseG,GH$12:GH$62),$A62+1,1),MAX(strike-$B62,0)),"")</f>
        <v/>
      </c>
      <c r="GJ62" s="9" t="str">
        <f t="array" ref="GJ62">IF(GJ$11&gt;=0,MAX(INDEX(MMULT(inverseG,GI$12:GI$62),$A62+1,1),MAX(strike-$B62,0)),"")</f>
        <v/>
      </c>
      <c r="GK62" s="9" t="str">
        <f t="array" ref="GK62">IF(GK$11&gt;=0,MAX(INDEX(MMULT(inverseG,GJ$12:GJ$62),$A62+1,1),MAX(strike-$B62,0)),"")</f>
        <v/>
      </c>
      <c r="GL62" s="9" t="str">
        <f t="array" ref="GL62">IF(GL$11&gt;=0,MAX(INDEX(MMULT(inverseG,GK$12:GK$62),$A62+1,1),MAX(strike-$B62,0)),"")</f>
        <v/>
      </c>
      <c r="GM62" s="9" t="str">
        <f t="array" ref="GM62">IF(GM$11&gt;=0,MAX(INDEX(MMULT(inverseG,GL$12:GL$62),$A62+1,1),MAX(strike-$B62,0)),"")</f>
        <v/>
      </c>
      <c r="GN62" s="9" t="str">
        <f t="array" ref="GN62">IF(GN$11&gt;=0,MAX(INDEX(MMULT(inverseG,GM$12:GM$62),$A62+1,1),MAX(strike-$B62,0)),"")</f>
        <v/>
      </c>
      <c r="GO62" s="9" t="str">
        <f t="array" ref="GO62">IF(GO$11&gt;=0,MAX(INDEX(MMULT(inverseG,GN$12:GN$62),$A62+1,1),MAX(strike-$B62,0)),"")</f>
        <v/>
      </c>
      <c r="GP62" s="9" t="str">
        <f t="array" ref="GP62">IF(GP$11&gt;=0,MAX(INDEX(MMULT(inverseG,GO$12:GO$62),$A62+1,1),MAX(strike-$B62,0)),"")</f>
        <v/>
      </c>
      <c r="GQ62" s="9" t="str">
        <f t="array" ref="GQ62">IF(GQ$11&gt;=0,MAX(INDEX(MMULT(inverseG,GP$12:GP$62),$A62+1,1),MAX(strike-$B62,0)),"")</f>
        <v/>
      </c>
      <c r="GR62" s="9" t="str">
        <f t="array" ref="GR62">IF(GR$11&gt;=0,MAX(INDEX(MMULT(inverseG,GQ$12:GQ$62),$A62+1,1),MAX(strike-$B62,0)),"")</f>
        <v/>
      </c>
      <c r="GS62" s="9" t="str">
        <f t="array" ref="GS62">IF(GS$11&gt;=0,MAX(INDEX(MMULT(inverseG,GR$12:GR$62),$A62+1,1),MAX(strike-$B62,0)),"")</f>
        <v/>
      </c>
      <c r="GT62" s="9" t="str">
        <f t="array" ref="GT62">IF(GT$11&gt;=0,MAX(INDEX(MMULT(inverseG,GS$12:GS$62),$A62+1,1),MAX(strike-$B62,0)),"")</f>
        <v/>
      </c>
      <c r="GU62" s="9" t="str">
        <f t="array" ref="GU62">IF(GU$11&gt;=0,MAX(INDEX(MMULT(inverseG,GT$12:GT$62),$A62+1,1),MAX(strike-$B62,0)),"")</f>
        <v/>
      </c>
      <c r="GV62" s="9" t="str">
        <f t="array" ref="GV62">IF(GV$11&gt;=0,MAX(INDEX(MMULT(inverseG,GU$12:GU$62),$A62+1,1),MAX(strike-$B62,0)),"")</f>
        <v/>
      </c>
      <c r="GW62" s="9" t="str">
        <f t="array" ref="GW62">IF(GW$11&gt;=0,MAX(INDEX(MMULT(inverseG,GV$12:GV$62),$A62+1,1),MAX(strike-$B62,0)),"")</f>
        <v/>
      </c>
      <c r="GX62" s="9" t="str">
        <f t="array" ref="GX62">IF(GX$11&gt;=0,MAX(INDEX(MMULT(inverseG,GW$12:GW$62),$A62+1,1),MAX(strike-$B62,0)),"")</f>
        <v/>
      </c>
      <c r="GY62" s="9" t="str">
        <f t="array" ref="GY62">IF(GY$11&gt;=0,MAX(INDEX(MMULT(inverseG,GX$12:GX$62),$A62+1,1),MAX(strike-$B62,0)),"")</f>
        <v/>
      </c>
      <c r="GZ62" s="9" t="str">
        <f t="array" ref="GZ62">IF(GZ$11&gt;=0,MAX(INDEX(MMULT(inverseG,GY$12:GY$62),$A62+1,1),MAX(strike-$B62,0)),"")</f>
        <v/>
      </c>
      <c r="HA62" s="9" t="str">
        <f t="array" ref="HA62">IF(HA$11&gt;=0,MAX(INDEX(MMULT(inverseG,GZ$12:GZ$62),$A62+1,1),MAX(strike-$B62,0)),"")</f>
        <v/>
      </c>
      <c r="HB62" s="9" t="str">
        <f t="array" ref="HB62">IF(HB$11&gt;=0,MAX(INDEX(MMULT(inverseG,HA$12:HA$62),$A62+1,1),MAX(strike-$B62,0)),"")</f>
        <v/>
      </c>
      <c r="HC62" s="9" t="str">
        <f t="array" ref="HC62">IF(HC$11&gt;=0,MAX(INDEX(MMULT(inverseG,HB$12:HB$62),$A62+1,1),MAX(strike-$B62,0)),"")</f>
        <v/>
      </c>
      <c r="HD62" s="9" t="str">
        <f t="array" ref="HD62">IF(HD$11&gt;=0,MAX(INDEX(MMULT(inverseG,HC$12:HC$62),$A62+1,1),MAX(strike-$B62,0)),"")</f>
        <v/>
      </c>
      <c r="HE62" s="9" t="str">
        <f t="array" ref="HE62">IF(HE$11&gt;=0,MAX(INDEX(MMULT(inverseG,HD$12:HD$62),$A62+1,1),MAX(strike-$B62,0)),"")</f>
        <v/>
      </c>
      <c r="HF62" s="9" t="str">
        <f t="array" ref="HF62">IF(HF$11&gt;=0,MAX(INDEX(MMULT(inverseG,HE$12:HE$62),$A62+1,1),MAX(strike-$B62,0)),"")</f>
        <v/>
      </c>
      <c r="HG62" s="9" t="str">
        <f t="array" ref="HG62">IF(HG$11&gt;=0,MAX(INDEX(MMULT(inverseG,HF$12:HF$62),$A62+1,1),MAX(strike-$B62,0)),"")</f>
        <v/>
      </c>
      <c r="HH62" s="9" t="str">
        <f t="array" ref="HH62">IF(HH$11&gt;=0,MAX(INDEX(MMULT(inverseG,HG$12:HG$62),$A62+1,1),MAX(strike-$B62,0)),"")</f>
        <v/>
      </c>
      <c r="HI62" s="9" t="str">
        <f t="array" ref="HI62">IF(HI$11&gt;=0,MAX(INDEX(MMULT(inverseG,HH$12:HH$62),$A62+1,1),MAX(strike-$B62,0)),"")</f>
        <v/>
      </c>
      <c r="HJ62" s="9" t="str">
        <f t="array" ref="HJ62">IF(HJ$11&gt;=0,MAX(INDEX(MMULT(inverseG,HI$12:HI$62),$A62+1,1),MAX(strike-$B62,0)),"")</f>
        <v/>
      </c>
      <c r="HK62" s="9" t="str">
        <f t="array" ref="HK62">IF(HK$11&gt;=0,MAX(INDEX(MMULT(inverseG,HJ$12:HJ$62),$A62+1,1),MAX(strike-$B62,0)),"")</f>
        <v/>
      </c>
      <c r="HL62" s="9" t="str">
        <f t="array" ref="HL62">IF(HL$11&gt;=0,MAX(INDEX(MMULT(inverseG,HK$12:HK$62),$A62+1,1),MAX(strike-$B62,0)),"")</f>
        <v/>
      </c>
      <c r="HM62" s="9" t="str">
        <f t="array" ref="HM62">IF(HM$11&gt;=0,MAX(INDEX(MMULT(inverseG,HL$12:HL$62),$A62+1,1),MAX(strike-$B62,0)),"")</f>
        <v/>
      </c>
      <c r="HN62" s="9" t="str">
        <f t="array" ref="HN62">IF(HN$11&gt;=0,MAX(INDEX(MMULT(inverseG,HM$12:HM$62),$A62+1,1),MAX(strike-$B62,0)),"")</f>
        <v/>
      </c>
      <c r="HO62" s="9" t="str">
        <f t="array" ref="HO62">IF(HO$11&gt;=0,MAX(INDEX(MMULT(inverseG,HN$12:HN$62),$A62+1,1),MAX(strike-$B62,0)),"")</f>
        <v/>
      </c>
      <c r="HP62" s="9" t="str">
        <f t="array" ref="HP62">IF(HP$11&gt;=0,MAX(INDEX(MMULT(inverseG,HO$12:HO$62),$A62+1,1),MAX(strike-$B62,0)),"")</f>
        <v/>
      </c>
      <c r="HQ62" s="9" t="str">
        <f t="array" ref="HQ62">IF(HQ$11&gt;=0,MAX(INDEX(MMULT(inverseG,HP$12:HP$62),$A62+1,1),MAX(strike-$B62,0)),"")</f>
        <v/>
      </c>
      <c r="HR62" s="9" t="str">
        <f t="array" ref="HR62">IF(HR$11&gt;=0,MAX(INDEX(MMULT(inverseG,HQ$12:HQ$62),$A62+1,1),MAX(strike-$B62,0)),"")</f>
        <v/>
      </c>
      <c r="HS62" s="9" t="str">
        <f t="array" ref="HS62">IF(HS$11&gt;=0,MAX(INDEX(MMULT(inverseG,HR$12:HR$62),$A62+1,1),MAX(strike-$B62,0)),"")</f>
        <v/>
      </c>
      <c r="HT62" s="9" t="str">
        <f t="array" ref="HT62">IF(HT$11&gt;=0,MAX(INDEX(MMULT(inverseG,HS$12:HS$62),$A62+1,1),MAX(strike-$B62,0)),"")</f>
        <v/>
      </c>
      <c r="HU62" s="9" t="str">
        <f t="array" ref="HU62">IF(HU$11&gt;=0,MAX(INDEX(MMULT(inverseG,HT$12:HT$62),$A62+1,1),MAX(strike-$B62,0)),"")</f>
        <v/>
      </c>
      <c r="HV62" s="9" t="str">
        <f t="array" ref="HV62">IF(HV$11&gt;=0,MAX(INDEX(MMULT(inverseG,HU$12:HU$62),$A62+1,1),MAX(strike-$B62,0)),"")</f>
        <v/>
      </c>
      <c r="HW62" s="9" t="str">
        <f t="array" ref="HW62">IF(HW$11&gt;=0,MAX(INDEX(MMULT(inverseG,HV$12:HV$62),$A62+1,1),MAX(strike-$B62,0)),"")</f>
        <v/>
      </c>
      <c r="HX62" s="9" t="str">
        <f t="array" ref="HX62">IF(HX$11&gt;=0,MAX(INDEX(MMULT(inverseG,HW$12:HW$62),$A62+1,1),MAX(strike-$B62,0)),"")</f>
        <v/>
      </c>
      <c r="HY62" s="9" t="str">
        <f t="array" ref="HY62">IF(HY$11&gt;=0,MAX(INDEX(MMULT(inverseG,HX$12:HX$62),$A62+1,1),MAX(strike-$B62,0)),"")</f>
        <v/>
      </c>
      <c r="HZ62" s="9" t="str">
        <f t="array" ref="HZ62">IF(HZ$11&gt;=0,MAX(INDEX(MMULT(inverseG,HY$12:HY$62),$A62+1,1),MAX(strike-$B62,0)),"")</f>
        <v/>
      </c>
      <c r="IA62" s="9" t="str">
        <f t="array" ref="IA62">IF(IA$11&gt;=0,MAX(INDEX(MMULT(inverseG,HZ$12:HZ$62),$A62+1,1),MAX(strike-$B62,0)),"")</f>
        <v/>
      </c>
      <c r="IB62" s="9" t="str">
        <f t="array" ref="IB62">IF(IB$11&gt;=0,MAX(INDEX(MMULT(inverseG,IA$12:IA$62),$A62+1,1),MAX(strike-$B62,0)),"")</f>
        <v/>
      </c>
      <c r="IC62" s="9" t="str">
        <f t="array" ref="IC62">IF(IC$11&gt;=0,MAX(INDEX(MMULT(inverseG,IB$12:IB$62),$A62+1,1),MAX(strike-$B62,0)),"")</f>
        <v/>
      </c>
      <c r="ID62" s="9" t="str">
        <f t="array" ref="ID62">IF(ID$11&gt;=0,MAX(INDEX(MMULT(inverseG,IC$12:IC$62),$A62+1,1),MAX(strike-$B62,0)),"")</f>
        <v/>
      </c>
      <c r="IE62" s="9" t="str">
        <f t="array" ref="IE62">IF(IE$11&gt;=0,MAX(INDEX(MMULT(inverseG,ID$12:ID$62),$A62+1,1),MAX(strike-$B62,0)),"")</f>
        <v/>
      </c>
      <c r="IF62" s="9" t="str">
        <f t="array" ref="IF62">IF(IF$11&gt;=0,MAX(INDEX(MMULT(inverseG,IE$12:IE$62),$A62+1,1),MAX(strike-$B62,0)),"")</f>
        <v/>
      </c>
      <c r="IG62" s="9" t="str">
        <f t="array" ref="IG62">IF(IG$11&gt;=0,MAX(INDEX(MMULT(inverseG,IF$12:IF$62),$A62+1,1),MAX(strike-$B62,0)),"")</f>
        <v/>
      </c>
      <c r="IH62" s="9" t="str">
        <f t="array" ref="IH62">IF(IH$11&gt;=0,MAX(INDEX(MMULT(inverseG,IG$12:IG$62),$A62+1,1),MAX(strike-$B62,0)),"")</f>
        <v/>
      </c>
      <c r="II62" s="9" t="str">
        <f t="array" ref="II62">IF(II$11&gt;=0,MAX(INDEX(MMULT(inverseG,IH$12:IH$62),$A62+1,1),MAX(strike-$B62,0)),"")</f>
        <v/>
      </c>
      <c r="IJ62" s="9" t="str">
        <f t="array" ref="IJ62">IF(IJ$11&gt;=0,MAX(INDEX(MMULT(inverseG,II$12:II$62),$A62+1,1),MAX(strike-$B62,0)),"")</f>
        <v/>
      </c>
      <c r="IK62" s="9" t="str">
        <f t="array" ref="IK62">IF(IK$11&gt;=0,MAX(INDEX(MMULT(inverseG,IJ$12:IJ$62),$A62+1,1),MAX(strike-$B62,0)),"")</f>
        <v/>
      </c>
      <c r="IL62" s="9" t="str">
        <f t="array" ref="IL62">IF(IL$11&gt;=0,MAX(INDEX(MMULT(inverseG,IK$12:IK$62),$A62+1,1),MAX(strike-$B62,0)),"")</f>
        <v/>
      </c>
      <c r="IM62" s="9" t="str">
        <f t="array" ref="IM62">IF(IM$11&gt;=0,MAX(INDEX(MMULT(inverseG,IL$12:IL$62),$A62+1,1),MAX(strike-$B62,0)),"")</f>
        <v/>
      </c>
      <c r="IN62" s="9" t="str">
        <f t="array" ref="IN62">IF(IN$11&gt;=0,MAX(INDEX(MMULT(inverseG,IM$12:IM$62),$A62+1,1),MAX(strike-$B62,0)),"")</f>
        <v/>
      </c>
      <c r="IO62" s="9" t="str">
        <f t="array" ref="IO62">IF(IO$11&gt;=0,MAX(INDEX(MMULT(inverseG,IN$12:IN$62),$A62+1,1),MAX(strike-$B62,0)),"")</f>
        <v/>
      </c>
      <c r="IP62" s="9" t="str">
        <f t="array" ref="IP62">IF(IP$11&gt;=0,MAX(INDEX(MMULT(inverseG,IO$12:IO$62),$A62+1,1),MAX(strike-$B62,0)),"")</f>
        <v/>
      </c>
      <c r="IQ62" s="9" t="str">
        <f t="array" ref="IQ62">IF(IQ$11&gt;=0,MAX(INDEX(MMULT(inverseG,IP$12:IP$62),$A62+1,1),MAX(strike-$B62,0)),"")</f>
        <v/>
      </c>
      <c r="IR62" s="9" t="str">
        <f t="array" ref="IR62">IF(IR$11&gt;=0,MAX(INDEX(MMULT(inverseG,IQ$12:IQ$62),$A62+1,1),MAX(strike-$B62,0)),"")</f>
        <v/>
      </c>
      <c r="IS62" s="9" t="str">
        <f t="array" ref="IS62">IF(IS$11&gt;=0,MAX(INDEX(MMULT(inverseG,IR$12:IR$62),$A62+1,1),MAX(strike-$B62,0)),"")</f>
        <v/>
      </c>
      <c r="IT62" s="9" t="str">
        <f t="array" ref="IT62">IF(IT$11&gt;=0,MAX(INDEX(MMULT(inverseG,IS$12:IS$62),$A62+1,1),MAX(strike-$B62,0)),"")</f>
        <v/>
      </c>
      <c r="IU62" s="9" t="str">
        <f t="array" ref="IU62">IF(IU$11&gt;=0,MAX(INDEX(MMULT(inverseG,IT$12:IT$62),$A62+1,1),MAX(strike-$B62,0)),"")</f>
        <v/>
      </c>
      <c r="IV62" s="9" t="str">
        <f t="array" ref="IV62">IF(IV$11&gt;=0,MAX(INDEX(MMULT(inverseG,IU$12:IU$62),$A62+1,1),MAX(strike-$B62,0)),"")</f>
        <v/>
      </c>
    </row>
    <row r="63" spans="1:256" s="12" customFormat="1" x14ac:dyDescent="0.2">
      <c r="A63" s="10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</row>
    <row r="64" spans="1:256" x14ac:dyDescent="0.2">
      <c r="A64" s="10" t="s">
        <v>1</v>
      </c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</row>
    <row r="65" spans="1:105" ht="13.5" x14ac:dyDescent="0.25">
      <c r="A65" s="32" t="s">
        <v>5</v>
      </c>
      <c r="B65" s="13">
        <v>0</v>
      </c>
      <c r="C65" s="8">
        <f>B65+1</f>
        <v>1</v>
      </c>
      <c r="D65" s="8">
        <f t="shared" ref="D65:AZ65" si="10">C65+1</f>
        <v>2</v>
      </c>
      <c r="E65" s="8">
        <f t="shared" si="10"/>
        <v>3</v>
      </c>
      <c r="F65" s="8">
        <f t="shared" si="10"/>
        <v>4</v>
      </c>
      <c r="G65" s="8">
        <f t="shared" si="10"/>
        <v>5</v>
      </c>
      <c r="H65" s="8">
        <f t="shared" si="10"/>
        <v>6</v>
      </c>
      <c r="I65" s="8">
        <f t="shared" si="10"/>
        <v>7</v>
      </c>
      <c r="J65" s="8">
        <f t="shared" si="10"/>
        <v>8</v>
      </c>
      <c r="K65" s="8">
        <f t="shared" si="10"/>
        <v>9</v>
      </c>
      <c r="L65" s="8">
        <f t="shared" si="10"/>
        <v>10</v>
      </c>
      <c r="M65" s="8">
        <f t="shared" si="10"/>
        <v>11</v>
      </c>
      <c r="N65" s="8">
        <f t="shared" si="10"/>
        <v>12</v>
      </c>
      <c r="O65" s="8">
        <f t="shared" si="10"/>
        <v>13</v>
      </c>
      <c r="P65" s="8">
        <f t="shared" si="10"/>
        <v>14</v>
      </c>
      <c r="Q65" s="8">
        <f t="shared" si="10"/>
        <v>15</v>
      </c>
      <c r="R65" s="8">
        <f t="shared" si="10"/>
        <v>16</v>
      </c>
      <c r="S65" s="8">
        <f t="shared" si="10"/>
        <v>17</v>
      </c>
      <c r="T65" s="8">
        <f t="shared" si="10"/>
        <v>18</v>
      </c>
      <c r="U65" s="8">
        <f t="shared" si="10"/>
        <v>19</v>
      </c>
      <c r="V65" s="8">
        <f t="shared" si="10"/>
        <v>20</v>
      </c>
      <c r="W65" s="8">
        <f t="shared" si="10"/>
        <v>21</v>
      </c>
      <c r="X65" s="8">
        <f t="shared" si="10"/>
        <v>22</v>
      </c>
      <c r="Y65" s="8">
        <f t="shared" si="10"/>
        <v>23</v>
      </c>
      <c r="Z65" s="8">
        <f t="shared" si="10"/>
        <v>24</v>
      </c>
      <c r="AA65" s="8">
        <f t="shared" si="10"/>
        <v>25</v>
      </c>
      <c r="AB65" s="8">
        <f t="shared" si="10"/>
        <v>26</v>
      </c>
      <c r="AC65" s="8">
        <f t="shared" si="10"/>
        <v>27</v>
      </c>
      <c r="AD65" s="8">
        <f t="shared" si="10"/>
        <v>28</v>
      </c>
      <c r="AE65" s="8">
        <f t="shared" si="10"/>
        <v>29</v>
      </c>
      <c r="AF65" s="8">
        <f t="shared" si="10"/>
        <v>30</v>
      </c>
      <c r="AG65" s="8">
        <f t="shared" si="10"/>
        <v>31</v>
      </c>
      <c r="AH65" s="8">
        <f t="shared" si="10"/>
        <v>32</v>
      </c>
      <c r="AI65" s="8">
        <f t="shared" si="10"/>
        <v>33</v>
      </c>
      <c r="AJ65" s="8">
        <f t="shared" si="10"/>
        <v>34</v>
      </c>
      <c r="AK65" s="8">
        <f t="shared" si="10"/>
        <v>35</v>
      </c>
      <c r="AL65" s="8">
        <f t="shared" si="10"/>
        <v>36</v>
      </c>
      <c r="AM65" s="8">
        <f t="shared" si="10"/>
        <v>37</v>
      </c>
      <c r="AN65" s="8">
        <f t="shared" si="10"/>
        <v>38</v>
      </c>
      <c r="AO65" s="8">
        <f t="shared" si="10"/>
        <v>39</v>
      </c>
      <c r="AP65" s="8">
        <f t="shared" si="10"/>
        <v>40</v>
      </c>
      <c r="AQ65" s="8">
        <f t="shared" si="10"/>
        <v>41</v>
      </c>
      <c r="AR65" s="8">
        <f t="shared" si="10"/>
        <v>42</v>
      </c>
      <c r="AS65" s="8">
        <f t="shared" si="10"/>
        <v>43</v>
      </c>
      <c r="AT65" s="8">
        <f t="shared" si="10"/>
        <v>44</v>
      </c>
      <c r="AU65" s="8">
        <f t="shared" si="10"/>
        <v>45</v>
      </c>
      <c r="AV65" s="8">
        <f t="shared" si="10"/>
        <v>46</v>
      </c>
      <c r="AW65" s="8">
        <f t="shared" si="10"/>
        <v>47</v>
      </c>
      <c r="AX65" s="8">
        <f t="shared" si="10"/>
        <v>48</v>
      </c>
      <c r="AY65" s="8">
        <f t="shared" si="10"/>
        <v>49</v>
      </c>
      <c r="AZ65" s="8">
        <f t="shared" si="10"/>
        <v>50</v>
      </c>
      <c r="BA65" s="8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5"/>
    </row>
    <row r="66" spans="1:105" x14ac:dyDescent="0.2">
      <c r="A66" s="8">
        <v>0</v>
      </c>
      <c r="B66" s="16">
        <f>1</f>
        <v>1</v>
      </c>
      <c r="C66" s="16">
        <v>0</v>
      </c>
      <c r="D66" s="16">
        <v>0</v>
      </c>
      <c r="E66" s="16">
        <v>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T66" s="16">
        <v>0</v>
      </c>
      <c r="U66" s="16">
        <v>0</v>
      </c>
      <c r="V66" s="16">
        <v>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6">
        <v>0</v>
      </c>
      <c r="AI66" s="16">
        <v>0</v>
      </c>
      <c r="AJ66" s="16">
        <v>0</v>
      </c>
      <c r="AK66" s="16">
        <v>0</v>
      </c>
      <c r="AL66" s="16">
        <v>0</v>
      </c>
      <c r="AM66" s="16">
        <v>0</v>
      </c>
      <c r="AN66" s="16">
        <v>0</v>
      </c>
      <c r="AO66" s="16">
        <v>0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7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5" x14ac:dyDescent="0.2">
      <c r="A67" s="8">
        <f>A66+1</f>
        <v>1</v>
      </c>
      <c r="B67" s="16">
        <f t="shared" ref="B67:K76" si="11">IF(B$65=$A67-1,0.5*riskfree*$A67*dtime-0.5*sigma^2*($A67)^2*dtime,                                                                 IF(B$65=$A67,1+riskfree*dtime+sigma^2*($A67)^2*dtime,                                                                           IF(B$65=$A67+1,-0.5*riskfree*$A67*dtime-0.5*sigma^2*($A67)^2*dtime,0)))</f>
        <v>-3.1249999999999984E-4</v>
      </c>
      <c r="C67" s="16">
        <f t="shared" si="11"/>
        <v>1.005625</v>
      </c>
      <c r="D67" s="16">
        <f t="shared" si="11"/>
        <v>-2.8125000000000003E-3</v>
      </c>
      <c r="E67" s="16">
        <f t="shared" si="11"/>
        <v>0</v>
      </c>
      <c r="F67" s="16">
        <f t="shared" si="11"/>
        <v>0</v>
      </c>
      <c r="G67" s="16">
        <f t="shared" si="11"/>
        <v>0</v>
      </c>
      <c r="H67" s="16">
        <f t="shared" si="11"/>
        <v>0</v>
      </c>
      <c r="I67" s="16">
        <f t="shared" si="11"/>
        <v>0</v>
      </c>
      <c r="J67" s="16">
        <f t="shared" si="11"/>
        <v>0</v>
      </c>
      <c r="K67" s="16">
        <f t="shared" si="11"/>
        <v>0</v>
      </c>
      <c r="L67" s="16">
        <f t="shared" ref="L67:U76" si="12">IF(L$65=$A67-1,0.5*riskfree*$A67*dtime-0.5*sigma^2*($A67)^2*dtime,                                                                 IF(L$65=$A67,1+riskfree*dtime+sigma^2*($A67)^2*dtime,                                                                           IF(L$65=$A67+1,-0.5*riskfree*$A67*dtime-0.5*sigma^2*($A67)^2*dtime,0)))</f>
        <v>0</v>
      </c>
      <c r="M67" s="16">
        <f t="shared" si="12"/>
        <v>0</v>
      </c>
      <c r="N67" s="16">
        <f t="shared" si="12"/>
        <v>0</v>
      </c>
      <c r="O67" s="16">
        <f t="shared" si="12"/>
        <v>0</v>
      </c>
      <c r="P67" s="16">
        <f t="shared" si="12"/>
        <v>0</v>
      </c>
      <c r="Q67" s="16">
        <f t="shared" si="12"/>
        <v>0</v>
      </c>
      <c r="R67" s="16">
        <f t="shared" si="12"/>
        <v>0</v>
      </c>
      <c r="S67" s="16">
        <f t="shared" si="12"/>
        <v>0</v>
      </c>
      <c r="T67" s="16">
        <f t="shared" si="12"/>
        <v>0</v>
      </c>
      <c r="U67" s="16">
        <f t="shared" si="12"/>
        <v>0</v>
      </c>
      <c r="V67" s="16">
        <f t="shared" ref="V67:AE76" si="13">IF(V$65=$A67-1,0.5*riskfree*$A67*dtime-0.5*sigma^2*($A67)^2*dtime,                                                                 IF(V$65=$A67,1+riskfree*dtime+sigma^2*($A67)^2*dtime,                                                                           IF(V$65=$A67+1,-0.5*riskfree*$A67*dtime-0.5*sigma^2*($A67)^2*dtime,0)))</f>
        <v>0</v>
      </c>
      <c r="W67" s="16">
        <f t="shared" si="13"/>
        <v>0</v>
      </c>
      <c r="X67" s="16">
        <f t="shared" si="13"/>
        <v>0</v>
      </c>
      <c r="Y67" s="16">
        <f t="shared" si="13"/>
        <v>0</v>
      </c>
      <c r="Z67" s="16">
        <f t="shared" si="13"/>
        <v>0</v>
      </c>
      <c r="AA67" s="16">
        <f t="shared" si="13"/>
        <v>0</v>
      </c>
      <c r="AB67" s="16">
        <f t="shared" si="13"/>
        <v>0</v>
      </c>
      <c r="AC67" s="16">
        <f t="shared" si="13"/>
        <v>0</v>
      </c>
      <c r="AD67" s="16">
        <f t="shared" si="13"/>
        <v>0</v>
      </c>
      <c r="AE67" s="16">
        <f t="shared" si="13"/>
        <v>0</v>
      </c>
      <c r="AF67" s="16">
        <f t="shared" ref="AF67:AO76" si="14">IF(AF$65=$A67-1,0.5*riskfree*$A67*dtime-0.5*sigma^2*($A67)^2*dtime,                                                                 IF(AF$65=$A67,1+riskfree*dtime+sigma^2*($A67)^2*dtime,                                                                           IF(AF$65=$A67+1,-0.5*riskfree*$A67*dtime-0.5*sigma^2*($A67)^2*dtime,0)))</f>
        <v>0</v>
      </c>
      <c r="AG67" s="16">
        <f t="shared" si="14"/>
        <v>0</v>
      </c>
      <c r="AH67" s="16">
        <f t="shared" si="14"/>
        <v>0</v>
      </c>
      <c r="AI67" s="16">
        <f t="shared" si="14"/>
        <v>0</v>
      </c>
      <c r="AJ67" s="16">
        <f t="shared" si="14"/>
        <v>0</v>
      </c>
      <c r="AK67" s="16">
        <f t="shared" si="14"/>
        <v>0</v>
      </c>
      <c r="AL67" s="16">
        <f t="shared" si="14"/>
        <v>0</v>
      </c>
      <c r="AM67" s="16">
        <f t="shared" si="14"/>
        <v>0</v>
      </c>
      <c r="AN67" s="16">
        <f t="shared" si="14"/>
        <v>0</v>
      </c>
      <c r="AO67" s="16">
        <f t="shared" si="14"/>
        <v>0</v>
      </c>
      <c r="AP67" s="16">
        <f t="shared" ref="AP67:AZ76" si="15">IF(AP$65=$A67-1,0.5*riskfree*$A67*dtime-0.5*sigma^2*($A67)^2*dtime,                                                                 IF(AP$65=$A67,1+riskfree*dtime+sigma^2*($A67)^2*dtime,                                                                           IF(AP$65=$A67+1,-0.5*riskfree*$A67*dtime-0.5*sigma^2*($A67)^2*dtime,0)))</f>
        <v>0</v>
      </c>
      <c r="AQ67" s="16">
        <f t="shared" si="15"/>
        <v>0</v>
      </c>
      <c r="AR67" s="16">
        <f t="shared" si="15"/>
        <v>0</v>
      </c>
      <c r="AS67" s="16">
        <f t="shared" si="15"/>
        <v>0</v>
      </c>
      <c r="AT67" s="16">
        <f t="shared" si="15"/>
        <v>0</v>
      </c>
      <c r="AU67" s="16">
        <f t="shared" si="15"/>
        <v>0</v>
      </c>
      <c r="AV67" s="16">
        <f t="shared" si="15"/>
        <v>0</v>
      </c>
      <c r="AW67" s="16">
        <f t="shared" si="15"/>
        <v>0</v>
      </c>
      <c r="AX67" s="16">
        <f t="shared" si="15"/>
        <v>0</v>
      </c>
      <c r="AY67" s="16">
        <f t="shared" si="15"/>
        <v>0</v>
      </c>
      <c r="AZ67" s="16">
        <f t="shared" si="15"/>
        <v>0</v>
      </c>
      <c r="BA67" s="17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5" x14ac:dyDescent="0.2">
      <c r="A68" s="8">
        <f t="shared" ref="A68:A116" si="16">A67+1</f>
        <v>2</v>
      </c>
      <c r="B68" s="16">
        <f t="shared" si="11"/>
        <v>0</v>
      </c>
      <c r="C68" s="16">
        <f t="shared" si="11"/>
        <v>-3.7499999999999999E-3</v>
      </c>
      <c r="D68" s="16">
        <f t="shared" si="11"/>
        <v>1.0149999999999999</v>
      </c>
      <c r="E68" s="16">
        <f t="shared" si="11"/>
        <v>-8.7500000000000008E-3</v>
      </c>
      <c r="F68" s="16">
        <f t="shared" si="11"/>
        <v>0</v>
      </c>
      <c r="G68" s="16">
        <f t="shared" si="11"/>
        <v>0</v>
      </c>
      <c r="H68" s="16">
        <f t="shared" si="11"/>
        <v>0</v>
      </c>
      <c r="I68" s="16">
        <f t="shared" si="11"/>
        <v>0</v>
      </c>
      <c r="J68" s="16">
        <f t="shared" si="11"/>
        <v>0</v>
      </c>
      <c r="K68" s="16">
        <f t="shared" si="11"/>
        <v>0</v>
      </c>
      <c r="L68" s="16">
        <f t="shared" si="12"/>
        <v>0</v>
      </c>
      <c r="M68" s="16">
        <f t="shared" si="12"/>
        <v>0</v>
      </c>
      <c r="N68" s="16">
        <f t="shared" si="12"/>
        <v>0</v>
      </c>
      <c r="O68" s="16">
        <f t="shared" si="12"/>
        <v>0</v>
      </c>
      <c r="P68" s="16">
        <f t="shared" si="12"/>
        <v>0</v>
      </c>
      <c r="Q68" s="16">
        <f t="shared" si="12"/>
        <v>0</v>
      </c>
      <c r="R68" s="16">
        <f t="shared" si="12"/>
        <v>0</v>
      </c>
      <c r="S68" s="16">
        <f t="shared" si="12"/>
        <v>0</v>
      </c>
      <c r="T68" s="16">
        <f t="shared" si="12"/>
        <v>0</v>
      </c>
      <c r="U68" s="16">
        <f t="shared" si="12"/>
        <v>0</v>
      </c>
      <c r="V68" s="16">
        <f t="shared" si="13"/>
        <v>0</v>
      </c>
      <c r="W68" s="16">
        <f t="shared" si="13"/>
        <v>0</v>
      </c>
      <c r="X68" s="16">
        <f t="shared" si="13"/>
        <v>0</v>
      </c>
      <c r="Y68" s="16">
        <f t="shared" si="13"/>
        <v>0</v>
      </c>
      <c r="Z68" s="16">
        <f t="shared" si="13"/>
        <v>0</v>
      </c>
      <c r="AA68" s="16">
        <f t="shared" si="13"/>
        <v>0</v>
      </c>
      <c r="AB68" s="16">
        <f t="shared" si="13"/>
        <v>0</v>
      </c>
      <c r="AC68" s="16">
        <f t="shared" si="13"/>
        <v>0</v>
      </c>
      <c r="AD68" s="16">
        <f t="shared" si="13"/>
        <v>0</v>
      </c>
      <c r="AE68" s="16">
        <f t="shared" si="13"/>
        <v>0</v>
      </c>
      <c r="AF68" s="16">
        <f t="shared" si="14"/>
        <v>0</v>
      </c>
      <c r="AG68" s="16">
        <f t="shared" si="14"/>
        <v>0</v>
      </c>
      <c r="AH68" s="16">
        <f t="shared" si="14"/>
        <v>0</v>
      </c>
      <c r="AI68" s="16">
        <f t="shared" si="14"/>
        <v>0</v>
      </c>
      <c r="AJ68" s="16">
        <f t="shared" si="14"/>
        <v>0</v>
      </c>
      <c r="AK68" s="16">
        <f t="shared" si="14"/>
        <v>0</v>
      </c>
      <c r="AL68" s="16">
        <f t="shared" si="14"/>
        <v>0</v>
      </c>
      <c r="AM68" s="16">
        <f t="shared" si="14"/>
        <v>0</v>
      </c>
      <c r="AN68" s="16">
        <f t="shared" si="14"/>
        <v>0</v>
      </c>
      <c r="AO68" s="16">
        <f t="shared" si="14"/>
        <v>0</v>
      </c>
      <c r="AP68" s="16">
        <f t="shared" si="15"/>
        <v>0</v>
      </c>
      <c r="AQ68" s="16">
        <f t="shared" si="15"/>
        <v>0</v>
      </c>
      <c r="AR68" s="16">
        <f t="shared" si="15"/>
        <v>0</v>
      </c>
      <c r="AS68" s="16">
        <f t="shared" si="15"/>
        <v>0</v>
      </c>
      <c r="AT68" s="16">
        <f t="shared" si="15"/>
        <v>0</v>
      </c>
      <c r="AU68" s="16">
        <f t="shared" si="15"/>
        <v>0</v>
      </c>
      <c r="AV68" s="16">
        <f t="shared" si="15"/>
        <v>0</v>
      </c>
      <c r="AW68" s="16">
        <f t="shared" si="15"/>
        <v>0</v>
      </c>
      <c r="AX68" s="16">
        <f t="shared" si="15"/>
        <v>0</v>
      </c>
      <c r="AY68" s="16">
        <f t="shared" si="15"/>
        <v>0</v>
      </c>
      <c r="AZ68" s="16">
        <f t="shared" si="15"/>
        <v>0</v>
      </c>
      <c r="BA68" s="17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5" x14ac:dyDescent="0.2">
      <c r="A69" s="8">
        <f t="shared" si="16"/>
        <v>3</v>
      </c>
      <c r="B69" s="16">
        <f t="shared" si="11"/>
        <v>0</v>
      </c>
      <c r="C69" s="16">
        <f t="shared" si="11"/>
        <v>0</v>
      </c>
      <c r="D69" s="16">
        <f t="shared" si="11"/>
        <v>-1.0312499999999999E-2</v>
      </c>
      <c r="E69" s="16">
        <f t="shared" si="11"/>
        <v>1.0306249999999999</v>
      </c>
      <c r="F69" s="16">
        <f t="shared" si="11"/>
        <v>-1.7812500000000002E-2</v>
      </c>
      <c r="G69" s="16">
        <f t="shared" si="11"/>
        <v>0</v>
      </c>
      <c r="H69" s="16">
        <f t="shared" si="11"/>
        <v>0</v>
      </c>
      <c r="I69" s="16">
        <f t="shared" si="11"/>
        <v>0</v>
      </c>
      <c r="J69" s="16">
        <f t="shared" si="11"/>
        <v>0</v>
      </c>
      <c r="K69" s="16">
        <f t="shared" si="11"/>
        <v>0</v>
      </c>
      <c r="L69" s="16">
        <f t="shared" si="12"/>
        <v>0</v>
      </c>
      <c r="M69" s="16">
        <f t="shared" si="12"/>
        <v>0</v>
      </c>
      <c r="N69" s="16">
        <f t="shared" si="12"/>
        <v>0</v>
      </c>
      <c r="O69" s="16">
        <f t="shared" si="12"/>
        <v>0</v>
      </c>
      <c r="P69" s="16">
        <f t="shared" si="12"/>
        <v>0</v>
      </c>
      <c r="Q69" s="16">
        <f t="shared" si="12"/>
        <v>0</v>
      </c>
      <c r="R69" s="16">
        <f t="shared" si="12"/>
        <v>0</v>
      </c>
      <c r="S69" s="16">
        <f t="shared" si="12"/>
        <v>0</v>
      </c>
      <c r="T69" s="16">
        <f t="shared" si="12"/>
        <v>0</v>
      </c>
      <c r="U69" s="16">
        <f t="shared" si="12"/>
        <v>0</v>
      </c>
      <c r="V69" s="16">
        <f t="shared" si="13"/>
        <v>0</v>
      </c>
      <c r="W69" s="16">
        <f t="shared" si="13"/>
        <v>0</v>
      </c>
      <c r="X69" s="16">
        <f t="shared" si="13"/>
        <v>0</v>
      </c>
      <c r="Y69" s="16">
        <f t="shared" si="13"/>
        <v>0</v>
      </c>
      <c r="Z69" s="16">
        <f t="shared" si="13"/>
        <v>0</v>
      </c>
      <c r="AA69" s="16">
        <f t="shared" si="13"/>
        <v>0</v>
      </c>
      <c r="AB69" s="16">
        <f t="shared" si="13"/>
        <v>0</v>
      </c>
      <c r="AC69" s="16">
        <f t="shared" si="13"/>
        <v>0</v>
      </c>
      <c r="AD69" s="16">
        <f t="shared" si="13"/>
        <v>0</v>
      </c>
      <c r="AE69" s="16">
        <f t="shared" si="13"/>
        <v>0</v>
      </c>
      <c r="AF69" s="16">
        <f t="shared" si="14"/>
        <v>0</v>
      </c>
      <c r="AG69" s="16">
        <f t="shared" si="14"/>
        <v>0</v>
      </c>
      <c r="AH69" s="16">
        <f t="shared" si="14"/>
        <v>0</v>
      </c>
      <c r="AI69" s="16">
        <f t="shared" si="14"/>
        <v>0</v>
      </c>
      <c r="AJ69" s="16">
        <f t="shared" si="14"/>
        <v>0</v>
      </c>
      <c r="AK69" s="16">
        <f t="shared" si="14"/>
        <v>0</v>
      </c>
      <c r="AL69" s="16">
        <f t="shared" si="14"/>
        <v>0</v>
      </c>
      <c r="AM69" s="16">
        <f t="shared" si="14"/>
        <v>0</v>
      </c>
      <c r="AN69" s="16">
        <f t="shared" si="14"/>
        <v>0</v>
      </c>
      <c r="AO69" s="16">
        <f t="shared" si="14"/>
        <v>0</v>
      </c>
      <c r="AP69" s="16">
        <f t="shared" si="15"/>
        <v>0</v>
      </c>
      <c r="AQ69" s="16">
        <f t="shared" si="15"/>
        <v>0</v>
      </c>
      <c r="AR69" s="16">
        <f t="shared" si="15"/>
        <v>0</v>
      </c>
      <c r="AS69" s="16">
        <f t="shared" si="15"/>
        <v>0</v>
      </c>
      <c r="AT69" s="16">
        <f t="shared" si="15"/>
        <v>0</v>
      </c>
      <c r="AU69" s="16">
        <f t="shared" si="15"/>
        <v>0</v>
      </c>
      <c r="AV69" s="16">
        <f t="shared" si="15"/>
        <v>0</v>
      </c>
      <c r="AW69" s="16">
        <f t="shared" si="15"/>
        <v>0</v>
      </c>
      <c r="AX69" s="16">
        <f t="shared" si="15"/>
        <v>0</v>
      </c>
      <c r="AY69" s="16">
        <f t="shared" si="15"/>
        <v>0</v>
      </c>
      <c r="AZ69" s="16">
        <f t="shared" si="15"/>
        <v>0</v>
      </c>
      <c r="BA69" s="17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5" x14ac:dyDescent="0.2">
      <c r="A70" s="8">
        <f t="shared" si="16"/>
        <v>4</v>
      </c>
      <c r="B70" s="16">
        <f t="shared" si="11"/>
        <v>0</v>
      </c>
      <c r="C70" s="16">
        <f t="shared" si="11"/>
        <v>0</v>
      </c>
      <c r="D70" s="16">
        <f t="shared" si="11"/>
        <v>0</v>
      </c>
      <c r="E70" s="16">
        <f t="shared" si="11"/>
        <v>-0.02</v>
      </c>
      <c r="F70" s="16">
        <f t="shared" si="11"/>
        <v>1.0525</v>
      </c>
      <c r="G70" s="16">
        <f t="shared" si="11"/>
        <v>-3.0000000000000002E-2</v>
      </c>
      <c r="H70" s="16">
        <f t="shared" si="11"/>
        <v>0</v>
      </c>
      <c r="I70" s="16">
        <f t="shared" si="11"/>
        <v>0</v>
      </c>
      <c r="J70" s="16">
        <f t="shared" si="11"/>
        <v>0</v>
      </c>
      <c r="K70" s="16">
        <f t="shared" si="11"/>
        <v>0</v>
      </c>
      <c r="L70" s="16">
        <f t="shared" si="12"/>
        <v>0</v>
      </c>
      <c r="M70" s="16">
        <f t="shared" si="12"/>
        <v>0</v>
      </c>
      <c r="N70" s="16">
        <f t="shared" si="12"/>
        <v>0</v>
      </c>
      <c r="O70" s="16">
        <f t="shared" si="12"/>
        <v>0</v>
      </c>
      <c r="P70" s="16">
        <f t="shared" si="12"/>
        <v>0</v>
      </c>
      <c r="Q70" s="16">
        <f t="shared" si="12"/>
        <v>0</v>
      </c>
      <c r="R70" s="16">
        <f t="shared" si="12"/>
        <v>0</v>
      </c>
      <c r="S70" s="16">
        <f t="shared" si="12"/>
        <v>0</v>
      </c>
      <c r="T70" s="16">
        <f t="shared" si="12"/>
        <v>0</v>
      </c>
      <c r="U70" s="16">
        <f t="shared" si="12"/>
        <v>0</v>
      </c>
      <c r="V70" s="16">
        <f t="shared" si="13"/>
        <v>0</v>
      </c>
      <c r="W70" s="16">
        <f t="shared" si="13"/>
        <v>0</v>
      </c>
      <c r="X70" s="16">
        <f t="shared" si="13"/>
        <v>0</v>
      </c>
      <c r="Y70" s="16">
        <f t="shared" si="13"/>
        <v>0</v>
      </c>
      <c r="Z70" s="16">
        <f t="shared" si="13"/>
        <v>0</v>
      </c>
      <c r="AA70" s="16">
        <f t="shared" si="13"/>
        <v>0</v>
      </c>
      <c r="AB70" s="16">
        <f t="shared" si="13"/>
        <v>0</v>
      </c>
      <c r="AC70" s="16">
        <f t="shared" si="13"/>
        <v>0</v>
      </c>
      <c r="AD70" s="16">
        <f t="shared" si="13"/>
        <v>0</v>
      </c>
      <c r="AE70" s="16">
        <f t="shared" si="13"/>
        <v>0</v>
      </c>
      <c r="AF70" s="16">
        <f t="shared" si="14"/>
        <v>0</v>
      </c>
      <c r="AG70" s="16">
        <f t="shared" si="14"/>
        <v>0</v>
      </c>
      <c r="AH70" s="16">
        <f t="shared" si="14"/>
        <v>0</v>
      </c>
      <c r="AI70" s="16">
        <f t="shared" si="14"/>
        <v>0</v>
      </c>
      <c r="AJ70" s="16">
        <f t="shared" si="14"/>
        <v>0</v>
      </c>
      <c r="AK70" s="16">
        <f t="shared" si="14"/>
        <v>0</v>
      </c>
      <c r="AL70" s="16">
        <f t="shared" si="14"/>
        <v>0</v>
      </c>
      <c r="AM70" s="16">
        <f t="shared" si="14"/>
        <v>0</v>
      </c>
      <c r="AN70" s="16">
        <f t="shared" si="14"/>
        <v>0</v>
      </c>
      <c r="AO70" s="16">
        <f t="shared" si="14"/>
        <v>0</v>
      </c>
      <c r="AP70" s="16">
        <f t="shared" si="15"/>
        <v>0</v>
      </c>
      <c r="AQ70" s="16">
        <f t="shared" si="15"/>
        <v>0</v>
      </c>
      <c r="AR70" s="16">
        <f t="shared" si="15"/>
        <v>0</v>
      </c>
      <c r="AS70" s="16">
        <f t="shared" si="15"/>
        <v>0</v>
      </c>
      <c r="AT70" s="16">
        <f t="shared" si="15"/>
        <v>0</v>
      </c>
      <c r="AU70" s="16">
        <f t="shared" si="15"/>
        <v>0</v>
      </c>
      <c r="AV70" s="16">
        <f t="shared" si="15"/>
        <v>0</v>
      </c>
      <c r="AW70" s="16">
        <f t="shared" si="15"/>
        <v>0</v>
      </c>
      <c r="AX70" s="16">
        <f t="shared" si="15"/>
        <v>0</v>
      </c>
      <c r="AY70" s="16">
        <f t="shared" si="15"/>
        <v>0</v>
      </c>
      <c r="AZ70" s="16">
        <f t="shared" si="15"/>
        <v>0</v>
      </c>
      <c r="BA70" s="17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5" x14ac:dyDescent="0.2">
      <c r="A71" s="8">
        <f t="shared" si="16"/>
        <v>5</v>
      </c>
      <c r="B71" s="16">
        <f t="shared" si="11"/>
        <v>0</v>
      </c>
      <c r="C71" s="16">
        <f t="shared" si="11"/>
        <v>0</v>
      </c>
      <c r="D71" s="16">
        <f t="shared" si="11"/>
        <v>0</v>
      </c>
      <c r="E71" s="16">
        <f t="shared" si="11"/>
        <v>0</v>
      </c>
      <c r="F71" s="16">
        <f t="shared" si="11"/>
        <v>-3.2812500000000001E-2</v>
      </c>
      <c r="G71" s="16">
        <f t="shared" si="11"/>
        <v>1.0806249999999999</v>
      </c>
      <c r="H71" s="16">
        <f t="shared" si="11"/>
        <v>-4.5312499999999999E-2</v>
      </c>
      <c r="I71" s="16">
        <f t="shared" si="11"/>
        <v>0</v>
      </c>
      <c r="J71" s="16">
        <f t="shared" si="11"/>
        <v>0</v>
      </c>
      <c r="K71" s="16">
        <f t="shared" si="11"/>
        <v>0</v>
      </c>
      <c r="L71" s="16">
        <f t="shared" si="12"/>
        <v>0</v>
      </c>
      <c r="M71" s="16">
        <f t="shared" si="12"/>
        <v>0</v>
      </c>
      <c r="N71" s="16">
        <f t="shared" si="12"/>
        <v>0</v>
      </c>
      <c r="O71" s="16">
        <f t="shared" si="12"/>
        <v>0</v>
      </c>
      <c r="P71" s="16">
        <f t="shared" si="12"/>
        <v>0</v>
      </c>
      <c r="Q71" s="16">
        <f t="shared" si="12"/>
        <v>0</v>
      </c>
      <c r="R71" s="16">
        <f t="shared" si="12"/>
        <v>0</v>
      </c>
      <c r="S71" s="16">
        <f t="shared" si="12"/>
        <v>0</v>
      </c>
      <c r="T71" s="16">
        <f t="shared" si="12"/>
        <v>0</v>
      </c>
      <c r="U71" s="16">
        <f t="shared" si="12"/>
        <v>0</v>
      </c>
      <c r="V71" s="16">
        <f t="shared" si="13"/>
        <v>0</v>
      </c>
      <c r="W71" s="16">
        <f t="shared" si="13"/>
        <v>0</v>
      </c>
      <c r="X71" s="16">
        <f t="shared" si="13"/>
        <v>0</v>
      </c>
      <c r="Y71" s="16">
        <f t="shared" si="13"/>
        <v>0</v>
      </c>
      <c r="Z71" s="16">
        <f t="shared" si="13"/>
        <v>0</v>
      </c>
      <c r="AA71" s="16">
        <f t="shared" si="13"/>
        <v>0</v>
      </c>
      <c r="AB71" s="16">
        <f t="shared" si="13"/>
        <v>0</v>
      </c>
      <c r="AC71" s="16">
        <f t="shared" si="13"/>
        <v>0</v>
      </c>
      <c r="AD71" s="16">
        <f t="shared" si="13"/>
        <v>0</v>
      </c>
      <c r="AE71" s="16">
        <f t="shared" si="13"/>
        <v>0</v>
      </c>
      <c r="AF71" s="16">
        <f t="shared" si="14"/>
        <v>0</v>
      </c>
      <c r="AG71" s="16">
        <f t="shared" si="14"/>
        <v>0</v>
      </c>
      <c r="AH71" s="16">
        <f t="shared" si="14"/>
        <v>0</v>
      </c>
      <c r="AI71" s="16">
        <f t="shared" si="14"/>
        <v>0</v>
      </c>
      <c r="AJ71" s="16">
        <f t="shared" si="14"/>
        <v>0</v>
      </c>
      <c r="AK71" s="16">
        <f t="shared" si="14"/>
        <v>0</v>
      </c>
      <c r="AL71" s="16">
        <f t="shared" si="14"/>
        <v>0</v>
      </c>
      <c r="AM71" s="16">
        <f t="shared" si="14"/>
        <v>0</v>
      </c>
      <c r="AN71" s="16">
        <f t="shared" si="14"/>
        <v>0</v>
      </c>
      <c r="AO71" s="16">
        <f t="shared" si="14"/>
        <v>0</v>
      </c>
      <c r="AP71" s="16">
        <f t="shared" si="15"/>
        <v>0</v>
      </c>
      <c r="AQ71" s="16">
        <f t="shared" si="15"/>
        <v>0</v>
      </c>
      <c r="AR71" s="16">
        <f t="shared" si="15"/>
        <v>0</v>
      </c>
      <c r="AS71" s="16">
        <f t="shared" si="15"/>
        <v>0</v>
      </c>
      <c r="AT71" s="16">
        <f t="shared" si="15"/>
        <v>0</v>
      </c>
      <c r="AU71" s="16">
        <f t="shared" si="15"/>
        <v>0</v>
      </c>
      <c r="AV71" s="16">
        <f t="shared" si="15"/>
        <v>0</v>
      </c>
      <c r="AW71" s="16">
        <f t="shared" si="15"/>
        <v>0</v>
      </c>
      <c r="AX71" s="16">
        <f t="shared" si="15"/>
        <v>0</v>
      </c>
      <c r="AY71" s="16">
        <f t="shared" si="15"/>
        <v>0</v>
      </c>
      <c r="AZ71" s="16">
        <f t="shared" si="15"/>
        <v>0</v>
      </c>
      <c r="BA71" s="17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5" x14ac:dyDescent="0.2">
      <c r="A72" s="8">
        <f t="shared" si="16"/>
        <v>6</v>
      </c>
      <c r="B72" s="16">
        <f t="shared" si="11"/>
        <v>0</v>
      </c>
      <c r="C72" s="16">
        <f t="shared" si="11"/>
        <v>0</v>
      </c>
      <c r="D72" s="16">
        <f t="shared" si="11"/>
        <v>0</v>
      </c>
      <c r="E72" s="16">
        <f t="shared" si="11"/>
        <v>0</v>
      </c>
      <c r="F72" s="16">
        <f t="shared" si="11"/>
        <v>0</v>
      </c>
      <c r="G72" s="16">
        <f t="shared" si="11"/>
        <v>-4.8750000000000002E-2</v>
      </c>
      <c r="H72" s="16">
        <f t="shared" si="11"/>
        <v>1.115</v>
      </c>
      <c r="I72" s="16">
        <f t="shared" si="11"/>
        <v>-6.3750000000000001E-2</v>
      </c>
      <c r="J72" s="16">
        <f t="shared" si="11"/>
        <v>0</v>
      </c>
      <c r="K72" s="16">
        <f t="shared" si="11"/>
        <v>0</v>
      </c>
      <c r="L72" s="16">
        <f t="shared" si="12"/>
        <v>0</v>
      </c>
      <c r="M72" s="16">
        <f t="shared" si="12"/>
        <v>0</v>
      </c>
      <c r="N72" s="16">
        <f t="shared" si="12"/>
        <v>0</v>
      </c>
      <c r="O72" s="16">
        <f t="shared" si="12"/>
        <v>0</v>
      </c>
      <c r="P72" s="16">
        <f t="shared" si="12"/>
        <v>0</v>
      </c>
      <c r="Q72" s="16">
        <f t="shared" si="12"/>
        <v>0</v>
      </c>
      <c r="R72" s="16">
        <f t="shared" si="12"/>
        <v>0</v>
      </c>
      <c r="S72" s="16">
        <f t="shared" si="12"/>
        <v>0</v>
      </c>
      <c r="T72" s="16">
        <f t="shared" si="12"/>
        <v>0</v>
      </c>
      <c r="U72" s="16">
        <f t="shared" si="12"/>
        <v>0</v>
      </c>
      <c r="V72" s="16">
        <f t="shared" si="13"/>
        <v>0</v>
      </c>
      <c r="W72" s="16">
        <f t="shared" si="13"/>
        <v>0</v>
      </c>
      <c r="X72" s="16">
        <f t="shared" si="13"/>
        <v>0</v>
      </c>
      <c r="Y72" s="16">
        <f t="shared" si="13"/>
        <v>0</v>
      </c>
      <c r="Z72" s="16">
        <f t="shared" si="13"/>
        <v>0</v>
      </c>
      <c r="AA72" s="16">
        <f t="shared" si="13"/>
        <v>0</v>
      </c>
      <c r="AB72" s="16">
        <f t="shared" si="13"/>
        <v>0</v>
      </c>
      <c r="AC72" s="16">
        <f t="shared" si="13"/>
        <v>0</v>
      </c>
      <c r="AD72" s="16">
        <f t="shared" si="13"/>
        <v>0</v>
      </c>
      <c r="AE72" s="16">
        <f t="shared" si="13"/>
        <v>0</v>
      </c>
      <c r="AF72" s="16">
        <f t="shared" si="14"/>
        <v>0</v>
      </c>
      <c r="AG72" s="16">
        <f t="shared" si="14"/>
        <v>0</v>
      </c>
      <c r="AH72" s="16">
        <f t="shared" si="14"/>
        <v>0</v>
      </c>
      <c r="AI72" s="16">
        <f t="shared" si="14"/>
        <v>0</v>
      </c>
      <c r="AJ72" s="16">
        <f t="shared" si="14"/>
        <v>0</v>
      </c>
      <c r="AK72" s="16">
        <f t="shared" si="14"/>
        <v>0</v>
      </c>
      <c r="AL72" s="16">
        <f t="shared" si="14"/>
        <v>0</v>
      </c>
      <c r="AM72" s="16">
        <f t="shared" si="14"/>
        <v>0</v>
      </c>
      <c r="AN72" s="16">
        <f t="shared" si="14"/>
        <v>0</v>
      </c>
      <c r="AO72" s="16">
        <f t="shared" si="14"/>
        <v>0</v>
      </c>
      <c r="AP72" s="16">
        <f t="shared" si="15"/>
        <v>0</v>
      </c>
      <c r="AQ72" s="16">
        <f t="shared" si="15"/>
        <v>0</v>
      </c>
      <c r="AR72" s="16">
        <f t="shared" si="15"/>
        <v>0</v>
      </c>
      <c r="AS72" s="16">
        <f t="shared" si="15"/>
        <v>0</v>
      </c>
      <c r="AT72" s="16">
        <f t="shared" si="15"/>
        <v>0</v>
      </c>
      <c r="AU72" s="16">
        <f t="shared" si="15"/>
        <v>0</v>
      </c>
      <c r="AV72" s="16">
        <f t="shared" si="15"/>
        <v>0</v>
      </c>
      <c r="AW72" s="16">
        <f t="shared" si="15"/>
        <v>0</v>
      </c>
      <c r="AX72" s="16">
        <f t="shared" si="15"/>
        <v>0</v>
      </c>
      <c r="AY72" s="16">
        <f t="shared" si="15"/>
        <v>0</v>
      </c>
      <c r="AZ72" s="16">
        <f t="shared" si="15"/>
        <v>0</v>
      </c>
      <c r="BA72" s="17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5" x14ac:dyDescent="0.2">
      <c r="A73" s="8">
        <f t="shared" si="16"/>
        <v>7</v>
      </c>
      <c r="B73" s="16">
        <f t="shared" si="11"/>
        <v>0</v>
      </c>
      <c r="C73" s="16">
        <f t="shared" si="11"/>
        <v>0</v>
      </c>
      <c r="D73" s="16">
        <f t="shared" si="11"/>
        <v>0</v>
      </c>
      <c r="E73" s="16">
        <f t="shared" si="11"/>
        <v>0</v>
      </c>
      <c r="F73" s="16">
        <f t="shared" si="11"/>
        <v>0</v>
      </c>
      <c r="G73" s="16">
        <f t="shared" si="11"/>
        <v>0</v>
      </c>
      <c r="H73" s="16">
        <f t="shared" si="11"/>
        <v>-6.7812499999999998E-2</v>
      </c>
      <c r="I73" s="16">
        <f t="shared" si="11"/>
        <v>1.1556249999999999</v>
      </c>
      <c r="J73" s="16">
        <f t="shared" si="11"/>
        <v>-8.5312500000000013E-2</v>
      </c>
      <c r="K73" s="16">
        <f t="shared" si="11"/>
        <v>0</v>
      </c>
      <c r="L73" s="16">
        <f t="shared" si="12"/>
        <v>0</v>
      </c>
      <c r="M73" s="16">
        <f t="shared" si="12"/>
        <v>0</v>
      </c>
      <c r="N73" s="16">
        <f t="shared" si="12"/>
        <v>0</v>
      </c>
      <c r="O73" s="16">
        <f t="shared" si="12"/>
        <v>0</v>
      </c>
      <c r="P73" s="16">
        <f t="shared" si="12"/>
        <v>0</v>
      </c>
      <c r="Q73" s="16">
        <f t="shared" si="12"/>
        <v>0</v>
      </c>
      <c r="R73" s="16">
        <f t="shared" si="12"/>
        <v>0</v>
      </c>
      <c r="S73" s="16">
        <f t="shared" si="12"/>
        <v>0</v>
      </c>
      <c r="T73" s="16">
        <f t="shared" si="12"/>
        <v>0</v>
      </c>
      <c r="U73" s="16">
        <f t="shared" si="12"/>
        <v>0</v>
      </c>
      <c r="V73" s="16">
        <f t="shared" si="13"/>
        <v>0</v>
      </c>
      <c r="W73" s="16">
        <f t="shared" si="13"/>
        <v>0</v>
      </c>
      <c r="X73" s="16">
        <f t="shared" si="13"/>
        <v>0</v>
      </c>
      <c r="Y73" s="16">
        <f t="shared" si="13"/>
        <v>0</v>
      </c>
      <c r="Z73" s="16">
        <f t="shared" si="13"/>
        <v>0</v>
      </c>
      <c r="AA73" s="16">
        <f t="shared" si="13"/>
        <v>0</v>
      </c>
      <c r="AB73" s="16">
        <f t="shared" si="13"/>
        <v>0</v>
      </c>
      <c r="AC73" s="16">
        <f t="shared" si="13"/>
        <v>0</v>
      </c>
      <c r="AD73" s="16">
        <f t="shared" si="13"/>
        <v>0</v>
      </c>
      <c r="AE73" s="16">
        <f t="shared" si="13"/>
        <v>0</v>
      </c>
      <c r="AF73" s="16">
        <f t="shared" si="14"/>
        <v>0</v>
      </c>
      <c r="AG73" s="16">
        <f t="shared" si="14"/>
        <v>0</v>
      </c>
      <c r="AH73" s="16">
        <f t="shared" si="14"/>
        <v>0</v>
      </c>
      <c r="AI73" s="16">
        <f t="shared" si="14"/>
        <v>0</v>
      </c>
      <c r="AJ73" s="16">
        <f t="shared" si="14"/>
        <v>0</v>
      </c>
      <c r="AK73" s="16">
        <f t="shared" si="14"/>
        <v>0</v>
      </c>
      <c r="AL73" s="16">
        <f t="shared" si="14"/>
        <v>0</v>
      </c>
      <c r="AM73" s="16">
        <f t="shared" si="14"/>
        <v>0</v>
      </c>
      <c r="AN73" s="16">
        <f t="shared" si="14"/>
        <v>0</v>
      </c>
      <c r="AO73" s="16">
        <f t="shared" si="14"/>
        <v>0</v>
      </c>
      <c r="AP73" s="16">
        <f t="shared" si="15"/>
        <v>0</v>
      </c>
      <c r="AQ73" s="16">
        <f t="shared" si="15"/>
        <v>0</v>
      </c>
      <c r="AR73" s="16">
        <f t="shared" si="15"/>
        <v>0</v>
      </c>
      <c r="AS73" s="16">
        <f t="shared" si="15"/>
        <v>0</v>
      </c>
      <c r="AT73" s="16">
        <f t="shared" si="15"/>
        <v>0</v>
      </c>
      <c r="AU73" s="16">
        <f t="shared" si="15"/>
        <v>0</v>
      </c>
      <c r="AV73" s="16">
        <f t="shared" si="15"/>
        <v>0</v>
      </c>
      <c r="AW73" s="16">
        <f t="shared" si="15"/>
        <v>0</v>
      </c>
      <c r="AX73" s="16">
        <f t="shared" si="15"/>
        <v>0</v>
      </c>
      <c r="AY73" s="16">
        <f t="shared" si="15"/>
        <v>0</v>
      </c>
      <c r="AZ73" s="16">
        <f t="shared" si="15"/>
        <v>0</v>
      </c>
      <c r="BA73" s="17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</row>
    <row r="74" spans="1:105" x14ac:dyDescent="0.2">
      <c r="A74" s="8">
        <f t="shared" si="16"/>
        <v>8</v>
      </c>
      <c r="B74" s="16">
        <f t="shared" si="11"/>
        <v>0</v>
      </c>
      <c r="C74" s="16">
        <f t="shared" si="11"/>
        <v>0</v>
      </c>
      <c r="D74" s="16">
        <f t="shared" si="11"/>
        <v>0</v>
      </c>
      <c r="E74" s="16">
        <f t="shared" si="11"/>
        <v>0</v>
      </c>
      <c r="F74" s="16">
        <f t="shared" si="11"/>
        <v>0</v>
      </c>
      <c r="G74" s="16">
        <f t="shared" si="11"/>
        <v>0</v>
      </c>
      <c r="H74" s="16">
        <f t="shared" si="11"/>
        <v>0</v>
      </c>
      <c r="I74" s="16">
        <f t="shared" si="11"/>
        <v>-0.09</v>
      </c>
      <c r="J74" s="16">
        <f t="shared" si="11"/>
        <v>1.2024999999999999</v>
      </c>
      <c r="K74" s="16">
        <f t="shared" si="11"/>
        <v>-0.11000000000000001</v>
      </c>
      <c r="L74" s="16">
        <f t="shared" si="12"/>
        <v>0</v>
      </c>
      <c r="M74" s="16">
        <f t="shared" si="12"/>
        <v>0</v>
      </c>
      <c r="N74" s="16">
        <f t="shared" si="12"/>
        <v>0</v>
      </c>
      <c r="O74" s="16">
        <f t="shared" si="12"/>
        <v>0</v>
      </c>
      <c r="P74" s="16">
        <f t="shared" si="12"/>
        <v>0</v>
      </c>
      <c r="Q74" s="16">
        <f t="shared" si="12"/>
        <v>0</v>
      </c>
      <c r="R74" s="16">
        <f t="shared" si="12"/>
        <v>0</v>
      </c>
      <c r="S74" s="16">
        <f t="shared" si="12"/>
        <v>0</v>
      </c>
      <c r="T74" s="16">
        <f t="shared" si="12"/>
        <v>0</v>
      </c>
      <c r="U74" s="16">
        <f t="shared" si="12"/>
        <v>0</v>
      </c>
      <c r="V74" s="16">
        <f t="shared" si="13"/>
        <v>0</v>
      </c>
      <c r="W74" s="16">
        <f t="shared" si="13"/>
        <v>0</v>
      </c>
      <c r="X74" s="16">
        <f t="shared" si="13"/>
        <v>0</v>
      </c>
      <c r="Y74" s="16">
        <f t="shared" si="13"/>
        <v>0</v>
      </c>
      <c r="Z74" s="16">
        <f t="shared" si="13"/>
        <v>0</v>
      </c>
      <c r="AA74" s="16">
        <f t="shared" si="13"/>
        <v>0</v>
      </c>
      <c r="AB74" s="16">
        <f t="shared" si="13"/>
        <v>0</v>
      </c>
      <c r="AC74" s="16">
        <f t="shared" si="13"/>
        <v>0</v>
      </c>
      <c r="AD74" s="16">
        <f t="shared" si="13"/>
        <v>0</v>
      </c>
      <c r="AE74" s="16">
        <f t="shared" si="13"/>
        <v>0</v>
      </c>
      <c r="AF74" s="16">
        <f t="shared" si="14"/>
        <v>0</v>
      </c>
      <c r="AG74" s="16">
        <f t="shared" si="14"/>
        <v>0</v>
      </c>
      <c r="AH74" s="16">
        <f t="shared" si="14"/>
        <v>0</v>
      </c>
      <c r="AI74" s="16">
        <f t="shared" si="14"/>
        <v>0</v>
      </c>
      <c r="AJ74" s="16">
        <f t="shared" si="14"/>
        <v>0</v>
      </c>
      <c r="AK74" s="16">
        <f t="shared" si="14"/>
        <v>0</v>
      </c>
      <c r="AL74" s="16">
        <f t="shared" si="14"/>
        <v>0</v>
      </c>
      <c r="AM74" s="16">
        <f t="shared" si="14"/>
        <v>0</v>
      </c>
      <c r="AN74" s="16">
        <f t="shared" si="14"/>
        <v>0</v>
      </c>
      <c r="AO74" s="16">
        <f t="shared" si="14"/>
        <v>0</v>
      </c>
      <c r="AP74" s="16">
        <f t="shared" si="15"/>
        <v>0</v>
      </c>
      <c r="AQ74" s="16">
        <f t="shared" si="15"/>
        <v>0</v>
      </c>
      <c r="AR74" s="16">
        <f t="shared" si="15"/>
        <v>0</v>
      </c>
      <c r="AS74" s="16">
        <f t="shared" si="15"/>
        <v>0</v>
      </c>
      <c r="AT74" s="16">
        <f t="shared" si="15"/>
        <v>0</v>
      </c>
      <c r="AU74" s="16">
        <f t="shared" si="15"/>
        <v>0</v>
      </c>
      <c r="AV74" s="16">
        <f t="shared" si="15"/>
        <v>0</v>
      </c>
      <c r="AW74" s="16">
        <f t="shared" si="15"/>
        <v>0</v>
      </c>
      <c r="AX74" s="16">
        <f t="shared" si="15"/>
        <v>0</v>
      </c>
      <c r="AY74" s="16">
        <f t="shared" si="15"/>
        <v>0</v>
      </c>
      <c r="AZ74" s="16">
        <f t="shared" si="15"/>
        <v>0</v>
      </c>
      <c r="BA74" s="17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5" x14ac:dyDescent="0.2">
      <c r="A75" s="8">
        <f t="shared" si="16"/>
        <v>9</v>
      </c>
      <c r="B75" s="16">
        <f t="shared" si="11"/>
        <v>0</v>
      </c>
      <c r="C75" s="16">
        <f t="shared" si="11"/>
        <v>0</v>
      </c>
      <c r="D75" s="16">
        <f t="shared" si="11"/>
        <v>0</v>
      </c>
      <c r="E75" s="16">
        <f t="shared" si="11"/>
        <v>0</v>
      </c>
      <c r="F75" s="16">
        <f t="shared" si="11"/>
        <v>0</v>
      </c>
      <c r="G75" s="16">
        <f t="shared" si="11"/>
        <v>0</v>
      </c>
      <c r="H75" s="16">
        <f t="shared" si="11"/>
        <v>0</v>
      </c>
      <c r="I75" s="16">
        <f t="shared" si="11"/>
        <v>0</v>
      </c>
      <c r="J75" s="16">
        <f t="shared" si="11"/>
        <v>-0.1153125</v>
      </c>
      <c r="K75" s="16">
        <f t="shared" si="11"/>
        <v>1.255625</v>
      </c>
      <c r="L75" s="16">
        <f t="shared" si="12"/>
        <v>-0.1378125</v>
      </c>
      <c r="M75" s="16">
        <f t="shared" si="12"/>
        <v>0</v>
      </c>
      <c r="N75" s="16">
        <f t="shared" si="12"/>
        <v>0</v>
      </c>
      <c r="O75" s="16">
        <f t="shared" si="12"/>
        <v>0</v>
      </c>
      <c r="P75" s="16">
        <f t="shared" si="12"/>
        <v>0</v>
      </c>
      <c r="Q75" s="16">
        <f t="shared" si="12"/>
        <v>0</v>
      </c>
      <c r="R75" s="16">
        <f t="shared" si="12"/>
        <v>0</v>
      </c>
      <c r="S75" s="16">
        <f t="shared" si="12"/>
        <v>0</v>
      </c>
      <c r="T75" s="16">
        <f t="shared" si="12"/>
        <v>0</v>
      </c>
      <c r="U75" s="16">
        <f t="shared" si="12"/>
        <v>0</v>
      </c>
      <c r="V75" s="16">
        <f t="shared" si="13"/>
        <v>0</v>
      </c>
      <c r="W75" s="16">
        <f t="shared" si="13"/>
        <v>0</v>
      </c>
      <c r="X75" s="16">
        <f t="shared" si="13"/>
        <v>0</v>
      </c>
      <c r="Y75" s="16">
        <f t="shared" si="13"/>
        <v>0</v>
      </c>
      <c r="Z75" s="16">
        <f t="shared" si="13"/>
        <v>0</v>
      </c>
      <c r="AA75" s="16">
        <f t="shared" si="13"/>
        <v>0</v>
      </c>
      <c r="AB75" s="16">
        <f t="shared" si="13"/>
        <v>0</v>
      </c>
      <c r="AC75" s="16">
        <f t="shared" si="13"/>
        <v>0</v>
      </c>
      <c r="AD75" s="16">
        <f t="shared" si="13"/>
        <v>0</v>
      </c>
      <c r="AE75" s="16">
        <f t="shared" si="13"/>
        <v>0</v>
      </c>
      <c r="AF75" s="16">
        <f t="shared" si="14"/>
        <v>0</v>
      </c>
      <c r="AG75" s="16">
        <f t="shared" si="14"/>
        <v>0</v>
      </c>
      <c r="AH75" s="16">
        <f t="shared" si="14"/>
        <v>0</v>
      </c>
      <c r="AI75" s="16">
        <f t="shared" si="14"/>
        <v>0</v>
      </c>
      <c r="AJ75" s="16">
        <f t="shared" si="14"/>
        <v>0</v>
      </c>
      <c r="AK75" s="16">
        <f t="shared" si="14"/>
        <v>0</v>
      </c>
      <c r="AL75" s="16">
        <f t="shared" si="14"/>
        <v>0</v>
      </c>
      <c r="AM75" s="16">
        <f t="shared" si="14"/>
        <v>0</v>
      </c>
      <c r="AN75" s="16">
        <f t="shared" si="14"/>
        <v>0</v>
      </c>
      <c r="AO75" s="16">
        <f t="shared" si="14"/>
        <v>0</v>
      </c>
      <c r="AP75" s="16">
        <f t="shared" si="15"/>
        <v>0</v>
      </c>
      <c r="AQ75" s="16">
        <f t="shared" si="15"/>
        <v>0</v>
      </c>
      <c r="AR75" s="16">
        <f t="shared" si="15"/>
        <v>0</v>
      </c>
      <c r="AS75" s="16">
        <f t="shared" si="15"/>
        <v>0</v>
      </c>
      <c r="AT75" s="16">
        <f t="shared" si="15"/>
        <v>0</v>
      </c>
      <c r="AU75" s="16">
        <f t="shared" si="15"/>
        <v>0</v>
      </c>
      <c r="AV75" s="16">
        <f t="shared" si="15"/>
        <v>0</v>
      </c>
      <c r="AW75" s="16">
        <f t="shared" si="15"/>
        <v>0</v>
      </c>
      <c r="AX75" s="16">
        <f t="shared" si="15"/>
        <v>0</v>
      </c>
      <c r="AY75" s="16">
        <f t="shared" si="15"/>
        <v>0</v>
      </c>
      <c r="AZ75" s="16">
        <f t="shared" si="15"/>
        <v>0</v>
      </c>
      <c r="BA75" s="17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5" x14ac:dyDescent="0.2">
      <c r="A76" s="8">
        <f t="shared" si="16"/>
        <v>10</v>
      </c>
      <c r="B76" s="16">
        <f t="shared" si="11"/>
        <v>0</v>
      </c>
      <c r="C76" s="16">
        <f t="shared" si="11"/>
        <v>0</v>
      </c>
      <c r="D76" s="16">
        <f t="shared" si="11"/>
        <v>0</v>
      </c>
      <c r="E76" s="16">
        <f t="shared" si="11"/>
        <v>0</v>
      </c>
      <c r="F76" s="16">
        <f t="shared" si="11"/>
        <v>0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-0.14374999999999999</v>
      </c>
      <c r="L76" s="16">
        <f t="shared" si="12"/>
        <v>1.3149999999999999</v>
      </c>
      <c r="M76" s="16">
        <f t="shared" si="12"/>
        <v>-0.16875000000000001</v>
      </c>
      <c r="N76" s="16">
        <f t="shared" si="12"/>
        <v>0</v>
      </c>
      <c r="O76" s="16">
        <f t="shared" si="12"/>
        <v>0</v>
      </c>
      <c r="P76" s="16">
        <f t="shared" si="12"/>
        <v>0</v>
      </c>
      <c r="Q76" s="16">
        <f t="shared" si="12"/>
        <v>0</v>
      </c>
      <c r="R76" s="16">
        <f t="shared" si="12"/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3"/>
        <v>0</v>
      </c>
      <c r="W76" s="16">
        <f t="shared" si="13"/>
        <v>0</v>
      </c>
      <c r="X76" s="16">
        <f t="shared" si="13"/>
        <v>0</v>
      </c>
      <c r="Y76" s="16">
        <f t="shared" si="13"/>
        <v>0</v>
      </c>
      <c r="Z76" s="16">
        <f t="shared" si="13"/>
        <v>0</v>
      </c>
      <c r="AA76" s="16">
        <f t="shared" si="13"/>
        <v>0</v>
      </c>
      <c r="AB76" s="16">
        <f t="shared" si="13"/>
        <v>0</v>
      </c>
      <c r="AC76" s="16">
        <f t="shared" si="13"/>
        <v>0</v>
      </c>
      <c r="AD76" s="16">
        <f t="shared" si="13"/>
        <v>0</v>
      </c>
      <c r="AE76" s="16">
        <f t="shared" si="13"/>
        <v>0</v>
      </c>
      <c r="AF76" s="16">
        <f t="shared" si="14"/>
        <v>0</v>
      </c>
      <c r="AG76" s="16">
        <f t="shared" si="14"/>
        <v>0</v>
      </c>
      <c r="AH76" s="16">
        <f t="shared" si="14"/>
        <v>0</v>
      </c>
      <c r="AI76" s="16">
        <f t="shared" si="14"/>
        <v>0</v>
      </c>
      <c r="AJ76" s="16">
        <f t="shared" si="14"/>
        <v>0</v>
      </c>
      <c r="AK76" s="16">
        <f t="shared" si="14"/>
        <v>0</v>
      </c>
      <c r="AL76" s="16">
        <f t="shared" si="14"/>
        <v>0</v>
      </c>
      <c r="AM76" s="16">
        <f t="shared" si="14"/>
        <v>0</v>
      </c>
      <c r="AN76" s="16">
        <f t="shared" si="14"/>
        <v>0</v>
      </c>
      <c r="AO76" s="16">
        <f t="shared" si="14"/>
        <v>0</v>
      </c>
      <c r="AP76" s="16">
        <f t="shared" si="15"/>
        <v>0</v>
      </c>
      <c r="AQ76" s="16">
        <f t="shared" si="15"/>
        <v>0</v>
      </c>
      <c r="AR76" s="16">
        <f t="shared" si="15"/>
        <v>0</v>
      </c>
      <c r="AS76" s="16">
        <f t="shared" si="15"/>
        <v>0</v>
      </c>
      <c r="AT76" s="16">
        <f t="shared" si="15"/>
        <v>0</v>
      </c>
      <c r="AU76" s="16">
        <f t="shared" si="15"/>
        <v>0</v>
      </c>
      <c r="AV76" s="16">
        <f t="shared" si="15"/>
        <v>0</v>
      </c>
      <c r="AW76" s="16">
        <f t="shared" si="15"/>
        <v>0</v>
      </c>
      <c r="AX76" s="16">
        <f t="shared" si="15"/>
        <v>0</v>
      </c>
      <c r="AY76" s="16">
        <f t="shared" si="15"/>
        <v>0</v>
      </c>
      <c r="AZ76" s="16">
        <f t="shared" si="15"/>
        <v>0</v>
      </c>
      <c r="BA76" s="17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5" s="19" customFormat="1" x14ac:dyDescent="0.2">
      <c r="A77" s="8">
        <f t="shared" si="16"/>
        <v>11</v>
      </c>
      <c r="B77" s="16">
        <f t="shared" ref="B77:K86" si="17">IF(B$65=$A77-1,0.5*riskfree*$A77*dtime-0.5*sigma^2*($A77)^2*dtime,                                                                 IF(B$65=$A77,1+riskfree*dtime+sigma^2*($A77)^2*dtime,                                                                           IF(B$65=$A77+1,-0.5*riskfree*$A77*dtime-0.5*sigma^2*($A77)^2*dtime,0)))</f>
        <v>0</v>
      </c>
      <c r="C77" s="16">
        <f t="shared" si="17"/>
        <v>0</v>
      </c>
      <c r="D77" s="16">
        <f t="shared" si="17"/>
        <v>0</v>
      </c>
      <c r="E77" s="16">
        <f t="shared" si="17"/>
        <v>0</v>
      </c>
      <c r="F77" s="16">
        <f t="shared" si="17"/>
        <v>0</v>
      </c>
      <c r="G77" s="16">
        <f t="shared" si="17"/>
        <v>0</v>
      </c>
      <c r="H77" s="16">
        <f t="shared" si="17"/>
        <v>0</v>
      </c>
      <c r="I77" s="16">
        <f t="shared" si="17"/>
        <v>0</v>
      </c>
      <c r="J77" s="16">
        <f t="shared" si="17"/>
        <v>0</v>
      </c>
      <c r="K77" s="16">
        <f t="shared" si="17"/>
        <v>0</v>
      </c>
      <c r="L77" s="16">
        <f t="shared" ref="L77:U86" si="18">IF(L$65=$A77-1,0.5*riskfree*$A77*dtime-0.5*sigma^2*($A77)^2*dtime,                                                                 IF(L$65=$A77,1+riskfree*dtime+sigma^2*($A77)^2*dtime,                                                                           IF(L$65=$A77+1,-0.5*riskfree*$A77*dtime-0.5*sigma^2*($A77)^2*dtime,0)))</f>
        <v>-0.17531250000000001</v>
      </c>
      <c r="M77" s="16">
        <f t="shared" si="18"/>
        <v>1.380625</v>
      </c>
      <c r="N77" s="16">
        <f t="shared" si="18"/>
        <v>-0.20281250000000003</v>
      </c>
      <c r="O77" s="16">
        <f t="shared" si="18"/>
        <v>0</v>
      </c>
      <c r="P77" s="16">
        <f t="shared" si="18"/>
        <v>0</v>
      </c>
      <c r="Q77" s="16">
        <f t="shared" si="18"/>
        <v>0</v>
      </c>
      <c r="R77" s="16">
        <f t="shared" si="18"/>
        <v>0</v>
      </c>
      <c r="S77" s="16">
        <f t="shared" si="18"/>
        <v>0</v>
      </c>
      <c r="T77" s="16">
        <f t="shared" si="18"/>
        <v>0</v>
      </c>
      <c r="U77" s="16">
        <f t="shared" si="18"/>
        <v>0</v>
      </c>
      <c r="V77" s="16">
        <f t="shared" ref="V77:AE86" si="19">IF(V$65=$A77-1,0.5*riskfree*$A77*dtime-0.5*sigma^2*($A77)^2*dtime,                                                                 IF(V$65=$A77,1+riskfree*dtime+sigma^2*($A77)^2*dtime,                                                                           IF(V$65=$A77+1,-0.5*riskfree*$A77*dtime-0.5*sigma^2*($A77)^2*dtime,0)))</f>
        <v>0</v>
      </c>
      <c r="W77" s="16">
        <f t="shared" si="19"/>
        <v>0</v>
      </c>
      <c r="X77" s="16">
        <f t="shared" si="19"/>
        <v>0</v>
      </c>
      <c r="Y77" s="16">
        <f t="shared" si="19"/>
        <v>0</v>
      </c>
      <c r="Z77" s="16">
        <f t="shared" si="19"/>
        <v>0</v>
      </c>
      <c r="AA77" s="16">
        <f t="shared" si="19"/>
        <v>0</v>
      </c>
      <c r="AB77" s="16">
        <f t="shared" si="19"/>
        <v>0</v>
      </c>
      <c r="AC77" s="16">
        <f t="shared" si="19"/>
        <v>0</v>
      </c>
      <c r="AD77" s="16">
        <f t="shared" si="19"/>
        <v>0</v>
      </c>
      <c r="AE77" s="16">
        <f t="shared" si="19"/>
        <v>0</v>
      </c>
      <c r="AF77" s="16">
        <f t="shared" ref="AF77:AO86" si="20">IF(AF$65=$A77-1,0.5*riskfree*$A77*dtime-0.5*sigma^2*($A77)^2*dtime,                                                                 IF(AF$65=$A77,1+riskfree*dtime+sigma^2*($A77)^2*dtime,                                                                           IF(AF$65=$A77+1,-0.5*riskfree*$A77*dtime-0.5*sigma^2*($A77)^2*dtime,0)))</f>
        <v>0</v>
      </c>
      <c r="AG77" s="16">
        <f t="shared" si="20"/>
        <v>0</v>
      </c>
      <c r="AH77" s="16">
        <f t="shared" si="20"/>
        <v>0</v>
      </c>
      <c r="AI77" s="16">
        <f t="shared" si="20"/>
        <v>0</v>
      </c>
      <c r="AJ77" s="16">
        <f t="shared" si="20"/>
        <v>0</v>
      </c>
      <c r="AK77" s="16">
        <f t="shared" si="20"/>
        <v>0</v>
      </c>
      <c r="AL77" s="16">
        <f t="shared" si="20"/>
        <v>0</v>
      </c>
      <c r="AM77" s="16">
        <f t="shared" si="20"/>
        <v>0</v>
      </c>
      <c r="AN77" s="16">
        <f t="shared" si="20"/>
        <v>0</v>
      </c>
      <c r="AO77" s="16">
        <f t="shared" si="20"/>
        <v>0</v>
      </c>
      <c r="AP77" s="16">
        <f t="shared" ref="AP77:AZ86" si="21">IF(AP$65=$A77-1,0.5*riskfree*$A77*dtime-0.5*sigma^2*($A77)^2*dtime,                                                                 IF(AP$65=$A77,1+riskfree*dtime+sigma^2*($A77)^2*dtime,                                                                           IF(AP$65=$A77+1,-0.5*riskfree*$A77*dtime-0.5*sigma^2*($A77)^2*dtime,0)))</f>
        <v>0</v>
      </c>
      <c r="AQ77" s="16">
        <f t="shared" si="21"/>
        <v>0</v>
      </c>
      <c r="AR77" s="16">
        <f t="shared" si="21"/>
        <v>0</v>
      </c>
      <c r="AS77" s="16">
        <f t="shared" si="21"/>
        <v>0</v>
      </c>
      <c r="AT77" s="16">
        <f t="shared" si="21"/>
        <v>0</v>
      </c>
      <c r="AU77" s="16">
        <f t="shared" si="21"/>
        <v>0</v>
      </c>
      <c r="AV77" s="16">
        <f t="shared" si="21"/>
        <v>0</v>
      </c>
      <c r="AW77" s="16">
        <f t="shared" si="21"/>
        <v>0</v>
      </c>
      <c r="AX77" s="16">
        <f t="shared" si="21"/>
        <v>0</v>
      </c>
      <c r="AY77" s="16">
        <f t="shared" si="21"/>
        <v>0</v>
      </c>
      <c r="AZ77" s="16">
        <f t="shared" si="21"/>
        <v>0</v>
      </c>
      <c r="BA77" s="17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5" x14ac:dyDescent="0.2">
      <c r="A78" s="8">
        <f t="shared" si="16"/>
        <v>12</v>
      </c>
      <c r="B78" s="16">
        <f t="shared" si="17"/>
        <v>0</v>
      </c>
      <c r="C78" s="16">
        <f t="shared" si="17"/>
        <v>0</v>
      </c>
      <c r="D78" s="16">
        <f t="shared" si="17"/>
        <v>0</v>
      </c>
      <c r="E78" s="16">
        <f t="shared" si="17"/>
        <v>0</v>
      </c>
      <c r="F78" s="16">
        <f t="shared" si="17"/>
        <v>0</v>
      </c>
      <c r="G78" s="16">
        <f t="shared" si="17"/>
        <v>0</v>
      </c>
      <c r="H78" s="16">
        <f t="shared" si="17"/>
        <v>0</v>
      </c>
      <c r="I78" s="16">
        <f t="shared" si="17"/>
        <v>0</v>
      </c>
      <c r="J78" s="16">
        <f t="shared" si="17"/>
        <v>0</v>
      </c>
      <c r="K78" s="16">
        <f t="shared" si="17"/>
        <v>0</v>
      </c>
      <c r="L78" s="16">
        <f t="shared" si="18"/>
        <v>0</v>
      </c>
      <c r="M78" s="16">
        <f t="shared" si="18"/>
        <v>-0.21</v>
      </c>
      <c r="N78" s="16">
        <f t="shared" si="18"/>
        <v>1.4524999999999999</v>
      </c>
      <c r="O78" s="16">
        <f t="shared" si="18"/>
        <v>-0.24000000000000002</v>
      </c>
      <c r="P78" s="16">
        <f t="shared" si="18"/>
        <v>0</v>
      </c>
      <c r="Q78" s="16">
        <f t="shared" si="18"/>
        <v>0</v>
      </c>
      <c r="R78" s="16">
        <f t="shared" si="18"/>
        <v>0</v>
      </c>
      <c r="S78" s="16">
        <f t="shared" si="18"/>
        <v>0</v>
      </c>
      <c r="T78" s="16">
        <f t="shared" si="18"/>
        <v>0</v>
      </c>
      <c r="U78" s="16">
        <f t="shared" si="18"/>
        <v>0</v>
      </c>
      <c r="V78" s="16">
        <f t="shared" si="19"/>
        <v>0</v>
      </c>
      <c r="W78" s="16">
        <f t="shared" si="19"/>
        <v>0</v>
      </c>
      <c r="X78" s="16">
        <f t="shared" si="19"/>
        <v>0</v>
      </c>
      <c r="Y78" s="16">
        <f t="shared" si="19"/>
        <v>0</v>
      </c>
      <c r="Z78" s="16">
        <f t="shared" si="19"/>
        <v>0</v>
      </c>
      <c r="AA78" s="16">
        <f t="shared" si="19"/>
        <v>0</v>
      </c>
      <c r="AB78" s="16">
        <f t="shared" si="19"/>
        <v>0</v>
      </c>
      <c r="AC78" s="16">
        <f t="shared" si="19"/>
        <v>0</v>
      </c>
      <c r="AD78" s="16">
        <f t="shared" si="19"/>
        <v>0</v>
      </c>
      <c r="AE78" s="16">
        <f t="shared" si="19"/>
        <v>0</v>
      </c>
      <c r="AF78" s="16">
        <f t="shared" si="20"/>
        <v>0</v>
      </c>
      <c r="AG78" s="16">
        <f t="shared" si="20"/>
        <v>0</v>
      </c>
      <c r="AH78" s="16">
        <f t="shared" si="20"/>
        <v>0</v>
      </c>
      <c r="AI78" s="16">
        <f t="shared" si="20"/>
        <v>0</v>
      </c>
      <c r="AJ78" s="16">
        <f t="shared" si="20"/>
        <v>0</v>
      </c>
      <c r="AK78" s="16">
        <f t="shared" si="20"/>
        <v>0</v>
      </c>
      <c r="AL78" s="16">
        <f t="shared" si="20"/>
        <v>0</v>
      </c>
      <c r="AM78" s="16">
        <f t="shared" si="20"/>
        <v>0</v>
      </c>
      <c r="AN78" s="16">
        <f t="shared" si="20"/>
        <v>0</v>
      </c>
      <c r="AO78" s="16">
        <f t="shared" si="20"/>
        <v>0</v>
      </c>
      <c r="AP78" s="16">
        <f t="shared" si="21"/>
        <v>0</v>
      </c>
      <c r="AQ78" s="16">
        <f t="shared" si="21"/>
        <v>0</v>
      </c>
      <c r="AR78" s="16">
        <f t="shared" si="21"/>
        <v>0</v>
      </c>
      <c r="AS78" s="16">
        <f t="shared" si="21"/>
        <v>0</v>
      </c>
      <c r="AT78" s="16">
        <f t="shared" si="21"/>
        <v>0</v>
      </c>
      <c r="AU78" s="16">
        <f t="shared" si="21"/>
        <v>0</v>
      </c>
      <c r="AV78" s="16">
        <f t="shared" si="21"/>
        <v>0</v>
      </c>
      <c r="AW78" s="16">
        <f t="shared" si="21"/>
        <v>0</v>
      </c>
      <c r="AX78" s="16">
        <f t="shared" si="21"/>
        <v>0</v>
      </c>
      <c r="AY78" s="16">
        <f t="shared" si="21"/>
        <v>0</v>
      </c>
      <c r="AZ78" s="16">
        <f t="shared" si="21"/>
        <v>0</v>
      </c>
      <c r="BA78" s="17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5" x14ac:dyDescent="0.2">
      <c r="A79" s="8">
        <f t="shared" si="16"/>
        <v>13</v>
      </c>
      <c r="B79" s="16">
        <f t="shared" si="17"/>
        <v>0</v>
      </c>
      <c r="C79" s="16">
        <f t="shared" si="17"/>
        <v>0</v>
      </c>
      <c r="D79" s="16">
        <f t="shared" si="17"/>
        <v>0</v>
      </c>
      <c r="E79" s="16">
        <f t="shared" si="17"/>
        <v>0</v>
      </c>
      <c r="F79" s="16">
        <f t="shared" si="17"/>
        <v>0</v>
      </c>
      <c r="G79" s="16">
        <f t="shared" si="17"/>
        <v>0</v>
      </c>
      <c r="H79" s="16">
        <f t="shared" si="17"/>
        <v>0</v>
      </c>
      <c r="I79" s="16">
        <f t="shared" si="17"/>
        <v>0</v>
      </c>
      <c r="J79" s="16">
        <f t="shared" si="17"/>
        <v>0</v>
      </c>
      <c r="K79" s="16">
        <f t="shared" si="17"/>
        <v>0</v>
      </c>
      <c r="L79" s="16">
        <f t="shared" si="18"/>
        <v>0</v>
      </c>
      <c r="M79" s="16">
        <f t="shared" si="18"/>
        <v>0</v>
      </c>
      <c r="N79" s="16">
        <f t="shared" si="18"/>
        <v>-0.24781250000000005</v>
      </c>
      <c r="O79" s="16">
        <f t="shared" si="18"/>
        <v>1.5306250000000001</v>
      </c>
      <c r="P79" s="16">
        <f t="shared" si="18"/>
        <v>-0.28031250000000002</v>
      </c>
      <c r="Q79" s="16">
        <f t="shared" si="18"/>
        <v>0</v>
      </c>
      <c r="R79" s="16">
        <f t="shared" si="18"/>
        <v>0</v>
      </c>
      <c r="S79" s="16">
        <f t="shared" si="18"/>
        <v>0</v>
      </c>
      <c r="T79" s="16">
        <f t="shared" si="18"/>
        <v>0</v>
      </c>
      <c r="U79" s="16">
        <f t="shared" si="18"/>
        <v>0</v>
      </c>
      <c r="V79" s="16">
        <f t="shared" si="19"/>
        <v>0</v>
      </c>
      <c r="W79" s="16">
        <f t="shared" si="19"/>
        <v>0</v>
      </c>
      <c r="X79" s="16">
        <f t="shared" si="19"/>
        <v>0</v>
      </c>
      <c r="Y79" s="16">
        <f t="shared" si="19"/>
        <v>0</v>
      </c>
      <c r="Z79" s="16">
        <f t="shared" si="19"/>
        <v>0</v>
      </c>
      <c r="AA79" s="16">
        <f t="shared" si="19"/>
        <v>0</v>
      </c>
      <c r="AB79" s="16">
        <f t="shared" si="19"/>
        <v>0</v>
      </c>
      <c r="AC79" s="16">
        <f t="shared" si="19"/>
        <v>0</v>
      </c>
      <c r="AD79" s="16">
        <f t="shared" si="19"/>
        <v>0</v>
      </c>
      <c r="AE79" s="16">
        <f t="shared" si="19"/>
        <v>0</v>
      </c>
      <c r="AF79" s="16">
        <f t="shared" si="20"/>
        <v>0</v>
      </c>
      <c r="AG79" s="16">
        <f t="shared" si="20"/>
        <v>0</v>
      </c>
      <c r="AH79" s="16">
        <f t="shared" si="20"/>
        <v>0</v>
      </c>
      <c r="AI79" s="16">
        <f t="shared" si="20"/>
        <v>0</v>
      </c>
      <c r="AJ79" s="16">
        <f t="shared" si="20"/>
        <v>0</v>
      </c>
      <c r="AK79" s="16">
        <f t="shared" si="20"/>
        <v>0</v>
      </c>
      <c r="AL79" s="16">
        <f t="shared" si="20"/>
        <v>0</v>
      </c>
      <c r="AM79" s="16">
        <f t="shared" si="20"/>
        <v>0</v>
      </c>
      <c r="AN79" s="16">
        <f t="shared" si="20"/>
        <v>0</v>
      </c>
      <c r="AO79" s="16">
        <f t="shared" si="20"/>
        <v>0</v>
      </c>
      <c r="AP79" s="16">
        <f t="shared" si="21"/>
        <v>0</v>
      </c>
      <c r="AQ79" s="16">
        <f t="shared" si="21"/>
        <v>0</v>
      </c>
      <c r="AR79" s="16">
        <f t="shared" si="21"/>
        <v>0</v>
      </c>
      <c r="AS79" s="16">
        <f t="shared" si="21"/>
        <v>0</v>
      </c>
      <c r="AT79" s="16">
        <f t="shared" si="21"/>
        <v>0</v>
      </c>
      <c r="AU79" s="16">
        <f t="shared" si="21"/>
        <v>0</v>
      </c>
      <c r="AV79" s="16">
        <f t="shared" si="21"/>
        <v>0</v>
      </c>
      <c r="AW79" s="16">
        <f t="shared" si="21"/>
        <v>0</v>
      </c>
      <c r="AX79" s="16">
        <f t="shared" si="21"/>
        <v>0</v>
      </c>
      <c r="AY79" s="16">
        <f t="shared" si="21"/>
        <v>0</v>
      </c>
      <c r="AZ79" s="16">
        <f t="shared" si="21"/>
        <v>0</v>
      </c>
      <c r="BA79" s="17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5" x14ac:dyDescent="0.2">
      <c r="A80" s="8">
        <f t="shared" si="16"/>
        <v>14</v>
      </c>
      <c r="B80" s="16">
        <f t="shared" si="17"/>
        <v>0</v>
      </c>
      <c r="C80" s="16">
        <f t="shared" si="17"/>
        <v>0</v>
      </c>
      <c r="D80" s="16">
        <f t="shared" si="17"/>
        <v>0</v>
      </c>
      <c r="E80" s="16">
        <f t="shared" si="17"/>
        <v>0</v>
      </c>
      <c r="F80" s="16">
        <f t="shared" si="17"/>
        <v>0</v>
      </c>
      <c r="G80" s="16">
        <f t="shared" si="17"/>
        <v>0</v>
      </c>
      <c r="H80" s="16">
        <f t="shared" si="17"/>
        <v>0</v>
      </c>
      <c r="I80" s="16">
        <f t="shared" si="17"/>
        <v>0</v>
      </c>
      <c r="J80" s="16">
        <f t="shared" si="17"/>
        <v>0</v>
      </c>
      <c r="K80" s="16">
        <f t="shared" si="17"/>
        <v>0</v>
      </c>
      <c r="L80" s="16">
        <f t="shared" si="18"/>
        <v>0</v>
      </c>
      <c r="M80" s="16">
        <f t="shared" si="18"/>
        <v>0</v>
      </c>
      <c r="N80" s="16">
        <f t="shared" si="18"/>
        <v>0</v>
      </c>
      <c r="O80" s="16">
        <f t="shared" si="18"/>
        <v>-0.28875000000000001</v>
      </c>
      <c r="P80" s="16">
        <f t="shared" si="18"/>
        <v>1.615</v>
      </c>
      <c r="Q80" s="16">
        <f t="shared" si="18"/>
        <v>-0.32375000000000004</v>
      </c>
      <c r="R80" s="16">
        <f t="shared" si="18"/>
        <v>0</v>
      </c>
      <c r="S80" s="16">
        <f t="shared" si="18"/>
        <v>0</v>
      </c>
      <c r="T80" s="16">
        <f t="shared" si="18"/>
        <v>0</v>
      </c>
      <c r="U80" s="16">
        <f t="shared" si="18"/>
        <v>0</v>
      </c>
      <c r="V80" s="16">
        <f t="shared" si="19"/>
        <v>0</v>
      </c>
      <c r="W80" s="16">
        <f t="shared" si="19"/>
        <v>0</v>
      </c>
      <c r="X80" s="16">
        <f t="shared" si="19"/>
        <v>0</v>
      </c>
      <c r="Y80" s="16">
        <f t="shared" si="19"/>
        <v>0</v>
      </c>
      <c r="Z80" s="16">
        <f t="shared" si="19"/>
        <v>0</v>
      </c>
      <c r="AA80" s="16">
        <f t="shared" si="19"/>
        <v>0</v>
      </c>
      <c r="AB80" s="16">
        <f t="shared" si="19"/>
        <v>0</v>
      </c>
      <c r="AC80" s="16">
        <f t="shared" si="19"/>
        <v>0</v>
      </c>
      <c r="AD80" s="16">
        <f t="shared" si="19"/>
        <v>0</v>
      </c>
      <c r="AE80" s="16">
        <f t="shared" si="19"/>
        <v>0</v>
      </c>
      <c r="AF80" s="16">
        <f t="shared" si="20"/>
        <v>0</v>
      </c>
      <c r="AG80" s="16">
        <f t="shared" si="20"/>
        <v>0</v>
      </c>
      <c r="AH80" s="16">
        <f t="shared" si="20"/>
        <v>0</v>
      </c>
      <c r="AI80" s="16">
        <f t="shared" si="20"/>
        <v>0</v>
      </c>
      <c r="AJ80" s="16">
        <f t="shared" si="20"/>
        <v>0</v>
      </c>
      <c r="AK80" s="16">
        <f t="shared" si="20"/>
        <v>0</v>
      </c>
      <c r="AL80" s="16">
        <f t="shared" si="20"/>
        <v>0</v>
      </c>
      <c r="AM80" s="16">
        <f t="shared" si="20"/>
        <v>0</v>
      </c>
      <c r="AN80" s="16">
        <f t="shared" si="20"/>
        <v>0</v>
      </c>
      <c r="AO80" s="16">
        <f t="shared" si="20"/>
        <v>0</v>
      </c>
      <c r="AP80" s="16">
        <f t="shared" si="21"/>
        <v>0</v>
      </c>
      <c r="AQ80" s="16">
        <f t="shared" si="21"/>
        <v>0</v>
      </c>
      <c r="AR80" s="16">
        <f t="shared" si="21"/>
        <v>0</v>
      </c>
      <c r="AS80" s="16">
        <f t="shared" si="21"/>
        <v>0</v>
      </c>
      <c r="AT80" s="16">
        <f t="shared" si="21"/>
        <v>0</v>
      </c>
      <c r="AU80" s="16">
        <f t="shared" si="21"/>
        <v>0</v>
      </c>
      <c r="AV80" s="16">
        <f t="shared" si="21"/>
        <v>0</v>
      </c>
      <c r="AW80" s="16">
        <f t="shared" si="21"/>
        <v>0</v>
      </c>
      <c r="AX80" s="16">
        <f t="shared" si="21"/>
        <v>0</v>
      </c>
      <c r="AY80" s="16">
        <f t="shared" si="21"/>
        <v>0</v>
      </c>
      <c r="AZ80" s="16">
        <f t="shared" si="21"/>
        <v>0</v>
      </c>
      <c r="BA80" s="17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x14ac:dyDescent="0.2">
      <c r="A81" s="8">
        <f t="shared" si="16"/>
        <v>15</v>
      </c>
      <c r="B81" s="16">
        <f t="shared" si="17"/>
        <v>0</v>
      </c>
      <c r="C81" s="16">
        <f t="shared" si="17"/>
        <v>0</v>
      </c>
      <c r="D81" s="16">
        <f t="shared" si="17"/>
        <v>0</v>
      </c>
      <c r="E81" s="16">
        <f t="shared" si="17"/>
        <v>0</v>
      </c>
      <c r="F81" s="16">
        <f t="shared" si="17"/>
        <v>0</v>
      </c>
      <c r="G81" s="16">
        <f t="shared" si="17"/>
        <v>0</v>
      </c>
      <c r="H81" s="16">
        <f t="shared" si="17"/>
        <v>0</v>
      </c>
      <c r="I81" s="16">
        <f t="shared" si="17"/>
        <v>0</v>
      </c>
      <c r="J81" s="16">
        <f t="shared" si="17"/>
        <v>0</v>
      </c>
      <c r="K81" s="16">
        <f t="shared" si="17"/>
        <v>0</v>
      </c>
      <c r="L81" s="16">
        <f t="shared" si="18"/>
        <v>0</v>
      </c>
      <c r="M81" s="16">
        <f t="shared" si="18"/>
        <v>0</v>
      </c>
      <c r="N81" s="16">
        <f t="shared" si="18"/>
        <v>0</v>
      </c>
      <c r="O81" s="16">
        <f t="shared" si="18"/>
        <v>0</v>
      </c>
      <c r="P81" s="16">
        <f t="shared" si="18"/>
        <v>-0.33281250000000001</v>
      </c>
      <c r="Q81" s="16">
        <f t="shared" si="18"/>
        <v>1.7056249999999999</v>
      </c>
      <c r="R81" s="16">
        <f t="shared" si="18"/>
        <v>-0.37031249999999999</v>
      </c>
      <c r="S81" s="16">
        <f t="shared" si="18"/>
        <v>0</v>
      </c>
      <c r="T81" s="16">
        <f t="shared" si="18"/>
        <v>0</v>
      </c>
      <c r="U81" s="16">
        <f t="shared" si="18"/>
        <v>0</v>
      </c>
      <c r="V81" s="16">
        <f t="shared" si="19"/>
        <v>0</v>
      </c>
      <c r="W81" s="16">
        <f t="shared" si="19"/>
        <v>0</v>
      </c>
      <c r="X81" s="16">
        <f t="shared" si="19"/>
        <v>0</v>
      </c>
      <c r="Y81" s="16">
        <f t="shared" si="19"/>
        <v>0</v>
      </c>
      <c r="Z81" s="16">
        <f t="shared" si="19"/>
        <v>0</v>
      </c>
      <c r="AA81" s="16">
        <f t="shared" si="19"/>
        <v>0</v>
      </c>
      <c r="AB81" s="16">
        <f t="shared" si="19"/>
        <v>0</v>
      </c>
      <c r="AC81" s="16">
        <f t="shared" si="19"/>
        <v>0</v>
      </c>
      <c r="AD81" s="16">
        <f t="shared" si="19"/>
        <v>0</v>
      </c>
      <c r="AE81" s="16">
        <f t="shared" si="19"/>
        <v>0</v>
      </c>
      <c r="AF81" s="16">
        <f t="shared" si="20"/>
        <v>0</v>
      </c>
      <c r="AG81" s="16">
        <f t="shared" si="20"/>
        <v>0</v>
      </c>
      <c r="AH81" s="16">
        <f t="shared" si="20"/>
        <v>0</v>
      </c>
      <c r="AI81" s="16">
        <f t="shared" si="20"/>
        <v>0</v>
      </c>
      <c r="AJ81" s="16">
        <f t="shared" si="20"/>
        <v>0</v>
      </c>
      <c r="AK81" s="16">
        <f t="shared" si="20"/>
        <v>0</v>
      </c>
      <c r="AL81" s="16">
        <f t="shared" si="20"/>
        <v>0</v>
      </c>
      <c r="AM81" s="16">
        <f t="shared" si="20"/>
        <v>0</v>
      </c>
      <c r="AN81" s="16">
        <f t="shared" si="20"/>
        <v>0</v>
      </c>
      <c r="AO81" s="16">
        <f t="shared" si="20"/>
        <v>0</v>
      </c>
      <c r="AP81" s="16">
        <f t="shared" si="21"/>
        <v>0</v>
      </c>
      <c r="AQ81" s="16">
        <f t="shared" si="21"/>
        <v>0</v>
      </c>
      <c r="AR81" s="16">
        <f t="shared" si="21"/>
        <v>0</v>
      </c>
      <c r="AS81" s="16">
        <f t="shared" si="21"/>
        <v>0</v>
      </c>
      <c r="AT81" s="16">
        <f t="shared" si="21"/>
        <v>0</v>
      </c>
      <c r="AU81" s="16">
        <f t="shared" si="21"/>
        <v>0</v>
      </c>
      <c r="AV81" s="16">
        <f t="shared" si="21"/>
        <v>0</v>
      </c>
      <c r="AW81" s="16">
        <f t="shared" si="21"/>
        <v>0</v>
      </c>
      <c r="AX81" s="16">
        <f t="shared" si="21"/>
        <v>0</v>
      </c>
      <c r="AY81" s="16">
        <f t="shared" si="21"/>
        <v>0</v>
      </c>
      <c r="AZ81" s="16">
        <f t="shared" si="21"/>
        <v>0</v>
      </c>
      <c r="BA81" s="17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x14ac:dyDescent="0.2">
      <c r="A82" s="8">
        <f t="shared" si="16"/>
        <v>16</v>
      </c>
      <c r="B82" s="16">
        <f t="shared" si="17"/>
        <v>0</v>
      </c>
      <c r="C82" s="16">
        <f t="shared" si="17"/>
        <v>0</v>
      </c>
      <c r="D82" s="16">
        <f t="shared" si="17"/>
        <v>0</v>
      </c>
      <c r="E82" s="16">
        <f t="shared" si="17"/>
        <v>0</v>
      </c>
      <c r="F82" s="16">
        <f t="shared" si="17"/>
        <v>0</v>
      </c>
      <c r="G82" s="16">
        <f t="shared" si="17"/>
        <v>0</v>
      </c>
      <c r="H82" s="16">
        <f t="shared" si="17"/>
        <v>0</v>
      </c>
      <c r="I82" s="16">
        <f t="shared" si="17"/>
        <v>0</v>
      </c>
      <c r="J82" s="16">
        <f t="shared" si="17"/>
        <v>0</v>
      </c>
      <c r="K82" s="16">
        <f t="shared" si="17"/>
        <v>0</v>
      </c>
      <c r="L82" s="16">
        <f t="shared" si="18"/>
        <v>0</v>
      </c>
      <c r="M82" s="16">
        <f t="shared" si="18"/>
        <v>0</v>
      </c>
      <c r="N82" s="16">
        <f t="shared" si="18"/>
        <v>0</v>
      </c>
      <c r="O82" s="16">
        <f t="shared" si="18"/>
        <v>0</v>
      </c>
      <c r="P82" s="16">
        <f t="shared" si="18"/>
        <v>0</v>
      </c>
      <c r="Q82" s="16">
        <f t="shared" si="18"/>
        <v>-0.38</v>
      </c>
      <c r="R82" s="16">
        <f t="shared" si="18"/>
        <v>1.8025</v>
      </c>
      <c r="S82" s="16">
        <f t="shared" si="18"/>
        <v>-0.42000000000000004</v>
      </c>
      <c r="T82" s="16">
        <f t="shared" si="18"/>
        <v>0</v>
      </c>
      <c r="U82" s="16">
        <f t="shared" si="18"/>
        <v>0</v>
      </c>
      <c r="V82" s="16">
        <f t="shared" si="19"/>
        <v>0</v>
      </c>
      <c r="W82" s="16">
        <f t="shared" si="19"/>
        <v>0</v>
      </c>
      <c r="X82" s="16">
        <f t="shared" si="19"/>
        <v>0</v>
      </c>
      <c r="Y82" s="16">
        <f t="shared" si="19"/>
        <v>0</v>
      </c>
      <c r="Z82" s="16">
        <f t="shared" si="19"/>
        <v>0</v>
      </c>
      <c r="AA82" s="16">
        <f t="shared" si="19"/>
        <v>0</v>
      </c>
      <c r="AB82" s="16">
        <f t="shared" si="19"/>
        <v>0</v>
      </c>
      <c r="AC82" s="16">
        <f t="shared" si="19"/>
        <v>0</v>
      </c>
      <c r="AD82" s="16">
        <f t="shared" si="19"/>
        <v>0</v>
      </c>
      <c r="AE82" s="16">
        <f t="shared" si="19"/>
        <v>0</v>
      </c>
      <c r="AF82" s="16">
        <f t="shared" si="20"/>
        <v>0</v>
      </c>
      <c r="AG82" s="16">
        <f t="shared" si="20"/>
        <v>0</v>
      </c>
      <c r="AH82" s="16">
        <f t="shared" si="20"/>
        <v>0</v>
      </c>
      <c r="AI82" s="16">
        <f t="shared" si="20"/>
        <v>0</v>
      </c>
      <c r="AJ82" s="16">
        <f t="shared" si="20"/>
        <v>0</v>
      </c>
      <c r="AK82" s="16">
        <f t="shared" si="20"/>
        <v>0</v>
      </c>
      <c r="AL82" s="16">
        <f t="shared" si="20"/>
        <v>0</v>
      </c>
      <c r="AM82" s="16">
        <f t="shared" si="20"/>
        <v>0</v>
      </c>
      <c r="AN82" s="16">
        <f t="shared" si="20"/>
        <v>0</v>
      </c>
      <c r="AO82" s="16">
        <f t="shared" si="20"/>
        <v>0</v>
      </c>
      <c r="AP82" s="16">
        <f t="shared" si="21"/>
        <v>0</v>
      </c>
      <c r="AQ82" s="16">
        <f t="shared" si="21"/>
        <v>0</v>
      </c>
      <c r="AR82" s="16">
        <f t="shared" si="21"/>
        <v>0</v>
      </c>
      <c r="AS82" s="16">
        <f t="shared" si="21"/>
        <v>0</v>
      </c>
      <c r="AT82" s="16">
        <f t="shared" si="21"/>
        <v>0</v>
      </c>
      <c r="AU82" s="16">
        <f t="shared" si="21"/>
        <v>0</v>
      </c>
      <c r="AV82" s="16">
        <f t="shared" si="21"/>
        <v>0</v>
      </c>
      <c r="AW82" s="16">
        <f t="shared" si="21"/>
        <v>0</v>
      </c>
      <c r="AX82" s="16">
        <f t="shared" si="21"/>
        <v>0</v>
      </c>
      <c r="AY82" s="16">
        <f t="shared" si="21"/>
        <v>0</v>
      </c>
      <c r="AZ82" s="16">
        <f t="shared" si="21"/>
        <v>0</v>
      </c>
      <c r="BA82" s="17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x14ac:dyDescent="0.2">
      <c r="A83" s="8">
        <f t="shared" si="16"/>
        <v>17</v>
      </c>
      <c r="B83" s="16">
        <f t="shared" si="17"/>
        <v>0</v>
      </c>
      <c r="C83" s="16">
        <f t="shared" si="17"/>
        <v>0</v>
      </c>
      <c r="D83" s="16">
        <f t="shared" si="17"/>
        <v>0</v>
      </c>
      <c r="E83" s="16">
        <f t="shared" si="17"/>
        <v>0</v>
      </c>
      <c r="F83" s="16">
        <f t="shared" si="17"/>
        <v>0</v>
      </c>
      <c r="G83" s="16">
        <f t="shared" si="17"/>
        <v>0</v>
      </c>
      <c r="H83" s="16">
        <f t="shared" si="17"/>
        <v>0</v>
      </c>
      <c r="I83" s="16">
        <f t="shared" si="17"/>
        <v>0</v>
      </c>
      <c r="J83" s="16">
        <f t="shared" si="17"/>
        <v>0</v>
      </c>
      <c r="K83" s="16">
        <f t="shared" si="17"/>
        <v>0</v>
      </c>
      <c r="L83" s="16">
        <f t="shared" si="18"/>
        <v>0</v>
      </c>
      <c r="M83" s="16">
        <f t="shared" si="18"/>
        <v>0</v>
      </c>
      <c r="N83" s="16">
        <f t="shared" si="18"/>
        <v>0</v>
      </c>
      <c r="O83" s="16">
        <f t="shared" si="18"/>
        <v>0</v>
      </c>
      <c r="P83" s="16">
        <f t="shared" si="18"/>
        <v>0</v>
      </c>
      <c r="Q83" s="16">
        <f t="shared" si="18"/>
        <v>0</v>
      </c>
      <c r="R83" s="16">
        <f t="shared" si="18"/>
        <v>-0.43031250000000004</v>
      </c>
      <c r="S83" s="16">
        <f t="shared" si="18"/>
        <v>1.9056250000000001</v>
      </c>
      <c r="T83" s="16">
        <f t="shared" si="18"/>
        <v>-0.47281250000000002</v>
      </c>
      <c r="U83" s="16">
        <f t="shared" si="18"/>
        <v>0</v>
      </c>
      <c r="V83" s="16">
        <f t="shared" si="19"/>
        <v>0</v>
      </c>
      <c r="W83" s="16">
        <f t="shared" si="19"/>
        <v>0</v>
      </c>
      <c r="X83" s="16">
        <f t="shared" si="19"/>
        <v>0</v>
      </c>
      <c r="Y83" s="16">
        <f t="shared" si="19"/>
        <v>0</v>
      </c>
      <c r="Z83" s="16">
        <f t="shared" si="19"/>
        <v>0</v>
      </c>
      <c r="AA83" s="16">
        <f t="shared" si="19"/>
        <v>0</v>
      </c>
      <c r="AB83" s="16">
        <f t="shared" si="19"/>
        <v>0</v>
      </c>
      <c r="AC83" s="16">
        <f t="shared" si="19"/>
        <v>0</v>
      </c>
      <c r="AD83" s="16">
        <f t="shared" si="19"/>
        <v>0</v>
      </c>
      <c r="AE83" s="16">
        <f t="shared" si="19"/>
        <v>0</v>
      </c>
      <c r="AF83" s="16">
        <f t="shared" si="20"/>
        <v>0</v>
      </c>
      <c r="AG83" s="16">
        <f t="shared" si="20"/>
        <v>0</v>
      </c>
      <c r="AH83" s="16">
        <f t="shared" si="20"/>
        <v>0</v>
      </c>
      <c r="AI83" s="16">
        <f t="shared" si="20"/>
        <v>0</v>
      </c>
      <c r="AJ83" s="16">
        <f t="shared" si="20"/>
        <v>0</v>
      </c>
      <c r="AK83" s="16">
        <f t="shared" si="20"/>
        <v>0</v>
      </c>
      <c r="AL83" s="16">
        <f t="shared" si="20"/>
        <v>0</v>
      </c>
      <c r="AM83" s="16">
        <f t="shared" si="20"/>
        <v>0</v>
      </c>
      <c r="AN83" s="16">
        <f t="shared" si="20"/>
        <v>0</v>
      </c>
      <c r="AO83" s="16">
        <f t="shared" si="20"/>
        <v>0</v>
      </c>
      <c r="AP83" s="16">
        <f t="shared" si="21"/>
        <v>0</v>
      </c>
      <c r="AQ83" s="16">
        <f t="shared" si="21"/>
        <v>0</v>
      </c>
      <c r="AR83" s="16">
        <f t="shared" si="21"/>
        <v>0</v>
      </c>
      <c r="AS83" s="16">
        <f t="shared" si="21"/>
        <v>0</v>
      </c>
      <c r="AT83" s="16">
        <f t="shared" si="21"/>
        <v>0</v>
      </c>
      <c r="AU83" s="16">
        <f t="shared" si="21"/>
        <v>0</v>
      </c>
      <c r="AV83" s="16">
        <f t="shared" si="21"/>
        <v>0</v>
      </c>
      <c r="AW83" s="16">
        <f t="shared" si="21"/>
        <v>0</v>
      </c>
      <c r="AX83" s="16">
        <f t="shared" si="21"/>
        <v>0</v>
      </c>
      <c r="AY83" s="16">
        <f t="shared" si="21"/>
        <v>0</v>
      </c>
      <c r="AZ83" s="16">
        <f t="shared" si="21"/>
        <v>0</v>
      </c>
      <c r="BA83" s="17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x14ac:dyDescent="0.2">
      <c r="A84" s="8">
        <f t="shared" si="16"/>
        <v>18</v>
      </c>
      <c r="B84" s="16">
        <f t="shared" si="17"/>
        <v>0</v>
      </c>
      <c r="C84" s="16">
        <f t="shared" si="17"/>
        <v>0</v>
      </c>
      <c r="D84" s="16">
        <f t="shared" si="17"/>
        <v>0</v>
      </c>
      <c r="E84" s="16">
        <f t="shared" si="17"/>
        <v>0</v>
      </c>
      <c r="F84" s="16">
        <f t="shared" si="17"/>
        <v>0</v>
      </c>
      <c r="G84" s="16">
        <f t="shared" si="17"/>
        <v>0</v>
      </c>
      <c r="H84" s="16">
        <f t="shared" si="17"/>
        <v>0</v>
      </c>
      <c r="I84" s="16">
        <f t="shared" si="17"/>
        <v>0</v>
      </c>
      <c r="J84" s="16">
        <f t="shared" si="17"/>
        <v>0</v>
      </c>
      <c r="K84" s="16">
        <f t="shared" si="17"/>
        <v>0</v>
      </c>
      <c r="L84" s="16">
        <f t="shared" si="18"/>
        <v>0</v>
      </c>
      <c r="M84" s="16">
        <f t="shared" si="18"/>
        <v>0</v>
      </c>
      <c r="N84" s="16">
        <f t="shared" si="18"/>
        <v>0</v>
      </c>
      <c r="O84" s="16">
        <f t="shared" si="18"/>
        <v>0</v>
      </c>
      <c r="P84" s="16">
        <f t="shared" si="18"/>
        <v>0</v>
      </c>
      <c r="Q84" s="16">
        <f t="shared" si="18"/>
        <v>0</v>
      </c>
      <c r="R84" s="16">
        <f t="shared" si="18"/>
        <v>0</v>
      </c>
      <c r="S84" s="16">
        <f t="shared" si="18"/>
        <v>-0.48374999999999996</v>
      </c>
      <c r="T84" s="16">
        <f t="shared" si="18"/>
        <v>2.0149999999999997</v>
      </c>
      <c r="U84" s="16">
        <f t="shared" si="18"/>
        <v>-0.52874999999999994</v>
      </c>
      <c r="V84" s="16">
        <f t="shared" si="19"/>
        <v>0</v>
      </c>
      <c r="W84" s="16">
        <f t="shared" si="19"/>
        <v>0</v>
      </c>
      <c r="X84" s="16">
        <f t="shared" si="19"/>
        <v>0</v>
      </c>
      <c r="Y84" s="16">
        <f t="shared" si="19"/>
        <v>0</v>
      </c>
      <c r="Z84" s="16">
        <f t="shared" si="19"/>
        <v>0</v>
      </c>
      <c r="AA84" s="16">
        <f t="shared" si="19"/>
        <v>0</v>
      </c>
      <c r="AB84" s="16">
        <f t="shared" si="19"/>
        <v>0</v>
      </c>
      <c r="AC84" s="16">
        <f t="shared" si="19"/>
        <v>0</v>
      </c>
      <c r="AD84" s="16">
        <f t="shared" si="19"/>
        <v>0</v>
      </c>
      <c r="AE84" s="16">
        <f t="shared" si="19"/>
        <v>0</v>
      </c>
      <c r="AF84" s="16">
        <f t="shared" si="20"/>
        <v>0</v>
      </c>
      <c r="AG84" s="16">
        <f t="shared" si="20"/>
        <v>0</v>
      </c>
      <c r="AH84" s="16">
        <f t="shared" si="20"/>
        <v>0</v>
      </c>
      <c r="AI84" s="16">
        <f t="shared" si="20"/>
        <v>0</v>
      </c>
      <c r="AJ84" s="16">
        <f t="shared" si="20"/>
        <v>0</v>
      </c>
      <c r="AK84" s="16">
        <f t="shared" si="20"/>
        <v>0</v>
      </c>
      <c r="AL84" s="16">
        <f t="shared" si="20"/>
        <v>0</v>
      </c>
      <c r="AM84" s="16">
        <f t="shared" si="20"/>
        <v>0</v>
      </c>
      <c r="AN84" s="16">
        <f t="shared" si="20"/>
        <v>0</v>
      </c>
      <c r="AO84" s="16">
        <f t="shared" si="20"/>
        <v>0</v>
      </c>
      <c r="AP84" s="16">
        <f t="shared" si="21"/>
        <v>0</v>
      </c>
      <c r="AQ84" s="16">
        <f t="shared" si="21"/>
        <v>0</v>
      </c>
      <c r="AR84" s="16">
        <f t="shared" si="21"/>
        <v>0</v>
      </c>
      <c r="AS84" s="16">
        <f t="shared" si="21"/>
        <v>0</v>
      </c>
      <c r="AT84" s="16">
        <f t="shared" si="21"/>
        <v>0</v>
      </c>
      <c r="AU84" s="16">
        <f t="shared" si="21"/>
        <v>0</v>
      </c>
      <c r="AV84" s="16">
        <f t="shared" si="21"/>
        <v>0</v>
      </c>
      <c r="AW84" s="16">
        <f t="shared" si="21"/>
        <v>0</v>
      </c>
      <c r="AX84" s="16">
        <f t="shared" si="21"/>
        <v>0</v>
      </c>
      <c r="AY84" s="16">
        <f t="shared" si="21"/>
        <v>0</v>
      </c>
      <c r="AZ84" s="16">
        <f t="shared" si="21"/>
        <v>0</v>
      </c>
      <c r="BA84" s="17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x14ac:dyDescent="0.2">
      <c r="A85" s="8">
        <f t="shared" si="16"/>
        <v>19</v>
      </c>
      <c r="B85" s="16">
        <f t="shared" si="17"/>
        <v>0</v>
      </c>
      <c r="C85" s="16">
        <f t="shared" si="17"/>
        <v>0</v>
      </c>
      <c r="D85" s="16">
        <f t="shared" si="17"/>
        <v>0</v>
      </c>
      <c r="E85" s="16">
        <f t="shared" si="17"/>
        <v>0</v>
      </c>
      <c r="F85" s="16">
        <f t="shared" si="17"/>
        <v>0</v>
      </c>
      <c r="G85" s="16">
        <f t="shared" si="17"/>
        <v>0</v>
      </c>
      <c r="H85" s="16">
        <f t="shared" si="17"/>
        <v>0</v>
      </c>
      <c r="I85" s="16">
        <f t="shared" si="17"/>
        <v>0</v>
      </c>
      <c r="J85" s="16">
        <f t="shared" si="17"/>
        <v>0</v>
      </c>
      <c r="K85" s="16">
        <f t="shared" si="17"/>
        <v>0</v>
      </c>
      <c r="L85" s="16">
        <f t="shared" si="18"/>
        <v>0</v>
      </c>
      <c r="M85" s="16">
        <f t="shared" si="18"/>
        <v>0</v>
      </c>
      <c r="N85" s="16">
        <f t="shared" si="18"/>
        <v>0</v>
      </c>
      <c r="O85" s="16">
        <f t="shared" si="18"/>
        <v>0</v>
      </c>
      <c r="P85" s="16">
        <f t="shared" si="18"/>
        <v>0</v>
      </c>
      <c r="Q85" s="16">
        <f t="shared" si="18"/>
        <v>0</v>
      </c>
      <c r="R85" s="16">
        <f t="shared" si="18"/>
        <v>0</v>
      </c>
      <c r="S85" s="16">
        <f t="shared" si="18"/>
        <v>0</v>
      </c>
      <c r="T85" s="16">
        <f t="shared" si="18"/>
        <v>-0.54031249999999997</v>
      </c>
      <c r="U85" s="16">
        <f t="shared" si="18"/>
        <v>2.1306250000000002</v>
      </c>
      <c r="V85" s="16">
        <f t="shared" si="19"/>
        <v>-0.58781250000000007</v>
      </c>
      <c r="W85" s="16">
        <f t="shared" si="19"/>
        <v>0</v>
      </c>
      <c r="X85" s="16">
        <f t="shared" si="19"/>
        <v>0</v>
      </c>
      <c r="Y85" s="16">
        <f t="shared" si="19"/>
        <v>0</v>
      </c>
      <c r="Z85" s="16">
        <f t="shared" si="19"/>
        <v>0</v>
      </c>
      <c r="AA85" s="16">
        <f t="shared" si="19"/>
        <v>0</v>
      </c>
      <c r="AB85" s="16">
        <f t="shared" si="19"/>
        <v>0</v>
      </c>
      <c r="AC85" s="16">
        <f t="shared" si="19"/>
        <v>0</v>
      </c>
      <c r="AD85" s="16">
        <f t="shared" si="19"/>
        <v>0</v>
      </c>
      <c r="AE85" s="16">
        <f t="shared" si="19"/>
        <v>0</v>
      </c>
      <c r="AF85" s="16">
        <f t="shared" si="20"/>
        <v>0</v>
      </c>
      <c r="AG85" s="16">
        <f t="shared" si="20"/>
        <v>0</v>
      </c>
      <c r="AH85" s="16">
        <f t="shared" si="20"/>
        <v>0</v>
      </c>
      <c r="AI85" s="16">
        <f t="shared" si="20"/>
        <v>0</v>
      </c>
      <c r="AJ85" s="16">
        <f t="shared" si="20"/>
        <v>0</v>
      </c>
      <c r="AK85" s="16">
        <f t="shared" si="20"/>
        <v>0</v>
      </c>
      <c r="AL85" s="16">
        <f t="shared" si="20"/>
        <v>0</v>
      </c>
      <c r="AM85" s="16">
        <f t="shared" si="20"/>
        <v>0</v>
      </c>
      <c r="AN85" s="16">
        <f t="shared" si="20"/>
        <v>0</v>
      </c>
      <c r="AO85" s="16">
        <f t="shared" si="20"/>
        <v>0</v>
      </c>
      <c r="AP85" s="16">
        <f t="shared" si="21"/>
        <v>0</v>
      </c>
      <c r="AQ85" s="16">
        <f t="shared" si="21"/>
        <v>0</v>
      </c>
      <c r="AR85" s="16">
        <f t="shared" si="21"/>
        <v>0</v>
      </c>
      <c r="AS85" s="16">
        <f t="shared" si="21"/>
        <v>0</v>
      </c>
      <c r="AT85" s="16">
        <f t="shared" si="21"/>
        <v>0</v>
      </c>
      <c r="AU85" s="16">
        <f t="shared" si="21"/>
        <v>0</v>
      </c>
      <c r="AV85" s="16">
        <f t="shared" si="21"/>
        <v>0</v>
      </c>
      <c r="AW85" s="16">
        <f t="shared" si="21"/>
        <v>0</v>
      </c>
      <c r="AX85" s="16">
        <f t="shared" si="21"/>
        <v>0</v>
      </c>
      <c r="AY85" s="16">
        <f t="shared" si="21"/>
        <v>0</v>
      </c>
      <c r="AZ85" s="16">
        <f t="shared" si="21"/>
        <v>0</v>
      </c>
      <c r="BA85" s="17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</row>
    <row r="86" spans="1:102" x14ac:dyDescent="0.2">
      <c r="A86" s="8">
        <f t="shared" si="16"/>
        <v>20</v>
      </c>
      <c r="B86" s="16">
        <f t="shared" si="17"/>
        <v>0</v>
      </c>
      <c r="C86" s="16">
        <f t="shared" si="17"/>
        <v>0</v>
      </c>
      <c r="D86" s="16">
        <f t="shared" si="17"/>
        <v>0</v>
      </c>
      <c r="E86" s="16">
        <f t="shared" si="17"/>
        <v>0</v>
      </c>
      <c r="F86" s="16">
        <f t="shared" si="17"/>
        <v>0</v>
      </c>
      <c r="G86" s="16">
        <f t="shared" si="17"/>
        <v>0</v>
      </c>
      <c r="H86" s="16">
        <f t="shared" si="17"/>
        <v>0</v>
      </c>
      <c r="I86" s="16">
        <f t="shared" si="17"/>
        <v>0</v>
      </c>
      <c r="J86" s="16">
        <f t="shared" si="17"/>
        <v>0</v>
      </c>
      <c r="K86" s="16">
        <f t="shared" si="17"/>
        <v>0</v>
      </c>
      <c r="L86" s="16">
        <f t="shared" si="18"/>
        <v>0</v>
      </c>
      <c r="M86" s="16">
        <f t="shared" si="18"/>
        <v>0</v>
      </c>
      <c r="N86" s="16">
        <f t="shared" si="18"/>
        <v>0</v>
      </c>
      <c r="O86" s="16">
        <f t="shared" si="18"/>
        <v>0</v>
      </c>
      <c r="P86" s="16">
        <f t="shared" si="18"/>
        <v>0</v>
      </c>
      <c r="Q86" s="16">
        <f t="shared" si="18"/>
        <v>0</v>
      </c>
      <c r="R86" s="16">
        <f t="shared" si="18"/>
        <v>0</v>
      </c>
      <c r="S86" s="16">
        <f t="shared" si="18"/>
        <v>0</v>
      </c>
      <c r="T86" s="16">
        <f t="shared" si="18"/>
        <v>0</v>
      </c>
      <c r="U86" s="16">
        <f t="shared" si="18"/>
        <v>-0.6</v>
      </c>
      <c r="V86" s="16">
        <f t="shared" si="19"/>
        <v>2.2524999999999999</v>
      </c>
      <c r="W86" s="16">
        <f t="shared" si="19"/>
        <v>-0.65</v>
      </c>
      <c r="X86" s="16">
        <f t="shared" si="19"/>
        <v>0</v>
      </c>
      <c r="Y86" s="16">
        <f t="shared" si="19"/>
        <v>0</v>
      </c>
      <c r="Z86" s="16">
        <f t="shared" si="19"/>
        <v>0</v>
      </c>
      <c r="AA86" s="16">
        <f t="shared" si="19"/>
        <v>0</v>
      </c>
      <c r="AB86" s="16">
        <f t="shared" si="19"/>
        <v>0</v>
      </c>
      <c r="AC86" s="16">
        <f t="shared" si="19"/>
        <v>0</v>
      </c>
      <c r="AD86" s="16">
        <f t="shared" si="19"/>
        <v>0</v>
      </c>
      <c r="AE86" s="16">
        <f t="shared" si="19"/>
        <v>0</v>
      </c>
      <c r="AF86" s="16">
        <f t="shared" si="20"/>
        <v>0</v>
      </c>
      <c r="AG86" s="16">
        <f t="shared" si="20"/>
        <v>0</v>
      </c>
      <c r="AH86" s="16">
        <f t="shared" si="20"/>
        <v>0</v>
      </c>
      <c r="AI86" s="16">
        <f t="shared" si="20"/>
        <v>0</v>
      </c>
      <c r="AJ86" s="16">
        <f t="shared" si="20"/>
        <v>0</v>
      </c>
      <c r="AK86" s="16">
        <f t="shared" si="20"/>
        <v>0</v>
      </c>
      <c r="AL86" s="16">
        <f t="shared" si="20"/>
        <v>0</v>
      </c>
      <c r="AM86" s="16">
        <f t="shared" si="20"/>
        <v>0</v>
      </c>
      <c r="AN86" s="16">
        <f t="shared" si="20"/>
        <v>0</v>
      </c>
      <c r="AO86" s="16">
        <f t="shared" si="20"/>
        <v>0</v>
      </c>
      <c r="AP86" s="16">
        <f t="shared" si="21"/>
        <v>0</v>
      </c>
      <c r="AQ86" s="16">
        <f t="shared" si="21"/>
        <v>0</v>
      </c>
      <c r="AR86" s="16">
        <f t="shared" si="21"/>
        <v>0</v>
      </c>
      <c r="AS86" s="16">
        <f t="shared" si="21"/>
        <v>0</v>
      </c>
      <c r="AT86" s="16">
        <f t="shared" si="21"/>
        <v>0</v>
      </c>
      <c r="AU86" s="16">
        <f t="shared" si="21"/>
        <v>0</v>
      </c>
      <c r="AV86" s="16">
        <f t="shared" si="21"/>
        <v>0</v>
      </c>
      <c r="AW86" s="16">
        <f t="shared" si="21"/>
        <v>0</v>
      </c>
      <c r="AX86" s="16">
        <f t="shared" si="21"/>
        <v>0</v>
      </c>
      <c r="AY86" s="16">
        <f t="shared" si="21"/>
        <v>0</v>
      </c>
      <c r="AZ86" s="16">
        <f t="shared" si="21"/>
        <v>0</v>
      </c>
      <c r="BA86" s="17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</row>
    <row r="87" spans="1:102" x14ac:dyDescent="0.2">
      <c r="A87" s="8">
        <f t="shared" si="16"/>
        <v>21</v>
      </c>
      <c r="B87" s="16">
        <f t="shared" ref="B87:K96" si="22">IF(B$65=$A87-1,0.5*riskfree*$A87*dtime-0.5*sigma^2*($A87)^2*dtime,                                                                 IF(B$65=$A87,1+riskfree*dtime+sigma^2*($A87)^2*dtime,                                                                           IF(B$65=$A87+1,-0.5*riskfree*$A87*dtime-0.5*sigma^2*($A87)^2*dtime,0)))</f>
        <v>0</v>
      </c>
      <c r="C87" s="16">
        <f t="shared" si="22"/>
        <v>0</v>
      </c>
      <c r="D87" s="16">
        <f t="shared" si="22"/>
        <v>0</v>
      </c>
      <c r="E87" s="16">
        <f t="shared" si="22"/>
        <v>0</v>
      </c>
      <c r="F87" s="16">
        <f t="shared" si="22"/>
        <v>0</v>
      </c>
      <c r="G87" s="16">
        <f t="shared" si="22"/>
        <v>0</v>
      </c>
      <c r="H87" s="16">
        <f t="shared" si="22"/>
        <v>0</v>
      </c>
      <c r="I87" s="16">
        <f t="shared" si="22"/>
        <v>0</v>
      </c>
      <c r="J87" s="16">
        <f t="shared" si="22"/>
        <v>0</v>
      </c>
      <c r="K87" s="16">
        <f t="shared" si="22"/>
        <v>0</v>
      </c>
      <c r="L87" s="16">
        <f t="shared" ref="L87:U96" si="23">IF(L$65=$A87-1,0.5*riskfree*$A87*dtime-0.5*sigma^2*($A87)^2*dtime,                                                                 IF(L$65=$A87,1+riskfree*dtime+sigma^2*($A87)^2*dtime,                                                                           IF(L$65=$A87+1,-0.5*riskfree*$A87*dtime-0.5*sigma^2*($A87)^2*dtime,0)))</f>
        <v>0</v>
      </c>
      <c r="M87" s="16">
        <f t="shared" si="23"/>
        <v>0</v>
      </c>
      <c r="N87" s="16">
        <f t="shared" si="23"/>
        <v>0</v>
      </c>
      <c r="O87" s="16">
        <f t="shared" si="23"/>
        <v>0</v>
      </c>
      <c r="P87" s="16">
        <f t="shared" si="23"/>
        <v>0</v>
      </c>
      <c r="Q87" s="16">
        <f t="shared" si="23"/>
        <v>0</v>
      </c>
      <c r="R87" s="16">
        <f t="shared" si="23"/>
        <v>0</v>
      </c>
      <c r="S87" s="16">
        <f t="shared" si="23"/>
        <v>0</v>
      </c>
      <c r="T87" s="16">
        <f t="shared" si="23"/>
        <v>0</v>
      </c>
      <c r="U87" s="16">
        <f t="shared" si="23"/>
        <v>0</v>
      </c>
      <c r="V87" s="16">
        <f t="shared" ref="V87:AE96" si="24">IF(V$65=$A87-1,0.5*riskfree*$A87*dtime-0.5*sigma^2*($A87)^2*dtime,                                                                 IF(V$65=$A87,1+riskfree*dtime+sigma^2*($A87)^2*dtime,                                                                           IF(V$65=$A87+1,-0.5*riskfree*$A87*dtime-0.5*sigma^2*($A87)^2*dtime,0)))</f>
        <v>-0.66281250000000003</v>
      </c>
      <c r="W87" s="16">
        <f t="shared" si="24"/>
        <v>2.3806250000000002</v>
      </c>
      <c r="X87" s="16">
        <f t="shared" si="24"/>
        <v>-0.71531250000000002</v>
      </c>
      <c r="Y87" s="16">
        <f t="shared" si="24"/>
        <v>0</v>
      </c>
      <c r="Z87" s="16">
        <f t="shared" si="24"/>
        <v>0</v>
      </c>
      <c r="AA87" s="16">
        <f t="shared" si="24"/>
        <v>0</v>
      </c>
      <c r="AB87" s="16">
        <f t="shared" si="24"/>
        <v>0</v>
      </c>
      <c r="AC87" s="16">
        <f t="shared" si="24"/>
        <v>0</v>
      </c>
      <c r="AD87" s="16">
        <f t="shared" si="24"/>
        <v>0</v>
      </c>
      <c r="AE87" s="16">
        <f t="shared" si="24"/>
        <v>0</v>
      </c>
      <c r="AF87" s="16">
        <f t="shared" ref="AF87:AO96" si="25">IF(AF$65=$A87-1,0.5*riskfree*$A87*dtime-0.5*sigma^2*($A87)^2*dtime,                                                                 IF(AF$65=$A87,1+riskfree*dtime+sigma^2*($A87)^2*dtime,                                                                           IF(AF$65=$A87+1,-0.5*riskfree*$A87*dtime-0.5*sigma^2*($A87)^2*dtime,0)))</f>
        <v>0</v>
      </c>
      <c r="AG87" s="16">
        <f t="shared" si="25"/>
        <v>0</v>
      </c>
      <c r="AH87" s="16">
        <f t="shared" si="25"/>
        <v>0</v>
      </c>
      <c r="AI87" s="16">
        <f t="shared" si="25"/>
        <v>0</v>
      </c>
      <c r="AJ87" s="16">
        <f t="shared" si="25"/>
        <v>0</v>
      </c>
      <c r="AK87" s="16">
        <f t="shared" si="25"/>
        <v>0</v>
      </c>
      <c r="AL87" s="16">
        <f t="shared" si="25"/>
        <v>0</v>
      </c>
      <c r="AM87" s="16">
        <f t="shared" si="25"/>
        <v>0</v>
      </c>
      <c r="AN87" s="16">
        <f t="shared" si="25"/>
        <v>0</v>
      </c>
      <c r="AO87" s="16">
        <f t="shared" si="25"/>
        <v>0</v>
      </c>
      <c r="AP87" s="16">
        <f t="shared" ref="AP87:AZ96" si="26">IF(AP$65=$A87-1,0.5*riskfree*$A87*dtime-0.5*sigma^2*($A87)^2*dtime,                                                                 IF(AP$65=$A87,1+riskfree*dtime+sigma^2*($A87)^2*dtime,                                                                           IF(AP$65=$A87+1,-0.5*riskfree*$A87*dtime-0.5*sigma^2*($A87)^2*dtime,0)))</f>
        <v>0</v>
      </c>
      <c r="AQ87" s="16">
        <f t="shared" si="26"/>
        <v>0</v>
      </c>
      <c r="AR87" s="16">
        <f t="shared" si="26"/>
        <v>0</v>
      </c>
      <c r="AS87" s="16">
        <f t="shared" si="26"/>
        <v>0</v>
      </c>
      <c r="AT87" s="16">
        <f t="shared" si="26"/>
        <v>0</v>
      </c>
      <c r="AU87" s="16">
        <f t="shared" si="26"/>
        <v>0</v>
      </c>
      <c r="AV87" s="16">
        <f t="shared" si="26"/>
        <v>0</v>
      </c>
      <c r="AW87" s="16">
        <f t="shared" si="26"/>
        <v>0</v>
      </c>
      <c r="AX87" s="16">
        <f t="shared" si="26"/>
        <v>0</v>
      </c>
      <c r="AY87" s="16">
        <f t="shared" si="26"/>
        <v>0</v>
      </c>
      <c r="AZ87" s="16">
        <f t="shared" si="26"/>
        <v>0</v>
      </c>
      <c r="BA87" s="17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</row>
    <row r="88" spans="1:102" x14ac:dyDescent="0.2">
      <c r="A88" s="8">
        <f t="shared" si="16"/>
        <v>22</v>
      </c>
      <c r="B88" s="16">
        <f t="shared" si="22"/>
        <v>0</v>
      </c>
      <c r="C88" s="16">
        <f t="shared" si="22"/>
        <v>0</v>
      </c>
      <c r="D88" s="16">
        <f t="shared" si="22"/>
        <v>0</v>
      </c>
      <c r="E88" s="16">
        <f t="shared" si="22"/>
        <v>0</v>
      </c>
      <c r="F88" s="16">
        <f t="shared" si="22"/>
        <v>0</v>
      </c>
      <c r="G88" s="16">
        <f t="shared" si="22"/>
        <v>0</v>
      </c>
      <c r="H88" s="16">
        <f t="shared" si="22"/>
        <v>0</v>
      </c>
      <c r="I88" s="16">
        <f t="shared" si="22"/>
        <v>0</v>
      </c>
      <c r="J88" s="16">
        <f t="shared" si="22"/>
        <v>0</v>
      </c>
      <c r="K88" s="16">
        <f t="shared" si="22"/>
        <v>0</v>
      </c>
      <c r="L88" s="16">
        <f t="shared" si="23"/>
        <v>0</v>
      </c>
      <c r="M88" s="16">
        <f t="shared" si="23"/>
        <v>0</v>
      </c>
      <c r="N88" s="16">
        <f t="shared" si="23"/>
        <v>0</v>
      </c>
      <c r="O88" s="16">
        <f t="shared" si="23"/>
        <v>0</v>
      </c>
      <c r="P88" s="16">
        <f t="shared" si="23"/>
        <v>0</v>
      </c>
      <c r="Q88" s="16">
        <f t="shared" si="23"/>
        <v>0</v>
      </c>
      <c r="R88" s="16">
        <f t="shared" si="23"/>
        <v>0</v>
      </c>
      <c r="S88" s="16">
        <f t="shared" si="23"/>
        <v>0</v>
      </c>
      <c r="T88" s="16">
        <f t="shared" si="23"/>
        <v>0</v>
      </c>
      <c r="U88" s="16">
        <f t="shared" si="23"/>
        <v>0</v>
      </c>
      <c r="V88" s="16">
        <f t="shared" si="24"/>
        <v>0</v>
      </c>
      <c r="W88" s="16">
        <f t="shared" si="24"/>
        <v>-0.72875000000000012</v>
      </c>
      <c r="X88" s="16">
        <f t="shared" si="24"/>
        <v>2.5150000000000001</v>
      </c>
      <c r="Y88" s="16">
        <f t="shared" si="24"/>
        <v>-0.78375000000000006</v>
      </c>
      <c r="Z88" s="16">
        <f t="shared" si="24"/>
        <v>0</v>
      </c>
      <c r="AA88" s="16">
        <f t="shared" si="24"/>
        <v>0</v>
      </c>
      <c r="AB88" s="16">
        <f t="shared" si="24"/>
        <v>0</v>
      </c>
      <c r="AC88" s="16">
        <f t="shared" si="24"/>
        <v>0</v>
      </c>
      <c r="AD88" s="16">
        <f t="shared" si="24"/>
        <v>0</v>
      </c>
      <c r="AE88" s="16">
        <f t="shared" si="24"/>
        <v>0</v>
      </c>
      <c r="AF88" s="16">
        <f t="shared" si="25"/>
        <v>0</v>
      </c>
      <c r="AG88" s="16">
        <f t="shared" si="25"/>
        <v>0</v>
      </c>
      <c r="AH88" s="16">
        <f t="shared" si="25"/>
        <v>0</v>
      </c>
      <c r="AI88" s="16">
        <f t="shared" si="25"/>
        <v>0</v>
      </c>
      <c r="AJ88" s="16">
        <f t="shared" si="25"/>
        <v>0</v>
      </c>
      <c r="AK88" s="16">
        <f t="shared" si="25"/>
        <v>0</v>
      </c>
      <c r="AL88" s="16">
        <f t="shared" si="25"/>
        <v>0</v>
      </c>
      <c r="AM88" s="16">
        <f t="shared" si="25"/>
        <v>0</v>
      </c>
      <c r="AN88" s="16">
        <f t="shared" si="25"/>
        <v>0</v>
      </c>
      <c r="AO88" s="16">
        <f t="shared" si="25"/>
        <v>0</v>
      </c>
      <c r="AP88" s="16">
        <f t="shared" si="26"/>
        <v>0</v>
      </c>
      <c r="AQ88" s="16">
        <f t="shared" si="26"/>
        <v>0</v>
      </c>
      <c r="AR88" s="16">
        <f t="shared" si="26"/>
        <v>0</v>
      </c>
      <c r="AS88" s="16">
        <f t="shared" si="26"/>
        <v>0</v>
      </c>
      <c r="AT88" s="16">
        <f t="shared" si="26"/>
        <v>0</v>
      </c>
      <c r="AU88" s="16">
        <f t="shared" si="26"/>
        <v>0</v>
      </c>
      <c r="AV88" s="16">
        <f t="shared" si="26"/>
        <v>0</v>
      </c>
      <c r="AW88" s="16">
        <f t="shared" si="26"/>
        <v>0</v>
      </c>
      <c r="AX88" s="16">
        <f t="shared" si="26"/>
        <v>0</v>
      </c>
      <c r="AY88" s="16">
        <f t="shared" si="26"/>
        <v>0</v>
      </c>
      <c r="AZ88" s="16">
        <f t="shared" si="26"/>
        <v>0</v>
      </c>
      <c r="BA88" s="17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</row>
    <row r="89" spans="1:102" x14ac:dyDescent="0.2">
      <c r="A89" s="8">
        <f t="shared" si="16"/>
        <v>23</v>
      </c>
      <c r="B89" s="16">
        <f t="shared" si="22"/>
        <v>0</v>
      </c>
      <c r="C89" s="16">
        <f t="shared" si="22"/>
        <v>0</v>
      </c>
      <c r="D89" s="16">
        <f t="shared" si="22"/>
        <v>0</v>
      </c>
      <c r="E89" s="16">
        <f t="shared" si="22"/>
        <v>0</v>
      </c>
      <c r="F89" s="16">
        <f t="shared" si="22"/>
        <v>0</v>
      </c>
      <c r="G89" s="16">
        <f t="shared" si="22"/>
        <v>0</v>
      </c>
      <c r="H89" s="16">
        <f t="shared" si="22"/>
        <v>0</v>
      </c>
      <c r="I89" s="16">
        <f t="shared" si="22"/>
        <v>0</v>
      </c>
      <c r="J89" s="16">
        <f t="shared" si="22"/>
        <v>0</v>
      </c>
      <c r="K89" s="16">
        <f t="shared" si="22"/>
        <v>0</v>
      </c>
      <c r="L89" s="16">
        <f t="shared" si="23"/>
        <v>0</v>
      </c>
      <c r="M89" s="16">
        <f t="shared" si="23"/>
        <v>0</v>
      </c>
      <c r="N89" s="16">
        <f t="shared" si="23"/>
        <v>0</v>
      </c>
      <c r="O89" s="16">
        <f t="shared" si="23"/>
        <v>0</v>
      </c>
      <c r="P89" s="16">
        <f t="shared" si="23"/>
        <v>0</v>
      </c>
      <c r="Q89" s="16">
        <f t="shared" si="23"/>
        <v>0</v>
      </c>
      <c r="R89" s="16">
        <f t="shared" si="23"/>
        <v>0</v>
      </c>
      <c r="S89" s="16">
        <f t="shared" si="23"/>
        <v>0</v>
      </c>
      <c r="T89" s="16">
        <f t="shared" si="23"/>
        <v>0</v>
      </c>
      <c r="U89" s="16">
        <f t="shared" si="23"/>
        <v>0</v>
      </c>
      <c r="V89" s="16">
        <f t="shared" si="24"/>
        <v>0</v>
      </c>
      <c r="W89" s="16">
        <f t="shared" si="24"/>
        <v>0</v>
      </c>
      <c r="X89" s="16">
        <f t="shared" si="24"/>
        <v>-0.79781250000000004</v>
      </c>
      <c r="Y89" s="16">
        <f t="shared" si="24"/>
        <v>2.6556250000000001</v>
      </c>
      <c r="Z89" s="16">
        <f t="shared" si="24"/>
        <v>-0.85531250000000014</v>
      </c>
      <c r="AA89" s="16">
        <f t="shared" si="24"/>
        <v>0</v>
      </c>
      <c r="AB89" s="16">
        <f t="shared" si="24"/>
        <v>0</v>
      </c>
      <c r="AC89" s="16">
        <f t="shared" si="24"/>
        <v>0</v>
      </c>
      <c r="AD89" s="16">
        <f t="shared" si="24"/>
        <v>0</v>
      </c>
      <c r="AE89" s="16">
        <f t="shared" si="24"/>
        <v>0</v>
      </c>
      <c r="AF89" s="16">
        <f t="shared" si="25"/>
        <v>0</v>
      </c>
      <c r="AG89" s="16">
        <f t="shared" si="25"/>
        <v>0</v>
      </c>
      <c r="AH89" s="16">
        <f t="shared" si="25"/>
        <v>0</v>
      </c>
      <c r="AI89" s="16">
        <f t="shared" si="25"/>
        <v>0</v>
      </c>
      <c r="AJ89" s="16">
        <f t="shared" si="25"/>
        <v>0</v>
      </c>
      <c r="AK89" s="16">
        <f t="shared" si="25"/>
        <v>0</v>
      </c>
      <c r="AL89" s="16">
        <f t="shared" si="25"/>
        <v>0</v>
      </c>
      <c r="AM89" s="16">
        <f t="shared" si="25"/>
        <v>0</v>
      </c>
      <c r="AN89" s="16">
        <f t="shared" si="25"/>
        <v>0</v>
      </c>
      <c r="AO89" s="16">
        <f t="shared" si="25"/>
        <v>0</v>
      </c>
      <c r="AP89" s="16">
        <f t="shared" si="26"/>
        <v>0</v>
      </c>
      <c r="AQ89" s="16">
        <f t="shared" si="26"/>
        <v>0</v>
      </c>
      <c r="AR89" s="16">
        <f t="shared" si="26"/>
        <v>0</v>
      </c>
      <c r="AS89" s="16">
        <f t="shared" si="26"/>
        <v>0</v>
      </c>
      <c r="AT89" s="16">
        <f t="shared" si="26"/>
        <v>0</v>
      </c>
      <c r="AU89" s="16">
        <f t="shared" si="26"/>
        <v>0</v>
      </c>
      <c r="AV89" s="16">
        <f t="shared" si="26"/>
        <v>0</v>
      </c>
      <c r="AW89" s="16">
        <f t="shared" si="26"/>
        <v>0</v>
      </c>
      <c r="AX89" s="16">
        <f t="shared" si="26"/>
        <v>0</v>
      </c>
      <c r="AY89" s="16">
        <f t="shared" si="26"/>
        <v>0</v>
      </c>
      <c r="AZ89" s="16">
        <f t="shared" si="26"/>
        <v>0</v>
      </c>
      <c r="BA89" s="17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</row>
    <row r="90" spans="1:102" x14ac:dyDescent="0.2">
      <c r="A90" s="8">
        <f t="shared" si="16"/>
        <v>24</v>
      </c>
      <c r="B90" s="16">
        <f t="shared" si="22"/>
        <v>0</v>
      </c>
      <c r="C90" s="16">
        <f t="shared" si="22"/>
        <v>0</v>
      </c>
      <c r="D90" s="16">
        <f t="shared" si="22"/>
        <v>0</v>
      </c>
      <c r="E90" s="16">
        <f t="shared" si="22"/>
        <v>0</v>
      </c>
      <c r="F90" s="16">
        <f t="shared" si="22"/>
        <v>0</v>
      </c>
      <c r="G90" s="16">
        <f t="shared" si="22"/>
        <v>0</v>
      </c>
      <c r="H90" s="16">
        <f t="shared" si="22"/>
        <v>0</v>
      </c>
      <c r="I90" s="16">
        <f t="shared" si="22"/>
        <v>0</v>
      </c>
      <c r="J90" s="16">
        <f t="shared" si="22"/>
        <v>0</v>
      </c>
      <c r="K90" s="16">
        <f t="shared" si="22"/>
        <v>0</v>
      </c>
      <c r="L90" s="16">
        <f t="shared" si="23"/>
        <v>0</v>
      </c>
      <c r="M90" s="16">
        <f t="shared" si="23"/>
        <v>0</v>
      </c>
      <c r="N90" s="16">
        <f t="shared" si="23"/>
        <v>0</v>
      </c>
      <c r="O90" s="16">
        <f t="shared" si="23"/>
        <v>0</v>
      </c>
      <c r="P90" s="16">
        <f t="shared" si="23"/>
        <v>0</v>
      </c>
      <c r="Q90" s="16">
        <f t="shared" si="23"/>
        <v>0</v>
      </c>
      <c r="R90" s="16">
        <f t="shared" si="23"/>
        <v>0</v>
      </c>
      <c r="S90" s="16">
        <f t="shared" si="23"/>
        <v>0</v>
      </c>
      <c r="T90" s="16">
        <f t="shared" si="23"/>
        <v>0</v>
      </c>
      <c r="U90" s="16">
        <f t="shared" si="23"/>
        <v>0</v>
      </c>
      <c r="V90" s="16">
        <f t="shared" si="24"/>
        <v>0</v>
      </c>
      <c r="W90" s="16">
        <f t="shared" si="24"/>
        <v>0</v>
      </c>
      <c r="X90" s="16">
        <f t="shared" si="24"/>
        <v>0</v>
      </c>
      <c r="Y90" s="16">
        <f t="shared" si="24"/>
        <v>-0.87</v>
      </c>
      <c r="Z90" s="16">
        <f t="shared" si="24"/>
        <v>2.8025000000000002</v>
      </c>
      <c r="AA90" s="16">
        <f t="shared" si="24"/>
        <v>-0.93</v>
      </c>
      <c r="AB90" s="16">
        <f t="shared" si="24"/>
        <v>0</v>
      </c>
      <c r="AC90" s="16">
        <f t="shared" si="24"/>
        <v>0</v>
      </c>
      <c r="AD90" s="16">
        <f t="shared" si="24"/>
        <v>0</v>
      </c>
      <c r="AE90" s="16">
        <f t="shared" si="24"/>
        <v>0</v>
      </c>
      <c r="AF90" s="16">
        <f t="shared" si="25"/>
        <v>0</v>
      </c>
      <c r="AG90" s="16">
        <f t="shared" si="25"/>
        <v>0</v>
      </c>
      <c r="AH90" s="16">
        <f t="shared" si="25"/>
        <v>0</v>
      </c>
      <c r="AI90" s="16">
        <f t="shared" si="25"/>
        <v>0</v>
      </c>
      <c r="AJ90" s="16">
        <f t="shared" si="25"/>
        <v>0</v>
      </c>
      <c r="AK90" s="16">
        <f t="shared" si="25"/>
        <v>0</v>
      </c>
      <c r="AL90" s="16">
        <f t="shared" si="25"/>
        <v>0</v>
      </c>
      <c r="AM90" s="16">
        <f t="shared" si="25"/>
        <v>0</v>
      </c>
      <c r="AN90" s="16">
        <f t="shared" si="25"/>
        <v>0</v>
      </c>
      <c r="AO90" s="16">
        <f t="shared" si="25"/>
        <v>0</v>
      </c>
      <c r="AP90" s="16">
        <f t="shared" si="26"/>
        <v>0</v>
      </c>
      <c r="AQ90" s="16">
        <f t="shared" si="26"/>
        <v>0</v>
      </c>
      <c r="AR90" s="16">
        <f t="shared" si="26"/>
        <v>0</v>
      </c>
      <c r="AS90" s="16">
        <f t="shared" si="26"/>
        <v>0</v>
      </c>
      <c r="AT90" s="16">
        <f t="shared" si="26"/>
        <v>0</v>
      </c>
      <c r="AU90" s="16">
        <f t="shared" si="26"/>
        <v>0</v>
      </c>
      <c r="AV90" s="16">
        <f t="shared" si="26"/>
        <v>0</v>
      </c>
      <c r="AW90" s="16">
        <f t="shared" si="26"/>
        <v>0</v>
      </c>
      <c r="AX90" s="16">
        <f t="shared" si="26"/>
        <v>0</v>
      </c>
      <c r="AY90" s="16">
        <f t="shared" si="26"/>
        <v>0</v>
      </c>
      <c r="AZ90" s="16">
        <f t="shared" si="26"/>
        <v>0</v>
      </c>
      <c r="BA90" s="17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</row>
    <row r="91" spans="1:102" x14ac:dyDescent="0.2">
      <c r="A91" s="8">
        <f t="shared" si="16"/>
        <v>25</v>
      </c>
      <c r="B91" s="16">
        <f t="shared" si="22"/>
        <v>0</v>
      </c>
      <c r="C91" s="16">
        <f t="shared" si="22"/>
        <v>0</v>
      </c>
      <c r="D91" s="16">
        <f t="shared" si="22"/>
        <v>0</v>
      </c>
      <c r="E91" s="16">
        <f t="shared" si="22"/>
        <v>0</v>
      </c>
      <c r="F91" s="16">
        <f t="shared" si="22"/>
        <v>0</v>
      </c>
      <c r="G91" s="16">
        <f t="shared" si="22"/>
        <v>0</v>
      </c>
      <c r="H91" s="16">
        <f t="shared" si="22"/>
        <v>0</v>
      </c>
      <c r="I91" s="16">
        <f t="shared" si="22"/>
        <v>0</v>
      </c>
      <c r="J91" s="16">
        <f t="shared" si="22"/>
        <v>0</v>
      </c>
      <c r="K91" s="16">
        <f t="shared" si="22"/>
        <v>0</v>
      </c>
      <c r="L91" s="16">
        <f t="shared" si="23"/>
        <v>0</v>
      </c>
      <c r="M91" s="16">
        <f t="shared" si="23"/>
        <v>0</v>
      </c>
      <c r="N91" s="16">
        <f t="shared" si="23"/>
        <v>0</v>
      </c>
      <c r="O91" s="16">
        <f t="shared" si="23"/>
        <v>0</v>
      </c>
      <c r="P91" s="16">
        <f t="shared" si="23"/>
        <v>0</v>
      </c>
      <c r="Q91" s="16">
        <f t="shared" si="23"/>
        <v>0</v>
      </c>
      <c r="R91" s="16">
        <f t="shared" si="23"/>
        <v>0</v>
      </c>
      <c r="S91" s="16">
        <f t="shared" si="23"/>
        <v>0</v>
      </c>
      <c r="T91" s="16">
        <f t="shared" si="23"/>
        <v>0</v>
      </c>
      <c r="U91" s="16">
        <f t="shared" si="23"/>
        <v>0</v>
      </c>
      <c r="V91" s="16">
        <f t="shared" si="24"/>
        <v>0</v>
      </c>
      <c r="W91" s="16">
        <f t="shared" si="24"/>
        <v>0</v>
      </c>
      <c r="X91" s="16">
        <f t="shared" si="24"/>
        <v>0</v>
      </c>
      <c r="Y91" s="16">
        <f t="shared" si="24"/>
        <v>0</v>
      </c>
      <c r="Z91" s="16">
        <f t="shared" si="24"/>
        <v>-0.9453125</v>
      </c>
      <c r="AA91" s="16">
        <f t="shared" si="24"/>
        <v>2.9556249999999999</v>
      </c>
      <c r="AB91" s="16">
        <f t="shared" si="24"/>
        <v>-1.0078125</v>
      </c>
      <c r="AC91" s="16">
        <f t="shared" si="24"/>
        <v>0</v>
      </c>
      <c r="AD91" s="16">
        <f t="shared" si="24"/>
        <v>0</v>
      </c>
      <c r="AE91" s="16">
        <f t="shared" si="24"/>
        <v>0</v>
      </c>
      <c r="AF91" s="16">
        <f t="shared" si="25"/>
        <v>0</v>
      </c>
      <c r="AG91" s="16">
        <f t="shared" si="25"/>
        <v>0</v>
      </c>
      <c r="AH91" s="16">
        <f t="shared" si="25"/>
        <v>0</v>
      </c>
      <c r="AI91" s="16">
        <f t="shared" si="25"/>
        <v>0</v>
      </c>
      <c r="AJ91" s="16">
        <f t="shared" si="25"/>
        <v>0</v>
      </c>
      <c r="AK91" s="16">
        <f t="shared" si="25"/>
        <v>0</v>
      </c>
      <c r="AL91" s="16">
        <f t="shared" si="25"/>
        <v>0</v>
      </c>
      <c r="AM91" s="16">
        <f t="shared" si="25"/>
        <v>0</v>
      </c>
      <c r="AN91" s="16">
        <f t="shared" si="25"/>
        <v>0</v>
      </c>
      <c r="AO91" s="16">
        <f t="shared" si="25"/>
        <v>0</v>
      </c>
      <c r="AP91" s="16">
        <f t="shared" si="26"/>
        <v>0</v>
      </c>
      <c r="AQ91" s="16">
        <f t="shared" si="26"/>
        <v>0</v>
      </c>
      <c r="AR91" s="16">
        <f t="shared" si="26"/>
        <v>0</v>
      </c>
      <c r="AS91" s="16">
        <f t="shared" si="26"/>
        <v>0</v>
      </c>
      <c r="AT91" s="16">
        <f t="shared" si="26"/>
        <v>0</v>
      </c>
      <c r="AU91" s="16">
        <f t="shared" si="26"/>
        <v>0</v>
      </c>
      <c r="AV91" s="16">
        <f t="shared" si="26"/>
        <v>0</v>
      </c>
      <c r="AW91" s="16">
        <f t="shared" si="26"/>
        <v>0</v>
      </c>
      <c r="AX91" s="16">
        <f t="shared" si="26"/>
        <v>0</v>
      </c>
      <c r="AY91" s="16">
        <f t="shared" si="26"/>
        <v>0</v>
      </c>
      <c r="AZ91" s="16">
        <f t="shared" si="26"/>
        <v>0</v>
      </c>
      <c r="BA91" s="17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</row>
    <row r="92" spans="1:102" x14ac:dyDescent="0.2">
      <c r="A92" s="8">
        <f t="shared" si="16"/>
        <v>26</v>
      </c>
      <c r="B92" s="16">
        <f t="shared" si="22"/>
        <v>0</v>
      </c>
      <c r="C92" s="16">
        <f t="shared" si="22"/>
        <v>0</v>
      </c>
      <c r="D92" s="16">
        <f t="shared" si="22"/>
        <v>0</v>
      </c>
      <c r="E92" s="16">
        <f t="shared" si="22"/>
        <v>0</v>
      </c>
      <c r="F92" s="16">
        <f t="shared" si="22"/>
        <v>0</v>
      </c>
      <c r="G92" s="16">
        <f t="shared" si="22"/>
        <v>0</v>
      </c>
      <c r="H92" s="16">
        <f t="shared" si="22"/>
        <v>0</v>
      </c>
      <c r="I92" s="16">
        <f t="shared" si="22"/>
        <v>0</v>
      </c>
      <c r="J92" s="16">
        <f t="shared" si="22"/>
        <v>0</v>
      </c>
      <c r="K92" s="16">
        <f t="shared" si="22"/>
        <v>0</v>
      </c>
      <c r="L92" s="16">
        <f t="shared" si="23"/>
        <v>0</v>
      </c>
      <c r="M92" s="16">
        <f t="shared" si="23"/>
        <v>0</v>
      </c>
      <c r="N92" s="16">
        <f t="shared" si="23"/>
        <v>0</v>
      </c>
      <c r="O92" s="16">
        <f t="shared" si="23"/>
        <v>0</v>
      </c>
      <c r="P92" s="16">
        <f t="shared" si="23"/>
        <v>0</v>
      </c>
      <c r="Q92" s="16">
        <f t="shared" si="23"/>
        <v>0</v>
      </c>
      <c r="R92" s="16">
        <f t="shared" si="23"/>
        <v>0</v>
      </c>
      <c r="S92" s="16">
        <f t="shared" si="23"/>
        <v>0</v>
      </c>
      <c r="T92" s="16">
        <f t="shared" si="23"/>
        <v>0</v>
      </c>
      <c r="U92" s="16">
        <f t="shared" si="23"/>
        <v>0</v>
      </c>
      <c r="V92" s="16">
        <f t="shared" si="24"/>
        <v>0</v>
      </c>
      <c r="W92" s="16">
        <f t="shared" si="24"/>
        <v>0</v>
      </c>
      <c r="X92" s="16">
        <f t="shared" si="24"/>
        <v>0</v>
      </c>
      <c r="Y92" s="16">
        <f t="shared" si="24"/>
        <v>0</v>
      </c>
      <c r="Z92" s="16">
        <f t="shared" si="24"/>
        <v>0</v>
      </c>
      <c r="AA92" s="16">
        <f t="shared" si="24"/>
        <v>-1.0237500000000002</v>
      </c>
      <c r="AB92" s="16">
        <f t="shared" si="24"/>
        <v>3.1150000000000002</v>
      </c>
      <c r="AC92" s="16">
        <f t="shared" si="24"/>
        <v>-1.0887500000000001</v>
      </c>
      <c r="AD92" s="16">
        <f t="shared" si="24"/>
        <v>0</v>
      </c>
      <c r="AE92" s="16">
        <f t="shared" si="24"/>
        <v>0</v>
      </c>
      <c r="AF92" s="16">
        <f t="shared" si="25"/>
        <v>0</v>
      </c>
      <c r="AG92" s="16">
        <f t="shared" si="25"/>
        <v>0</v>
      </c>
      <c r="AH92" s="16">
        <f t="shared" si="25"/>
        <v>0</v>
      </c>
      <c r="AI92" s="16">
        <f t="shared" si="25"/>
        <v>0</v>
      </c>
      <c r="AJ92" s="16">
        <f t="shared" si="25"/>
        <v>0</v>
      </c>
      <c r="AK92" s="16">
        <f t="shared" si="25"/>
        <v>0</v>
      </c>
      <c r="AL92" s="16">
        <f t="shared" si="25"/>
        <v>0</v>
      </c>
      <c r="AM92" s="16">
        <f t="shared" si="25"/>
        <v>0</v>
      </c>
      <c r="AN92" s="16">
        <f t="shared" si="25"/>
        <v>0</v>
      </c>
      <c r="AO92" s="16">
        <f t="shared" si="25"/>
        <v>0</v>
      </c>
      <c r="AP92" s="16">
        <f t="shared" si="26"/>
        <v>0</v>
      </c>
      <c r="AQ92" s="16">
        <f t="shared" si="26"/>
        <v>0</v>
      </c>
      <c r="AR92" s="16">
        <f t="shared" si="26"/>
        <v>0</v>
      </c>
      <c r="AS92" s="16">
        <f t="shared" si="26"/>
        <v>0</v>
      </c>
      <c r="AT92" s="16">
        <f t="shared" si="26"/>
        <v>0</v>
      </c>
      <c r="AU92" s="16">
        <f t="shared" si="26"/>
        <v>0</v>
      </c>
      <c r="AV92" s="16">
        <f t="shared" si="26"/>
        <v>0</v>
      </c>
      <c r="AW92" s="16">
        <f t="shared" si="26"/>
        <v>0</v>
      </c>
      <c r="AX92" s="16">
        <f t="shared" si="26"/>
        <v>0</v>
      </c>
      <c r="AY92" s="16">
        <f t="shared" si="26"/>
        <v>0</v>
      </c>
      <c r="AZ92" s="16">
        <f t="shared" si="26"/>
        <v>0</v>
      </c>
      <c r="BA92" s="17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</row>
    <row r="93" spans="1:102" x14ac:dyDescent="0.2">
      <c r="A93" s="8">
        <f t="shared" si="16"/>
        <v>27</v>
      </c>
      <c r="B93" s="16">
        <f t="shared" si="22"/>
        <v>0</v>
      </c>
      <c r="C93" s="16">
        <f t="shared" si="22"/>
        <v>0</v>
      </c>
      <c r="D93" s="16">
        <f t="shared" si="22"/>
        <v>0</v>
      </c>
      <c r="E93" s="16">
        <f t="shared" si="22"/>
        <v>0</v>
      </c>
      <c r="F93" s="16">
        <f t="shared" si="22"/>
        <v>0</v>
      </c>
      <c r="G93" s="16">
        <f t="shared" si="22"/>
        <v>0</v>
      </c>
      <c r="H93" s="16">
        <f t="shared" si="22"/>
        <v>0</v>
      </c>
      <c r="I93" s="16">
        <f t="shared" si="22"/>
        <v>0</v>
      </c>
      <c r="J93" s="16">
        <f t="shared" si="22"/>
        <v>0</v>
      </c>
      <c r="K93" s="16">
        <f t="shared" si="22"/>
        <v>0</v>
      </c>
      <c r="L93" s="16">
        <f t="shared" si="23"/>
        <v>0</v>
      </c>
      <c r="M93" s="16">
        <f t="shared" si="23"/>
        <v>0</v>
      </c>
      <c r="N93" s="16">
        <f t="shared" si="23"/>
        <v>0</v>
      </c>
      <c r="O93" s="16">
        <f t="shared" si="23"/>
        <v>0</v>
      </c>
      <c r="P93" s="16">
        <f t="shared" si="23"/>
        <v>0</v>
      </c>
      <c r="Q93" s="16">
        <f t="shared" si="23"/>
        <v>0</v>
      </c>
      <c r="R93" s="16">
        <f t="shared" si="23"/>
        <v>0</v>
      </c>
      <c r="S93" s="16">
        <f t="shared" si="23"/>
        <v>0</v>
      </c>
      <c r="T93" s="16">
        <f t="shared" si="23"/>
        <v>0</v>
      </c>
      <c r="U93" s="16">
        <f t="shared" si="23"/>
        <v>0</v>
      </c>
      <c r="V93" s="16">
        <f t="shared" si="24"/>
        <v>0</v>
      </c>
      <c r="W93" s="16">
        <f t="shared" si="24"/>
        <v>0</v>
      </c>
      <c r="X93" s="16">
        <f t="shared" si="24"/>
        <v>0</v>
      </c>
      <c r="Y93" s="16">
        <f t="shared" si="24"/>
        <v>0</v>
      </c>
      <c r="Z93" s="16">
        <f t="shared" si="24"/>
        <v>0</v>
      </c>
      <c r="AA93" s="16">
        <f t="shared" si="24"/>
        <v>0</v>
      </c>
      <c r="AB93" s="16">
        <f t="shared" si="24"/>
        <v>-1.1053125000000001</v>
      </c>
      <c r="AC93" s="16">
        <f t="shared" si="24"/>
        <v>3.2806250000000001</v>
      </c>
      <c r="AD93" s="16">
        <f t="shared" si="24"/>
        <v>-1.1728125</v>
      </c>
      <c r="AE93" s="16">
        <f t="shared" si="24"/>
        <v>0</v>
      </c>
      <c r="AF93" s="16">
        <f t="shared" si="25"/>
        <v>0</v>
      </c>
      <c r="AG93" s="16">
        <f t="shared" si="25"/>
        <v>0</v>
      </c>
      <c r="AH93" s="16">
        <f t="shared" si="25"/>
        <v>0</v>
      </c>
      <c r="AI93" s="16">
        <f t="shared" si="25"/>
        <v>0</v>
      </c>
      <c r="AJ93" s="16">
        <f t="shared" si="25"/>
        <v>0</v>
      </c>
      <c r="AK93" s="16">
        <f t="shared" si="25"/>
        <v>0</v>
      </c>
      <c r="AL93" s="16">
        <f t="shared" si="25"/>
        <v>0</v>
      </c>
      <c r="AM93" s="16">
        <f t="shared" si="25"/>
        <v>0</v>
      </c>
      <c r="AN93" s="16">
        <f t="shared" si="25"/>
        <v>0</v>
      </c>
      <c r="AO93" s="16">
        <f t="shared" si="25"/>
        <v>0</v>
      </c>
      <c r="AP93" s="16">
        <f t="shared" si="26"/>
        <v>0</v>
      </c>
      <c r="AQ93" s="16">
        <f t="shared" si="26"/>
        <v>0</v>
      </c>
      <c r="AR93" s="16">
        <f t="shared" si="26"/>
        <v>0</v>
      </c>
      <c r="AS93" s="16">
        <f t="shared" si="26"/>
        <v>0</v>
      </c>
      <c r="AT93" s="16">
        <f t="shared" si="26"/>
        <v>0</v>
      </c>
      <c r="AU93" s="16">
        <f t="shared" si="26"/>
        <v>0</v>
      </c>
      <c r="AV93" s="16">
        <f t="shared" si="26"/>
        <v>0</v>
      </c>
      <c r="AW93" s="16">
        <f t="shared" si="26"/>
        <v>0</v>
      </c>
      <c r="AX93" s="16">
        <f t="shared" si="26"/>
        <v>0</v>
      </c>
      <c r="AY93" s="16">
        <f t="shared" si="26"/>
        <v>0</v>
      </c>
      <c r="AZ93" s="16">
        <f t="shared" si="26"/>
        <v>0</v>
      </c>
      <c r="BA93" s="17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</row>
    <row r="94" spans="1:102" x14ac:dyDescent="0.2">
      <c r="A94" s="8">
        <f t="shared" si="16"/>
        <v>28</v>
      </c>
      <c r="B94" s="16">
        <f t="shared" si="22"/>
        <v>0</v>
      </c>
      <c r="C94" s="16">
        <f t="shared" si="22"/>
        <v>0</v>
      </c>
      <c r="D94" s="16">
        <f t="shared" si="22"/>
        <v>0</v>
      </c>
      <c r="E94" s="16">
        <f t="shared" si="22"/>
        <v>0</v>
      </c>
      <c r="F94" s="16">
        <f t="shared" si="22"/>
        <v>0</v>
      </c>
      <c r="G94" s="16">
        <f t="shared" si="22"/>
        <v>0</v>
      </c>
      <c r="H94" s="16">
        <f t="shared" si="22"/>
        <v>0</v>
      </c>
      <c r="I94" s="16">
        <f t="shared" si="22"/>
        <v>0</v>
      </c>
      <c r="J94" s="16">
        <f t="shared" si="22"/>
        <v>0</v>
      </c>
      <c r="K94" s="16">
        <f t="shared" si="22"/>
        <v>0</v>
      </c>
      <c r="L94" s="16">
        <f t="shared" si="23"/>
        <v>0</v>
      </c>
      <c r="M94" s="16">
        <f t="shared" si="23"/>
        <v>0</v>
      </c>
      <c r="N94" s="16">
        <f t="shared" si="23"/>
        <v>0</v>
      </c>
      <c r="O94" s="16">
        <f t="shared" si="23"/>
        <v>0</v>
      </c>
      <c r="P94" s="16">
        <f t="shared" si="23"/>
        <v>0</v>
      </c>
      <c r="Q94" s="16">
        <f t="shared" si="23"/>
        <v>0</v>
      </c>
      <c r="R94" s="16">
        <f t="shared" si="23"/>
        <v>0</v>
      </c>
      <c r="S94" s="16">
        <f t="shared" si="23"/>
        <v>0</v>
      </c>
      <c r="T94" s="16">
        <f t="shared" si="23"/>
        <v>0</v>
      </c>
      <c r="U94" s="16">
        <f t="shared" si="23"/>
        <v>0</v>
      </c>
      <c r="V94" s="16">
        <f t="shared" si="24"/>
        <v>0</v>
      </c>
      <c r="W94" s="16">
        <f t="shared" si="24"/>
        <v>0</v>
      </c>
      <c r="X94" s="16">
        <f t="shared" si="24"/>
        <v>0</v>
      </c>
      <c r="Y94" s="16">
        <f t="shared" si="24"/>
        <v>0</v>
      </c>
      <c r="Z94" s="16">
        <f t="shared" si="24"/>
        <v>0</v>
      </c>
      <c r="AA94" s="16">
        <f t="shared" si="24"/>
        <v>0</v>
      </c>
      <c r="AB94" s="16">
        <f t="shared" si="24"/>
        <v>0</v>
      </c>
      <c r="AC94" s="16">
        <f t="shared" si="24"/>
        <v>-1.1900000000000002</v>
      </c>
      <c r="AD94" s="16">
        <f t="shared" si="24"/>
        <v>3.4525000000000001</v>
      </c>
      <c r="AE94" s="16">
        <f t="shared" si="24"/>
        <v>-1.26</v>
      </c>
      <c r="AF94" s="16">
        <f t="shared" si="25"/>
        <v>0</v>
      </c>
      <c r="AG94" s="16">
        <f t="shared" si="25"/>
        <v>0</v>
      </c>
      <c r="AH94" s="16">
        <f t="shared" si="25"/>
        <v>0</v>
      </c>
      <c r="AI94" s="16">
        <f t="shared" si="25"/>
        <v>0</v>
      </c>
      <c r="AJ94" s="16">
        <f t="shared" si="25"/>
        <v>0</v>
      </c>
      <c r="AK94" s="16">
        <f t="shared" si="25"/>
        <v>0</v>
      </c>
      <c r="AL94" s="16">
        <f t="shared" si="25"/>
        <v>0</v>
      </c>
      <c r="AM94" s="16">
        <f t="shared" si="25"/>
        <v>0</v>
      </c>
      <c r="AN94" s="16">
        <f t="shared" si="25"/>
        <v>0</v>
      </c>
      <c r="AO94" s="16">
        <f t="shared" si="25"/>
        <v>0</v>
      </c>
      <c r="AP94" s="16">
        <f t="shared" si="26"/>
        <v>0</v>
      </c>
      <c r="AQ94" s="16">
        <f t="shared" si="26"/>
        <v>0</v>
      </c>
      <c r="AR94" s="16">
        <f t="shared" si="26"/>
        <v>0</v>
      </c>
      <c r="AS94" s="16">
        <f t="shared" si="26"/>
        <v>0</v>
      </c>
      <c r="AT94" s="16">
        <f t="shared" si="26"/>
        <v>0</v>
      </c>
      <c r="AU94" s="16">
        <f t="shared" si="26"/>
        <v>0</v>
      </c>
      <c r="AV94" s="16">
        <f t="shared" si="26"/>
        <v>0</v>
      </c>
      <c r="AW94" s="16">
        <f t="shared" si="26"/>
        <v>0</v>
      </c>
      <c r="AX94" s="16">
        <f t="shared" si="26"/>
        <v>0</v>
      </c>
      <c r="AY94" s="16">
        <f t="shared" si="26"/>
        <v>0</v>
      </c>
      <c r="AZ94" s="16">
        <f t="shared" si="26"/>
        <v>0</v>
      </c>
      <c r="BA94" s="17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</row>
    <row r="95" spans="1:102" x14ac:dyDescent="0.2">
      <c r="A95" s="8">
        <f t="shared" si="16"/>
        <v>29</v>
      </c>
      <c r="B95" s="16">
        <f t="shared" si="22"/>
        <v>0</v>
      </c>
      <c r="C95" s="16">
        <f t="shared" si="22"/>
        <v>0</v>
      </c>
      <c r="D95" s="16">
        <f t="shared" si="22"/>
        <v>0</v>
      </c>
      <c r="E95" s="16">
        <f t="shared" si="22"/>
        <v>0</v>
      </c>
      <c r="F95" s="16">
        <f t="shared" si="22"/>
        <v>0</v>
      </c>
      <c r="G95" s="16">
        <f t="shared" si="22"/>
        <v>0</v>
      </c>
      <c r="H95" s="16">
        <f t="shared" si="22"/>
        <v>0</v>
      </c>
      <c r="I95" s="16">
        <f t="shared" si="22"/>
        <v>0</v>
      </c>
      <c r="J95" s="16">
        <f t="shared" si="22"/>
        <v>0</v>
      </c>
      <c r="K95" s="16">
        <f t="shared" si="22"/>
        <v>0</v>
      </c>
      <c r="L95" s="16">
        <f t="shared" si="23"/>
        <v>0</v>
      </c>
      <c r="M95" s="16">
        <f t="shared" si="23"/>
        <v>0</v>
      </c>
      <c r="N95" s="16">
        <f t="shared" si="23"/>
        <v>0</v>
      </c>
      <c r="O95" s="16">
        <f t="shared" si="23"/>
        <v>0</v>
      </c>
      <c r="P95" s="16">
        <f t="shared" si="23"/>
        <v>0</v>
      </c>
      <c r="Q95" s="16">
        <f t="shared" si="23"/>
        <v>0</v>
      </c>
      <c r="R95" s="16">
        <f t="shared" si="23"/>
        <v>0</v>
      </c>
      <c r="S95" s="16">
        <f t="shared" si="23"/>
        <v>0</v>
      </c>
      <c r="T95" s="16">
        <f t="shared" si="23"/>
        <v>0</v>
      </c>
      <c r="U95" s="16">
        <f t="shared" si="23"/>
        <v>0</v>
      </c>
      <c r="V95" s="16">
        <f t="shared" si="24"/>
        <v>0</v>
      </c>
      <c r="W95" s="16">
        <f t="shared" si="24"/>
        <v>0</v>
      </c>
      <c r="X95" s="16">
        <f t="shared" si="24"/>
        <v>0</v>
      </c>
      <c r="Y95" s="16">
        <f t="shared" si="24"/>
        <v>0</v>
      </c>
      <c r="Z95" s="16">
        <f t="shared" si="24"/>
        <v>0</v>
      </c>
      <c r="AA95" s="16">
        <f t="shared" si="24"/>
        <v>0</v>
      </c>
      <c r="AB95" s="16">
        <f t="shared" si="24"/>
        <v>0</v>
      </c>
      <c r="AC95" s="16">
        <f t="shared" si="24"/>
        <v>0</v>
      </c>
      <c r="AD95" s="16">
        <f t="shared" si="24"/>
        <v>-1.2778125</v>
      </c>
      <c r="AE95" s="16">
        <f t="shared" si="24"/>
        <v>3.6306250000000002</v>
      </c>
      <c r="AF95" s="16">
        <f t="shared" si="25"/>
        <v>-1.3503125000000002</v>
      </c>
      <c r="AG95" s="16">
        <f t="shared" si="25"/>
        <v>0</v>
      </c>
      <c r="AH95" s="16">
        <f t="shared" si="25"/>
        <v>0</v>
      </c>
      <c r="AI95" s="16">
        <f t="shared" si="25"/>
        <v>0</v>
      </c>
      <c r="AJ95" s="16">
        <f t="shared" si="25"/>
        <v>0</v>
      </c>
      <c r="AK95" s="16">
        <f t="shared" si="25"/>
        <v>0</v>
      </c>
      <c r="AL95" s="16">
        <f t="shared" si="25"/>
        <v>0</v>
      </c>
      <c r="AM95" s="16">
        <f t="shared" si="25"/>
        <v>0</v>
      </c>
      <c r="AN95" s="16">
        <f t="shared" si="25"/>
        <v>0</v>
      </c>
      <c r="AO95" s="16">
        <f t="shared" si="25"/>
        <v>0</v>
      </c>
      <c r="AP95" s="16">
        <f t="shared" si="26"/>
        <v>0</v>
      </c>
      <c r="AQ95" s="16">
        <f t="shared" si="26"/>
        <v>0</v>
      </c>
      <c r="AR95" s="16">
        <f t="shared" si="26"/>
        <v>0</v>
      </c>
      <c r="AS95" s="16">
        <f t="shared" si="26"/>
        <v>0</v>
      </c>
      <c r="AT95" s="16">
        <f t="shared" si="26"/>
        <v>0</v>
      </c>
      <c r="AU95" s="16">
        <f t="shared" si="26"/>
        <v>0</v>
      </c>
      <c r="AV95" s="16">
        <f t="shared" si="26"/>
        <v>0</v>
      </c>
      <c r="AW95" s="16">
        <f t="shared" si="26"/>
        <v>0</v>
      </c>
      <c r="AX95" s="16">
        <f t="shared" si="26"/>
        <v>0</v>
      </c>
      <c r="AY95" s="16">
        <f t="shared" si="26"/>
        <v>0</v>
      </c>
      <c r="AZ95" s="16">
        <f t="shared" si="26"/>
        <v>0</v>
      </c>
      <c r="BA95" s="17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</row>
    <row r="96" spans="1:102" x14ac:dyDescent="0.2">
      <c r="A96" s="8">
        <f t="shared" si="16"/>
        <v>30</v>
      </c>
      <c r="B96" s="16">
        <f t="shared" si="22"/>
        <v>0</v>
      </c>
      <c r="C96" s="16">
        <f t="shared" si="22"/>
        <v>0</v>
      </c>
      <c r="D96" s="16">
        <f t="shared" si="22"/>
        <v>0</v>
      </c>
      <c r="E96" s="16">
        <f t="shared" si="22"/>
        <v>0</v>
      </c>
      <c r="F96" s="16">
        <f t="shared" si="22"/>
        <v>0</v>
      </c>
      <c r="G96" s="16">
        <f t="shared" si="22"/>
        <v>0</v>
      </c>
      <c r="H96" s="16">
        <f t="shared" si="22"/>
        <v>0</v>
      </c>
      <c r="I96" s="16">
        <f t="shared" si="22"/>
        <v>0</v>
      </c>
      <c r="J96" s="16">
        <f t="shared" si="22"/>
        <v>0</v>
      </c>
      <c r="K96" s="16">
        <f t="shared" si="22"/>
        <v>0</v>
      </c>
      <c r="L96" s="16">
        <f t="shared" si="23"/>
        <v>0</v>
      </c>
      <c r="M96" s="16">
        <f t="shared" si="23"/>
        <v>0</v>
      </c>
      <c r="N96" s="16">
        <f t="shared" si="23"/>
        <v>0</v>
      </c>
      <c r="O96" s="16">
        <f t="shared" si="23"/>
        <v>0</v>
      </c>
      <c r="P96" s="16">
        <f t="shared" si="23"/>
        <v>0</v>
      </c>
      <c r="Q96" s="16">
        <f t="shared" si="23"/>
        <v>0</v>
      </c>
      <c r="R96" s="16">
        <f t="shared" si="23"/>
        <v>0</v>
      </c>
      <c r="S96" s="16">
        <f t="shared" si="23"/>
        <v>0</v>
      </c>
      <c r="T96" s="16">
        <f t="shared" si="23"/>
        <v>0</v>
      </c>
      <c r="U96" s="16">
        <f t="shared" si="23"/>
        <v>0</v>
      </c>
      <c r="V96" s="16">
        <f t="shared" si="24"/>
        <v>0</v>
      </c>
      <c r="W96" s="16">
        <f t="shared" si="24"/>
        <v>0</v>
      </c>
      <c r="X96" s="16">
        <f t="shared" si="24"/>
        <v>0</v>
      </c>
      <c r="Y96" s="16">
        <f t="shared" si="24"/>
        <v>0</v>
      </c>
      <c r="Z96" s="16">
        <f t="shared" si="24"/>
        <v>0</v>
      </c>
      <c r="AA96" s="16">
        <f t="shared" si="24"/>
        <v>0</v>
      </c>
      <c r="AB96" s="16">
        <f t="shared" si="24"/>
        <v>0</v>
      </c>
      <c r="AC96" s="16">
        <f t="shared" si="24"/>
        <v>0</v>
      </c>
      <c r="AD96" s="16">
        <f t="shared" si="24"/>
        <v>0</v>
      </c>
      <c r="AE96" s="16">
        <f t="shared" si="24"/>
        <v>-1.3687499999999999</v>
      </c>
      <c r="AF96" s="16">
        <f t="shared" si="25"/>
        <v>3.8149999999999999</v>
      </c>
      <c r="AG96" s="16">
        <f t="shared" si="25"/>
        <v>-1.4437500000000001</v>
      </c>
      <c r="AH96" s="16">
        <f t="shared" si="25"/>
        <v>0</v>
      </c>
      <c r="AI96" s="16">
        <f t="shared" si="25"/>
        <v>0</v>
      </c>
      <c r="AJ96" s="16">
        <f t="shared" si="25"/>
        <v>0</v>
      </c>
      <c r="AK96" s="16">
        <f t="shared" si="25"/>
        <v>0</v>
      </c>
      <c r="AL96" s="16">
        <f t="shared" si="25"/>
        <v>0</v>
      </c>
      <c r="AM96" s="16">
        <f t="shared" si="25"/>
        <v>0</v>
      </c>
      <c r="AN96" s="16">
        <f t="shared" si="25"/>
        <v>0</v>
      </c>
      <c r="AO96" s="16">
        <f t="shared" si="25"/>
        <v>0</v>
      </c>
      <c r="AP96" s="16">
        <f t="shared" si="26"/>
        <v>0</v>
      </c>
      <c r="AQ96" s="16">
        <f t="shared" si="26"/>
        <v>0</v>
      </c>
      <c r="AR96" s="16">
        <f t="shared" si="26"/>
        <v>0</v>
      </c>
      <c r="AS96" s="16">
        <f t="shared" si="26"/>
        <v>0</v>
      </c>
      <c r="AT96" s="16">
        <f t="shared" si="26"/>
        <v>0</v>
      </c>
      <c r="AU96" s="16">
        <f t="shared" si="26"/>
        <v>0</v>
      </c>
      <c r="AV96" s="16">
        <f t="shared" si="26"/>
        <v>0</v>
      </c>
      <c r="AW96" s="16">
        <f t="shared" si="26"/>
        <v>0</v>
      </c>
      <c r="AX96" s="16">
        <f t="shared" si="26"/>
        <v>0</v>
      </c>
      <c r="AY96" s="16">
        <f t="shared" si="26"/>
        <v>0</v>
      </c>
      <c r="AZ96" s="16">
        <f t="shared" si="26"/>
        <v>0</v>
      </c>
      <c r="BA96" s="17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</row>
    <row r="97" spans="1:102" x14ac:dyDescent="0.2">
      <c r="A97" s="8">
        <f t="shared" si="16"/>
        <v>31</v>
      </c>
      <c r="B97" s="16">
        <f t="shared" ref="B97:K106" si="27">IF(B$65=$A97-1,0.5*riskfree*$A97*dtime-0.5*sigma^2*($A97)^2*dtime,                                                                 IF(B$65=$A97,1+riskfree*dtime+sigma^2*($A97)^2*dtime,                                                                           IF(B$65=$A97+1,-0.5*riskfree*$A97*dtime-0.5*sigma^2*($A97)^2*dtime,0)))</f>
        <v>0</v>
      </c>
      <c r="C97" s="16">
        <f t="shared" si="27"/>
        <v>0</v>
      </c>
      <c r="D97" s="16">
        <f t="shared" si="27"/>
        <v>0</v>
      </c>
      <c r="E97" s="16">
        <f t="shared" si="27"/>
        <v>0</v>
      </c>
      <c r="F97" s="16">
        <f t="shared" si="27"/>
        <v>0</v>
      </c>
      <c r="G97" s="16">
        <f t="shared" si="27"/>
        <v>0</v>
      </c>
      <c r="H97" s="16">
        <f t="shared" si="27"/>
        <v>0</v>
      </c>
      <c r="I97" s="16">
        <f t="shared" si="27"/>
        <v>0</v>
      </c>
      <c r="J97" s="16">
        <f t="shared" si="27"/>
        <v>0</v>
      </c>
      <c r="K97" s="16">
        <f t="shared" si="27"/>
        <v>0</v>
      </c>
      <c r="L97" s="16">
        <f t="shared" ref="L97:U106" si="28">IF(L$65=$A97-1,0.5*riskfree*$A97*dtime-0.5*sigma^2*($A97)^2*dtime,                                                                 IF(L$65=$A97,1+riskfree*dtime+sigma^2*($A97)^2*dtime,                                                                           IF(L$65=$A97+1,-0.5*riskfree*$A97*dtime-0.5*sigma^2*($A97)^2*dtime,0)))</f>
        <v>0</v>
      </c>
      <c r="M97" s="16">
        <f t="shared" si="28"/>
        <v>0</v>
      </c>
      <c r="N97" s="16">
        <f t="shared" si="28"/>
        <v>0</v>
      </c>
      <c r="O97" s="16">
        <f t="shared" si="28"/>
        <v>0</v>
      </c>
      <c r="P97" s="16">
        <f t="shared" si="28"/>
        <v>0</v>
      </c>
      <c r="Q97" s="16">
        <f t="shared" si="28"/>
        <v>0</v>
      </c>
      <c r="R97" s="16">
        <f t="shared" si="28"/>
        <v>0</v>
      </c>
      <c r="S97" s="16">
        <f t="shared" si="28"/>
        <v>0</v>
      </c>
      <c r="T97" s="16">
        <f t="shared" si="28"/>
        <v>0</v>
      </c>
      <c r="U97" s="16">
        <f t="shared" si="28"/>
        <v>0</v>
      </c>
      <c r="V97" s="16">
        <f t="shared" ref="V97:AE106" si="29">IF(V$65=$A97-1,0.5*riskfree*$A97*dtime-0.5*sigma^2*($A97)^2*dtime,                                                                 IF(V$65=$A97,1+riskfree*dtime+sigma^2*($A97)^2*dtime,                                                                           IF(V$65=$A97+1,-0.5*riskfree*$A97*dtime-0.5*sigma^2*($A97)^2*dtime,0)))</f>
        <v>0</v>
      </c>
      <c r="W97" s="16">
        <f t="shared" si="29"/>
        <v>0</v>
      </c>
      <c r="X97" s="16">
        <f t="shared" si="29"/>
        <v>0</v>
      </c>
      <c r="Y97" s="16">
        <f t="shared" si="29"/>
        <v>0</v>
      </c>
      <c r="Z97" s="16">
        <f t="shared" si="29"/>
        <v>0</v>
      </c>
      <c r="AA97" s="16">
        <f t="shared" si="29"/>
        <v>0</v>
      </c>
      <c r="AB97" s="16">
        <f t="shared" si="29"/>
        <v>0</v>
      </c>
      <c r="AC97" s="16">
        <f t="shared" si="29"/>
        <v>0</v>
      </c>
      <c r="AD97" s="16">
        <f t="shared" si="29"/>
        <v>0</v>
      </c>
      <c r="AE97" s="16">
        <f t="shared" si="29"/>
        <v>0</v>
      </c>
      <c r="AF97" s="16">
        <f t="shared" ref="AF97:AO106" si="30">IF(AF$65=$A97-1,0.5*riskfree*$A97*dtime-0.5*sigma^2*($A97)^2*dtime,                                                                 IF(AF$65=$A97,1+riskfree*dtime+sigma^2*($A97)^2*dtime,                                                                           IF(AF$65=$A97+1,-0.5*riskfree*$A97*dtime-0.5*sigma^2*($A97)^2*dtime,0)))</f>
        <v>-1.4628125000000001</v>
      </c>
      <c r="AG97" s="16">
        <f t="shared" si="30"/>
        <v>4.0056250000000002</v>
      </c>
      <c r="AH97" s="16">
        <f t="shared" si="30"/>
        <v>-1.5403125000000002</v>
      </c>
      <c r="AI97" s="16">
        <f t="shared" si="30"/>
        <v>0</v>
      </c>
      <c r="AJ97" s="16">
        <f t="shared" si="30"/>
        <v>0</v>
      </c>
      <c r="AK97" s="16">
        <f t="shared" si="30"/>
        <v>0</v>
      </c>
      <c r="AL97" s="16">
        <f t="shared" si="30"/>
        <v>0</v>
      </c>
      <c r="AM97" s="16">
        <f t="shared" si="30"/>
        <v>0</v>
      </c>
      <c r="AN97" s="16">
        <f t="shared" si="30"/>
        <v>0</v>
      </c>
      <c r="AO97" s="16">
        <f t="shared" si="30"/>
        <v>0</v>
      </c>
      <c r="AP97" s="16">
        <f t="shared" ref="AP97:AZ106" si="31">IF(AP$65=$A97-1,0.5*riskfree*$A97*dtime-0.5*sigma^2*($A97)^2*dtime,                                                                 IF(AP$65=$A97,1+riskfree*dtime+sigma^2*($A97)^2*dtime,                                                                           IF(AP$65=$A97+1,-0.5*riskfree*$A97*dtime-0.5*sigma^2*($A97)^2*dtime,0)))</f>
        <v>0</v>
      </c>
      <c r="AQ97" s="16">
        <f t="shared" si="31"/>
        <v>0</v>
      </c>
      <c r="AR97" s="16">
        <f t="shared" si="31"/>
        <v>0</v>
      </c>
      <c r="AS97" s="16">
        <f t="shared" si="31"/>
        <v>0</v>
      </c>
      <c r="AT97" s="16">
        <f t="shared" si="31"/>
        <v>0</v>
      </c>
      <c r="AU97" s="16">
        <f t="shared" si="31"/>
        <v>0</v>
      </c>
      <c r="AV97" s="16">
        <f t="shared" si="31"/>
        <v>0</v>
      </c>
      <c r="AW97" s="16">
        <f t="shared" si="31"/>
        <v>0</v>
      </c>
      <c r="AX97" s="16">
        <f t="shared" si="31"/>
        <v>0</v>
      </c>
      <c r="AY97" s="16">
        <f t="shared" si="31"/>
        <v>0</v>
      </c>
      <c r="AZ97" s="16">
        <f t="shared" si="31"/>
        <v>0</v>
      </c>
      <c r="BA97" s="17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</row>
    <row r="98" spans="1:102" x14ac:dyDescent="0.2">
      <c r="A98" s="8">
        <f t="shared" si="16"/>
        <v>32</v>
      </c>
      <c r="B98" s="16">
        <f t="shared" si="27"/>
        <v>0</v>
      </c>
      <c r="C98" s="16">
        <f t="shared" si="27"/>
        <v>0</v>
      </c>
      <c r="D98" s="16">
        <f t="shared" si="27"/>
        <v>0</v>
      </c>
      <c r="E98" s="16">
        <f t="shared" si="27"/>
        <v>0</v>
      </c>
      <c r="F98" s="16">
        <f t="shared" si="27"/>
        <v>0</v>
      </c>
      <c r="G98" s="16">
        <f t="shared" si="27"/>
        <v>0</v>
      </c>
      <c r="H98" s="16">
        <f t="shared" si="27"/>
        <v>0</v>
      </c>
      <c r="I98" s="16">
        <f t="shared" si="27"/>
        <v>0</v>
      </c>
      <c r="J98" s="16">
        <f t="shared" si="27"/>
        <v>0</v>
      </c>
      <c r="K98" s="16">
        <f t="shared" si="27"/>
        <v>0</v>
      </c>
      <c r="L98" s="16">
        <f t="shared" si="28"/>
        <v>0</v>
      </c>
      <c r="M98" s="16">
        <f t="shared" si="28"/>
        <v>0</v>
      </c>
      <c r="N98" s="16">
        <f t="shared" si="28"/>
        <v>0</v>
      </c>
      <c r="O98" s="16">
        <f t="shared" si="28"/>
        <v>0</v>
      </c>
      <c r="P98" s="16">
        <f t="shared" si="28"/>
        <v>0</v>
      </c>
      <c r="Q98" s="16">
        <f t="shared" si="28"/>
        <v>0</v>
      </c>
      <c r="R98" s="16">
        <f t="shared" si="28"/>
        <v>0</v>
      </c>
      <c r="S98" s="16">
        <f t="shared" si="28"/>
        <v>0</v>
      </c>
      <c r="T98" s="16">
        <f t="shared" si="28"/>
        <v>0</v>
      </c>
      <c r="U98" s="16">
        <f t="shared" si="28"/>
        <v>0</v>
      </c>
      <c r="V98" s="16">
        <f t="shared" si="29"/>
        <v>0</v>
      </c>
      <c r="W98" s="16">
        <f t="shared" si="29"/>
        <v>0</v>
      </c>
      <c r="X98" s="16">
        <f t="shared" si="29"/>
        <v>0</v>
      </c>
      <c r="Y98" s="16">
        <f t="shared" si="29"/>
        <v>0</v>
      </c>
      <c r="Z98" s="16">
        <f t="shared" si="29"/>
        <v>0</v>
      </c>
      <c r="AA98" s="16">
        <f t="shared" si="29"/>
        <v>0</v>
      </c>
      <c r="AB98" s="16">
        <f t="shared" si="29"/>
        <v>0</v>
      </c>
      <c r="AC98" s="16">
        <f t="shared" si="29"/>
        <v>0</v>
      </c>
      <c r="AD98" s="16">
        <f t="shared" si="29"/>
        <v>0</v>
      </c>
      <c r="AE98" s="16">
        <f t="shared" si="29"/>
        <v>0</v>
      </c>
      <c r="AF98" s="16">
        <f t="shared" si="30"/>
        <v>0</v>
      </c>
      <c r="AG98" s="16">
        <f t="shared" si="30"/>
        <v>-1.56</v>
      </c>
      <c r="AH98" s="16">
        <f t="shared" si="30"/>
        <v>4.2025000000000006</v>
      </c>
      <c r="AI98" s="16">
        <f t="shared" si="30"/>
        <v>-1.6400000000000001</v>
      </c>
      <c r="AJ98" s="16">
        <f t="shared" si="30"/>
        <v>0</v>
      </c>
      <c r="AK98" s="16">
        <f t="shared" si="30"/>
        <v>0</v>
      </c>
      <c r="AL98" s="16">
        <f t="shared" si="30"/>
        <v>0</v>
      </c>
      <c r="AM98" s="16">
        <f t="shared" si="30"/>
        <v>0</v>
      </c>
      <c r="AN98" s="16">
        <f t="shared" si="30"/>
        <v>0</v>
      </c>
      <c r="AO98" s="16">
        <f t="shared" si="30"/>
        <v>0</v>
      </c>
      <c r="AP98" s="16">
        <f t="shared" si="31"/>
        <v>0</v>
      </c>
      <c r="AQ98" s="16">
        <f t="shared" si="31"/>
        <v>0</v>
      </c>
      <c r="AR98" s="16">
        <f t="shared" si="31"/>
        <v>0</v>
      </c>
      <c r="AS98" s="16">
        <f t="shared" si="31"/>
        <v>0</v>
      </c>
      <c r="AT98" s="16">
        <f t="shared" si="31"/>
        <v>0</v>
      </c>
      <c r="AU98" s="16">
        <f t="shared" si="31"/>
        <v>0</v>
      </c>
      <c r="AV98" s="16">
        <f t="shared" si="31"/>
        <v>0</v>
      </c>
      <c r="AW98" s="16">
        <f t="shared" si="31"/>
        <v>0</v>
      </c>
      <c r="AX98" s="16">
        <f t="shared" si="31"/>
        <v>0</v>
      </c>
      <c r="AY98" s="16">
        <f t="shared" si="31"/>
        <v>0</v>
      </c>
      <c r="AZ98" s="16">
        <f t="shared" si="31"/>
        <v>0</v>
      </c>
      <c r="BA98" s="17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</row>
    <row r="99" spans="1:102" x14ac:dyDescent="0.2">
      <c r="A99" s="8">
        <f t="shared" si="16"/>
        <v>33</v>
      </c>
      <c r="B99" s="16">
        <f t="shared" si="27"/>
        <v>0</v>
      </c>
      <c r="C99" s="16">
        <f t="shared" si="27"/>
        <v>0</v>
      </c>
      <c r="D99" s="16">
        <f t="shared" si="27"/>
        <v>0</v>
      </c>
      <c r="E99" s="16">
        <f t="shared" si="27"/>
        <v>0</v>
      </c>
      <c r="F99" s="16">
        <f t="shared" si="27"/>
        <v>0</v>
      </c>
      <c r="G99" s="16">
        <f t="shared" si="27"/>
        <v>0</v>
      </c>
      <c r="H99" s="16">
        <f t="shared" si="27"/>
        <v>0</v>
      </c>
      <c r="I99" s="16">
        <f t="shared" si="27"/>
        <v>0</v>
      </c>
      <c r="J99" s="16">
        <f t="shared" si="27"/>
        <v>0</v>
      </c>
      <c r="K99" s="16">
        <f t="shared" si="27"/>
        <v>0</v>
      </c>
      <c r="L99" s="16">
        <f t="shared" si="28"/>
        <v>0</v>
      </c>
      <c r="M99" s="16">
        <f t="shared" si="28"/>
        <v>0</v>
      </c>
      <c r="N99" s="16">
        <f t="shared" si="28"/>
        <v>0</v>
      </c>
      <c r="O99" s="16">
        <f t="shared" si="28"/>
        <v>0</v>
      </c>
      <c r="P99" s="16">
        <f t="shared" si="28"/>
        <v>0</v>
      </c>
      <c r="Q99" s="16">
        <f t="shared" si="28"/>
        <v>0</v>
      </c>
      <c r="R99" s="16">
        <f t="shared" si="28"/>
        <v>0</v>
      </c>
      <c r="S99" s="16">
        <f t="shared" si="28"/>
        <v>0</v>
      </c>
      <c r="T99" s="16">
        <f t="shared" si="28"/>
        <v>0</v>
      </c>
      <c r="U99" s="16">
        <f t="shared" si="28"/>
        <v>0</v>
      </c>
      <c r="V99" s="16">
        <f t="shared" si="29"/>
        <v>0</v>
      </c>
      <c r="W99" s="16">
        <f t="shared" si="29"/>
        <v>0</v>
      </c>
      <c r="X99" s="16">
        <f t="shared" si="29"/>
        <v>0</v>
      </c>
      <c r="Y99" s="16">
        <f t="shared" si="29"/>
        <v>0</v>
      </c>
      <c r="Z99" s="16">
        <f t="shared" si="29"/>
        <v>0</v>
      </c>
      <c r="AA99" s="16">
        <f t="shared" si="29"/>
        <v>0</v>
      </c>
      <c r="AB99" s="16">
        <f t="shared" si="29"/>
        <v>0</v>
      </c>
      <c r="AC99" s="16">
        <f t="shared" si="29"/>
        <v>0</v>
      </c>
      <c r="AD99" s="16">
        <f t="shared" si="29"/>
        <v>0</v>
      </c>
      <c r="AE99" s="16">
        <f t="shared" si="29"/>
        <v>0</v>
      </c>
      <c r="AF99" s="16">
        <f t="shared" si="30"/>
        <v>0</v>
      </c>
      <c r="AG99" s="16">
        <f t="shared" si="30"/>
        <v>0</v>
      </c>
      <c r="AH99" s="16">
        <f t="shared" si="30"/>
        <v>-1.6603125000000001</v>
      </c>
      <c r="AI99" s="16">
        <f t="shared" si="30"/>
        <v>4.4056250000000006</v>
      </c>
      <c r="AJ99" s="16">
        <f t="shared" si="30"/>
        <v>-1.7428125000000001</v>
      </c>
      <c r="AK99" s="16">
        <f t="shared" si="30"/>
        <v>0</v>
      </c>
      <c r="AL99" s="16">
        <f t="shared" si="30"/>
        <v>0</v>
      </c>
      <c r="AM99" s="16">
        <f t="shared" si="30"/>
        <v>0</v>
      </c>
      <c r="AN99" s="16">
        <f t="shared" si="30"/>
        <v>0</v>
      </c>
      <c r="AO99" s="16">
        <f t="shared" si="30"/>
        <v>0</v>
      </c>
      <c r="AP99" s="16">
        <f t="shared" si="31"/>
        <v>0</v>
      </c>
      <c r="AQ99" s="16">
        <f t="shared" si="31"/>
        <v>0</v>
      </c>
      <c r="AR99" s="16">
        <f t="shared" si="31"/>
        <v>0</v>
      </c>
      <c r="AS99" s="16">
        <f t="shared" si="31"/>
        <v>0</v>
      </c>
      <c r="AT99" s="16">
        <f t="shared" si="31"/>
        <v>0</v>
      </c>
      <c r="AU99" s="16">
        <f t="shared" si="31"/>
        <v>0</v>
      </c>
      <c r="AV99" s="16">
        <f t="shared" si="31"/>
        <v>0</v>
      </c>
      <c r="AW99" s="16">
        <f t="shared" si="31"/>
        <v>0</v>
      </c>
      <c r="AX99" s="16">
        <f t="shared" si="31"/>
        <v>0</v>
      </c>
      <c r="AY99" s="16">
        <f t="shared" si="31"/>
        <v>0</v>
      </c>
      <c r="AZ99" s="16">
        <f t="shared" si="31"/>
        <v>0</v>
      </c>
      <c r="BA99" s="17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</row>
    <row r="100" spans="1:102" x14ac:dyDescent="0.2">
      <c r="A100" s="8">
        <f t="shared" si="16"/>
        <v>34</v>
      </c>
      <c r="B100" s="16">
        <f t="shared" si="27"/>
        <v>0</v>
      </c>
      <c r="C100" s="16">
        <f t="shared" si="27"/>
        <v>0</v>
      </c>
      <c r="D100" s="16">
        <f t="shared" si="27"/>
        <v>0</v>
      </c>
      <c r="E100" s="16">
        <f t="shared" si="27"/>
        <v>0</v>
      </c>
      <c r="F100" s="16">
        <f t="shared" si="27"/>
        <v>0</v>
      </c>
      <c r="G100" s="16">
        <f t="shared" si="27"/>
        <v>0</v>
      </c>
      <c r="H100" s="16">
        <f t="shared" si="27"/>
        <v>0</v>
      </c>
      <c r="I100" s="16">
        <f t="shared" si="27"/>
        <v>0</v>
      </c>
      <c r="J100" s="16">
        <f t="shared" si="27"/>
        <v>0</v>
      </c>
      <c r="K100" s="16">
        <f t="shared" si="27"/>
        <v>0</v>
      </c>
      <c r="L100" s="16">
        <f t="shared" si="28"/>
        <v>0</v>
      </c>
      <c r="M100" s="16">
        <f t="shared" si="28"/>
        <v>0</v>
      </c>
      <c r="N100" s="16">
        <f t="shared" si="28"/>
        <v>0</v>
      </c>
      <c r="O100" s="16">
        <f t="shared" si="28"/>
        <v>0</v>
      </c>
      <c r="P100" s="16">
        <f t="shared" si="28"/>
        <v>0</v>
      </c>
      <c r="Q100" s="16">
        <f t="shared" si="28"/>
        <v>0</v>
      </c>
      <c r="R100" s="16">
        <f t="shared" si="28"/>
        <v>0</v>
      </c>
      <c r="S100" s="16">
        <f t="shared" si="28"/>
        <v>0</v>
      </c>
      <c r="T100" s="16">
        <f t="shared" si="28"/>
        <v>0</v>
      </c>
      <c r="U100" s="16">
        <f t="shared" si="28"/>
        <v>0</v>
      </c>
      <c r="V100" s="16">
        <f t="shared" si="29"/>
        <v>0</v>
      </c>
      <c r="W100" s="16">
        <f t="shared" si="29"/>
        <v>0</v>
      </c>
      <c r="X100" s="16">
        <f t="shared" si="29"/>
        <v>0</v>
      </c>
      <c r="Y100" s="16">
        <f t="shared" si="29"/>
        <v>0</v>
      </c>
      <c r="Z100" s="16">
        <f t="shared" si="29"/>
        <v>0</v>
      </c>
      <c r="AA100" s="16">
        <f t="shared" si="29"/>
        <v>0</v>
      </c>
      <c r="AB100" s="16">
        <f t="shared" si="29"/>
        <v>0</v>
      </c>
      <c r="AC100" s="16">
        <f t="shared" si="29"/>
        <v>0</v>
      </c>
      <c r="AD100" s="16">
        <f t="shared" si="29"/>
        <v>0</v>
      </c>
      <c r="AE100" s="16">
        <f t="shared" si="29"/>
        <v>0</v>
      </c>
      <c r="AF100" s="16">
        <f t="shared" si="30"/>
        <v>0</v>
      </c>
      <c r="AG100" s="16">
        <f t="shared" si="30"/>
        <v>0</v>
      </c>
      <c r="AH100" s="16">
        <f t="shared" si="30"/>
        <v>0</v>
      </c>
      <c r="AI100" s="16">
        <f t="shared" si="30"/>
        <v>-1.7637500000000002</v>
      </c>
      <c r="AJ100" s="16">
        <f t="shared" si="30"/>
        <v>4.6150000000000002</v>
      </c>
      <c r="AK100" s="16">
        <f t="shared" si="30"/>
        <v>-1.8487500000000001</v>
      </c>
      <c r="AL100" s="16">
        <f t="shared" si="30"/>
        <v>0</v>
      </c>
      <c r="AM100" s="16">
        <f t="shared" si="30"/>
        <v>0</v>
      </c>
      <c r="AN100" s="16">
        <f t="shared" si="30"/>
        <v>0</v>
      </c>
      <c r="AO100" s="16">
        <f t="shared" si="30"/>
        <v>0</v>
      </c>
      <c r="AP100" s="16">
        <f t="shared" si="31"/>
        <v>0</v>
      </c>
      <c r="AQ100" s="16">
        <f t="shared" si="31"/>
        <v>0</v>
      </c>
      <c r="AR100" s="16">
        <f t="shared" si="31"/>
        <v>0</v>
      </c>
      <c r="AS100" s="16">
        <f t="shared" si="31"/>
        <v>0</v>
      </c>
      <c r="AT100" s="16">
        <f t="shared" si="31"/>
        <v>0</v>
      </c>
      <c r="AU100" s="16">
        <f t="shared" si="31"/>
        <v>0</v>
      </c>
      <c r="AV100" s="16">
        <f t="shared" si="31"/>
        <v>0</v>
      </c>
      <c r="AW100" s="16">
        <f t="shared" si="31"/>
        <v>0</v>
      </c>
      <c r="AX100" s="16">
        <f t="shared" si="31"/>
        <v>0</v>
      </c>
      <c r="AY100" s="16">
        <f t="shared" si="31"/>
        <v>0</v>
      </c>
      <c r="AZ100" s="16">
        <f t="shared" si="31"/>
        <v>0</v>
      </c>
      <c r="BA100" s="17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</row>
    <row r="101" spans="1:102" x14ac:dyDescent="0.2">
      <c r="A101" s="8">
        <f t="shared" si="16"/>
        <v>35</v>
      </c>
      <c r="B101" s="16">
        <f t="shared" si="27"/>
        <v>0</v>
      </c>
      <c r="C101" s="16">
        <f t="shared" si="27"/>
        <v>0</v>
      </c>
      <c r="D101" s="16">
        <f t="shared" si="27"/>
        <v>0</v>
      </c>
      <c r="E101" s="16">
        <f t="shared" si="27"/>
        <v>0</v>
      </c>
      <c r="F101" s="16">
        <f t="shared" si="27"/>
        <v>0</v>
      </c>
      <c r="G101" s="16">
        <f t="shared" si="27"/>
        <v>0</v>
      </c>
      <c r="H101" s="16">
        <f t="shared" si="27"/>
        <v>0</v>
      </c>
      <c r="I101" s="16">
        <f t="shared" si="27"/>
        <v>0</v>
      </c>
      <c r="J101" s="16">
        <f t="shared" si="27"/>
        <v>0</v>
      </c>
      <c r="K101" s="16">
        <f t="shared" si="27"/>
        <v>0</v>
      </c>
      <c r="L101" s="16">
        <f t="shared" si="28"/>
        <v>0</v>
      </c>
      <c r="M101" s="16">
        <f t="shared" si="28"/>
        <v>0</v>
      </c>
      <c r="N101" s="16">
        <f t="shared" si="28"/>
        <v>0</v>
      </c>
      <c r="O101" s="16">
        <f t="shared" si="28"/>
        <v>0</v>
      </c>
      <c r="P101" s="16">
        <f t="shared" si="28"/>
        <v>0</v>
      </c>
      <c r="Q101" s="16">
        <f t="shared" si="28"/>
        <v>0</v>
      </c>
      <c r="R101" s="16">
        <f t="shared" si="28"/>
        <v>0</v>
      </c>
      <c r="S101" s="16">
        <f t="shared" si="28"/>
        <v>0</v>
      </c>
      <c r="T101" s="16">
        <f t="shared" si="28"/>
        <v>0</v>
      </c>
      <c r="U101" s="16">
        <f t="shared" si="28"/>
        <v>0</v>
      </c>
      <c r="V101" s="16">
        <f t="shared" si="29"/>
        <v>0</v>
      </c>
      <c r="W101" s="16">
        <f t="shared" si="29"/>
        <v>0</v>
      </c>
      <c r="X101" s="16">
        <f t="shared" si="29"/>
        <v>0</v>
      </c>
      <c r="Y101" s="16">
        <f t="shared" si="29"/>
        <v>0</v>
      </c>
      <c r="Z101" s="16">
        <f t="shared" si="29"/>
        <v>0</v>
      </c>
      <c r="AA101" s="16">
        <f t="shared" si="29"/>
        <v>0</v>
      </c>
      <c r="AB101" s="16">
        <f t="shared" si="29"/>
        <v>0</v>
      </c>
      <c r="AC101" s="16">
        <f t="shared" si="29"/>
        <v>0</v>
      </c>
      <c r="AD101" s="16">
        <f t="shared" si="29"/>
        <v>0</v>
      </c>
      <c r="AE101" s="16">
        <f t="shared" si="29"/>
        <v>0</v>
      </c>
      <c r="AF101" s="16">
        <f t="shared" si="30"/>
        <v>0</v>
      </c>
      <c r="AG101" s="16">
        <f t="shared" si="30"/>
        <v>0</v>
      </c>
      <c r="AH101" s="16">
        <f t="shared" si="30"/>
        <v>0</v>
      </c>
      <c r="AI101" s="16">
        <f t="shared" si="30"/>
        <v>0</v>
      </c>
      <c r="AJ101" s="16">
        <f t="shared" si="30"/>
        <v>-1.8703125</v>
      </c>
      <c r="AK101" s="16">
        <f t="shared" si="30"/>
        <v>4.8306249999999995</v>
      </c>
      <c r="AL101" s="16">
        <f t="shared" si="30"/>
        <v>-1.9578125</v>
      </c>
      <c r="AM101" s="16">
        <f t="shared" si="30"/>
        <v>0</v>
      </c>
      <c r="AN101" s="16">
        <f t="shared" si="30"/>
        <v>0</v>
      </c>
      <c r="AO101" s="16">
        <f t="shared" si="30"/>
        <v>0</v>
      </c>
      <c r="AP101" s="16">
        <f t="shared" si="31"/>
        <v>0</v>
      </c>
      <c r="AQ101" s="16">
        <f t="shared" si="31"/>
        <v>0</v>
      </c>
      <c r="AR101" s="16">
        <f t="shared" si="31"/>
        <v>0</v>
      </c>
      <c r="AS101" s="16">
        <f t="shared" si="31"/>
        <v>0</v>
      </c>
      <c r="AT101" s="16">
        <f t="shared" si="31"/>
        <v>0</v>
      </c>
      <c r="AU101" s="16">
        <f t="shared" si="31"/>
        <v>0</v>
      </c>
      <c r="AV101" s="16">
        <f t="shared" si="31"/>
        <v>0</v>
      </c>
      <c r="AW101" s="16">
        <f t="shared" si="31"/>
        <v>0</v>
      </c>
      <c r="AX101" s="16">
        <f t="shared" si="31"/>
        <v>0</v>
      </c>
      <c r="AY101" s="16">
        <f t="shared" si="31"/>
        <v>0</v>
      </c>
      <c r="AZ101" s="16">
        <f t="shared" si="31"/>
        <v>0</v>
      </c>
      <c r="BA101" s="17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</row>
    <row r="102" spans="1:102" x14ac:dyDescent="0.2">
      <c r="A102" s="8">
        <f t="shared" si="16"/>
        <v>36</v>
      </c>
      <c r="B102" s="16">
        <f t="shared" si="27"/>
        <v>0</v>
      </c>
      <c r="C102" s="16">
        <f t="shared" si="27"/>
        <v>0</v>
      </c>
      <c r="D102" s="16">
        <f t="shared" si="27"/>
        <v>0</v>
      </c>
      <c r="E102" s="16">
        <f t="shared" si="27"/>
        <v>0</v>
      </c>
      <c r="F102" s="16">
        <f t="shared" si="27"/>
        <v>0</v>
      </c>
      <c r="G102" s="16">
        <f t="shared" si="27"/>
        <v>0</v>
      </c>
      <c r="H102" s="16">
        <f t="shared" si="27"/>
        <v>0</v>
      </c>
      <c r="I102" s="16">
        <f t="shared" si="27"/>
        <v>0</v>
      </c>
      <c r="J102" s="16">
        <f t="shared" si="27"/>
        <v>0</v>
      </c>
      <c r="K102" s="16">
        <f t="shared" si="27"/>
        <v>0</v>
      </c>
      <c r="L102" s="16">
        <f t="shared" si="28"/>
        <v>0</v>
      </c>
      <c r="M102" s="16">
        <f t="shared" si="28"/>
        <v>0</v>
      </c>
      <c r="N102" s="16">
        <f t="shared" si="28"/>
        <v>0</v>
      </c>
      <c r="O102" s="16">
        <f t="shared" si="28"/>
        <v>0</v>
      </c>
      <c r="P102" s="16">
        <f t="shared" si="28"/>
        <v>0</v>
      </c>
      <c r="Q102" s="16">
        <f t="shared" si="28"/>
        <v>0</v>
      </c>
      <c r="R102" s="16">
        <f t="shared" si="28"/>
        <v>0</v>
      </c>
      <c r="S102" s="16">
        <f t="shared" si="28"/>
        <v>0</v>
      </c>
      <c r="T102" s="16">
        <f t="shared" si="28"/>
        <v>0</v>
      </c>
      <c r="U102" s="16">
        <f t="shared" si="28"/>
        <v>0</v>
      </c>
      <c r="V102" s="16">
        <f t="shared" si="29"/>
        <v>0</v>
      </c>
      <c r="W102" s="16">
        <f t="shared" si="29"/>
        <v>0</v>
      </c>
      <c r="X102" s="16">
        <f t="shared" si="29"/>
        <v>0</v>
      </c>
      <c r="Y102" s="16">
        <f t="shared" si="29"/>
        <v>0</v>
      </c>
      <c r="Z102" s="16">
        <f t="shared" si="29"/>
        <v>0</v>
      </c>
      <c r="AA102" s="16">
        <f t="shared" si="29"/>
        <v>0</v>
      </c>
      <c r="AB102" s="16">
        <f t="shared" si="29"/>
        <v>0</v>
      </c>
      <c r="AC102" s="16">
        <f t="shared" si="29"/>
        <v>0</v>
      </c>
      <c r="AD102" s="16">
        <f t="shared" si="29"/>
        <v>0</v>
      </c>
      <c r="AE102" s="16">
        <f t="shared" si="29"/>
        <v>0</v>
      </c>
      <c r="AF102" s="16">
        <f t="shared" si="30"/>
        <v>0</v>
      </c>
      <c r="AG102" s="16">
        <f t="shared" si="30"/>
        <v>0</v>
      </c>
      <c r="AH102" s="16">
        <f t="shared" si="30"/>
        <v>0</v>
      </c>
      <c r="AI102" s="16">
        <f t="shared" si="30"/>
        <v>0</v>
      </c>
      <c r="AJ102" s="16">
        <f t="shared" si="30"/>
        <v>0</v>
      </c>
      <c r="AK102" s="16">
        <f t="shared" si="30"/>
        <v>-1.98</v>
      </c>
      <c r="AL102" s="16">
        <f t="shared" si="30"/>
        <v>5.0525000000000002</v>
      </c>
      <c r="AM102" s="16">
        <f t="shared" si="30"/>
        <v>-2.0699999999999998</v>
      </c>
      <c r="AN102" s="16">
        <f t="shared" si="30"/>
        <v>0</v>
      </c>
      <c r="AO102" s="16">
        <f t="shared" si="30"/>
        <v>0</v>
      </c>
      <c r="AP102" s="16">
        <f t="shared" si="31"/>
        <v>0</v>
      </c>
      <c r="AQ102" s="16">
        <f t="shared" si="31"/>
        <v>0</v>
      </c>
      <c r="AR102" s="16">
        <f t="shared" si="31"/>
        <v>0</v>
      </c>
      <c r="AS102" s="16">
        <f t="shared" si="31"/>
        <v>0</v>
      </c>
      <c r="AT102" s="16">
        <f t="shared" si="31"/>
        <v>0</v>
      </c>
      <c r="AU102" s="16">
        <f t="shared" si="31"/>
        <v>0</v>
      </c>
      <c r="AV102" s="16">
        <f t="shared" si="31"/>
        <v>0</v>
      </c>
      <c r="AW102" s="16">
        <f t="shared" si="31"/>
        <v>0</v>
      </c>
      <c r="AX102" s="16">
        <f t="shared" si="31"/>
        <v>0</v>
      </c>
      <c r="AY102" s="16">
        <f t="shared" si="31"/>
        <v>0</v>
      </c>
      <c r="AZ102" s="16">
        <f t="shared" si="31"/>
        <v>0</v>
      </c>
      <c r="BA102" s="17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</row>
    <row r="103" spans="1:102" x14ac:dyDescent="0.2">
      <c r="A103" s="8">
        <f t="shared" si="16"/>
        <v>37</v>
      </c>
      <c r="B103" s="16">
        <f t="shared" si="27"/>
        <v>0</v>
      </c>
      <c r="C103" s="16">
        <f t="shared" si="27"/>
        <v>0</v>
      </c>
      <c r="D103" s="16">
        <f t="shared" si="27"/>
        <v>0</v>
      </c>
      <c r="E103" s="16">
        <f t="shared" si="27"/>
        <v>0</v>
      </c>
      <c r="F103" s="16">
        <f t="shared" si="27"/>
        <v>0</v>
      </c>
      <c r="G103" s="16">
        <f t="shared" si="27"/>
        <v>0</v>
      </c>
      <c r="H103" s="16">
        <f t="shared" si="27"/>
        <v>0</v>
      </c>
      <c r="I103" s="16">
        <f t="shared" si="27"/>
        <v>0</v>
      </c>
      <c r="J103" s="16">
        <f t="shared" si="27"/>
        <v>0</v>
      </c>
      <c r="K103" s="16">
        <f t="shared" si="27"/>
        <v>0</v>
      </c>
      <c r="L103" s="16">
        <f t="shared" si="28"/>
        <v>0</v>
      </c>
      <c r="M103" s="16">
        <f t="shared" si="28"/>
        <v>0</v>
      </c>
      <c r="N103" s="16">
        <f t="shared" si="28"/>
        <v>0</v>
      </c>
      <c r="O103" s="16">
        <f t="shared" si="28"/>
        <v>0</v>
      </c>
      <c r="P103" s="16">
        <f t="shared" si="28"/>
        <v>0</v>
      </c>
      <c r="Q103" s="16">
        <f t="shared" si="28"/>
        <v>0</v>
      </c>
      <c r="R103" s="16">
        <f t="shared" si="28"/>
        <v>0</v>
      </c>
      <c r="S103" s="16">
        <f t="shared" si="28"/>
        <v>0</v>
      </c>
      <c r="T103" s="16">
        <f t="shared" si="28"/>
        <v>0</v>
      </c>
      <c r="U103" s="16">
        <f t="shared" si="28"/>
        <v>0</v>
      </c>
      <c r="V103" s="16">
        <f t="shared" si="29"/>
        <v>0</v>
      </c>
      <c r="W103" s="16">
        <f t="shared" si="29"/>
        <v>0</v>
      </c>
      <c r="X103" s="16">
        <f t="shared" si="29"/>
        <v>0</v>
      </c>
      <c r="Y103" s="16">
        <f t="shared" si="29"/>
        <v>0</v>
      </c>
      <c r="Z103" s="16">
        <f t="shared" si="29"/>
        <v>0</v>
      </c>
      <c r="AA103" s="16">
        <f t="shared" si="29"/>
        <v>0</v>
      </c>
      <c r="AB103" s="16">
        <f t="shared" si="29"/>
        <v>0</v>
      </c>
      <c r="AC103" s="16">
        <f t="shared" si="29"/>
        <v>0</v>
      </c>
      <c r="AD103" s="16">
        <f t="shared" si="29"/>
        <v>0</v>
      </c>
      <c r="AE103" s="16">
        <f t="shared" si="29"/>
        <v>0</v>
      </c>
      <c r="AF103" s="16">
        <f t="shared" si="30"/>
        <v>0</v>
      </c>
      <c r="AG103" s="16">
        <f t="shared" si="30"/>
        <v>0</v>
      </c>
      <c r="AH103" s="16">
        <f t="shared" si="30"/>
        <v>0</v>
      </c>
      <c r="AI103" s="16">
        <f t="shared" si="30"/>
        <v>0</v>
      </c>
      <c r="AJ103" s="16">
        <f t="shared" si="30"/>
        <v>0</v>
      </c>
      <c r="AK103" s="16">
        <f t="shared" si="30"/>
        <v>0</v>
      </c>
      <c r="AL103" s="16">
        <f t="shared" si="30"/>
        <v>-2.0928125</v>
      </c>
      <c r="AM103" s="16">
        <f t="shared" si="30"/>
        <v>5.2806250000000006</v>
      </c>
      <c r="AN103" s="16">
        <f t="shared" si="30"/>
        <v>-2.1853125000000002</v>
      </c>
      <c r="AO103" s="16">
        <f t="shared" si="30"/>
        <v>0</v>
      </c>
      <c r="AP103" s="16">
        <f t="shared" si="31"/>
        <v>0</v>
      </c>
      <c r="AQ103" s="16">
        <f t="shared" si="31"/>
        <v>0</v>
      </c>
      <c r="AR103" s="16">
        <f t="shared" si="31"/>
        <v>0</v>
      </c>
      <c r="AS103" s="16">
        <f t="shared" si="31"/>
        <v>0</v>
      </c>
      <c r="AT103" s="16">
        <f t="shared" si="31"/>
        <v>0</v>
      </c>
      <c r="AU103" s="16">
        <f t="shared" si="31"/>
        <v>0</v>
      </c>
      <c r="AV103" s="16">
        <f t="shared" si="31"/>
        <v>0</v>
      </c>
      <c r="AW103" s="16">
        <f t="shared" si="31"/>
        <v>0</v>
      </c>
      <c r="AX103" s="16">
        <f t="shared" si="31"/>
        <v>0</v>
      </c>
      <c r="AY103" s="16">
        <f t="shared" si="31"/>
        <v>0</v>
      </c>
      <c r="AZ103" s="16">
        <f t="shared" si="31"/>
        <v>0</v>
      </c>
      <c r="BA103" s="17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</row>
    <row r="104" spans="1:102" x14ac:dyDescent="0.2">
      <c r="A104" s="8">
        <f t="shared" si="16"/>
        <v>38</v>
      </c>
      <c r="B104" s="16">
        <f t="shared" si="27"/>
        <v>0</v>
      </c>
      <c r="C104" s="16">
        <f t="shared" si="27"/>
        <v>0</v>
      </c>
      <c r="D104" s="16">
        <f t="shared" si="27"/>
        <v>0</v>
      </c>
      <c r="E104" s="16">
        <f t="shared" si="27"/>
        <v>0</v>
      </c>
      <c r="F104" s="16">
        <f t="shared" si="27"/>
        <v>0</v>
      </c>
      <c r="G104" s="16">
        <f t="shared" si="27"/>
        <v>0</v>
      </c>
      <c r="H104" s="16">
        <f t="shared" si="27"/>
        <v>0</v>
      </c>
      <c r="I104" s="16">
        <f t="shared" si="27"/>
        <v>0</v>
      </c>
      <c r="J104" s="16">
        <f t="shared" si="27"/>
        <v>0</v>
      </c>
      <c r="K104" s="16">
        <f t="shared" si="27"/>
        <v>0</v>
      </c>
      <c r="L104" s="16">
        <f t="shared" si="28"/>
        <v>0</v>
      </c>
      <c r="M104" s="16">
        <f t="shared" si="28"/>
        <v>0</v>
      </c>
      <c r="N104" s="16">
        <f t="shared" si="28"/>
        <v>0</v>
      </c>
      <c r="O104" s="16">
        <f t="shared" si="28"/>
        <v>0</v>
      </c>
      <c r="P104" s="16">
        <f t="shared" si="28"/>
        <v>0</v>
      </c>
      <c r="Q104" s="16">
        <f t="shared" si="28"/>
        <v>0</v>
      </c>
      <c r="R104" s="16">
        <f t="shared" si="28"/>
        <v>0</v>
      </c>
      <c r="S104" s="16">
        <f t="shared" si="28"/>
        <v>0</v>
      </c>
      <c r="T104" s="16">
        <f t="shared" si="28"/>
        <v>0</v>
      </c>
      <c r="U104" s="16">
        <f t="shared" si="28"/>
        <v>0</v>
      </c>
      <c r="V104" s="16">
        <f t="shared" si="29"/>
        <v>0</v>
      </c>
      <c r="W104" s="16">
        <f t="shared" si="29"/>
        <v>0</v>
      </c>
      <c r="X104" s="16">
        <f t="shared" si="29"/>
        <v>0</v>
      </c>
      <c r="Y104" s="16">
        <f t="shared" si="29"/>
        <v>0</v>
      </c>
      <c r="Z104" s="16">
        <f t="shared" si="29"/>
        <v>0</v>
      </c>
      <c r="AA104" s="16">
        <f t="shared" si="29"/>
        <v>0</v>
      </c>
      <c r="AB104" s="16">
        <f t="shared" si="29"/>
        <v>0</v>
      </c>
      <c r="AC104" s="16">
        <f t="shared" si="29"/>
        <v>0</v>
      </c>
      <c r="AD104" s="16">
        <f t="shared" si="29"/>
        <v>0</v>
      </c>
      <c r="AE104" s="16">
        <f t="shared" si="29"/>
        <v>0</v>
      </c>
      <c r="AF104" s="16">
        <f t="shared" si="30"/>
        <v>0</v>
      </c>
      <c r="AG104" s="16">
        <f t="shared" si="30"/>
        <v>0</v>
      </c>
      <c r="AH104" s="16">
        <f t="shared" si="30"/>
        <v>0</v>
      </c>
      <c r="AI104" s="16">
        <f t="shared" si="30"/>
        <v>0</v>
      </c>
      <c r="AJ104" s="16">
        <f t="shared" si="30"/>
        <v>0</v>
      </c>
      <c r="AK104" s="16">
        <f t="shared" si="30"/>
        <v>0</v>
      </c>
      <c r="AL104" s="16">
        <f t="shared" si="30"/>
        <v>0</v>
      </c>
      <c r="AM104" s="16">
        <f t="shared" si="30"/>
        <v>-2.2087500000000002</v>
      </c>
      <c r="AN104" s="16">
        <f t="shared" si="30"/>
        <v>5.5150000000000006</v>
      </c>
      <c r="AO104" s="16">
        <f t="shared" si="30"/>
        <v>-2.30375</v>
      </c>
      <c r="AP104" s="16">
        <f t="shared" si="31"/>
        <v>0</v>
      </c>
      <c r="AQ104" s="16">
        <f t="shared" si="31"/>
        <v>0</v>
      </c>
      <c r="AR104" s="16">
        <f t="shared" si="31"/>
        <v>0</v>
      </c>
      <c r="AS104" s="16">
        <f t="shared" si="31"/>
        <v>0</v>
      </c>
      <c r="AT104" s="16">
        <f t="shared" si="31"/>
        <v>0</v>
      </c>
      <c r="AU104" s="16">
        <f t="shared" si="31"/>
        <v>0</v>
      </c>
      <c r="AV104" s="16">
        <f t="shared" si="31"/>
        <v>0</v>
      </c>
      <c r="AW104" s="16">
        <f t="shared" si="31"/>
        <v>0</v>
      </c>
      <c r="AX104" s="16">
        <f t="shared" si="31"/>
        <v>0</v>
      </c>
      <c r="AY104" s="16">
        <f t="shared" si="31"/>
        <v>0</v>
      </c>
      <c r="AZ104" s="16">
        <f t="shared" si="31"/>
        <v>0</v>
      </c>
      <c r="BA104" s="17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</row>
    <row r="105" spans="1:102" x14ac:dyDescent="0.2">
      <c r="A105" s="8">
        <f t="shared" si="16"/>
        <v>39</v>
      </c>
      <c r="B105" s="16">
        <f t="shared" si="27"/>
        <v>0</v>
      </c>
      <c r="C105" s="16">
        <f t="shared" si="27"/>
        <v>0</v>
      </c>
      <c r="D105" s="16">
        <f t="shared" si="27"/>
        <v>0</v>
      </c>
      <c r="E105" s="16">
        <f t="shared" si="27"/>
        <v>0</v>
      </c>
      <c r="F105" s="16">
        <f t="shared" si="27"/>
        <v>0</v>
      </c>
      <c r="G105" s="16">
        <f t="shared" si="27"/>
        <v>0</v>
      </c>
      <c r="H105" s="16">
        <f t="shared" si="27"/>
        <v>0</v>
      </c>
      <c r="I105" s="16">
        <f t="shared" si="27"/>
        <v>0</v>
      </c>
      <c r="J105" s="16">
        <f t="shared" si="27"/>
        <v>0</v>
      </c>
      <c r="K105" s="16">
        <f t="shared" si="27"/>
        <v>0</v>
      </c>
      <c r="L105" s="16">
        <f t="shared" si="28"/>
        <v>0</v>
      </c>
      <c r="M105" s="16">
        <f t="shared" si="28"/>
        <v>0</v>
      </c>
      <c r="N105" s="16">
        <f t="shared" si="28"/>
        <v>0</v>
      </c>
      <c r="O105" s="16">
        <f t="shared" si="28"/>
        <v>0</v>
      </c>
      <c r="P105" s="16">
        <f t="shared" si="28"/>
        <v>0</v>
      </c>
      <c r="Q105" s="16">
        <f t="shared" si="28"/>
        <v>0</v>
      </c>
      <c r="R105" s="16">
        <f t="shared" si="28"/>
        <v>0</v>
      </c>
      <c r="S105" s="16">
        <f t="shared" si="28"/>
        <v>0</v>
      </c>
      <c r="T105" s="16">
        <f t="shared" si="28"/>
        <v>0</v>
      </c>
      <c r="U105" s="16">
        <f t="shared" si="28"/>
        <v>0</v>
      </c>
      <c r="V105" s="16">
        <f t="shared" si="29"/>
        <v>0</v>
      </c>
      <c r="W105" s="16">
        <f t="shared" si="29"/>
        <v>0</v>
      </c>
      <c r="X105" s="16">
        <f t="shared" si="29"/>
        <v>0</v>
      </c>
      <c r="Y105" s="16">
        <f t="shared" si="29"/>
        <v>0</v>
      </c>
      <c r="Z105" s="16">
        <f t="shared" si="29"/>
        <v>0</v>
      </c>
      <c r="AA105" s="16">
        <f t="shared" si="29"/>
        <v>0</v>
      </c>
      <c r="AB105" s="16">
        <f t="shared" si="29"/>
        <v>0</v>
      </c>
      <c r="AC105" s="16">
        <f t="shared" si="29"/>
        <v>0</v>
      </c>
      <c r="AD105" s="16">
        <f t="shared" si="29"/>
        <v>0</v>
      </c>
      <c r="AE105" s="16">
        <f t="shared" si="29"/>
        <v>0</v>
      </c>
      <c r="AF105" s="16">
        <f t="shared" si="30"/>
        <v>0</v>
      </c>
      <c r="AG105" s="16">
        <f t="shared" si="30"/>
        <v>0</v>
      </c>
      <c r="AH105" s="16">
        <f t="shared" si="30"/>
        <v>0</v>
      </c>
      <c r="AI105" s="16">
        <f t="shared" si="30"/>
        <v>0</v>
      </c>
      <c r="AJ105" s="16">
        <f t="shared" si="30"/>
        <v>0</v>
      </c>
      <c r="AK105" s="16">
        <f t="shared" si="30"/>
        <v>0</v>
      </c>
      <c r="AL105" s="16">
        <f t="shared" si="30"/>
        <v>0</v>
      </c>
      <c r="AM105" s="16">
        <f t="shared" si="30"/>
        <v>0</v>
      </c>
      <c r="AN105" s="16">
        <f t="shared" si="30"/>
        <v>-2.3278124999999998</v>
      </c>
      <c r="AO105" s="16">
        <f t="shared" si="30"/>
        <v>5.7556250000000002</v>
      </c>
      <c r="AP105" s="16">
        <f t="shared" si="31"/>
        <v>-2.4253125</v>
      </c>
      <c r="AQ105" s="16">
        <f t="shared" si="31"/>
        <v>0</v>
      </c>
      <c r="AR105" s="16">
        <f t="shared" si="31"/>
        <v>0</v>
      </c>
      <c r="AS105" s="16">
        <f t="shared" si="31"/>
        <v>0</v>
      </c>
      <c r="AT105" s="16">
        <f t="shared" si="31"/>
        <v>0</v>
      </c>
      <c r="AU105" s="16">
        <f t="shared" si="31"/>
        <v>0</v>
      </c>
      <c r="AV105" s="16">
        <f t="shared" si="31"/>
        <v>0</v>
      </c>
      <c r="AW105" s="16">
        <f t="shared" si="31"/>
        <v>0</v>
      </c>
      <c r="AX105" s="16">
        <f t="shared" si="31"/>
        <v>0</v>
      </c>
      <c r="AY105" s="16">
        <f t="shared" si="31"/>
        <v>0</v>
      </c>
      <c r="AZ105" s="16">
        <f t="shared" si="31"/>
        <v>0</v>
      </c>
      <c r="BA105" s="17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</row>
    <row r="106" spans="1:102" x14ac:dyDescent="0.2">
      <c r="A106" s="8">
        <f t="shared" si="16"/>
        <v>40</v>
      </c>
      <c r="B106" s="16">
        <f t="shared" si="27"/>
        <v>0</v>
      </c>
      <c r="C106" s="16">
        <f t="shared" si="27"/>
        <v>0</v>
      </c>
      <c r="D106" s="16">
        <f t="shared" si="27"/>
        <v>0</v>
      </c>
      <c r="E106" s="16">
        <f t="shared" si="27"/>
        <v>0</v>
      </c>
      <c r="F106" s="16">
        <f t="shared" si="27"/>
        <v>0</v>
      </c>
      <c r="G106" s="16">
        <f t="shared" si="27"/>
        <v>0</v>
      </c>
      <c r="H106" s="16">
        <f t="shared" si="27"/>
        <v>0</v>
      </c>
      <c r="I106" s="16">
        <f t="shared" si="27"/>
        <v>0</v>
      </c>
      <c r="J106" s="16">
        <f t="shared" si="27"/>
        <v>0</v>
      </c>
      <c r="K106" s="16">
        <f t="shared" si="27"/>
        <v>0</v>
      </c>
      <c r="L106" s="16">
        <f t="shared" si="28"/>
        <v>0</v>
      </c>
      <c r="M106" s="16">
        <f t="shared" si="28"/>
        <v>0</v>
      </c>
      <c r="N106" s="16">
        <f t="shared" si="28"/>
        <v>0</v>
      </c>
      <c r="O106" s="16">
        <f t="shared" si="28"/>
        <v>0</v>
      </c>
      <c r="P106" s="16">
        <f t="shared" si="28"/>
        <v>0</v>
      </c>
      <c r="Q106" s="16">
        <f t="shared" si="28"/>
        <v>0</v>
      </c>
      <c r="R106" s="16">
        <f t="shared" si="28"/>
        <v>0</v>
      </c>
      <c r="S106" s="16">
        <f t="shared" si="28"/>
        <v>0</v>
      </c>
      <c r="T106" s="16">
        <f t="shared" si="28"/>
        <v>0</v>
      </c>
      <c r="U106" s="16">
        <f t="shared" si="28"/>
        <v>0</v>
      </c>
      <c r="V106" s="16">
        <f t="shared" si="29"/>
        <v>0</v>
      </c>
      <c r="W106" s="16">
        <f t="shared" si="29"/>
        <v>0</v>
      </c>
      <c r="X106" s="16">
        <f t="shared" si="29"/>
        <v>0</v>
      </c>
      <c r="Y106" s="16">
        <f t="shared" si="29"/>
        <v>0</v>
      </c>
      <c r="Z106" s="16">
        <f t="shared" si="29"/>
        <v>0</v>
      </c>
      <c r="AA106" s="16">
        <f t="shared" si="29"/>
        <v>0</v>
      </c>
      <c r="AB106" s="16">
        <f t="shared" si="29"/>
        <v>0</v>
      </c>
      <c r="AC106" s="16">
        <f t="shared" si="29"/>
        <v>0</v>
      </c>
      <c r="AD106" s="16">
        <f t="shared" si="29"/>
        <v>0</v>
      </c>
      <c r="AE106" s="16">
        <f t="shared" si="29"/>
        <v>0</v>
      </c>
      <c r="AF106" s="16">
        <f t="shared" si="30"/>
        <v>0</v>
      </c>
      <c r="AG106" s="16">
        <f t="shared" si="30"/>
        <v>0</v>
      </c>
      <c r="AH106" s="16">
        <f t="shared" si="30"/>
        <v>0</v>
      </c>
      <c r="AI106" s="16">
        <f t="shared" si="30"/>
        <v>0</v>
      </c>
      <c r="AJ106" s="16">
        <f t="shared" si="30"/>
        <v>0</v>
      </c>
      <c r="AK106" s="16">
        <f t="shared" si="30"/>
        <v>0</v>
      </c>
      <c r="AL106" s="16">
        <f t="shared" si="30"/>
        <v>0</v>
      </c>
      <c r="AM106" s="16">
        <f t="shared" si="30"/>
        <v>0</v>
      </c>
      <c r="AN106" s="16">
        <f t="shared" si="30"/>
        <v>0</v>
      </c>
      <c r="AO106" s="16">
        <f t="shared" si="30"/>
        <v>-2.4500000000000002</v>
      </c>
      <c r="AP106" s="16">
        <f t="shared" si="31"/>
        <v>6.0024999999999995</v>
      </c>
      <c r="AQ106" s="16">
        <f t="shared" si="31"/>
        <v>-2.5499999999999998</v>
      </c>
      <c r="AR106" s="16">
        <f t="shared" si="31"/>
        <v>0</v>
      </c>
      <c r="AS106" s="16">
        <f t="shared" si="31"/>
        <v>0</v>
      </c>
      <c r="AT106" s="16">
        <f t="shared" si="31"/>
        <v>0</v>
      </c>
      <c r="AU106" s="16">
        <f t="shared" si="31"/>
        <v>0</v>
      </c>
      <c r="AV106" s="16">
        <f t="shared" si="31"/>
        <v>0</v>
      </c>
      <c r="AW106" s="16">
        <f t="shared" si="31"/>
        <v>0</v>
      </c>
      <c r="AX106" s="16">
        <f t="shared" si="31"/>
        <v>0</v>
      </c>
      <c r="AY106" s="16">
        <f t="shared" si="31"/>
        <v>0</v>
      </c>
      <c r="AZ106" s="16">
        <f t="shared" si="31"/>
        <v>0</v>
      </c>
      <c r="BA106" s="17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</row>
    <row r="107" spans="1:102" x14ac:dyDescent="0.2">
      <c r="A107" s="8">
        <f t="shared" si="16"/>
        <v>41</v>
      </c>
      <c r="B107" s="16">
        <f t="shared" ref="B107:K115" si="32">IF(B$65=$A107-1,0.5*riskfree*$A107*dtime-0.5*sigma^2*($A107)^2*dtime,                                                                 IF(B$65=$A107,1+riskfree*dtime+sigma^2*($A107)^2*dtime,                                                                           IF(B$65=$A107+1,-0.5*riskfree*$A107*dtime-0.5*sigma^2*($A107)^2*dtime,0)))</f>
        <v>0</v>
      </c>
      <c r="C107" s="16">
        <f t="shared" si="32"/>
        <v>0</v>
      </c>
      <c r="D107" s="16">
        <f t="shared" si="32"/>
        <v>0</v>
      </c>
      <c r="E107" s="16">
        <f t="shared" si="32"/>
        <v>0</v>
      </c>
      <c r="F107" s="16">
        <f t="shared" si="32"/>
        <v>0</v>
      </c>
      <c r="G107" s="16">
        <f t="shared" si="32"/>
        <v>0</v>
      </c>
      <c r="H107" s="16">
        <f t="shared" si="32"/>
        <v>0</v>
      </c>
      <c r="I107" s="16">
        <f t="shared" si="32"/>
        <v>0</v>
      </c>
      <c r="J107" s="16">
        <f t="shared" si="32"/>
        <v>0</v>
      </c>
      <c r="K107" s="16">
        <f t="shared" si="32"/>
        <v>0</v>
      </c>
      <c r="L107" s="16">
        <f t="shared" ref="L107:U115" si="33">IF(L$65=$A107-1,0.5*riskfree*$A107*dtime-0.5*sigma^2*($A107)^2*dtime,                                                                 IF(L$65=$A107,1+riskfree*dtime+sigma^2*($A107)^2*dtime,                                                                           IF(L$65=$A107+1,-0.5*riskfree*$A107*dtime-0.5*sigma^2*($A107)^2*dtime,0)))</f>
        <v>0</v>
      </c>
      <c r="M107" s="16">
        <f t="shared" si="33"/>
        <v>0</v>
      </c>
      <c r="N107" s="16">
        <f t="shared" si="33"/>
        <v>0</v>
      </c>
      <c r="O107" s="16">
        <f t="shared" si="33"/>
        <v>0</v>
      </c>
      <c r="P107" s="16">
        <f t="shared" si="33"/>
        <v>0</v>
      </c>
      <c r="Q107" s="16">
        <f t="shared" si="33"/>
        <v>0</v>
      </c>
      <c r="R107" s="16">
        <f t="shared" si="33"/>
        <v>0</v>
      </c>
      <c r="S107" s="16">
        <f t="shared" si="33"/>
        <v>0</v>
      </c>
      <c r="T107" s="16">
        <f t="shared" si="33"/>
        <v>0</v>
      </c>
      <c r="U107" s="16">
        <f t="shared" si="33"/>
        <v>0</v>
      </c>
      <c r="V107" s="16">
        <f t="shared" ref="V107:AE115" si="34">IF(V$65=$A107-1,0.5*riskfree*$A107*dtime-0.5*sigma^2*($A107)^2*dtime,                                                                 IF(V$65=$A107,1+riskfree*dtime+sigma^2*($A107)^2*dtime,                                                                           IF(V$65=$A107+1,-0.5*riskfree*$A107*dtime-0.5*sigma^2*($A107)^2*dtime,0)))</f>
        <v>0</v>
      </c>
      <c r="W107" s="16">
        <f t="shared" si="34"/>
        <v>0</v>
      </c>
      <c r="X107" s="16">
        <f t="shared" si="34"/>
        <v>0</v>
      </c>
      <c r="Y107" s="16">
        <f t="shared" si="34"/>
        <v>0</v>
      </c>
      <c r="Z107" s="16">
        <f t="shared" si="34"/>
        <v>0</v>
      </c>
      <c r="AA107" s="16">
        <f t="shared" si="34"/>
        <v>0</v>
      </c>
      <c r="AB107" s="16">
        <f t="shared" si="34"/>
        <v>0</v>
      </c>
      <c r="AC107" s="16">
        <f t="shared" si="34"/>
        <v>0</v>
      </c>
      <c r="AD107" s="16">
        <f t="shared" si="34"/>
        <v>0</v>
      </c>
      <c r="AE107" s="16">
        <f t="shared" si="34"/>
        <v>0</v>
      </c>
      <c r="AF107" s="16">
        <f t="shared" ref="AF107:AO115" si="35">IF(AF$65=$A107-1,0.5*riskfree*$A107*dtime-0.5*sigma^2*($A107)^2*dtime,                                                                 IF(AF$65=$A107,1+riskfree*dtime+sigma^2*($A107)^2*dtime,                                                                           IF(AF$65=$A107+1,-0.5*riskfree*$A107*dtime-0.5*sigma^2*($A107)^2*dtime,0)))</f>
        <v>0</v>
      </c>
      <c r="AG107" s="16">
        <f t="shared" si="35"/>
        <v>0</v>
      </c>
      <c r="AH107" s="16">
        <f t="shared" si="35"/>
        <v>0</v>
      </c>
      <c r="AI107" s="16">
        <f t="shared" si="35"/>
        <v>0</v>
      </c>
      <c r="AJ107" s="16">
        <f t="shared" si="35"/>
        <v>0</v>
      </c>
      <c r="AK107" s="16">
        <f t="shared" si="35"/>
        <v>0</v>
      </c>
      <c r="AL107" s="16">
        <f t="shared" si="35"/>
        <v>0</v>
      </c>
      <c r="AM107" s="16">
        <f t="shared" si="35"/>
        <v>0</v>
      </c>
      <c r="AN107" s="16">
        <f t="shared" si="35"/>
        <v>0</v>
      </c>
      <c r="AO107" s="16">
        <f t="shared" si="35"/>
        <v>0</v>
      </c>
      <c r="AP107" s="16">
        <f t="shared" ref="AP107:AZ115" si="36">IF(AP$65=$A107-1,0.5*riskfree*$A107*dtime-0.5*sigma^2*($A107)^2*dtime,                                                                 IF(AP$65=$A107,1+riskfree*dtime+sigma^2*($A107)^2*dtime,                                                                           IF(AP$65=$A107+1,-0.5*riskfree*$A107*dtime-0.5*sigma^2*($A107)^2*dtime,0)))</f>
        <v>-2.5753125000000003</v>
      </c>
      <c r="AQ107" s="16">
        <f t="shared" si="36"/>
        <v>6.2556250000000002</v>
      </c>
      <c r="AR107" s="16">
        <f t="shared" si="36"/>
        <v>-2.6778125000000004</v>
      </c>
      <c r="AS107" s="16">
        <f t="shared" si="36"/>
        <v>0</v>
      </c>
      <c r="AT107" s="16">
        <f t="shared" si="36"/>
        <v>0</v>
      </c>
      <c r="AU107" s="16">
        <f t="shared" si="36"/>
        <v>0</v>
      </c>
      <c r="AV107" s="16">
        <f t="shared" si="36"/>
        <v>0</v>
      </c>
      <c r="AW107" s="16">
        <f t="shared" si="36"/>
        <v>0</v>
      </c>
      <c r="AX107" s="16">
        <f t="shared" si="36"/>
        <v>0</v>
      </c>
      <c r="AY107" s="16">
        <f t="shared" si="36"/>
        <v>0</v>
      </c>
      <c r="AZ107" s="16">
        <f t="shared" si="36"/>
        <v>0</v>
      </c>
      <c r="BA107" s="17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</row>
    <row r="108" spans="1:102" x14ac:dyDescent="0.2">
      <c r="A108" s="8">
        <f t="shared" si="16"/>
        <v>42</v>
      </c>
      <c r="B108" s="16">
        <f t="shared" si="32"/>
        <v>0</v>
      </c>
      <c r="C108" s="16">
        <f t="shared" si="32"/>
        <v>0</v>
      </c>
      <c r="D108" s="16">
        <f t="shared" si="32"/>
        <v>0</v>
      </c>
      <c r="E108" s="16">
        <f t="shared" si="32"/>
        <v>0</v>
      </c>
      <c r="F108" s="16">
        <f t="shared" si="32"/>
        <v>0</v>
      </c>
      <c r="G108" s="16">
        <f t="shared" si="32"/>
        <v>0</v>
      </c>
      <c r="H108" s="16">
        <f t="shared" si="32"/>
        <v>0</v>
      </c>
      <c r="I108" s="16">
        <f t="shared" si="32"/>
        <v>0</v>
      </c>
      <c r="J108" s="16">
        <f t="shared" si="32"/>
        <v>0</v>
      </c>
      <c r="K108" s="16">
        <f t="shared" si="32"/>
        <v>0</v>
      </c>
      <c r="L108" s="16">
        <f t="shared" si="33"/>
        <v>0</v>
      </c>
      <c r="M108" s="16">
        <f t="shared" si="33"/>
        <v>0</v>
      </c>
      <c r="N108" s="16">
        <f t="shared" si="33"/>
        <v>0</v>
      </c>
      <c r="O108" s="16">
        <f t="shared" si="33"/>
        <v>0</v>
      </c>
      <c r="P108" s="16">
        <f t="shared" si="33"/>
        <v>0</v>
      </c>
      <c r="Q108" s="16">
        <f t="shared" si="33"/>
        <v>0</v>
      </c>
      <c r="R108" s="16">
        <f t="shared" si="33"/>
        <v>0</v>
      </c>
      <c r="S108" s="16">
        <f t="shared" si="33"/>
        <v>0</v>
      </c>
      <c r="T108" s="16">
        <f t="shared" si="33"/>
        <v>0</v>
      </c>
      <c r="U108" s="16">
        <f t="shared" si="33"/>
        <v>0</v>
      </c>
      <c r="V108" s="16">
        <f t="shared" si="34"/>
        <v>0</v>
      </c>
      <c r="W108" s="16">
        <f t="shared" si="34"/>
        <v>0</v>
      </c>
      <c r="X108" s="16">
        <f t="shared" si="34"/>
        <v>0</v>
      </c>
      <c r="Y108" s="16">
        <f t="shared" si="34"/>
        <v>0</v>
      </c>
      <c r="Z108" s="16">
        <f t="shared" si="34"/>
        <v>0</v>
      </c>
      <c r="AA108" s="16">
        <f t="shared" si="34"/>
        <v>0</v>
      </c>
      <c r="AB108" s="16">
        <f t="shared" si="34"/>
        <v>0</v>
      </c>
      <c r="AC108" s="16">
        <f t="shared" si="34"/>
        <v>0</v>
      </c>
      <c r="AD108" s="16">
        <f t="shared" si="34"/>
        <v>0</v>
      </c>
      <c r="AE108" s="16">
        <f t="shared" si="34"/>
        <v>0</v>
      </c>
      <c r="AF108" s="16">
        <f t="shared" si="35"/>
        <v>0</v>
      </c>
      <c r="AG108" s="16">
        <f t="shared" si="35"/>
        <v>0</v>
      </c>
      <c r="AH108" s="16">
        <f t="shared" si="35"/>
        <v>0</v>
      </c>
      <c r="AI108" s="16">
        <f t="shared" si="35"/>
        <v>0</v>
      </c>
      <c r="AJ108" s="16">
        <f t="shared" si="35"/>
        <v>0</v>
      </c>
      <c r="AK108" s="16">
        <f t="shared" si="35"/>
        <v>0</v>
      </c>
      <c r="AL108" s="16">
        <f t="shared" si="35"/>
        <v>0</v>
      </c>
      <c r="AM108" s="16">
        <f t="shared" si="35"/>
        <v>0</v>
      </c>
      <c r="AN108" s="16">
        <f t="shared" si="35"/>
        <v>0</v>
      </c>
      <c r="AO108" s="16">
        <f t="shared" si="35"/>
        <v>0</v>
      </c>
      <c r="AP108" s="16">
        <f t="shared" si="36"/>
        <v>0</v>
      </c>
      <c r="AQ108" s="16">
        <f t="shared" si="36"/>
        <v>-2.7037499999999999</v>
      </c>
      <c r="AR108" s="16">
        <f t="shared" si="36"/>
        <v>6.5150000000000006</v>
      </c>
      <c r="AS108" s="16">
        <f t="shared" si="36"/>
        <v>-2.8087500000000003</v>
      </c>
      <c r="AT108" s="16">
        <f t="shared" si="36"/>
        <v>0</v>
      </c>
      <c r="AU108" s="16">
        <f t="shared" si="36"/>
        <v>0</v>
      </c>
      <c r="AV108" s="16">
        <f t="shared" si="36"/>
        <v>0</v>
      </c>
      <c r="AW108" s="16">
        <f t="shared" si="36"/>
        <v>0</v>
      </c>
      <c r="AX108" s="16">
        <f t="shared" si="36"/>
        <v>0</v>
      </c>
      <c r="AY108" s="16">
        <f t="shared" si="36"/>
        <v>0</v>
      </c>
      <c r="AZ108" s="16">
        <f t="shared" si="36"/>
        <v>0</v>
      </c>
      <c r="BA108" s="17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</row>
    <row r="109" spans="1:102" x14ac:dyDescent="0.2">
      <c r="A109" s="8">
        <f t="shared" si="16"/>
        <v>43</v>
      </c>
      <c r="B109" s="16">
        <f t="shared" si="32"/>
        <v>0</v>
      </c>
      <c r="C109" s="16">
        <f t="shared" si="32"/>
        <v>0</v>
      </c>
      <c r="D109" s="16">
        <f t="shared" si="32"/>
        <v>0</v>
      </c>
      <c r="E109" s="16">
        <f t="shared" si="32"/>
        <v>0</v>
      </c>
      <c r="F109" s="16">
        <f t="shared" si="32"/>
        <v>0</v>
      </c>
      <c r="G109" s="16">
        <f t="shared" si="32"/>
        <v>0</v>
      </c>
      <c r="H109" s="16">
        <f t="shared" si="32"/>
        <v>0</v>
      </c>
      <c r="I109" s="16">
        <f t="shared" si="32"/>
        <v>0</v>
      </c>
      <c r="J109" s="16">
        <f t="shared" si="32"/>
        <v>0</v>
      </c>
      <c r="K109" s="16">
        <f t="shared" si="32"/>
        <v>0</v>
      </c>
      <c r="L109" s="16">
        <f t="shared" si="33"/>
        <v>0</v>
      </c>
      <c r="M109" s="16">
        <f t="shared" si="33"/>
        <v>0</v>
      </c>
      <c r="N109" s="16">
        <f t="shared" si="33"/>
        <v>0</v>
      </c>
      <c r="O109" s="16">
        <f t="shared" si="33"/>
        <v>0</v>
      </c>
      <c r="P109" s="16">
        <f t="shared" si="33"/>
        <v>0</v>
      </c>
      <c r="Q109" s="16">
        <f t="shared" si="33"/>
        <v>0</v>
      </c>
      <c r="R109" s="16">
        <f t="shared" si="33"/>
        <v>0</v>
      </c>
      <c r="S109" s="16">
        <f t="shared" si="33"/>
        <v>0</v>
      </c>
      <c r="T109" s="16">
        <f t="shared" si="33"/>
        <v>0</v>
      </c>
      <c r="U109" s="16">
        <f t="shared" si="33"/>
        <v>0</v>
      </c>
      <c r="V109" s="16">
        <f t="shared" si="34"/>
        <v>0</v>
      </c>
      <c r="W109" s="16">
        <f t="shared" si="34"/>
        <v>0</v>
      </c>
      <c r="X109" s="16">
        <f t="shared" si="34"/>
        <v>0</v>
      </c>
      <c r="Y109" s="16">
        <f t="shared" si="34"/>
        <v>0</v>
      </c>
      <c r="Z109" s="16">
        <f t="shared" si="34"/>
        <v>0</v>
      </c>
      <c r="AA109" s="16">
        <f t="shared" si="34"/>
        <v>0</v>
      </c>
      <c r="AB109" s="16">
        <f t="shared" si="34"/>
        <v>0</v>
      </c>
      <c r="AC109" s="16">
        <f t="shared" si="34"/>
        <v>0</v>
      </c>
      <c r="AD109" s="16">
        <f t="shared" si="34"/>
        <v>0</v>
      </c>
      <c r="AE109" s="16">
        <f t="shared" si="34"/>
        <v>0</v>
      </c>
      <c r="AF109" s="16">
        <f t="shared" si="35"/>
        <v>0</v>
      </c>
      <c r="AG109" s="16">
        <f t="shared" si="35"/>
        <v>0</v>
      </c>
      <c r="AH109" s="16">
        <f t="shared" si="35"/>
        <v>0</v>
      </c>
      <c r="AI109" s="16">
        <f t="shared" si="35"/>
        <v>0</v>
      </c>
      <c r="AJ109" s="16">
        <f t="shared" si="35"/>
        <v>0</v>
      </c>
      <c r="AK109" s="16">
        <f t="shared" si="35"/>
        <v>0</v>
      </c>
      <c r="AL109" s="16">
        <f t="shared" si="35"/>
        <v>0</v>
      </c>
      <c r="AM109" s="16">
        <f t="shared" si="35"/>
        <v>0</v>
      </c>
      <c r="AN109" s="16">
        <f t="shared" si="35"/>
        <v>0</v>
      </c>
      <c r="AO109" s="16">
        <f t="shared" si="35"/>
        <v>0</v>
      </c>
      <c r="AP109" s="16">
        <f t="shared" si="36"/>
        <v>0</v>
      </c>
      <c r="AQ109" s="16">
        <f t="shared" si="36"/>
        <v>0</v>
      </c>
      <c r="AR109" s="16">
        <f t="shared" si="36"/>
        <v>-2.8353125000000001</v>
      </c>
      <c r="AS109" s="16">
        <f t="shared" si="36"/>
        <v>6.7806250000000006</v>
      </c>
      <c r="AT109" s="16">
        <f t="shared" si="36"/>
        <v>-2.9428125000000001</v>
      </c>
      <c r="AU109" s="16">
        <f t="shared" si="36"/>
        <v>0</v>
      </c>
      <c r="AV109" s="16">
        <f t="shared" si="36"/>
        <v>0</v>
      </c>
      <c r="AW109" s="16">
        <f t="shared" si="36"/>
        <v>0</v>
      </c>
      <c r="AX109" s="16">
        <f t="shared" si="36"/>
        <v>0</v>
      </c>
      <c r="AY109" s="16">
        <f t="shared" si="36"/>
        <v>0</v>
      </c>
      <c r="AZ109" s="16">
        <f t="shared" si="36"/>
        <v>0</v>
      </c>
      <c r="BA109" s="17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</row>
    <row r="110" spans="1:102" x14ac:dyDescent="0.2">
      <c r="A110" s="8">
        <f t="shared" si="16"/>
        <v>44</v>
      </c>
      <c r="B110" s="16">
        <f t="shared" si="32"/>
        <v>0</v>
      </c>
      <c r="C110" s="16">
        <f t="shared" si="32"/>
        <v>0</v>
      </c>
      <c r="D110" s="16">
        <f t="shared" si="32"/>
        <v>0</v>
      </c>
      <c r="E110" s="16">
        <f t="shared" si="32"/>
        <v>0</v>
      </c>
      <c r="F110" s="16">
        <f t="shared" si="32"/>
        <v>0</v>
      </c>
      <c r="G110" s="16">
        <f t="shared" si="32"/>
        <v>0</v>
      </c>
      <c r="H110" s="16">
        <f t="shared" si="32"/>
        <v>0</v>
      </c>
      <c r="I110" s="16">
        <f t="shared" si="32"/>
        <v>0</v>
      </c>
      <c r="J110" s="16">
        <f t="shared" si="32"/>
        <v>0</v>
      </c>
      <c r="K110" s="16">
        <f t="shared" si="32"/>
        <v>0</v>
      </c>
      <c r="L110" s="16">
        <f t="shared" si="33"/>
        <v>0</v>
      </c>
      <c r="M110" s="16">
        <f t="shared" si="33"/>
        <v>0</v>
      </c>
      <c r="N110" s="16">
        <f t="shared" si="33"/>
        <v>0</v>
      </c>
      <c r="O110" s="16">
        <f t="shared" si="33"/>
        <v>0</v>
      </c>
      <c r="P110" s="16">
        <f t="shared" si="33"/>
        <v>0</v>
      </c>
      <c r="Q110" s="16">
        <f t="shared" si="33"/>
        <v>0</v>
      </c>
      <c r="R110" s="16">
        <f t="shared" si="33"/>
        <v>0</v>
      </c>
      <c r="S110" s="16">
        <f t="shared" si="33"/>
        <v>0</v>
      </c>
      <c r="T110" s="16">
        <f t="shared" si="33"/>
        <v>0</v>
      </c>
      <c r="U110" s="16">
        <f t="shared" si="33"/>
        <v>0</v>
      </c>
      <c r="V110" s="16">
        <f t="shared" si="34"/>
        <v>0</v>
      </c>
      <c r="W110" s="16">
        <f t="shared" si="34"/>
        <v>0</v>
      </c>
      <c r="X110" s="16">
        <f t="shared" si="34"/>
        <v>0</v>
      </c>
      <c r="Y110" s="16">
        <f t="shared" si="34"/>
        <v>0</v>
      </c>
      <c r="Z110" s="16">
        <f t="shared" si="34"/>
        <v>0</v>
      </c>
      <c r="AA110" s="16">
        <f t="shared" si="34"/>
        <v>0</v>
      </c>
      <c r="AB110" s="16">
        <f t="shared" si="34"/>
        <v>0</v>
      </c>
      <c r="AC110" s="16">
        <f t="shared" si="34"/>
        <v>0</v>
      </c>
      <c r="AD110" s="16">
        <f t="shared" si="34"/>
        <v>0</v>
      </c>
      <c r="AE110" s="16">
        <f t="shared" si="34"/>
        <v>0</v>
      </c>
      <c r="AF110" s="16">
        <f t="shared" si="35"/>
        <v>0</v>
      </c>
      <c r="AG110" s="16">
        <f t="shared" si="35"/>
        <v>0</v>
      </c>
      <c r="AH110" s="16">
        <f t="shared" si="35"/>
        <v>0</v>
      </c>
      <c r="AI110" s="16">
        <f t="shared" si="35"/>
        <v>0</v>
      </c>
      <c r="AJ110" s="16">
        <f t="shared" si="35"/>
        <v>0</v>
      </c>
      <c r="AK110" s="16">
        <f t="shared" si="35"/>
        <v>0</v>
      </c>
      <c r="AL110" s="16">
        <f t="shared" si="35"/>
        <v>0</v>
      </c>
      <c r="AM110" s="16">
        <f t="shared" si="35"/>
        <v>0</v>
      </c>
      <c r="AN110" s="16">
        <f t="shared" si="35"/>
        <v>0</v>
      </c>
      <c r="AO110" s="16">
        <f t="shared" si="35"/>
        <v>0</v>
      </c>
      <c r="AP110" s="16">
        <f t="shared" si="36"/>
        <v>0</v>
      </c>
      <c r="AQ110" s="16">
        <f t="shared" si="36"/>
        <v>0</v>
      </c>
      <c r="AR110" s="16">
        <f t="shared" si="36"/>
        <v>0</v>
      </c>
      <c r="AS110" s="16">
        <f t="shared" si="36"/>
        <v>-2.97</v>
      </c>
      <c r="AT110" s="16">
        <f t="shared" si="36"/>
        <v>7.0525000000000002</v>
      </c>
      <c r="AU110" s="16">
        <f t="shared" si="36"/>
        <v>-3.0800000000000005</v>
      </c>
      <c r="AV110" s="16">
        <f t="shared" si="36"/>
        <v>0</v>
      </c>
      <c r="AW110" s="16">
        <f t="shared" si="36"/>
        <v>0</v>
      </c>
      <c r="AX110" s="16">
        <f t="shared" si="36"/>
        <v>0</v>
      </c>
      <c r="AY110" s="16">
        <f t="shared" si="36"/>
        <v>0</v>
      </c>
      <c r="AZ110" s="16">
        <f t="shared" si="36"/>
        <v>0</v>
      </c>
      <c r="BA110" s="17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</row>
    <row r="111" spans="1:102" x14ac:dyDescent="0.2">
      <c r="A111" s="8">
        <f t="shared" si="16"/>
        <v>45</v>
      </c>
      <c r="B111" s="16">
        <f t="shared" si="32"/>
        <v>0</v>
      </c>
      <c r="C111" s="16">
        <f t="shared" si="32"/>
        <v>0</v>
      </c>
      <c r="D111" s="16">
        <f t="shared" si="32"/>
        <v>0</v>
      </c>
      <c r="E111" s="16">
        <f t="shared" si="32"/>
        <v>0</v>
      </c>
      <c r="F111" s="16">
        <f t="shared" si="32"/>
        <v>0</v>
      </c>
      <c r="G111" s="16">
        <f t="shared" si="32"/>
        <v>0</v>
      </c>
      <c r="H111" s="16">
        <f t="shared" si="32"/>
        <v>0</v>
      </c>
      <c r="I111" s="16">
        <f t="shared" si="32"/>
        <v>0</v>
      </c>
      <c r="J111" s="16">
        <f t="shared" si="32"/>
        <v>0</v>
      </c>
      <c r="K111" s="16">
        <f t="shared" si="32"/>
        <v>0</v>
      </c>
      <c r="L111" s="16">
        <f t="shared" si="33"/>
        <v>0</v>
      </c>
      <c r="M111" s="16">
        <f t="shared" si="33"/>
        <v>0</v>
      </c>
      <c r="N111" s="16">
        <f t="shared" si="33"/>
        <v>0</v>
      </c>
      <c r="O111" s="16">
        <f t="shared" si="33"/>
        <v>0</v>
      </c>
      <c r="P111" s="16">
        <f t="shared" si="33"/>
        <v>0</v>
      </c>
      <c r="Q111" s="16">
        <f t="shared" si="33"/>
        <v>0</v>
      </c>
      <c r="R111" s="16">
        <f t="shared" si="33"/>
        <v>0</v>
      </c>
      <c r="S111" s="16">
        <f t="shared" si="33"/>
        <v>0</v>
      </c>
      <c r="T111" s="16">
        <f t="shared" si="33"/>
        <v>0</v>
      </c>
      <c r="U111" s="16">
        <f t="shared" si="33"/>
        <v>0</v>
      </c>
      <c r="V111" s="16">
        <f t="shared" si="34"/>
        <v>0</v>
      </c>
      <c r="W111" s="16">
        <f t="shared" si="34"/>
        <v>0</v>
      </c>
      <c r="X111" s="16">
        <f t="shared" si="34"/>
        <v>0</v>
      </c>
      <c r="Y111" s="16">
        <f t="shared" si="34"/>
        <v>0</v>
      </c>
      <c r="Z111" s="16">
        <f t="shared" si="34"/>
        <v>0</v>
      </c>
      <c r="AA111" s="16">
        <f t="shared" si="34"/>
        <v>0</v>
      </c>
      <c r="AB111" s="16">
        <f t="shared" si="34"/>
        <v>0</v>
      </c>
      <c r="AC111" s="16">
        <f t="shared" si="34"/>
        <v>0</v>
      </c>
      <c r="AD111" s="16">
        <f t="shared" si="34"/>
        <v>0</v>
      </c>
      <c r="AE111" s="16">
        <f t="shared" si="34"/>
        <v>0</v>
      </c>
      <c r="AF111" s="16">
        <f t="shared" si="35"/>
        <v>0</v>
      </c>
      <c r="AG111" s="16">
        <f t="shared" si="35"/>
        <v>0</v>
      </c>
      <c r="AH111" s="16">
        <f t="shared" si="35"/>
        <v>0</v>
      </c>
      <c r="AI111" s="16">
        <f t="shared" si="35"/>
        <v>0</v>
      </c>
      <c r="AJ111" s="16">
        <f t="shared" si="35"/>
        <v>0</v>
      </c>
      <c r="AK111" s="16">
        <f t="shared" si="35"/>
        <v>0</v>
      </c>
      <c r="AL111" s="16">
        <f t="shared" si="35"/>
        <v>0</v>
      </c>
      <c r="AM111" s="16">
        <f t="shared" si="35"/>
        <v>0</v>
      </c>
      <c r="AN111" s="16">
        <f t="shared" si="35"/>
        <v>0</v>
      </c>
      <c r="AO111" s="16">
        <f t="shared" si="35"/>
        <v>0</v>
      </c>
      <c r="AP111" s="16">
        <f t="shared" si="36"/>
        <v>0</v>
      </c>
      <c r="AQ111" s="16">
        <f t="shared" si="36"/>
        <v>0</v>
      </c>
      <c r="AR111" s="16">
        <f t="shared" si="36"/>
        <v>0</v>
      </c>
      <c r="AS111" s="16">
        <f t="shared" si="36"/>
        <v>0</v>
      </c>
      <c r="AT111" s="16">
        <f t="shared" si="36"/>
        <v>-3.1078125000000001</v>
      </c>
      <c r="AU111" s="16">
        <f t="shared" si="36"/>
        <v>7.3306249999999995</v>
      </c>
      <c r="AV111" s="16">
        <f t="shared" si="36"/>
        <v>-3.2203124999999999</v>
      </c>
      <c r="AW111" s="16">
        <f t="shared" si="36"/>
        <v>0</v>
      </c>
      <c r="AX111" s="16">
        <f t="shared" si="36"/>
        <v>0</v>
      </c>
      <c r="AY111" s="16">
        <f t="shared" si="36"/>
        <v>0</v>
      </c>
      <c r="AZ111" s="16">
        <f t="shared" si="36"/>
        <v>0</v>
      </c>
      <c r="BA111" s="17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</row>
    <row r="112" spans="1:102" x14ac:dyDescent="0.2">
      <c r="A112" s="8">
        <f t="shared" si="16"/>
        <v>46</v>
      </c>
      <c r="B112" s="16">
        <f t="shared" si="32"/>
        <v>0</v>
      </c>
      <c r="C112" s="16">
        <f t="shared" si="32"/>
        <v>0</v>
      </c>
      <c r="D112" s="16">
        <f t="shared" si="32"/>
        <v>0</v>
      </c>
      <c r="E112" s="16">
        <f t="shared" si="32"/>
        <v>0</v>
      </c>
      <c r="F112" s="16">
        <f t="shared" si="32"/>
        <v>0</v>
      </c>
      <c r="G112" s="16">
        <f t="shared" si="32"/>
        <v>0</v>
      </c>
      <c r="H112" s="16">
        <f t="shared" si="32"/>
        <v>0</v>
      </c>
      <c r="I112" s="16">
        <f t="shared" si="32"/>
        <v>0</v>
      </c>
      <c r="J112" s="16">
        <f t="shared" si="32"/>
        <v>0</v>
      </c>
      <c r="K112" s="16">
        <f t="shared" si="32"/>
        <v>0</v>
      </c>
      <c r="L112" s="16">
        <f t="shared" si="33"/>
        <v>0</v>
      </c>
      <c r="M112" s="16">
        <f t="shared" si="33"/>
        <v>0</v>
      </c>
      <c r="N112" s="16">
        <f t="shared" si="33"/>
        <v>0</v>
      </c>
      <c r="O112" s="16">
        <f t="shared" si="33"/>
        <v>0</v>
      </c>
      <c r="P112" s="16">
        <f t="shared" si="33"/>
        <v>0</v>
      </c>
      <c r="Q112" s="16">
        <f t="shared" si="33"/>
        <v>0</v>
      </c>
      <c r="R112" s="16">
        <f t="shared" si="33"/>
        <v>0</v>
      </c>
      <c r="S112" s="16">
        <f t="shared" si="33"/>
        <v>0</v>
      </c>
      <c r="T112" s="16">
        <f t="shared" si="33"/>
        <v>0</v>
      </c>
      <c r="U112" s="16">
        <f t="shared" si="33"/>
        <v>0</v>
      </c>
      <c r="V112" s="16">
        <f t="shared" si="34"/>
        <v>0</v>
      </c>
      <c r="W112" s="16">
        <f t="shared" si="34"/>
        <v>0</v>
      </c>
      <c r="X112" s="16">
        <f t="shared" si="34"/>
        <v>0</v>
      </c>
      <c r="Y112" s="16">
        <f t="shared" si="34"/>
        <v>0</v>
      </c>
      <c r="Z112" s="16">
        <f t="shared" si="34"/>
        <v>0</v>
      </c>
      <c r="AA112" s="16">
        <f t="shared" si="34"/>
        <v>0</v>
      </c>
      <c r="AB112" s="16">
        <f t="shared" si="34"/>
        <v>0</v>
      </c>
      <c r="AC112" s="16">
        <f t="shared" si="34"/>
        <v>0</v>
      </c>
      <c r="AD112" s="16">
        <f t="shared" si="34"/>
        <v>0</v>
      </c>
      <c r="AE112" s="16">
        <f t="shared" si="34"/>
        <v>0</v>
      </c>
      <c r="AF112" s="16">
        <f t="shared" si="35"/>
        <v>0</v>
      </c>
      <c r="AG112" s="16">
        <f t="shared" si="35"/>
        <v>0</v>
      </c>
      <c r="AH112" s="16">
        <f t="shared" si="35"/>
        <v>0</v>
      </c>
      <c r="AI112" s="16">
        <f t="shared" si="35"/>
        <v>0</v>
      </c>
      <c r="AJ112" s="16">
        <f t="shared" si="35"/>
        <v>0</v>
      </c>
      <c r="AK112" s="16">
        <f t="shared" si="35"/>
        <v>0</v>
      </c>
      <c r="AL112" s="16">
        <f t="shared" si="35"/>
        <v>0</v>
      </c>
      <c r="AM112" s="16">
        <f t="shared" si="35"/>
        <v>0</v>
      </c>
      <c r="AN112" s="16">
        <f t="shared" si="35"/>
        <v>0</v>
      </c>
      <c r="AO112" s="16">
        <f t="shared" si="35"/>
        <v>0</v>
      </c>
      <c r="AP112" s="16">
        <f t="shared" si="36"/>
        <v>0</v>
      </c>
      <c r="AQ112" s="16">
        <f t="shared" si="36"/>
        <v>0</v>
      </c>
      <c r="AR112" s="16">
        <f t="shared" si="36"/>
        <v>0</v>
      </c>
      <c r="AS112" s="16">
        <f t="shared" si="36"/>
        <v>0</v>
      </c>
      <c r="AT112" s="16">
        <f t="shared" si="36"/>
        <v>0</v>
      </c>
      <c r="AU112" s="16">
        <f t="shared" si="36"/>
        <v>-3.2487500000000002</v>
      </c>
      <c r="AV112" s="16">
        <f t="shared" si="36"/>
        <v>7.6150000000000002</v>
      </c>
      <c r="AW112" s="16">
        <f t="shared" si="36"/>
        <v>-3.3637500000000005</v>
      </c>
      <c r="AX112" s="16">
        <f t="shared" si="36"/>
        <v>0</v>
      </c>
      <c r="AY112" s="16">
        <f t="shared" si="36"/>
        <v>0</v>
      </c>
      <c r="AZ112" s="16">
        <f t="shared" si="36"/>
        <v>0</v>
      </c>
      <c r="BA112" s="17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</row>
    <row r="113" spans="1:102" x14ac:dyDescent="0.2">
      <c r="A113" s="8">
        <f t="shared" si="16"/>
        <v>47</v>
      </c>
      <c r="B113" s="16">
        <f t="shared" si="32"/>
        <v>0</v>
      </c>
      <c r="C113" s="16">
        <f t="shared" si="32"/>
        <v>0</v>
      </c>
      <c r="D113" s="16">
        <f t="shared" si="32"/>
        <v>0</v>
      </c>
      <c r="E113" s="16">
        <f t="shared" si="32"/>
        <v>0</v>
      </c>
      <c r="F113" s="16">
        <f t="shared" si="32"/>
        <v>0</v>
      </c>
      <c r="G113" s="16">
        <f t="shared" si="32"/>
        <v>0</v>
      </c>
      <c r="H113" s="16">
        <f t="shared" si="32"/>
        <v>0</v>
      </c>
      <c r="I113" s="16">
        <f t="shared" si="32"/>
        <v>0</v>
      </c>
      <c r="J113" s="16">
        <f t="shared" si="32"/>
        <v>0</v>
      </c>
      <c r="K113" s="16">
        <f t="shared" si="32"/>
        <v>0</v>
      </c>
      <c r="L113" s="16">
        <f t="shared" si="33"/>
        <v>0</v>
      </c>
      <c r="M113" s="16">
        <f t="shared" si="33"/>
        <v>0</v>
      </c>
      <c r="N113" s="16">
        <f t="shared" si="33"/>
        <v>0</v>
      </c>
      <c r="O113" s="16">
        <f t="shared" si="33"/>
        <v>0</v>
      </c>
      <c r="P113" s="16">
        <f t="shared" si="33"/>
        <v>0</v>
      </c>
      <c r="Q113" s="16">
        <f t="shared" si="33"/>
        <v>0</v>
      </c>
      <c r="R113" s="16">
        <f t="shared" si="33"/>
        <v>0</v>
      </c>
      <c r="S113" s="16">
        <f t="shared" si="33"/>
        <v>0</v>
      </c>
      <c r="T113" s="16">
        <f t="shared" si="33"/>
        <v>0</v>
      </c>
      <c r="U113" s="16">
        <f t="shared" si="33"/>
        <v>0</v>
      </c>
      <c r="V113" s="16">
        <f t="shared" si="34"/>
        <v>0</v>
      </c>
      <c r="W113" s="16">
        <f t="shared" si="34"/>
        <v>0</v>
      </c>
      <c r="X113" s="16">
        <f t="shared" si="34"/>
        <v>0</v>
      </c>
      <c r="Y113" s="16">
        <f t="shared" si="34"/>
        <v>0</v>
      </c>
      <c r="Z113" s="16">
        <f t="shared" si="34"/>
        <v>0</v>
      </c>
      <c r="AA113" s="16">
        <f t="shared" si="34"/>
        <v>0</v>
      </c>
      <c r="AB113" s="16">
        <f t="shared" si="34"/>
        <v>0</v>
      </c>
      <c r="AC113" s="16">
        <f t="shared" si="34"/>
        <v>0</v>
      </c>
      <c r="AD113" s="16">
        <f t="shared" si="34"/>
        <v>0</v>
      </c>
      <c r="AE113" s="16">
        <f t="shared" si="34"/>
        <v>0</v>
      </c>
      <c r="AF113" s="16">
        <f t="shared" si="35"/>
        <v>0</v>
      </c>
      <c r="AG113" s="16">
        <f t="shared" si="35"/>
        <v>0</v>
      </c>
      <c r="AH113" s="16">
        <f t="shared" si="35"/>
        <v>0</v>
      </c>
      <c r="AI113" s="16">
        <f t="shared" si="35"/>
        <v>0</v>
      </c>
      <c r="AJ113" s="16">
        <f t="shared" si="35"/>
        <v>0</v>
      </c>
      <c r="AK113" s="16">
        <f t="shared" si="35"/>
        <v>0</v>
      </c>
      <c r="AL113" s="16">
        <f t="shared" si="35"/>
        <v>0</v>
      </c>
      <c r="AM113" s="16">
        <f t="shared" si="35"/>
        <v>0</v>
      </c>
      <c r="AN113" s="16">
        <f t="shared" si="35"/>
        <v>0</v>
      </c>
      <c r="AO113" s="16">
        <f t="shared" si="35"/>
        <v>0</v>
      </c>
      <c r="AP113" s="16">
        <f t="shared" si="36"/>
        <v>0</v>
      </c>
      <c r="AQ113" s="16">
        <f t="shared" si="36"/>
        <v>0</v>
      </c>
      <c r="AR113" s="16">
        <f t="shared" si="36"/>
        <v>0</v>
      </c>
      <c r="AS113" s="16">
        <f t="shared" si="36"/>
        <v>0</v>
      </c>
      <c r="AT113" s="16">
        <f t="shared" si="36"/>
        <v>0</v>
      </c>
      <c r="AU113" s="16">
        <f t="shared" si="36"/>
        <v>0</v>
      </c>
      <c r="AV113" s="16">
        <f t="shared" si="36"/>
        <v>-3.3928125000000002</v>
      </c>
      <c r="AW113" s="16">
        <f t="shared" si="36"/>
        <v>7.9056250000000006</v>
      </c>
      <c r="AX113" s="16">
        <f t="shared" si="36"/>
        <v>-3.5103124999999999</v>
      </c>
      <c r="AY113" s="16">
        <f t="shared" si="36"/>
        <v>0</v>
      </c>
      <c r="AZ113" s="16">
        <f t="shared" si="36"/>
        <v>0</v>
      </c>
      <c r="BA113" s="17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</row>
    <row r="114" spans="1:102" x14ac:dyDescent="0.2">
      <c r="A114" s="8">
        <f t="shared" si="16"/>
        <v>48</v>
      </c>
      <c r="B114" s="16">
        <f t="shared" si="32"/>
        <v>0</v>
      </c>
      <c r="C114" s="16">
        <f t="shared" si="32"/>
        <v>0</v>
      </c>
      <c r="D114" s="16">
        <f t="shared" si="32"/>
        <v>0</v>
      </c>
      <c r="E114" s="16">
        <f t="shared" si="32"/>
        <v>0</v>
      </c>
      <c r="F114" s="16">
        <f t="shared" si="32"/>
        <v>0</v>
      </c>
      <c r="G114" s="16">
        <f t="shared" si="32"/>
        <v>0</v>
      </c>
      <c r="H114" s="16">
        <f t="shared" si="32"/>
        <v>0</v>
      </c>
      <c r="I114" s="16">
        <f t="shared" si="32"/>
        <v>0</v>
      </c>
      <c r="J114" s="16">
        <f t="shared" si="32"/>
        <v>0</v>
      </c>
      <c r="K114" s="16">
        <f t="shared" si="32"/>
        <v>0</v>
      </c>
      <c r="L114" s="16">
        <f t="shared" si="33"/>
        <v>0</v>
      </c>
      <c r="M114" s="16">
        <f t="shared" si="33"/>
        <v>0</v>
      </c>
      <c r="N114" s="16">
        <f t="shared" si="33"/>
        <v>0</v>
      </c>
      <c r="O114" s="16">
        <f t="shared" si="33"/>
        <v>0</v>
      </c>
      <c r="P114" s="16">
        <f t="shared" si="33"/>
        <v>0</v>
      </c>
      <c r="Q114" s="16">
        <f t="shared" si="33"/>
        <v>0</v>
      </c>
      <c r="R114" s="16">
        <f t="shared" si="33"/>
        <v>0</v>
      </c>
      <c r="S114" s="16">
        <f t="shared" si="33"/>
        <v>0</v>
      </c>
      <c r="T114" s="16">
        <f t="shared" si="33"/>
        <v>0</v>
      </c>
      <c r="U114" s="16">
        <f t="shared" si="33"/>
        <v>0</v>
      </c>
      <c r="V114" s="16">
        <f t="shared" si="34"/>
        <v>0</v>
      </c>
      <c r="W114" s="16">
        <f t="shared" si="34"/>
        <v>0</v>
      </c>
      <c r="X114" s="16">
        <f t="shared" si="34"/>
        <v>0</v>
      </c>
      <c r="Y114" s="16">
        <f t="shared" si="34"/>
        <v>0</v>
      </c>
      <c r="Z114" s="16">
        <f t="shared" si="34"/>
        <v>0</v>
      </c>
      <c r="AA114" s="16">
        <f t="shared" si="34"/>
        <v>0</v>
      </c>
      <c r="AB114" s="16">
        <f t="shared" si="34"/>
        <v>0</v>
      </c>
      <c r="AC114" s="16">
        <f t="shared" si="34"/>
        <v>0</v>
      </c>
      <c r="AD114" s="16">
        <f t="shared" si="34"/>
        <v>0</v>
      </c>
      <c r="AE114" s="16">
        <f t="shared" si="34"/>
        <v>0</v>
      </c>
      <c r="AF114" s="16">
        <f t="shared" si="35"/>
        <v>0</v>
      </c>
      <c r="AG114" s="16">
        <f t="shared" si="35"/>
        <v>0</v>
      </c>
      <c r="AH114" s="16">
        <f t="shared" si="35"/>
        <v>0</v>
      </c>
      <c r="AI114" s="16">
        <f t="shared" si="35"/>
        <v>0</v>
      </c>
      <c r="AJ114" s="16">
        <f t="shared" si="35"/>
        <v>0</v>
      </c>
      <c r="AK114" s="16">
        <f t="shared" si="35"/>
        <v>0</v>
      </c>
      <c r="AL114" s="16">
        <f t="shared" si="35"/>
        <v>0</v>
      </c>
      <c r="AM114" s="16">
        <f t="shared" si="35"/>
        <v>0</v>
      </c>
      <c r="AN114" s="16">
        <f t="shared" si="35"/>
        <v>0</v>
      </c>
      <c r="AO114" s="16">
        <f t="shared" si="35"/>
        <v>0</v>
      </c>
      <c r="AP114" s="16">
        <f t="shared" si="36"/>
        <v>0</v>
      </c>
      <c r="AQ114" s="16">
        <f t="shared" si="36"/>
        <v>0</v>
      </c>
      <c r="AR114" s="16">
        <f t="shared" si="36"/>
        <v>0</v>
      </c>
      <c r="AS114" s="16">
        <f t="shared" si="36"/>
        <v>0</v>
      </c>
      <c r="AT114" s="16">
        <f t="shared" si="36"/>
        <v>0</v>
      </c>
      <c r="AU114" s="16">
        <f t="shared" si="36"/>
        <v>0</v>
      </c>
      <c r="AV114" s="16">
        <f t="shared" si="36"/>
        <v>0</v>
      </c>
      <c r="AW114" s="16">
        <f t="shared" si="36"/>
        <v>-3.54</v>
      </c>
      <c r="AX114" s="16">
        <f t="shared" si="36"/>
        <v>8.2025000000000006</v>
      </c>
      <c r="AY114" s="16">
        <f t="shared" si="36"/>
        <v>-3.66</v>
      </c>
      <c r="AZ114" s="16">
        <f t="shared" si="36"/>
        <v>0</v>
      </c>
      <c r="BA114" s="17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</row>
    <row r="115" spans="1:102" x14ac:dyDescent="0.2">
      <c r="A115" s="8">
        <f t="shared" si="16"/>
        <v>49</v>
      </c>
      <c r="B115" s="16">
        <f t="shared" si="32"/>
        <v>0</v>
      </c>
      <c r="C115" s="16">
        <f t="shared" si="32"/>
        <v>0</v>
      </c>
      <c r="D115" s="16">
        <f t="shared" si="32"/>
        <v>0</v>
      </c>
      <c r="E115" s="16">
        <f t="shared" si="32"/>
        <v>0</v>
      </c>
      <c r="F115" s="16">
        <f t="shared" si="32"/>
        <v>0</v>
      </c>
      <c r="G115" s="16">
        <f t="shared" si="32"/>
        <v>0</v>
      </c>
      <c r="H115" s="16">
        <f t="shared" si="32"/>
        <v>0</v>
      </c>
      <c r="I115" s="16">
        <f t="shared" si="32"/>
        <v>0</v>
      </c>
      <c r="J115" s="16">
        <f t="shared" si="32"/>
        <v>0</v>
      </c>
      <c r="K115" s="16">
        <f t="shared" si="32"/>
        <v>0</v>
      </c>
      <c r="L115" s="16">
        <f t="shared" si="33"/>
        <v>0</v>
      </c>
      <c r="M115" s="16">
        <f t="shared" si="33"/>
        <v>0</v>
      </c>
      <c r="N115" s="16">
        <f t="shared" si="33"/>
        <v>0</v>
      </c>
      <c r="O115" s="16">
        <f t="shared" si="33"/>
        <v>0</v>
      </c>
      <c r="P115" s="16">
        <f t="shared" si="33"/>
        <v>0</v>
      </c>
      <c r="Q115" s="16">
        <f t="shared" si="33"/>
        <v>0</v>
      </c>
      <c r="R115" s="16">
        <f t="shared" si="33"/>
        <v>0</v>
      </c>
      <c r="S115" s="16">
        <f t="shared" si="33"/>
        <v>0</v>
      </c>
      <c r="T115" s="16">
        <f t="shared" si="33"/>
        <v>0</v>
      </c>
      <c r="U115" s="16">
        <f t="shared" si="33"/>
        <v>0</v>
      </c>
      <c r="V115" s="16">
        <f t="shared" si="34"/>
        <v>0</v>
      </c>
      <c r="W115" s="16">
        <f t="shared" si="34"/>
        <v>0</v>
      </c>
      <c r="X115" s="16">
        <f t="shared" si="34"/>
        <v>0</v>
      </c>
      <c r="Y115" s="16">
        <f t="shared" si="34"/>
        <v>0</v>
      </c>
      <c r="Z115" s="16">
        <f t="shared" si="34"/>
        <v>0</v>
      </c>
      <c r="AA115" s="16">
        <f t="shared" si="34"/>
        <v>0</v>
      </c>
      <c r="AB115" s="16">
        <f t="shared" si="34"/>
        <v>0</v>
      </c>
      <c r="AC115" s="16">
        <f t="shared" si="34"/>
        <v>0</v>
      </c>
      <c r="AD115" s="16">
        <f t="shared" si="34"/>
        <v>0</v>
      </c>
      <c r="AE115" s="16">
        <f t="shared" si="34"/>
        <v>0</v>
      </c>
      <c r="AF115" s="16">
        <f t="shared" si="35"/>
        <v>0</v>
      </c>
      <c r="AG115" s="16">
        <f t="shared" si="35"/>
        <v>0</v>
      </c>
      <c r="AH115" s="16">
        <f t="shared" si="35"/>
        <v>0</v>
      </c>
      <c r="AI115" s="16">
        <f t="shared" si="35"/>
        <v>0</v>
      </c>
      <c r="AJ115" s="16">
        <f t="shared" si="35"/>
        <v>0</v>
      </c>
      <c r="AK115" s="16">
        <f t="shared" si="35"/>
        <v>0</v>
      </c>
      <c r="AL115" s="16">
        <f t="shared" si="35"/>
        <v>0</v>
      </c>
      <c r="AM115" s="16">
        <f t="shared" si="35"/>
        <v>0</v>
      </c>
      <c r="AN115" s="16">
        <f t="shared" si="35"/>
        <v>0</v>
      </c>
      <c r="AO115" s="16">
        <f t="shared" si="35"/>
        <v>0</v>
      </c>
      <c r="AP115" s="16">
        <f t="shared" si="36"/>
        <v>0</v>
      </c>
      <c r="AQ115" s="16">
        <f t="shared" si="36"/>
        <v>0</v>
      </c>
      <c r="AR115" s="16">
        <f t="shared" si="36"/>
        <v>0</v>
      </c>
      <c r="AS115" s="16">
        <f t="shared" si="36"/>
        <v>0</v>
      </c>
      <c r="AT115" s="16">
        <f t="shared" si="36"/>
        <v>0</v>
      </c>
      <c r="AU115" s="16">
        <f t="shared" si="36"/>
        <v>0</v>
      </c>
      <c r="AV115" s="16">
        <f t="shared" si="36"/>
        <v>0</v>
      </c>
      <c r="AW115" s="16">
        <f t="shared" si="36"/>
        <v>0</v>
      </c>
      <c r="AX115" s="16">
        <f t="shared" si="36"/>
        <v>-3.6903125000000006</v>
      </c>
      <c r="AY115" s="16">
        <f t="shared" si="36"/>
        <v>8.5056250000000002</v>
      </c>
      <c r="AZ115" s="16">
        <f t="shared" si="36"/>
        <v>-3.8128125000000002</v>
      </c>
      <c r="BA115" s="17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</row>
    <row r="116" spans="1:102" x14ac:dyDescent="0.2">
      <c r="A116" s="8">
        <f t="shared" si="16"/>
        <v>50</v>
      </c>
      <c r="B116" s="16">
        <v>0</v>
      </c>
      <c r="C116" s="16">
        <v>0</v>
      </c>
      <c r="D116" s="16">
        <v>0</v>
      </c>
      <c r="E116" s="16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T116" s="16">
        <v>0</v>
      </c>
      <c r="U116" s="16">
        <v>0</v>
      </c>
      <c r="V116" s="16">
        <v>0</v>
      </c>
      <c r="W116" s="16">
        <v>0</v>
      </c>
      <c r="X116" s="16">
        <v>0</v>
      </c>
      <c r="Y116" s="16">
        <v>0</v>
      </c>
      <c r="Z116" s="16">
        <v>0</v>
      </c>
      <c r="AA116" s="16">
        <v>0</v>
      </c>
      <c r="AB116" s="16">
        <v>0</v>
      </c>
      <c r="AC116" s="16">
        <v>0</v>
      </c>
      <c r="AD116" s="16">
        <v>0</v>
      </c>
      <c r="AE116" s="16">
        <v>0</v>
      </c>
      <c r="AF116" s="16">
        <v>0</v>
      </c>
      <c r="AG116" s="16">
        <v>0</v>
      </c>
      <c r="AH116" s="16">
        <v>0</v>
      </c>
      <c r="AI116" s="16">
        <v>0</v>
      </c>
      <c r="AJ116" s="16">
        <v>0</v>
      </c>
      <c r="AK116" s="16">
        <v>0</v>
      </c>
      <c r="AL116" s="16">
        <v>0</v>
      </c>
      <c r="AM116" s="16">
        <v>0</v>
      </c>
      <c r="AN116" s="16">
        <v>0</v>
      </c>
      <c r="AO116" s="16">
        <v>0</v>
      </c>
      <c r="AP116" s="16">
        <v>0</v>
      </c>
      <c r="AQ116" s="16">
        <v>0</v>
      </c>
      <c r="AR116" s="16">
        <v>0</v>
      </c>
      <c r="AS116" s="16">
        <v>0</v>
      </c>
      <c r="AT116" s="16">
        <v>0</v>
      </c>
      <c r="AU116" s="16">
        <v>0</v>
      </c>
      <c r="AV116" s="16">
        <v>0</v>
      </c>
      <c r="AW116" s="16">
        <v>0</v>
      </c>
      <c r="AX116" s="16">
        <v>0</v>
      </c>
      <c r="AY116" s="16">
        <v>0</v>
      </c>
      <c r="AZ116" s="16">
        <v>1</v>
      </c>
      <c r="BA116" s="17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</row>
    <row r="117" spans="1:102" x14ac:dyDescent="0.2">
      <c r="A117" s="20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</row>
    <row r="118" spans="1:102" x14ac:dyDescent="0.2">
      <c r="A118" s="21" t="s">
        <v>0</v>
      </c>
    </row>
    <row r="119" spans="1:102" s="15" customFormat="1" x14ac:dyDescent="0.2">
      <c r="B119" s="22">
        <f t="array" ref="B119:AZ169">MINVERSE(B66:AZ116)</f>
        <v>1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 s="22">
        <v>0</v>
      </c>
      <c r="S119" s="22">
        <v>0</v>
      </c>
      <c r="T119" s="22">
        <v>0</v>
      </c>
      <c r="U119" s="22">
        <v>0</v>
      </c>
      <c r="V119" s="22">
        <v>0</v>
      </c>
      <c r="W119" s="22">
        <v>0</v>
      </c>
      <c r="X119" s="22">
        <v>0</v>
      </c>
      <c r="Y119" s="22">
        <v>0</v>
      </c>
      <c r="Z119" s="22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</row>
    <row r="120" spans="1:102" s="15" customFormat="1" x14ac:dyDescent="0.2">
      <c r="B120" s="22">
        <v>3.1075523116402256E-4</v>
      </c>
      <c r="C120" s="22">
        <v>0.99441673972487288</v>
      </c>
      <c r="D120" s="22">
        <v>2.7557028867354113E-3</v>
      </c>
      <c r="E120" s="22">
        <v>2.3403593719939019E-5</v>
      </c>
      <c r="F120" s="22">
        <v>3.9642593386473655E-7</v>
      </c>
      <c r="G120" s="22">
        <v>1.1025744951505367E-8</v>
      </c>
      <c r="H120" s="22">
        <v>4.4959225186450557E-10</v>
      </c>
      <c r="I120" s="22">
        <v>2.4940722047360177E-11</v>
      </c>
      <c r="J120" s="22">
        <v>1.7846206624264168E-12</v>
      </c>
      <c r="K120" s="22">
        <v>1.5827422787946573E-13</v>
      </c>
      <c r="L120" s="22">
        <v>1.6868205316509606E-14</v>
      </c>
      <c r="M120" s="22">
        <v>2.1077958592300016E-15</v>
      </c>
      <c r="N120" s="22">
        <v>3.0269529042106016E-16</v>
      </c>
      <c r="O120" s="22">
        <v>4.9140223501660725E-17</v>
      </c>
      <c r="P120" s="22">
        <v>8.8948394672727385E-18</v>
      </c>
      <c r="Q120" s="22">
        <v>1.774413038381063E-18</v>
      </c>
      <c r="R120" s="22">
        <v>3.8626042383986864E-19</v>
      </c>
      <c r="S120" s="22">
        <v>9.0973619627308751E-20</v>
      </c>
      <c r="T120" s="22">
        <v>2.3012353260042037E-20</v>
      </c>
      <c r="U120" s="22">
        <v>6.2120111767685767E-21</v>
      </c>
      <c r="V120" s="22">
        <v>1.7794742120922118E-21</v>
      </c>
      <c r="W120" s="22">
        <v>5.3826360078216349E-22</v>
      </c>
      <c r="X120" s="22">
        <v>1.7117742264439076E-22</v>
      </c>
      <c r="Y120" s="22">
        <v>5.7011561007319047E-23</v>
      </c>
      <c r="Z120" s="22">
        <v>1.9817266324736011E-23</v>
      </c>
      <c r="AA120" s="1">
        <v>7.1671411316364556E-24</v>
      </c>
      <c r="AB120" s="1">
        <v>2.6894494018935372E-24</v>
      </c>
      <c r="AC120" s="1">
        <v>1.0445014103893731E-24</v>
      </c>
      <c r="AD120" s="1">
        <v>4.1889025474541839E-25</v>
      </c>
      <c r="AE120" s="1">
        <v>1.7311952585866129E-25</v>
      </c>
      <c r="AF120" s="1">
        <v>7.3592955317899465E-26</v>
      </c>
      <c r="AG120" s="1">
        <v>3.2124188695928496E-26</v>
      </c>
      <c r="AH120" s="1">
        <v>1.4376682118532829E-26</v>
      </c>
      <c r="AI120" s="1">
        <v>6.5871438072271696E-27</v>
      </c>
      <c r="AJ120" s="1">
        <v>3.0858833515641964E-27</v>
      </c>
      <c r="AK120" s="1">
        <v>1.4763282076849012E-27</v>
      </c>
      <c r="AL120" s="1">
        <v>7.2048540507250998E-28</v>
      </c>
      <c r="AM120" s="1">
        <v>3.5831145409383721E-28</v>
      </c>
      <c r="AN120" s="1">
        <v>1.8141647256329294E-28</v>
      </c>
      <c r="AO120" s="1">
        <v>9.3430783906402286E-29</v>
      </c>
      <c r="AP120" s="1">
        <v>4.8903819164735104E-29</v>
      </c>
      <c r="AQ120" s="1">
        <v>2.5995418592239159E-29</v>
      </c>
      <c r="AR120" s="1">
        <v>1.4022321428017269E-29</v>
      </c>
      <c r="AS120" s="1">
        <v>7.6691959896844109E-30</v>
      </c>
      <c r="AT120" s="1">
        <v>4.2480628776465781E-30</v>
      </c>
      <c r="AU120" s="1">
        <v>2.3780255794740909E-30</v>
      </c>
      <c r="AV120" s="1">
        <v>1.3384779070044809E-30</v>
      </c>
      <c r="AW120" s="1">
        <v>7.4702735943673865E-31</v>
      </c>
      <c r="AX120" s="1">
        <v>3.9644438100586024E-31</v>
      </c>
      <c r="AY120" s="1">
        <v>1.7059139504521389E-31</v>
      </c>
      <c r="AZ120" s="1">
        <v>6.5043300342082995E-31</v>
      </c>
    </row>
    <row r="121" spans="1:102" s="15" customFormat="1" x14ac:dyDescent="0.2">
      <c r="B121" s="22">
        <v>1.148209536139754E-6</v>
      </c>
      <c r="C121" s="22">
        <v>3.6742705156472145E-3</v>
      </c>
      <c r="D121" s="22">
        <v>0.98531687661272815</v>
      </c>
      <c r="E121" s="22">
        <v>8.3680849545293059E-3</v>
      </c>
      <c r="F121" s="22">
        <v>1.4174429501963577E-4</v>
      </c>
      <c r="G121" s="22">
        <v>3.9423163615493634E-6</v>
      </c>
      <c r="H121" s="22">
        <v>1.6075420738888653E-7</v>
      </c>
      <c r="I121" s="22">
        <v>8.9176937276005595E-9</v>
      </c>
      <c r="J121" s="22">
        <v>6.3810103240980091E-10</v>
      </c>
      <c r="K121" s="22">
        <v>5.6591829479568957E-11</v>
      </c>
      <c r="L121" s="22">
        <v>6.0313205231697673E-12</v>
      </c>
      <c r="M121" s="22">
        <v>7.5365411944468266E-13</v>
      </c>
      <c r="N121" s="22">
        <v>1.0823038273055238E-13</v>
      </c>
      <c r="O121" s="22">
        <v>1.7570359914260465E-14</v>
      </c>
      <c r="P121" s="22">
        <v>3.1803992672981852E-15</v>
      </c>
      <c r="Q121" s="22">
        <v>6.3445123972336212E-16</v>
      </c>
      <c r="R121" s="22">
        <v>1.3810956043518857E-16</v>
      </c>
      <c r="S121" s="22">
        <v>3.2528123106742173E-17</v>
      </c>
      <c r="T121" s="22">
        <v>8.2281947545350301E-18</v>
      </c>
      <c r="U121" s="22">
        <v>2.2211391074268087E-18</v>
      </c>
      <c r="V121" s="22">
        <v>6.3626089050141528E-19</v>
      </c>
      <c r="W121" s="22">
        <v>1.9245914081300021E-19</v>
      </c>
      <c r="X121" s="22">
        <v>6.120543845218327E-20</v>
      </c>
      <c r="Y121" s="22">
        <v>2.0384800369061407E-20</v>
      </c>
      <c r="Z121" s="22">
        <v>7.0857736703333861E-21</v>
      </c>
      <c r="AA121" s="1">
        <v>2.5626511290673459E-21</v>
      </c>
      <c r="AB121" s="1">
        <v>9.6162757503260022E-22</v>
      </c>
      <c r="AC121" s="1">
        <v>3.7346728207033355E-22</v>
      </c>
      <c r="AD121" s="1">
        <v>1.4977653775230624E-22</v>
      </c>
      <c r="AE121" s="1">
        <v>6.1899848245907991E-23</v>
      </c>
      <c r="AF121" s="1">
        <v>2.6313570023666716E-23</v>
      </c>
      <c r="AG121" s="1">
        <v>1.1486182135944209E-23</v>
      </c>
      <c r="AH121" s="1">
        <v>5.1404625619376264E-24</v>
      </c>
      <c r="AI121" s="1">
        <v>2.3552698635174479E-24</v>
      </c>
      <c r="AJ121" s="1">
        <v>1.1033747361481759E-24</v>
      </c>
      <c r="AK121" s="1">
        <v>5.2786935248111232E-25</v>
      </c>
      <c r="AL121" s="1">
        <v>2.5761355928037074E-25</v>
      </c>
      <c r="AM121" s="1">
        <v>1.2811625103044089E-25</v>
      </c>
      <c r="AN121" s="1">
        <v>6.4866467634297403E-26</v>
      </c>
      <c r="AO121" s="1">
        <v>3.3406695845644726E-26</v>
      </c>
      <c r="AP121" s="1">
        <v>1.7485832230235284E-26</v>
      </c>
      <c r="AQ121" s="1">
        <v>9.294806336647289E-27</v>
      </c>
      <c r="AR121" s="1">
        <v>5.0137589283732856E-27</v>
      </c>
      <c r="AS121" s="1">
        <v>2.742163632756048E-27</v>
      </c>
      <c r="AT121" s="1">
        <v>1.5189184822518541E-27</v>
      </c>
      <c r="AU121" s="1">
        <v>8.5027625719418041E-28</v>
      </c>
      <c r="AV121" s="1">
        <v>4.7858021163782431E-28</v>
      </c>
      <c r="AW121" s="1">
        <v>2.6710378251860275E-28</v>
      </c>
      <c r="AX121" s="1">
        <v>1.4175089089742869E-28</v>
      </c>
      <c r="AY121" s="1">
        <v>6.0995901028388693E-29</v>
      </c>
      <c r="AZ121" s="1">
        <v>2.3256593388980338E-28</v>
      </c>
    </row>
    <row r="122" spans="1:102" s="15" customFormat="1" x14ac:dyDescent="0.2">
      <c r="B122" s="22">
        <v>1.1492836201755757E-8</v>
      </c>
      <c r="C122" s="22">
        <v>3.6777075845618445E-5</v>
      </c>
      <c r="D122" s="22">
        <v>9.8623858392666783E-3</v>
      </c>
      <c r="E122" s="22">
        <v>0.97068782461380487</v>
      </c>
      <c r="F122" s="22">
        <v>1.6442168325448946E-2</v>
      </c>
      <c r="G122" s="22">
        <v>4.5730397262046111E-4</v>
      </c>
      <c r="H122" s="22">
        <v>1.8647295374717177E-5</v>
      </c>
      <c r="I122" s="22">
        <v>1.0344417835207872E-6</v>
      </c>
      <c r="J122" s="22">
        <v>7.4018954922110137E-8</v>
      </c>
      <c r="K122" s="22">
        <v>6.5645843878180493E-9</v>
      </c>
      <c r="L122" s="22">
        <v>6.9962595145684295E-10</v>
      </c>
      <c r="M122" s="22">
        <v>8.7422974514500633E-11</v>
      </c>
      <c r="N122" s="22">
        <v>1.2554594670191035E-11</v>
      </c>
      <c r="O122" s="22">
        <v>2.0381406899584269E-12</v>
      </c>
      <c r="P122" s="22">
        <v>3.6892250293253201E-13</v>
      </c>
      <c r="Q122" s="22">
        <v>7.3595583345179257E-14</v>
      </c>
      <c r="R122" s="22">
        <v>1.6020543470300227E-14</v>
      </c>
      <c r="S122" s="22">
        <v>3.7732232916879647E-15</v>
      </c>
      <c r="T122" s="22">
        <v>9.5446072908895184E-16</v>
      </c>
      <c r="U122" s="22">
        <v>2.576494741710054E-16</v>
      </c>
      <c r="V122" s="22">
        <v>7.3805500666358973E-17</v>
      </c>
      <c r="W122" s="22">
        <v>2.2325029649907683E-17</v>
      </c>
      <c r="X122" s="22">
        <v>7.0997574987006965E-18</v>
      </c>
      <c r="Y122" s="22">
        <v>2.3646124092849766E-18</v>
      </c>
      <c r="Z122" s="22">
        <v>8.2194125264453343E-19</v>
      </c>
      <c r="AA122" s="1">
        <v>2.972644593398985E-19</v>
      </c>
      <c r="AB122" s="1">
        <v>1.1154764608260936E-19</v>
      </c>
      <c r="AC122" s="1">
        <v>4.3321757076697086E-20</v>
      </c>
      <c r="AD122" s="1">
        <v>1.7373898854872631E-20</v>
      </c>
      <c r="AE122" s="1">
        <v>7.1803082024428143E-21</v>
      </c>
      <c r="AF122" s="1">
        <v>3.0523425829073449E-21</v>
      </c>
      <c r="AG122" s="1">
        <v>1.3323833602600868E-21</v>
      </c>
      <c r="AH122" s="1">
        <v>5.9628749574957087E-22</v>
      </c>
      <c r="AI122" s="1">
        <v>2.7320848110639224E-22</v>
      </c>
      <c r="AJ122" s="1">
        <v>1.27990146871752E-22</v>
      </c>
      <c r="AK122" s="1">
        <v>6.123221217572001E-23</v>
      </c>
      <c r="AL122" s="1">
        <v>2.9882864097063681E-23</v>
      </c>
      <c r="AM122" s="1">
        <v>1.4861331557479385E-23</v>
      </c>
      <c r="AN122" s="1">
        <v>7.5244324956616844E-24</v>
      </c>
      <c r="AO122" s="1">
        <v>3.8751366763302556E-24</v>
      </c>
      <c r="AP122" s="1">
        <v>2.0283355799276504E-24</v>
      </c>
      <c r="AQ122" s="1">
        <v>1.0781863941574028E-24</v>
      </c>
      <c r="AR122" s="1">
        <v>5.8159002612497475E-25</v>
      </c>
      <c r="AS122" s="1">
        <v>3.1808769460142022E-25</v>
      </c>
      <c r="AT122" s="1">
        <v>1.761927233428389E-25</v>
      </c>
      <c r="AU122" s="1">
        <v>9.8631026680705141E-26</v>
      </c>
      <c r="AV122" s="1">
        <v>5.5514730916598889E-26</v>
      </c>
      <c r="AW122" s="1">
        <v>3.0983718617575296E-26</v>
      </c>
      <c r="AX122" s="1">
        <v>1.6442933439367008E-26</v>
      </c>
      <c r="AY122" s="1">
        <v>7.0754514086952104E-27</v>
      </c>
      <c r="AZ122" s="1">
        <v>2.697736957421572E-26</v>
      </c>
    </row>
    <row r="123" spans="1:102" s="15" customFormat="1" x14ac:dyDescent="0.2">
      <c r="B123" s="22">
        <v>2.1858071541414016E-10</v>
      </c>
      <c r="C123" s="22">
        <v>6.9945828932524893E-7</v>
      </c>
      <c r="D123" s="22">
        <v>1.8757139792072093E-4</v>
      </c>
      <c r="E123" s="22">
        <v>1.8461381979451442E-2</v>
      </c>
      <c r="F123" s="22">
        <v>0.95125602764201678</v>
      </c>
      <c r="G123" s="22">
        <v>2.6457165004602618E-2</v>
      </c>
      <c r="H123" s="22">
        <v>1.0788328992451474E-3</v>
      </c>
      <c r="I123" s="22">
        <v>5.9847275757167451E-5</v>
      </c>
      <c r="J123" s="22">
        <v>4.2823413333166611E-6</v>
      </c>
      <c r="K123" s="22">
        <v>3.7979178562545781E-7</v>
      </c>
      <c r="L123" s="22">
        <v>4.0476620251357944E-8</v>
      </c>
      <c r="M123" s="22">
        <v>5.0578263046119535E-9</v>
      </c>
      <c r="N123" s="22">
        <v>7.2634178280105117E-10</v>
      </c>
      <c r="O123" s="22">
        <v>1.1791593287027579E-10</v>
      </c>
      <c r="P123" s="22">
        <v>2.1343885289397707E-11</v>
      </c>
      <c r="Q123" s="22">
        <v>4.2578473154647415E-12</v>
      </c>
      <c r="R123" s="22">
        <v>9.2686306578168025E-13</v>
      </c>
      <c r="S123" s="22">
        <v>2.1829854364779617E-13</v>
      </c>
      <c r="T123" s="22">
        <v>5.5219999194885314E-14</v>
      </c>
      <c r="U123" s="22">
        <v>1.4906222249568957E-14</v>
      </c>
      <c r="V123" s="22">
        <v>4.2699920103204442E-15</v>
      </c>
      <c r="W123" s="22">
        <v>1.2916069584868191E-15</v>
      </c>
      <c r="X123" s="22">
        <v>4.1075404300431526E-16</v>
      </c>
      <c r="Y123" s="22">
        <v>1.3680384258613459E-16</v>
      </c>
      <c r="Z123" s="22">
        <v>4.7553130187553505E-17</v>
      </c>
      <c r="AA123" s="1">
        <v>1.7198133673960102E-17</v>
      </c>
      <c r="AB123" s="1">
        <v>6.4535509310608686E-18</v>
      </c>
      <c r="AC123" s="1">
        <v>2.5063654459410288E-18</v>
      </c>
      <c r="AD123" s="1">
        <v>1.0051609789056859E-18</v>
      </c>
      <c r="AE123" s="1">
        <v>4.1541427643270661E-19</v>
      </c>
      <c r="AF123" s="1">
        <v>1.7659223667750245E-19</v>
      </c>
      <c r="AG123" s="1">
        <v>7.7084583826794372E-20</v>
      </c>
      <c r="AH123" s="1">
        <v>3.4498009223114743E-20</v>
      </c>
      <c r="AI123" s="1">
        <v>1.5806383276901497E-20</v>
      </c>
      <c r="AJ123" s="1">
        <v>7.4048261932762305E-21</v>
      </c>
      <c r="AK123" s="1">
        <v>3.5425687029279417E-21</v>
      </c>
      <c r="AL123" s="1">
        <v>1.7288628867484164E-21</v>
      </c>
      <c r="AM123" s="1">
        <v>8.5979725684707008E-22</v>
      </c>
      <c r="AN123" s="1">
        <v>4.3532346977649643E-22</v>
      </c>
      <c r="AO123" s="1">
        <v>2.2419470767674163E-22</v>
      </c>
      <c r="AP123" s="1">
        <v>1.1734866158136477E-22</v>
      </c>
      <c r="AQ123" s="1">
        <v>6.2378105251263239E-23</v>
      </c>
      <c r="AR123" s="1">
        <v>3.3647692142377722E-23</v>
      </c>
      <c r="AS123" s="1">
        <v>1.8402854831501801E-23</v>
      </c>
      <c r="AT123" s="1">
        <v>1.019356977675032E-23</v>
      </c>
      <c r="AU123" s="1">
        <v>5.7062643311662819E-24</v>
      </c>
      <c r="AV123" s="1">
        <v>3.2117857792273519E-24</v>
      </c>
      <c r="AW123" s="1">
        <v>1.7925524487007049E-24</v>
      </c>
      <c r="AX123" s="1">
        <v>9.5130029304618879E-25</v>
      </c>
      <c r="AY123" s="1">
        <v>4.0934782247619054E-25</v>
      </c>
      <c r="AZ123" s="1">
        <v>1.5607664943850008E-24</v>
      </c>
    </row>
    <row r="124" spans="1:102" s="15" customFormat="1" x14ac:dyDescent="0.2">
      <c r="B124" s="22">
        <v>6.6492979422455553E-12</v>
      </c>
      <c r="C124" s="22">
        <v>2.127775341518579E-8</v>
      </c>
      <c r="D124" s="22">
        <v>5.7059842075056559E-6</v>
      </c>
      <c r="E124" s="22">
        <v>5.6160136988477678E-4</v>
      </c>
      <c r="F124" s="22">
        <v>2.8937524223784115E-2</v>
      </c>
      <c r="G124" s="22">
        <v>0.92790066959639472</v>
      </c>
      <c r="H124" s="22">
        <v>3.7836622684934103E-2</v>
      </c>
      <c r="I124" s="22">
        <v>2.0989522966249441E-3</v>
      </c>
      <c r="J124" s="22">
        <v>1.5018946247391144E-4</v>
      </c>
      <c r="K124" s="22">
        <v>1.331998542276793E-5</v>
      </c>
      <c r="L124" s="22">
        <v>1.4195883431841696E-6</v>
      </c>
      <c r="M124" s="22">
        <v>1.77387124203793E-7</v>
      </c>
      <c r="N124" s="22">
        <v>2.5474121150156746E-8</v>
      </c>
      <c r="O124" s="22">
        <v>4.1355252177388698E-9</v>
      </c>
      <c r="P124" s="22">
        <v>7.4856869390108116E-10</v>
      </c>
      <c r="Q124" s="22">
        <v>1.4933041292865788E-10</v>
      </c>
      <c r="R124" s="22">
        <v>3.2506765528860412E-11</v>
      </c>
      <c r="S124" s="22">
        <v>7.6561250907823888E-12</v>
      </c>
      <c r="T124" s="22">
        <v>1.9366653312678333E-12</v>
      </c>
      <c r="U124" s="22">
        <v>5.2278819760626351E-13</v>
      </c>
      <c r="V124" s="22">
        <v>1.4975634936163131E-13</v>
      </c>
      <c r="W124" s="22">
        <v>4.5298994107145958E-14</v>
      </c>
      <c r="X124" s="22">
        <v>1.4405887837068925E-14</v>
      </c>
      <c r="Y124" s="22">
        <v>4.7979584024573647E-15</v>
      </c>
      <c r="Z124" s="22">
        <v>1.6677743565782388E-15</v>
      </c>
      <c r="AA124" s="1">
        <v>6.0316968008854023E-16</v>
      </c>
      <c r="AB124" s="1">
        <v>2.2633771340066371E-16</v>
      </c>
      <c r="AC124" s="1">
        <v>8.7902773223713286E-17</v>
      </c>
      <c r="AD124" s="1">
        <v>3.5252815077371223E-17</v>
      </c>
      <c r="AE124" s="1">
        <v>1.4569330659379161E-17</v>
      </c>
      <c r="AF124" s="1">
        <v>6.1934094083804385E-18</v>
      </c>
      <c r="AG124" s="1">
        <v>2.7034958936831954E-18</v>
      </c>
      <c r="AH124" s="1">
        <v>1.2099076319137757E-18</v>
      </c>
      <c r="AI124" s="1">
        <v>5.5435847431055651E-19</v>
      </c>
      <c r="AJ124" s="1">
        <v>2.5970065884952656E-19</v>
      </c>
      <c r="AK124" s="1">
        <v>1.2424429718627145E-19</v>
      </c>
      <c r="AL124" s="1">
        <v>6.0634351034025557E-20</v>
      </c>
      <c r="AM124" s="1">
        <v>3.0154646206679717E-20</v>
      </c>
      <c r="AN124" s="1">
        <v>1.5267582109661637E-20</v>
      </c>
      <c r="AO124" s="1">
        <v>7.8629142365414639E-21</v>
      </c>
      <c r="AP124" s="1">
        <v>4.1156299867595948E-21</v>
      </c>
      <c r="AQ124" s="1">
        <v>2.1877130683023801E-21</v>
      </c>
      <c r="AR124" s="1">
        <v>1.1800854726443348E-21</v>
      </c>
      <c r="AS124" s="1">
        <v>6.4542143187545375E-22</v>
      </c>
      <c r="AT124" s="1">
        <v>3.5750694451876176E-22</v>
      </c>
      <c r="AU124" s="1">
        <v>2.0012901960062988E-22</v>
      </c>
      <c r="AV124" s="1">
        <v>1.1264314126728184E-22</v>
      </c>
      <c r="AW124" s="1">
        <v>6.2868059262837999E-23</v>
      </c>
      <c r="AX124" s="1">
        <v>3.3363823325410873E-23</v>
      </c>
      <c r="AY124" s="1">
        <v>1.4356569137600552E-23</v>
      </c>
      <c r="AZ124" s="1">
        <v>5.4738906264957626E-23</v>
      </c>
    </row>
    <row r="125" spans="1:102" s="15" customFormat="1" x14ac:dyDescent="0.2">
      <c r="B125" s="22">
        <v>2.9170459172697016E-13</v>
      </c>
      <c r="C125" s="22">
        <v>9.334546935263052E-10</v>
      </c>
      <c r="D125" s="22">
        <v>2.5032143364730416E-7</v>
      </c>
      <c r="E125" s="22">
        <v>2.4637442890733397E-5</v>
      </c>
      <c r="F125" s="22">
        <v>1.2694887133358845E-3</v>
      </c>
      <c r="G125" s="22">
        <v>4.0706987164480832E-2</v>
      </c>
      <c r="H125" s="22">
        <v>0.90155699165573366</v>
      </c>
      <c r="I125" s="22">
        <v>5.0013055708790027E-2</v>
      </c>
      <c r="J125" s="22">
        <v>3.5786587268606036E-3</v>
      </c>
      <c r="K125" s="22">
        <v>3.1738366520304024E-4</v>
      </c>
      <c r="L125" s="22">
        <v>3.3825423762789421E-5</v>
      </c>
      <c r="M125" s="22">
        <v>4.2267145085153927E-6</v>
      </c>
      <c r="N125" s="22">
        <v>6.0698789689688221E-7</v>
      </c>
      <c r="O125" s="22">
        <v>9.8539758827514704E-8</v>
      </c>
      <c r="P125" s="22">
        <v>1.7836616796927944E-8</v>
      </c>
      <c r="Q125" s="22">
        <v>3.5581896133736216E-9</v>
      </c>
      <c r="R125" s="22">
        <v>7.7455913501304984E-10</v>
      </c>
      <c r="S125" s="22">
        <v>1.8242730494374127E-10</v>
      </c>
      <c r="T125" s="22">
        <v>4.6146142176611752E-11</v>
      </c>
      <c r="U125" s="22">
        <v>1.2456802993008651E-11</v>
      </c>
      <c r="V125" s="22">
        <v>3.5683386684926721E-12</v>
      </c>
      <c r="W125" s="22">
        <v>1.0793676061508249E-12</v>
      </c>
      <c r="X125" s="22">
        <v>3.4325814459357855E-13</v>
      </c>
      <c r="Y125" s="22">
        <v>1.1432397070500705E-13</v>
      </c>
      <c r="Z125" s="22">
        <v>3.9739107906054182E-14</v>
      </c>
      <c r="AA125" s="1">
        <v>1.4372103101451078E-14</v>
      </c>
      <c r="AB125" s="1">
        <v>5.3930909661498871E-15</v>
      </c>
      <c r="AC125" s="1">
        <v>2.0945146305915638E-15</v>
      </c>
      <c r="AD125" s="1">
        <v>8.3999098368803171E-16</v>
      </c>
      <c r="AE125" s="1">
        <v>3.4715259945591524E-16</v>
      </c>
      <c r="AF125" s="1">
        <v>1.4757425896088564E-16</v>
      </c>
      <c r="AG125" s="1">
        <v>6.4417895993480532E-17</v>
      </c>
      <c r="AH125" s="1">
        <v>2.8829229656478687E-17</v>
      </c>
      <c r="AI125" s="1">
        <v>1.320904782015055E-17</v>
      </c>
      <c r="AJ125" s="1">
        <v>6.1880508382853027E-18</v>
      </c>
      <c r="AK125" s="1">
        <v>2.9604469652159948E-18</v>
      </c>
      <c r="AL125" s="1">
        <v>1.4447727949831159E-18</v>
      </c>
      <c r="AM125" s="1">
        <v>7.1851370945330694E-19</v>
      </c>
      <c r="AN125" s="1">
        <v>3.6379027566126491E-19</v>
      </c>
      <c r="AO125" s="1">
        <v>1.8735459990106431E-19</v>
      </c>
      <c r="AP125" s="1">
        <v>9.8065702653438864E-20</v>
      </c>
      <c r="AQ125" s="1">
        <v>5.2128014407849987E-20</v>
      </c>
      <c r="AR125" s="1">
        <v>2.8118638322270071E-20</v>
      </c>
      <c r="AS125" s="1">
        <v>1.537886214943456E-20</v>
      </c>
      <c r="AT125" s="1">
        <v>8.5185426849608239E-21</v>
      </c>
      <c r="AU125" s="1">
        <v>4.7685999449945223E-21</v>
      </c>
      <c r="AV125" s="1">
        <v>2.6840189310030462E-21</v>
      </c>
      <c r="AW125" s="1">
        <v>1.4979967649915879E-21</v>
      </c>
      <c r="AX125" s="1">
        <v>7.9498078985173069E-22</v>
      </c>
      <c r="AY125" s="1">
        <v>3.4208299694112216E-22</v>
      </c>
      <c r="AZ125" s="1">
        <v>1.3042983267745727E-21</v>
      </c>
    </row>
    <row r="126" spans="1:102" s="15" customFormat="1" x14ac:dyDescent="0.2">
      <c r="B126" s="22">
        <v>1.7213256330994292E-14</v>
      </c>
      <c r="C126" s="22">
        <v>5.5082420259181781E-11</v>
      </c>
      <c r="D126" s="22">
        <v>1.4771269032837246E-8</v>
      </c>
      <c r="E126" s="22">
        <v>1.4538359417234252E-6</v>
      </c>
      <c r="F126" s="22">
        <v>7.4911520941733396E-5</v>
      </c>
      <c r="G126" s="22">
        <v>2.4020869893626646E-3</v>
      </c>
      <c r="H126" s="22">
        <v>5.3200162200036455E-2</v>
      </c>
      <c r="I126" s="22">
        <v>0.87313306966024173</v>
      </c>
      <c r="J126" s="22">
        <v>6.2476592065160298E-2</v>
      </c>
      <c r="K126" s="22">
        <v>5.5409166652867431E-3</v>
      </c>
      <c r="L126" s="22">
        <v>5.9052772649066622E-4</v>
      </c>
      <c r="M126" s="22">
        <v>7.3790416544152574E-5</v>
      </c>
      <c r="N126" s="22">
        <v>1.0596857123669857E-5</v>
      </c>
      <c r="O126" s="22">
        <v>1.7203172429539469E-6</v>
      </c>
      <c r="P126" s="22">
        <v>3.1139349027054083E-7</v>
      </c>
      <c r="Q126" s="22">
        <v>6.2119240176961805E-8</v>
      </c>
      <c r="R126" s="22">
        <v>1.3522333030902251E-8</v>
      </c>
      <c r="S126" s="22">
        <v>3.184834649632876E-9</v>
      </c>
      <c r="T126" s="22">
        <v>8.0562409556114175E-10</v>
      </c>
      <c r="U126" s="22">
        <v>2.1747214764817788E-10</v>
      </c>
      <c r="V126" s="22">
        <v>6.229642342490901E-11</v>
      </c>
      <c r="W126" s="22">
        <v>1.8843710665026606E-11</v>
      </c>
      <c r="X126" s="22">
        <v>5.9926359872907131E-12</v>
      </c>
      <c r="Y126" s="22">
        <v>1.9958796370817733E-12</v>
      </c>
      <c r="Z126" s="22">
        <v>6.9376943239791712E-13</v>
      </c>
      <c r="AA126" s="1">
        <v>2.5090965390139033E-13</v>
      </c>
      <c r="AB126" s="1">
        <v>9.4153136685942614E-14</v>
      </c>
      <c r="AC126" s="1">
        <v>3.656625181043039E-14</v>
      </c>
      <c r="AD126" s="1">
        <v>1.4664648973758955E-14</v>
      </c>
      <c r="AE126" s="1">
        <v>6.0606257807639329E-15</v>
      </c>
      <c r="AF126" s="1">
        <v>2.576366588748689E-15</v>
      </c>
      <c r="AG126" s="1">
        <v>1.1246142526731565E-15</v>
      </c>
      <c r="AH126" s="1">
        <v>5.0330365599871274E-16</v>
      </c>
      <c r="AI126" s="1">
        <v>2.3060491519757213E-16</v>
      </c>
      <c r="AJ126" s="1">
        <v>1.0803162788343838E-16</v>
      </c>
      <c r="AK126" s="1">
        <v>5.1683787556517698E-17</v>
      </c>
      <c r="AL126" s="1">
        <v>2.5222992028129652E-17</v>
      </c>
      <c r="AM126" s="1">
        <v>1.2543886228044886E-17</v>
      </c>
      <c r="AN126" s="1">
        <v>6.351088042893558E-18</v>
      </c>
      <c r="AO126" s="1">
        <v>3.2708558716965535E-18</v>
      </c>
      <c r="AP126" s="1">
        <v>1.7120411215173301E-18</v>
      </c>
      <c r="AQ126" s="1">
        <v>9.1005623612036047E-19</v>
      </c>
      <c r="AR126" s="1">
        <v>4.908980794123877E-19</v>
      </c>
      <c r="AS126" s="1">
        <v>2.6848575689122519E-19</v>
      </c>
      <c r="AT126" s="1">
        <v>1.4871759419899651E-19</v>
      </c>
      <c r="AU126" s="1">
        <v>8.3250708219033125E-20</v>
      </c>
      <c r="AV126" s="1">
        <v>4.685787850873123E-20</v>
      </c>
      <c r="AW126" s="1">
        <v>2.6152181569828344E-20</v>
      </c>
      <c r="AX126" s="1">
        <v>1.3878856381138287E-20</v>
      </c>
      <c r="AY126" s="1">
        <v>5.9721201387277358E-21</v>
      </c>
      <c r="AZ126" s="1">
        <v>2.2770574316442851E-20</v>
      </c>
    </row>
    <row r="127" spans="1:102" s="15" customFormat="1" x14ac:dyDescent="0.2">
      <c r="B127" s="22">
        <v>1.2993608324701772E-15</v>
      </c>
      <c r="C127" s="22">
        <v>4.1579546639045712E-12</v>
      </c>
      <c r="D127" s="22">
        <v>1.1150248423704089E-9</v>
      </c>
      <c r="E127" s="22">
        <v>1.097443414068822E-7</v>
      </c>
      <c r="F127" s="22">
        <v>5.654775269754861E-6</v>
      </c>
      <c r="G127" s="22">
        <v>1.8132407315308739E-4</v>
      </c>
      <c r="H127" s="22">
        <v>4.0158704265223066E-3</v>
      </c>
      <c r="I127" s="22">
        <v>6.5909371848960313E-2</v>
      </c>
      <c r="J127" s="22">
        <v>0.84345006781404386</v>
      </c>
      <c r="K127" s="22">
        <v>7.4803800633264875E-2</v>
      </c>
      <c r="L127" s="22">
        <v>7.9722762476408717E-3</v>
      </c>
      <c r="M127" s="22">
        <v>9.9618960927446267E-4</v>
      </c>
      <c r="N127" s="22">
        <v>1.4306029769122527E-4</v>
      </c>
      <c r="O127" s="22">
        <v>2.3224725409443675E-5</v>
      </c>
      <c r="P127" s="22">
        <v>4.2038922387381914E-6</v>
      </c>
      <c r="Q127" s="22">
        <v>8.3862572537839793E-7</v>
      </c>
      <c r="R127" s="22">
        <v>1.8255497515010504E-7</v>
      </c>
      <c r="S127" s="22">
        <v>4.2996087213075388E-8</v>
      </c>
      <c r="T127" s="22">
        <v>1.0876132573380134E-8</v>
      </c>
      <c r="U127" s="22">
        <v>2.9359299478149402E-9</v>
      </c>
      <c r="V127" s="22">
        <v>8.4101774481410464E-10</v>
      </c>
      <c r="W127" s="22">
        <v>2.5439494237631373E-10</v>
      </c>
      <c r="X127" s="22">
        <v>8.0902127705583311E-11</v>
      </c>
      <c r="Y127" s="22">
        <v>2.6944888631082081E-11</v>
      </c>
      <c r="Z127" s="22">
        <v>9.3660658409959091E-12</v>
      </c>
      <c r="AA127" s="1">
        <v>3.3873448855469829E-12</v>
      </c>
      <c r="AB127" s="1">
        <v>1.2710915704211032E-12</v>
      </c>
      <c r="AC127" s="1">
        <v>4.9365380776605566E-13</v>
      </c>
      <c r="AD127" s="1">
        <v>1.9797653429120992E-13</v>
      </c>
      <c r="AE127" s="1">
        <v>8.1820007410927053E-14</v>
      </c>
      <c r="AF127" s="1">
        <v>3.4781611835158014E-14</v>
      </c>
      <c r="AG127" s="1">
        <v>1.5182581769065006E-14</v>
      </c>
      <c r="AH127" s="1">
        <v>6.7947288536548834E-15</v>
      </c>
      <c r="AI127" s="1">
        <v>3.1132256887313143E-15</v>
      </c>
      <c r="AJ127" s="1">
        <v>1.458454772458048E-15</v>
      </c>
      <c r="AK127" s="1">
        <v>6.9774443000934264E-16</v>
      </c>
      <c r="AL127" s="1">
        <v>3.4051688213740692E-16</v>
      </c>
      <c r="AM127" s="1">
        <v>1.6934569156175316E-16</v>
      </c>
      <c r="AN127" s="1">
        <v>8.5741322684255952E-17</v>
      </c>
      <c r="AO127" s="1">
        <v>4.4157395843792384E-17</v>
      </c>
      <c r="AP127" s="1">
        <v>2.3112995640642084E-17</v>
      </c>
      <c r="AQ127" s="1">
        <v>1.2285993340829994E-17</v>
      </c>
      <c r="AR127" s="1">
        <v>6.6272503778427715E-18</v>
      </c>
      <c r="AS127" s="1">
        <v>3.6246267981586929E-18</v>
      </c>
      <c r="AT127" s="1">
        <v>2.0077257860265656E-18</v>
      </c>
      <c r="AU127" s="1">
        <v>1.1239059809740682E-18</v>
      </c>
      <c r="AV127" s="1">
        <v>6.3259341618044098E-19</v>
      </c>
      <c r="AW127" s="1">
        <v>3.5306118002645422E-19</v>
      </c>
      <c r="AX127" s="1">
        <v>1.873681321100789E-19</v>
      </c>
      <c r="AY127" s="1">
        <v>8.062515847135142E-20</v>
      </c>
      <c r="AZ127" s="1">
        <v>3.0740861203404968E-19</v>
      </c>
    </row>
    <row r="128" spans="1:102" s="15" customFormat="1" x14ac:dyDescent="0.2">
      <c r="B128" s="22">
        <v>1.2080301141728982E-16</v>
      </c>
      <c r="C128" s="22">
        <v>3.8656963653532785E-13</v>
      </c>
      <c r="D128" s="22">
        <v>1.0366509086422372E-10</v>
      </c>
      <c r="E128" s="22">
        <v>1.0203052606068782E-8</v>
      </c>
      <c r="F128" s="22">
        <v>5.2573070112922884E-7</v>
      </c>
      <c r="G128" s="22">
        <v>1.6857899308616153E-5</v>
      </c>
      <c r="H128" s="22">
        <v>3.7335990808901449E-4</v>
      </c>
      <c r="I128" s="22">
        <v>6.1276670813910326E-3</v>
      </c>
      <c r="J128" s="22">
        <v>7.8416484186575972E-2</v>
      </c>
      <c r="K128" s="22">
        <v>0.81320807056022903</v>
      </c>
      <c r="L128" s="22">
        <v>8.6668315385490788E-2</v>
      </c>
      <c r="M128" s="22">
        <v>1.082978970603243E-2</v>
      </c>
      <c r="N128" s="22">
        <v>1.5552390075688005E-3</v>
      </c>
      <c r="O128" s="22">
        <v>2.5248094320900143E-4</v>
      </c>
      <c r="P128" s="22">
        <v>4.5701409117802958E-5</v>
      </c>
      <c r="Q128" s="22">
        <v>9.1168791195599693E-6</v>
      </c>
      <c r="R128" s="22">
        <v>1.9845940695020004E-6</v>
      </c>
      <c r="S128" s="22">
        <v>4.6741963413869257E-7</v>
      </c>
      <c r="T128" s="22">
        <v>1.1823675682626458E-7</v>
      </c>
      <c r="U128" s="22">
        <v>3.1917120626901167E-8</v>
      </c>
      <c r="V128" s="22">
        <v>9.1428832730065344E-9</v>
      </c>
      <c r="W128" s="22">
        <v>2.7655816749787712E-9</v>
      </c>
      <c r="X128" s="22">
        <v>8.7950428479188867E-10</v>
      </c>
      <c r="Y128" s="22">
        <v>2.9292363101398942E-10</v>
      </c>
      <c r="Z128" s="22">
        <v>1.0182049931710695E-10</v>
      </c>
      <c r="AA128" s="1">
        <v>3.6824548691082916E-11</v>
      </c>
      <c r="AB128" s="1">
        <v>1.3818307555724013E-11</v>
      </c>
      <c r="AC128" s="1">
        <v>5.3666158288703914E-12</v>
      </c>
      <c r="AD128" s="1">
        <v>2.1522451279776505E-12</v>
      </c>
      <c r="AE128" s="1">
        <v>8.8948275083064548E-13</v>
      </c>
      <c r="AF128" s="1">
        <v>3.7811832035263744E-13</v>
      </c>
      <c r="AG128" s="1">
        <v>1.6505308449600074E-13</v>
      </c>
      <c r="AH128" s="1">
        <v>7.3866946522546461E-14</v>
      </c>
      <c r="AI128" s="1">
        <v>3.3844540439378391E-14</v>
      </c>
      <c r="AJ128" s="1">
        <v>1.5855172885193569E-14</v>
      </c>
      <c r="AK128" s="1">
        <v>7.5853285109649796E-15</v>
      </c>
      <c r="AL128" s="1">
        <v>3.7018316498881823E-15</v>
      </c>
      <c r="AM128" s="1">
        <v>1.840993130386219E-15</v>
      </c>
      <c r="AN128" s="1">
        <v>9.3211220549052128E-16</v>
      </c>
      <c r="AO128" s="1">
        <v>4.8004446794279669E-16</v>
      </c>
      <c r="AP128" s="1">
        <v>2.5126630506305036E-16</v>
      </c>
      <c r="AQ128" s="1">
        <v>1.3356365391906576E-16</v>
      </c>
      <c r="AR128" s="1">
        <v>7.2046252292807413E-17</v>
      </c>
      <c r="AS128" s="1">
        <v>3.9404090969687429E-17</v>
      </c>
      <c r="AT128" s="1">
        <v>2.1826415220173042E-17</v>
      </c>
      <c r="AU128" s="1">
        <v>1.2218221621650941E-17</v>
      </c>
      <c r="AV128" s="1">
        <v>6.8770579444654032E-18</v>
      </c>
      <c r="AW128" s="1">
        <v>3.8382033876411507E-18</v>
      </c>
      <c r="AX128" s="1">
        <v>2.0369189253460672E-18</v>
      </c>
      <c r="AY128" s="1">
        <v>8.7649329317558699E-19</v>
      </c>
      <c r="AZ128" s="1">
        <v>3.3419045843860438E-18</v>
      </c>
    </row>
    <row r="129" spans="2:52" s="15" customFormat="1" x14ac:dyDescent="0.2">
      <c r="B129" s="22">
        <v>1.342937118633818E-17</v>
      </c>
      <c r="C129" s="22">
        <v>4.2973987796282219E-14</v>
      </c>
      <c r="D129" s="22">
        <v>1.1524191060703013E-11</v>
      </c>
      <c r="E129" s="22">
        <v>1.1342480545234309E-9</v>
      </c>
      <c r="F129" s="22">
        <v>5.844417822607148E-8</v>
      </c>
      <c r="G129" s="22">
        <v>1.8740508583457227E-6</v>
      </c>
      <c r="H129" s="22">
        <v>4.1505495045191068E-5</v>
      </c>
      <c r="I129" s="22">
        <v>6.8119755275014549E-4</v>
      </c>
      <c r="J129" s="22">
        <v>8.7173660731972875E-3</v>
      </c>
      <c r="K129" s="22">
        <v>9.0402324438380408E-2</v>
      </c>
      <c r="L129" s="22">
        <v>0.78297397116445011</v>
      </c>
      <c r="M129" s="22">
        <v>9.783787091386853E-2</v>
      </c>
      <c r="N129" s="22">
        <v>1.4050251887898817E-2</v>
      </c>
      <c r="O129" s="22">
        <v>2.2809489935094853E-3</v>
      </c>
      <c r="P129" s="22">
        <v>4.1287307392117432E-4</v>
      </c>
      <c r="Q129" s="22">
        <v>8.2363191405277367E-5</v>
      </c>
      <c r="R129" s="22">
        <v>1.7929106996436844E-5</v>
      </c>
      <c r="S129" s="22">
        <v>4.2227359042803671E-6</v>
      </c>
      <c r="T129" s="22">
        <v>1.0681677914021627E-6</v>
      </c>
      <c r="U129" s="22">
        <v>2.8834383793230195E-7</v>
      </c>
      <c r="V129" s="22">
        <v>8.259811665102912E-8</v>
      </c>
      <c r="W129" s="22">
        <v>2.4984660853351114E-8</v>
      </c>
      <c r="X129" s="22">
        <v>7.9455676443774325E-9</v>
      </c>
      <c r="Y129" s="22">
        <v>2.6463140260982768E-9</v>
      </c>
      <c r="Z129" s="22">
        <v>9.1986097043267176E-10</v>
      </c>
      <c r="AA129" s="1">
        <v>3.3267824575511185E-10</v>
      </c>
      <c r="AB129" s="1">
        <v>1.2483656909164102E-10</v>
      </c>
      <c r="AC129" s="1">
        <v>4.8482775839763163E-11</v>
      </c>
      <c r="AD129" s="1">
        <v>1.9443690664536832E-11</v>
      </c>
      <c r="AE129" s="1">
        <v>8.0357145353807282E-12</v>
      </c>
      <c r="AF129" s="1">
        <v>3.4159750485481265E-12</v>
      </c>
      <c r="AG129" s="1">
        <v>1.4911131991658638E-12</v>
      </c>
      <c r="AH129" s="1">
        <v>6.6732457183807943E-13</v>
      </c>
      <c r="AI129" s="1">
        <v>3.0575642450403743E-13</v>
      </c>
      <c r="AJ129" s="1">
        <v>1.4323790213530779E-13</v>
      </c>
      <c r="AK129" s="1">
        <v>6.8526943905632287E-14</v>
      </c>
      <c r="AL129" s="1">
        <v>3.3442877187623606E-14</v>
      </c>
      <c r="AM129" s="1">
        <v>1.6631795550352698E-14</v>
      </c>
      <c r="AN129" s="1">
        <v>8.4208351328581045E-15</v>
      </c>
      <c r="AO129" s="1">
        <v>4.3367904606072509E-15</v>
      </c>
      <c r="AP129" s="1">
        <v>2.2699757785758262E-15</v>
      </c>
      <c r="AQ129" s="1">
        <v>1.206633174385578E-15</v>
      </c>
      <c r="AR129" s="1">
        <v>6.5087615946275776E-16</v>
      </c>
      <c r="AS129" s="1">
        <v>3.5598220006277441E-16</v>
      </c>
      <c r="AT129" s="1">
        <v>1.9718296040728224E-16</v>
      </c>
      <c r="AU129" s="1">
        <v>1.1038116364810441E-16</v>
      </c>
      <c r="AV129" s="1">
        <v>6.2128326191136978E-17</v>
      </c>
      <c r="AW129" s="1">
        <v>3.4674878993452115E-17</v>
      </c>
      <c r="AX129" s="1">
        <v>1.840181723648952E-17</v>
      </c>
      <c r="AY129" s="1">
        <v>7.918365914974104E-18</v>
      </c>
      <c r="AZ129" s="1">
        <v>3.019124454018721E-17</v>
      </c>
    </row>
    <row r="130" spans="2:52" s="15" customFormat="1" x14ac:dyDescent="0.2">
      <c r="B130" s="22">
        <v>1.7433494447365734E-18</v>
      </c>
      <c r="C130" s="22">
        <v>5.5787182231570407E-15</v>
      </c>
      <c r="D130" s="22">
        <v>1.4960262701766128E-12</v>
      </c>
      <c r="E130" s="22">
        <v>1.4724373082029182E-10</v>
      </c>
      <c r="F130" s="22">
        <v>7.5869989923399602E-9</v>
      </c>
      <c r="G130" s="22">
        <v>2.4328209250994497E-7</v>
      </c>
      <c r="H130" s="22">
        <v>5.3880841281802886E-6</v>
      </c>
      <c r="I130" s="22">
        <v>8.8430452838402429E-5</v>
      </c>
      <c r="J130" s="22">
        <v>1.13165501886897E-3</v>
      </c>
      <c r="K130" s="22">
        <v>1.1735682924072934E-2</v>
      </c>
      <c r="L130" s="22">
        <v>0.10164267700496342</v>
      </c>
      <c r="M130" s="22">
        <v>0.75318529174219229</v>
      </c>
      <c r="N130" s="22">
        <v>0.10816305555703069</v>
      </c>
      <c r="O130" s="22">
        <v>1.7559429871873651E-2</v>
      </c>
      <c r="P130" s="22">
        <v>3.1784208275298371E-3</v>
      </c>
      <c r="Q130" s="22">
        <v>6.3405656488594361E-4</v>
      </c>
      <c r="R130" s="22">
        <v>1.3802364623895428E-4</v>
      </c>
      <c r="S130" s="22">
        <v>3.2507888247237006E-5</v>
      </c>
      <c r="T130" s="22">
        <v>8.2230762186670715E-6</v>
      </c>
      <c r="U130" s="22">
        <v>2.2197573972791705E-6</v>
      </c>
      <c r="V130" s="22">
        <v>6.3586508992953238E-7</v>
      </c>
      <c r="W130" s="22">
        <v>1.9233941722298377E-7</v>
      </c>
      <c r="X130" s="22">
        <v>6.116736421580735E-8</v>
      </c>
      <c r="Y130" s="22">
        <v>2.0372119539916876E-8</v>
      </c>
      <c r="Z130" s="22">
        <v>7.0813658035089132E-9</v>
      </c>
      <c r="AA130" s="1">
        <v>2.5610569735918748E-9</v>
      </c>
      <c r="AB130" s="1">
        <v>9.6102937270739319E-10</v>
      </c>
      <c r="AC130" s="1">
        <v>3.7323495824526483E-10</v>
      </c>
      <c r="AD130" s="1">
        <v>1.4968336584722456E-10</v>
      </c>
      <c r="AE130" s="1">
        <v>6.1861342036111118E-11</v>
      </c>
      <c r="AF130" s="1">
        <v>2.6297201068385747E-11</v>
      </c>
      <c r="AG130" s="1">
        <v>1.1479036894855174E-11</v>
      </c>
      <c r="AH130" s="1">
        <v>5.1372648201745674E-12</v>
      </c>
      <c r="AI130" s="1">
        <v>2.353804714279399E-12</v>
      </c>
      <c r="AJ130" s="1">
        <v>1.1026883567744187E-12</v>
      </c>
      <c r="AK130" s="1">
        <v>5.2754097933306805E-13</v>
      </c>
      <c r="AL130" s="1">
        <v>2.5745330490105842E-13</v>
      </c>
      <c r="AM130" s="1">
        <v>1.2803655339982683E-13</v>
      </c>
      <c r="AN130" s="1">
        <v>6.4826115971372697E-14</v>
      </c>
      <c r="AO130" s="1">
        <v>3.3385914449965971E-14</v>
      </c>
      <c r="AP130" s="1">
        <v>1.7474954770218653E-14</v>
      </c>
      <c r="AQ130" s="1">
        <v>9.2890242907624842E-15</v>
      </c>
      <c r="AR130" s="1">
        <v>5.0106400054899872E-15</v>
      </c>
      <c r="AS130" s="1">
        <v>2.740457807440923E-15</v>
      </c>
      <c r="AT130" s="1">
        <v>1.5179736044306742E-15</v>
      </c>
      <c r="AU130" s="1">
        <v>8.4974732349122941E-16</v>
      </c>
      <c r="AV130" s="1">
        <v>4.7828249992194497E-16</v>
      </c>
      <c r="AW130" s="1">
        <v>2.6693762452987325E-16</v>
      </c>
      <c r="AX130" s="1">
        <v>1.4166271152868279E-16</v>
      </c>
      <c r="AY130" s="1">
        <v>6.095795713953751E-17</v>
      </c>
      <c r="AZ130" s="1">
        <v>2.3242126095609297E-16</v>
      </c>
    </row>
    <row r="131" spans="2:52" s="15" customFormat="1" x14ac:dyDescent="0.2">
      <c r="B131" s="22">
        <v>2.5923052590209705E-19</v>
      </c>
      <c r="C131" s="22">
        <v>8.2953768288671134E-16</v>
      </c>
      <c r="D131" s="22">
        <v>2.2245435529411971E-13</v>
      </c>
      <c r="E131" s="22">
        <v>2.1894675156247117E-11</v>
      </c>
      <c r="F131" s="22">
        <v>1.1281626553649181E-9</v>
      </c>
      <c r="G131" s="22">
        <v>3.6175274540810823E-8</v>
      </c>
      <c r="H131" s="22">
        <v>8.0119099837954362E-7</v>
      </c>
      <c r="I131" s="22">
        <v>1.3149327499584303E-5</v>
      </c>
      <c r="J131" s="22">
        <v>1.682735073951157E-4</v>
      </c>
      <c r="K131" s="22">
        <v>1.7450587806206468E-3</v>
      </c>
      <c r="L131" s="22">
        <v>1.5113943273762342E-2</v>
      </c>
      <c r="M131" s="22">
        <v>0.11199626091575442</v>
      </c>
      <c r="N131" s="22">
        <v>0.72416361809221919</v>
      </c>
      <c r="O131" s="22">
        <v>0.11756232478979807</v>
      </c>
      <c r="P131" s="22">
        <v>2.1279878923816699E-2</v>
      </c>
      <c r="Q131" s="22">
        <v>4.2450788186251739E-3</v>
      </c>
      <c r="R131" s="22">
        <v>9.2408357482079938E-4</v>
      </c>
      <c r="S131" s="22">
        <v>2.1764390667795345E-4</v>
      </c>
      <c r="T131" s="22">
        <v>5.5054404627264256E-5</v>
      </c>
      <c r="U131" s="22">
        <v>1.4861521245145379E-5</v>
      </c>
      <c r="V131" s="22">
        <v>4.2571870937865118E-6</v>
      </c>
      <c r="W131" s="22">
        <v>1.2877336680314515E-6</v>
      </c>
      <c r="X131" s="22">
        <v>4.0952226757618039E-7</v>
      </c>
      <c r="Y131" s="22">
        <v>1.363935931567205E-7</v>
      </c>
      <c r="Z131" s="22">
        <v>4.7410527142511002E-8</v>
      </c>
      <c r="AA131" s="1">
        <v>1.7146559650940343E-8</v>
      </c>
      <c r="AB131" s="1">
        <v>6.4341979250552413E-9</v>
      </c>
      <c r="AC131" s="1">
        <v>2.498849319385936E-9</v>
      </c>
      <c r="AD131" s="1">
        <v>1.0021466869803278E-9</v>
      </c>
      <c r="AE131" s="1">
        <v>4.1416852582617913E-10</v>
      </c>
      <c r="AF131" s="1">
        <v>1.7606266921092867E-10</v>
      </c>
      <c r="AG131" s="1">
        <v>7.685342141253944E-11</v>
      </c>
      <c r="AH131" s="1">
        <v>3.4394556072003193E-11</v>
      </c>
      <c r="AI131" s="1">
        <v>1.5758982855993248E-11</v>
      </c>
      <c r="AJ131" s="1">
        <v>7.3826204886463372E-12</v>
      </c>
      <c r="AK131" s="1">
        <v>3.5319451943951221E-12</v>
      </c>
      <c r="AL131" s="1">
        <v>1.7236783466111233E-12</v>
      </c>
      <c r="AM131" s="1">
        <v>8.5721888384697515E-13</v>
      </c>
      <c r="AN131" s="1">
        <v>4.3401801518026367E-13</v>
      </c>
      <c r="AO131" s="1">
        <v>2.2352238920115401E-13</v>
      </c>
      <c r="AP131" s="1">
        <v>1.1699675464259622E-13</v>
      </c>
      <c r="AQ131" s="1">
        <v>6.2191044847085264E-14</v>
      </c>
      <c r="AR131" s="1">
        <v>3.3546788934970962E-14</v>
      </c>
      <c r="AS131" s="1">
        <v>1.8347668072478857E-14</v>
      </c>
      <c r="AT131" s="1">
        <v>1.0163001145741497E-14</v>
      </c>
      <c r="AU131" s="1">
        <v>5.6891522995033341E-15</v>
      </c>
      <c r="AV131" s="1">
        <v>3.202154227522226E-15</v>
      </c>
      <c r="AW131" s="1">
        <v>1.787176915343071E-15</v>
      </c>
      <c r="AX131" s="1">
        <v>9.4844751935909066E-16</v>
      </c>
      <c r="AY131" s="1">
        <v>4.0812026404341476E-16</v>
      </c>
      <c r="AZ131" s="1">
        <v>1.5560860442480333E-15</v>
      </c>
    </row>
    <row r="132" spans="2:52" s="15" customFormat="1" x14ac:dyDescent="0.2">
      <c r="B132" s="22">
        <v>4.3453981158814483E-20</v>
      </c>
      <c r="C132" s="22">
        <v>1.3905273970820648E-16</v>
      </c>
      <c r="D132" s="22">
        <v>3.7289309698417355E-14</v>
      </c>
      <c r="E132" s="22">
        <v>3.6701341341152187E-12</v>
      </c>
      <c r="F132" s="22">
        <v>1.8911028552563177E-10</v>
      </c>
      <c r="G132" s="22">
        <v>6.0639451809969817E-9</v>
      </c>
      <c r="H132" s="22">
        <v>1.3430107595177631E-7</v>
      </c>
      <c r="I132" s="22">
        <v>2.2041795711737016E-6</v>
      </c>
      <c r="J132" s="22">
        <v>2.8207148037174258E-5</v>
      </c>
      <c r="K132" s="22">
        <v>2.9251860331738777E-4</v>
      </c>
      <c r="L132" s="22">
        <v>2.533501808739519E-3</v>
      </c>
      <c r="M132" s="22">
        <v>1.8773573809470458E-2</v>
      </c>
      <c r="N132" s="22">
        <v>0.12138922338321599</v>
      </c>
      <c r="O132" s="22">
        <v>0.69613248535036754</v>
      </c>
      <c r="P132" s="22">
        <v>0.12600648234609368</v>
      </c>
      <c r="Q132" s="22">
        <v>2.5136771272612567E-2</v>
      </c>
      <c r="R132" s="22">
        <v>5.4718601113209605E-3</v>
      </c>
      <c r="S132" s="22">
        <v>1.2887546579908647E-3</v>
      </c>
      <c r="T132" s="22">
        <v>3.2599865297992179E-4</v>
      </c>
      <c r="U132" s="22">
        <v>8.8000877313104309E-5</v>
      </c>
      <c r="V132" s="22">
        <v>2.5208469103498772E-5</v>
      </c>
      <c r="W132" s="22">
        <v>7.6251744799952346E-6</v>
      </c>
      <c r="X132" s="22">
        <v>2.4249414465378431E-6</v>
      </c>
      <c r="Y132" s="22">
        <v>8.0763978731980811E-7</v>
      </c>
      <c r="Z132" s="22">
        <v>2.807362660656681E-7</v>
      </c>
      <c r="AA132" s="1">
        <v>1.0153148303556895E-7</v>
      </c>
      <c r="AB132" s="1">
        <v>3.8099401324475765E-8</v>
      </c>
      <c r="AC132" s="1">
        <v>1.4796663729902358E-8</v>
      </c>
      <c r="AD132" s="1">
        <v>5.9341023167125365E-9</v>
      </c>
      <c r="AE132" s="1">
        <v>2.4524537580622574E-9</v>
      </c>
      <c r="AF132" s="1">
        <v>1.0425358950188035E-9</v>
      </c>
      <c r="AG132" s="1">
        <v>4.5507915355747477E-10</v>
      </c>
      <c r="AH132" s="1">
        <v>2.0366361284311655E-10</v>
      </c>
      <c r="AI132" s="1">
        <v>9.3315098368047986E-11</v>
      </c>
      <c r="AJ132" s="1">
        <v>4.3715382103484064E-11</v>
      </c>
      <c r="AK132" s="1">
        <v>2.0914028288329041E-11</v>
      </c>
      <c r="AL132" s="1">
        <v>1.0206573351764307E-11</v>
      </c>
      <c r="AM132" s="1">
        <v>5.0759281357240318E-12</v>
      </c>
      <c r="AN132" s="1">
        <v>2.5699903445639361E-12</v>
      </c>
      <c r="AO132" s="1">
        <v>1.3235634511674304E-12</v>
      </c>
      <c r="AP132" s="1">
        <v>6.927835234026044E-13</v>
      </c>
      <c r="AQ132" s="1">
        <v>3.682574897472134E-13</v>
      </c>
      <c r="AR132" s="1">
        <v>1.9864365219538507E-13</v>
      </c>
      <c r="AS132" s="1">
        <v>1.0864371556547059E-13</v>
      </c>
      <c r="AT132" s="1">
        <v>6.0179102946912835E-14</v>
      </c>
      <c r="AU132" s="1">
        <v>3.3687694904564306E-14</v>
      </c>
      <c r="AV132" s="1">
        <v>1.8961207043718434E-14</v>
      </c>
      <c r="AW132" s="1">
        <v>1.0582573201602238E-14</v>
      </c>
      <c r="AX132" s="1">
        <v>5.616128551866898E-15</v>
      </c>
      <c r="AY132" s="1">
        <v>2.4166396355156537E-15</v>
      </c>
      <c r="AZ132" s="1">
        <v>9.2141938102895357E-15</v>
      </c>
    </row>
    <row r="133" spans="2:52" s="15" customFormat="1" x14ac:dyDescent="0.2">
      <c r="B133" s="22">
        <v>8.1023329715834402E-21</v>
      </c>
      <c r="C133" s="22">
        <v>2.5927465509067036E-17</v>
      </c>
      <c r="D133" s="22">
        <v>6.952882000681474E-15</v>
      </c>
      <c r="E133" s="22">
        <v>6.8432507245526816E-13</v>
      </c>
      <c r="F133" s="22">
        <v>3.5261084504085237E-11</v>
      </c>
      <c r="G133" s="22">
        <v>1.1306697721964675E-9</v>
      </c>
      <c r="H133" s="22">
        <v>2.5041480821429437E-8</v>
      </c>
      <c r="I133" s="22">
        <v>4.1098643527139061E-7</v>
      </c>
      <c r="J133" s="22">
        <v>5.259442276201496E-6</v>
      </c>
      <c r="K133" s="22">
        <v>5.4542370140905848E-5</v>
      </c>
      <c r="L133" s="22">
        <v>4.7239112944551476E-4</v>
      </c>
      <c r="M133" s="22">
        <v>3.5004789438049673E-3</v>
      </c>
      <c r="N133" s="22">
        <v>2.2633965422365725E-2</v>
      </c>
      <c r="O133" s="22">
        <v>0.12979931960734734</v>
      </c>
      <c r="P133" s="22">
        <v>0.66923612769741381</v>
      </c>
      <c r="Q133" s="22">
        <v>0.13350452418069853</v>
      </c>
      <c r="R133" s="22">
        <v>2.9061730825437202E-2</v>
      </c>
      <c r="S133" s="22">
        <v>6.8447365628134206E-3</v>
      </c>
      <c r="T133" s="22">
        <v>1.731419464243296E-3</v>
      </c>
      <c r="U133" s="22">
        <v>4.6738362400466519E-4</v>
      </c>
      <c r="V133" s="22">
        <v>1.3388532029382863E-4</v>
      </c>
      <c r="W133" s="22">
        <v>4.049825173273993E-5</v>
      </c>
      <c r="X133" s="22">
        <v>1.2879166161599159E-5</v>
      </c>
      <c r="Y133" s="22">
        <v>4.289475539486222E-6</v>
      </c>
      <c r="Z133" s="22">
        <v>1.4910252878100681E-6</v>
      </c>
      <c r="AA133" s="1">
        <v>5.3924635686178496E-7</v>
      </c>
      <c r="AB133" s="1">
        <v>2.023506674835156E-7</v>
      </c>
      <c r="AC133" s="1">
        <v>7.858692468092386E-8</v>
      </c>
      <c r="AD133" s="1">
        <v>3.1516756771998446E-8</v>
      </c>
      <c r="AE133" s="1">
        <v>1.3025287476041E-8</v>
      </c>
      <c r="AF133" s="1">
        <v>5.5370380346910069E-9</v>
      </c>
      <c r="AG133" s="1">
        <v>2.4169820857796741E-9</v>
      </c>
      <c r="AH133" s="1">
        <v>1.0816828235679893E-9</v>
      </c>
      <c r="AI133" s="1">
        <v>4.9560811416041963E-10</v>
      </c>
      <c r="AJ133" s="1">
        <v>2.3217784113196034E-10</v>
      </c>
      <c r="AK133" s="1">
        <v>1.1107701005248642E-10</v>
      </c>
      <c r="AL133" s="1">
        <v>5.42083827737781E-11</v>
      </c>
      <c r="AM133" s="1">
        <v>2.6958886771332951E-11</v>
      </c>
      <c r="AN133" s="1">
        <v>1.3649538931589977E-11</v>
      </c>
      <c r="AO133" s="1">
        <v>7.029610400425373E-12</v>
      </c>
      <c r="AP133" s="1">
        <v>3.6794596111420044E-12</v>
      </c>
      <c r="AQ133" s="1">
        <v>1.9558614116143954E-12</v>
      </c>
      <c r="AR133" s="1">
        <v>1.0550211870987338E-12</v>
      </c>
      <c r="AS133" s="1">
        <v>5.7702030998684423E-13</v>
      </c>
      <c r="AT133" s="1">
        <v>3.1961871385218067E-13</v>
      </c>
      <c r="AU133" s="1">
        <v>1.7891954500451487E-13</v>
      </c>
      <c r="AV133" s="1">
        <v>1.0070533310781245E-13</v>
      </c>
      <c r="AW133" s="1">
        <v>5.6205364824504692E-14</v>
      </c>
      <c r="AX133" s="1">
        <v>2.9827958488508703E-14</v>
      </c>
      <c r="AY133" s="1">
        <v>1.283507420888433E-14</v>
      </c>
      <c r="AZ133" s="1">
        <v>4.8937731382061829E-14</v>
      </c>
    </row>
    <row r="134" spans="2:52" s="15" customFormat="1" x14ac:dyDescent="0.2">
      <c r="B134" s="22">
        <v>1.6615619752882641E-21</v>
      </c>
      <c r="C134" s="22">
        <v>5.3169983209224503E-18</v>
      </c>
      <c r="D134" s="22">
        <v>1.4258417163940365E-15</v>
      </c>
      <c r="E134" s="22">
        <v>1.4033594066251342E-13</v>
      </c>
      <c r="F134" s="22">
        <v>7.2310626365142208E-12</v>
      </c>
      <c r="G134" s="22">
        <v>2.3186876010630597E-10</v>
      </c>
      <c r="H134" s="22">
        <v>5.1353076309903884E-9</v>
      </c>
      <c r="I134" s="22">
        <v>8.4281827913171868E-8</v>
      </c>
      <c r="J134" s="22">
        <v>1.07856457245204E-6</v>
      </c>
      <c r="K134" s="22">
        <v>1.1185115273103395E-5</v>
      </c>
      <c r="L134" s="22">
        <v>9.6874213995274606E-5</v>
      </c>
      <c r="M134" s="22">
        <v>7.1785036837197314E-4</v>
      </c>
      <c r="N134" s="22">
        <v>4.6415935296278705E-3</v>
      </c>
      <c r="O134" s="22">
        <v>2.6618211647713649E-2</v>
      </c>
      <c r="P134" s="22">
        <v>0.13724161993479142</v>
      </c>
      <c r="Q134" s="22">
        <v>0.64355695396713886</v>
      </c>
      <c r="R134" s="22">
        <v>0.14009172409555876</v>
      </c>
      <c r="S134" s="22">
        <v>3.2994970321077406E-2</v>
      </c>
      <c r="T134" s="22">
        <v>8.3462867141466269E-3</v>
      </c>
      <c r="U134" s="22">
        <v>2.2530171411378388E-3</v>
      </c>
      <c r="V134" s="22">
        <v>6.4539257705296667E-4</v>
      </c>
      <c r="W134" s="22">
        <v>1.9522133565181885E-4</v>
      </c>
      <c r="X134" s="22">
        <v>6.2083865662686751E-5</v>
      </c>
      <c r="Y134" s="22">
        <v>2.0677365274692365E-5</v>
      </c>
      <c r="Z134" s="22">
        <v>7.1874694764070985E-6</v>
      </c>
      <c r="AA134" s="1">
        <v>2.5994305810201144E-6</v>
      </c>
      <c r="AB134" s="1">
        <v>9.7542896016505097E-7</v>
      </c>
      <c r="AC134" s="1">
        <v>3.788273257380161E-7</v>
      </c>
      <c r="AD134" s="1">
        <v>1.5192614715931039E-7</v>
      </c>
      <c r="AE134" s="1">
        <v>6.2788241702442418E-8</v>
      </c>
      <c r="AF134" s="1">
        <v>2.6691225285990103E-8</v>
      </c>
      <c r="AG134" s="1">
        <v>1.1651033090175914E-8</v>
      </c>
      <c r="AH134" s="1">
        <v>5.2142390481972282E-9</v>
      </c>
      <c r="AI134" s="1">
        <v>2.3890729566495867E-9</v>
      </c>
      <c r="AJ134" s="1">
        <v>1.1192104921875981E-9</v>
      </c>
      <c r="AK134" s="1">
        <v>5.3544539171122946E-10</v>
      </c>
      <c r="AL134" s="1">
        <v>2.6131085752688703E-10</v>
      </c>
      <c r="AM134" s="1">
        <v>1.2995498961084911E-10</v>
      </c>
      <c r="AN134" s="1">
        <v>6.5797438339845477E-11</v>
      </c>
      <c r="AO134" s="1">
        <v>3.3886152432933996E-11</v>
      </c>
      <c r="AP134" s="1">
        <v>1.773679082505586E-11</v>
      </c>
      <c r="AQ134" s="1">
        <v>9.4282064234524802E-12</v>
      </c>
      <c r="AR134" s="1">
        <v>5.0857169500943242E-12</v>
      </c>
      <c r="AS134" s="1">
        <v>2.7815194679821582E-12</v>
      </c>
      <c r="AT134" s="1">
        <v>1.540718168016527E-12</v>
      </c>
      <c r="AU134" s="1">
        <v>8.6247951591845111E-13</v>
      </c>
      <c r="AV134" s="1">
        <v>4.854488476764275E-13</v>
      </c>
      <c r="AW134" s="1">
        <v>2.7093728549687234E-13</v>
      </c>
      <c r="AX134" s="1">
        <v>1.4378531533464088E-13</v>
      </c>
      <c r="AY134" s="1">
        <v>6.1871320934650335E-14</v>
      </c>
      <c r="AZ134" s="1">
        <v>2.3590374585114667E-13</v>
      </c>
    </row>
    <row r="135" spans="2:52" s="15" customFormat="1" x14ac:dyDescent="0.2">
      <c r="B135" s="22">
        <v>3.7115666361770375E-22</v>
      </c>
      <c r="C135" s="22">
        <v>1.1877013235766532E-18</v>
      </c>
      <c r="D135" s="22">
        <v>3.1850190493913904E-16</v>
      </c>
      <c r="E135" s="22">
        <v>3.1347984785770044E-14</v>
      </c>
      <c r="F135" s="22">
        <v>1.6152614964083018E-12</v>
      </c>
      <c r="G135" s="22">
        <v>5.1794417950193995E-11</v>
      </c>
      <c r="H135" s="22">
        <v>1.1471155908212539E-9</v>
      </c>
      <c r="I135" s="22">
        <v>1.8826719988237128E-8</v>
      </c>
      <c r="J135" s="22">
        <v>2.4092777408324084E-7</v>
      </c>
      <c r="K135" s="22">
        <v>2.498510515218216E-6</v>
      </c>
      <c r="L135" s="22">
        <v>2.1639584073194541E-5</v>
      </c>
      <c r="M135" s="22">
        <v>1.603520974024802E-4</v>
      </c>
      <c r="N135" s="22">
        <v>1.0368306412568938E-3</v>
      </c>
      <c r="O135" s="22">
        <v>5.9459272501233675E-3</v>
      </c>
      <c r="P135" s="22">
        <v>3.0656781102401477E-2</v>
      </c>
      <c r="Q135" s="22">
        <v>0.1437565708862443</v>
      </c>
      <c r="R135" s="22">
        <v>0.61913070614723131</v>
      </c>
      <c r="S135" s="22">
        <v>0.14582017179159845</v>
      </c>
      <c r="T135" s="22">
        <v>3.6886135996956268E-2</v>
      </c>
      <c r="U135" s="22">
        <v>9.9571341744855314E-3</v>
      </c>
      <c r="V135" s="22">
        <v>2.8522909868710245E-3</v>
      </c>
      <c r="W135" s="22">
        <v>8.6277418725085161E-4</v>
      </c>
      <c r="X135" s="22">
        <v>2.7437757537961279E-4</v>
      </c>
      <c r="Y135" s="22">
        <v>9.1382926767694597E-5</v>
      </c>
      <c r="Z135" s="22">
        <v>3.1764781831824653E-5</v>
      </c>
      <c r="AA135" s="1">
        <v>1.1488096827974669E-5</v>
      </c>
      <c r="AB135" s="1">
        <v>4.3108757837222815E-6</v>
      </c>
      <c r="AC135" s="1">
        <v>1.6742147418505551E-6</v>
      </c>
      <c r="AD135" s="1">
        <v>6.7143254450070694E-7</v>
      </c>
      <c r="AE135" s="1">
        <v>2.774905418143013E-7</v>
      </c>
      <c r="AF135" s="1">
        <v>1.1796098067847093E-7</v>
      </c>
      <c r="AG135" s="1">
        <v>5.1491352476645385E-8</v>
      </c>
      <c r="AH135" s="1">
        <v>2.3044155711359125E-8</v>
      </c>
      <c r="AI135" s="1">
        <v>1.0558428317141431E-8</v>
      </c>
      <c r="AJ135" s="1">
        <v>4.9463134730416643E-9</v>
      </c>
      <c r="AK135" s="1">
        <v>2.3663830651932424E-9</v>
      </c>
      <c r="AL135" s="1">
        <v>1.1548546267744098E-9</v>
      </c>
      <c r="AM135" s="1">
        <v>5.7433174589413058E-10</v>
      </c>
      <c r="AN135" s="1">
        <v>2.907895860731926E-10</v>
      </c>
      <c r="AO135" s="1">
        <v>1.4975872143670947E-10</v>
      </c>
      <c r="AP135" s="1">
        <v>7.8387155980834303E-11</v>
      </c>
      <c r="AQ135" s="1">
        <v>4.1667644097750473E-11</v>
      </c>
      <c r="AR135" s="1">
        <v>2.2476156581733898E-11</v>
      </c>
      <c r="AS135" s="1">
        <v>1.2292832595873948E-11</v>
      </c>
      <c r="AT135" s="1">
        <v>6.8091525998157227E-12</v>
      </c>
      <c r="AU135" s="1">
        <v>3.8116994788633734E-12</v>
      </c>
      <c r="AV135" s="1">
        <v>2.1454250049435617E-12</v>
      </c>
      <c r="AW135" s="1">
        <v>1.1973983043914192E-12</v>
      </c>
      <c r="AX135" s="1">
        <v>6.3545440954110397E-13</v>
      </c>
      <c r="AY135" s="1">
        <v>2.7343824103701242E-13</v>
      </c>
      <c r="AZ135" s="1">
        <v>1.0425687434039347E-12</v>
      </c>
    </row>
    <row r="136" spans="2:52" s="15" customFormat="1" x14ac:dyDescent="0.2">
      <c r="B136" s="22">
        <v>8.956270371754934E-23</v>
      </c>
      <c r="C136" s="22">
        <v>2.8660065189615812E-19</v>
      </c>
      <c r="D136" s="22">
        <v>7.6856741483486373E-17</v>
      </c>
      <c r="E136" s="22">
        <v>7.5644883918938399E-15</v>
      </c>
      <c r="F136" s="22">
        <v>3.8977391762038037E-13</v>
      </c>
      <c r="G136" s="22">
        <v>1.2498355987686693E-11</v>
      </c>
      <c r="H136" s="22">
        <v>2.7680703018800658E-10</v>
      </c>
      <c r="I136" s="22">
        <v>4.5430194566478944E-9</v>
      </c>
      <c r="J136" s="22">
        <v>5.8137560126824853E-8</v>
      </c>
      <c r="K136" s="22">
        <v>6.0290809500367783E-7</v>
      </c>
      <c r="L136" s="22">
        <v>5.2217832707829018E-6</v>
      </c>
      <c r="M136" s="22">
        <v>3.8694084730049595E-5</v>
      </c>
      <c r="N136" s="22">
        <v>2.5019449906419104E-4</v>
      </c>
      <c r="O136" s="22">
        <v>1.4347939100385336E-3</v>
      </c>
      <c r="P136" s="22">
        <v>7.3976960996617325E-3</v>
      </c>
      <c r="Q136" s="22">
        <v>3.4689467892720441E-2</v>
      </c>
      <c r="R136" s="22">
        <v>0.14940057779540999</v>
      </c>
      <c r="S136" s="22">
        <v>0.5959589784103495</v>
      </c>
      <c r="T136" s="22">
        <v>0.15075159805509034</v>
      </c>
      <c r="U136" s="22">
        <v>4.0694256752089979E-2</v>
      </c>
      <c r="V136" s="22">
        <v>1.1657155534654509E-2</v>
      </c>
      <c r="W136" s="22">
        <v>3.526110392790402E-3</v>
      </c>
      <c r="X136" s="22">
        <v>1.12136597778555E-3</v>
      </c>
      <c r="Y136" s="22">
        <v>3.7347696831996764E-4</v>
      </c>
      <c r="Z136" s="22">
        <v>1.2982090678768867E-4</v>
      </c>
      <c r="AA136" s="1">
        <v>4.6951216456277847E-5</v>
      </c>
      <c r="AB136" s="1">
        <v>1.7618310941182602E-5</v>
      </c>
      <c r="AC136" s="1">
        <v>6.842423067631379E-6</v>
      </c>
      <c r="AD136" s="1">
        <v>2.7441076798618722E-6</v>
      </c>
      <c r="AE136" s="1">
        <v>1.1340884994603571E-6</v>
      </c>
      <c r="AF136" s="1">
        <v>4.8210000491492287E-7</v>
      </c>
      <c r="AG136" s="1">
        <v>2.1044231015449157E-7</v>
      </c>
      <c r="AH136" s="1">
        <v>9.41801900747854E-8</v>
      </c>
      <c r="AI136" s="1">
        <v>4.3151712662191871E-8</v>
      </c>
      <c r="AJ136" s="1">
        <v>2.0215309638395982E-8</v>
      </c>
      <c r="AK136" s="1">
        <v>9.6712767289536937E-9</v>
      </c>
      <c r="AL136" s="1">
        <v>4.7198269973825149E-9</v>
      </c>
      <c r="AM136" s="1">
        <v>2.3472620855286847E-9</v>
      </c>
      <c r="AN136" s="1">
        <v>1.1884409579233056E-9</v>
      </c>
      <c r="AO136" s="1">
        <v>6.120556130122712E-10</v>
      </c>
      <c r="AP136" s="1">
        <v>3.2036397176650616E-10</v>
      </c>
      <c r="AQ136" s="1">
        <v>1.7029335725067448E-10</v>
      </c>
      <c r="AR136" s="1">
        <v>9.1858809041760715E-11</v>
      </c>
      <c r="AS136" s="1">
        <v>5.0240127038641834E-11</v>
      </c>
      <c r="AT136" s="1">
        <v>2.7828630136479903E-11</v>
      </c>
      <c r="AU136" s="1">
        <v>1.5578204987148141E-11</v>
      </c>
      <c r="AV136" s="1">
        <v>8.7682333554612568E-12</v>
      </c>
      <c r="AW136" s="1">
        <v>4.8937006551826703E-12</v>
      </c>
      <c r="AX136" s="1">
        <v>2.5970670318349436E-12</v>
      </c>
      <c r="AY136" s="1">
        <v>1.117526970271542E-12</v>
      </c>
      <c r="AZ136" s="1">
        <v>4.2609208013384679E-12</v>
      </c>
    </row>
    <row r="137" spans="2:52" s="15" customFormat="1" x14ac:dyDescent="0.2">
      <c r="B137" s="22">
        <v>2.3179538313309752E-23</v>
      </c>
      <c r="C137" s="22">
        <v>7.4174522602591252E-20</v>
      </c>
      <c r="D137" s="22">
        <v>1.9891134477928214E-17</v>
      </c>
      <c r="E137" s="22">
        <v>1.9577496125335585E-15</v>
      </c>
      <c r="F137" s="22">
        <v>1.0087658234953583E-13</v>
      </c>
      <c r="G137" s="22">
        <v>3.2346736916697348E-12</v>
      </c>
      <c r="H137" s="22">
        <v>7.1639855601848637E-11</v>
      </c>
      <c r="I137" s="22">
        <v>1.1757694797331978E-9</v>
      </c>
      <c r="J137" s="22">
        <v>1.5046461824689541E-8</v>
      </c>
      <c r="K137" s="22">
        <v>1.5603739846460207E-7</v>
      </c>
      <c r="L137" s="22">
        <v>1.3514389401488702E-6</v>
      </c>
      <c r="M137" s="22">
        <v>1.0014336127314717E-5</v>
      </c>
      <c r="N137" s="22">
        <v>6.4752321402970298E-5</v>
      </c>
      <c r="O137" s="22">
        <v>3.7133604758433605E-4</v>
      </c>
      <c r="P137" s="22">
        <v>1.914582443972508E-3</v>
      </c>
      <c r="Q137" s="22">
        <v>8.9779095171518969E-3</v>
      </c>
      <c r="R137" s="22">
        <v>3.866605487883186E-2</v>
      </c>
      <c r="S137" s="22">
        <v>0.15423891195590206</v>
      </c>
      <c r="T137" s="22">
        <v>0.57401919079453545</v>
      </c>
      <c r="U137" s="22">
        <v>0.15495215063845214</v>
      </c>
      <c r="V137" s="22">
        <v>4.4387131369069265E-2</v>
      </c>
      <c r="W137" s="22">
        <v>1.3426425062386945E-2</v>
      </c>
      <c r="X137" s="22">
        <v>4.2698425718695025E-3</v>
      </c>
      <c r="Y137" s="22">
        <v>1.4220940268711482E-3</v>
      </c>
      <c r="Z137" s="22">
        <v>4.9432107403100001E-4</v>
      </c>
      <c r="AA137" s="1">
        <v>1.7877687284749582E-4</v>
      </c>
      <c r="AB137" s="1">
        <v>6.7085514980268294E-5</v>
      </c>
      <c r="AC137" s="1">
        <v>2.6054000110302665E-5</v>
      </c>
      <c r="AD137" s="1">
        <v>1.0448781241255931E-5</v>
      </c>
      <c r="AE137" s="1">
        <v>4.3182863143628316E-6</v>
      </c>
      <c r="AF137" s="1">
        <v>1.8356996428135792E-6</v>
      </c>
      <c r="AG137" s="1">
        <v>8.0130443817696558E-7</v>
      </c>
      <c r="AH137" s="1">
        <v>3.586113659362193E-7</v>
      </c>
      <c r="AI137" s="1">
        <v>1.6430944350386137E-7</v>
      </c>
      <c r="AJ137" s="1">
        <v>7.6974147073734511E-8</v>
      </c>
      <c r="AK137" s="1">
        <v>3.6825469935484814E-8</v>
      </c>
      <c r="AL137" s="1">
        <v>1.7971758234613491E-8</v>
      </c>
      <c r="AM137" s="1">
        <v>8.9377061357949119E-9</v>
      </c>
      <c r="AN137" s="1">
        <v>4.5252450108351159E-9</v>
      </c>
      <c r="AO137" s="1">
        <v>2.3305336211040853E-9</v>
      </c>
      <c r="AP137" s="1">
        <v>1.2198548486758397E-9</v>
      </c>
      <c r="AQ137" s="1">
        <v>6.4842864943292166E-10</v>
      </c>
      <c r="AR137" s="1">
        <v>3.4977220748420967E-10</v>
      </c>
      <c r="AS137" s="1">
        <v>1.9130010852420321E-10</v>
      </c>
      <c r="AT137" s="1">
        <v>1.0596350524937752E-10</v>
      </c>
      <c r="AU137" s="1">
        <v>5.931737199552842E-11</v>
      </c>
      <c r="AV137" s="1">
        <v>3.338693771962687E-11</v>
      </c>
      <c r="AW137" s="1">
        <v>1.8633819649806305E-11</v>
      </c>
      <c r="AX137" s="1">
        <v>9.8888922922613259E-12</v>
      </c>
      <c r="AY137" s="1">
        <v>4.2552247236007251E-12</v>
      </c>
      <c r="AZ137" s="1">
        <v>1.6224374016453903E-11</v>
      </c>
    </row>
    <row r="138" spans="2:52" s="15" customFormat="1" x14ac:dyDescent="0.2">
      <c r="B138" s="22">
        <v>6.3939702656352779E-24</v>
      </c>
      <c r="C138" s="22">
        <v>2.0460704850032903E-20</v>
      </c>
      <c r="D138" s="22">
        <v>5.4868790172838214E-18</v>
      </c>
      <c r="E138" s="22">
        <v>5.400363303574002E-16</v>
      </c>
      <c r="F138" s="22">
        <v>2.782634663915971E-14</v>
      </c>
      <c r="G138" s="22">
        <v>8.9227003247485245E-13</v>
      </c>
      <c r="H138" s="22">
        <v>1.9761528480901797E-11</v>
      </c>
      <c r="I138" s="22">
        <v>3.2433066573801284E-10</v>
      </c>
      <c r="J138" s="22">
        <v>4.1504980905870394E-9</v>
      </c>
      <c r="K138" s="22">
        <v>4.3042206994125865E-8</v>
      </c>
      <c r="L138" s="22">
        <v>3.7278828777067623E-7</v>
      </c>
      <c r="M138" s="22">
        <v>2.7624090938584593E-6</v>
      </c>
      <c r="N138" s="22">
        <v>1.78616334840335E-5</v>
      </c>
      <c r="O138" s="22">
        <v>1.0243136056982788E-4</v>
      </c>
      <c r="P138" s="22">
        <v>5.2812886315506435E-4</v>
      </c>
      <c r="Q138" s="22">
        <v>2.4765155252152453E-3</v>
      </c>
      <c r="R138" s="22">
        <v>1.0665855455917897E-2</v>
      </c>
      <c r="S138" s="22">
        <v>4.2546102666924004E-2</v>
      </c>
      <c r="T138" s="22">
        <v>0.15834058419260269</v>
      </c>
      <c r="U138" s="22">
        <v>0.55327231552275646</v>
      </c>
      <c r="V138" s="22">
        <v>0.15848873894805757</v>
      </c>
      <c r="W138" s="22">
        <v>4.7940407750727825E-2</v>
      </c>
      <c r="X138" s="22">
        <v>1.5245904473878556E-2</v>
      </c>
      <c r="Y138" s="22">
        <v>5.0777304599916393E-3</v>
      </c>
      <c r="Z138" s="22">
        <v>1.765023357945949E-3</v>
      </c>
      <c r="AA138" s="1">
        <v>6.3834089423542252E-4</v>
      </c>
      <c r="AB138" s="1">
        <v>2.3953561185332108E-4</v>
      </c>
      <c r="AC138" s="1">
        <v>9.3028440781641958E-5</v>
      </c>
      <c r="AD138" s="1">
        <v>3.7308429524345191E-5</v>
      </c>
      <c r="AE138" s="1">
        <v>1.5418877752864601E-5</v>
      </c>
      <c r="AF138" s="1">
        <v>6.5545511165801761E-6</v>
      </c>
      <c r="AG138" s="1">
        <v>2.861138487733996E-6</v>
      </c>
      <c r="AH138" s="1">
        <v>1.2804581284402922E-6</v>
      </c>
      <c r="AI138" s="1">
        <v>5.8668347547980204E-7</v>
      </c>
      <c r="AJ138" s="1">
        <v>2.7484397222884347E-7</v>
      </c>
      <c r="AK138" s="1">
        <v>1.3148906251039347E-7</v>
      </c>
      <c r="AL138" s="1">
        <v>6.4169979258179469E-8</v>
      </c>
      <c r="AM138" s="1">
        <v>3.1912983129555073E-8</v>
      </c>
      <c r="AN138" s="1">
        <v>1.6157844696808244E-8</v>
      </c>
      <c r="AO138" s="1">
        <v>8.3214058510260911E-9</v>
      </c>
      <c r="AP138" s="1">
        <v>4.3556150330775787E-9</v>
      </c>
      <c r="AQ138" s="1">
        <v>2.315280032221888E-9</v>
      </c>
      <c r="AR138" s="1">
        <v>1.2488970197763228E-9</v>
      </c>
      <c r="AS138" s="1">
        <v>6.830563729954165E-10</v>
      </c>
      <c r="AT138" s="1">
        <v>3.783534056718176E-10</v>
      </c>
      <c r="AU138" s="1">
        <v>2.1179867216729427E-10</v>
      </c>
      <c r="AV138" s="1">
        <v>1.1921143568670216E-10</v>
      </c>
      <c r="AW138" s="1">
        <v>6.653393645846824E-11</v>
      </c>
      <c r="AX138" s="1">
        <v>3.5309289441619698E-11</v>
      </c>
      <c r="AY138" s="1">
        <v>1.519370996914724E-11</v>
      </c>
      <c r="AZ138" s="1">
        <v>5.7930767291739265E-11</v>
      </c>
    </row>
    <row r="139" spans="2:52" s="15" customFormat="1" x14ac:dyDescent="0.2">
      <c r="B139" s="22">
        <v>1.8695733797920084E-24</v>
      </c>
      <c r="C139" s="22">
        <v>5.9826348153344318E-21</v>
      </c>
      <c r="D139" s="22">
        <v>1.6043432363121827E-18</v>
      </c>
      <c r="E139" s="22">
        <v>1.5790463599480704E-16</v>
      </c>
      <c r="F139" s="22">
        <v>8.1363213734415132E-15</v>
      </c>
      <c r="G139" s="22">
        <v>2.6089647449046953E-13</v>
      </c>
      <c r="H139" s="22">
        <v>5.7781982175396996E-12</v>
      </c>
      <c r="I139" s="22">
        <v>9.4833093324334293E-11</v>
      </c>
      <c r="J139" s="22">
        <v>1.2135903704062848E-9</v>
      </c>
      <c r="K139" s="22">
        <v>1.2585382956221788E-8</v>
      </c>
      <c r="L139" s="22">
        <v>1.0900192371242636E-7</v>
      </c>
      <c r="M139" s="22">
        <v>8.0771825507699853E-7</v>
      </c>
      <c r="N139" s="22">
        <v>5.2226759109009983E-6</v>
      </c>
      <c r="O139" s="22">
        <v>2.9950552946182663E-5</v>
      </c>
      <c r="P139" s="22">
        <v>1.5442293639700299E-4</v>
      </c>
      <c r="Q139" s="22">
        <v>7.2412402751829605E-4</v>
      </c>
      <c r="R139" s="22">
        <v>3.1186568915193796E-3</v>
      </c>
      <c r="S139" s="22">
        <v>1.2440323876306896E-2</v>
      </c>
      <c r="T139" s="22">
        <v>4.6298204221910479E-2</v>
      </c>
      <c r="U139" s="22">
        <v>0.16177478935686893</v>
      </c>
      <c r="V139" s="22">
        <v>0.53366872515190633</v>
      </c>
      <c r="W139" s="22">
        <v>0.16142658751280983</v>
      </c>
      <c r="X139" s="22">
        <v>5.1336533171792466E-2</v>
      </c>
      <c r="Y139" s="22">
        <v>1.7097908401787761E-2</v>
      </c>
      <c r="Z139" s="22">
        <v>5.9432472713853704E-3</v>
      </c>
      <c r="AA139" s="1">
        <v>2.1494433831705422E-3</v>
      </c>
      <c r="AB139" s="1">
        <v>8.0657253918929258E-4</v>
      </c>
      <c r="AC139" s="1">
        <v>3.1324856090298857E-4</v>
      </c>
      <c r="AD139" s="1">
        <v>1.2562622526892823E-4</v>
      </c>
      <c r="AE139" s="1">
        <v>5.191897473763824E-5</v>
      </c>
      <c r="AF139" s="1">
        <v>2.2070709638712898E-5</v>
      </c>
      <c r="AG139" s="1">
        <v>9.6341237829677892E-6</v>
      </c>
      <c r="AH139" s="1">
        <v>4.3116025879862781E-6</v>
      </c>
      <c r="AI139" s="1">
        <v>1.9755007485396673E-6</v>
      </c>
      <c r="AJ139" s="1">
        <v>9.2546406292704288E-7</v>
      </c>
      <c r="AK139" s="1">
        <v>4.4275448733514589E-7</v>
      </c>
      <c r="AL139" s="1">
        <v>2.1607535810452996E-7</v>
      </c>
      <c r="AM139" s="1">
        <v>1.074584928593924E-7</v>
      </c>
      <c r="AN139" s="1">
        <v>5.4407249611432581E-8</v>
      </c>
      <c r="AO139" s="1">
        <v>2.8020123583948393E-8</v>
      </c>
      <c r="AP139" s="1">
        <v>1.4666376534908242E-8</v>
      </c>
      <c r="AQ139" s="1">
        <v>7.7960904438167528E-9</v>
      </c>
      <c r="AR139" s="1">
        <v>4.2053289389126903E-9</v>
      </c>
      <c r="AS139" s="1">
        <v>2.3000108790241374E-9</v>
      </c>
      <c r="AT139" s="1">
        <v>1.2740045822936092E-9</v>
      </c>
      <c r="AU139" s="1">
        <v>7.1317576324101208E-10</v>
      </c>
      <c r="AV139" s="1">
        <v>4.014128406138758E-10</v>
      </c>
      <c r="AW139" s="1">
        <v>2.2403535598050047E-10</v>
      </c>
      <c r="AX139" s="1">
        <v>1.1889465212102248E-10</v>
      </c>
      <c r="AY139" s="1">
        <v>5.116078204281777E-11</v>
      </c>
      <c r="AZ139" s="1">
        <v>1.9506646928263131E-10</v>
      </c>
    </row>
    <row r="140" spans="2:52" s="15" customFormat="1" x14ac:dyDescent="0.2">
      <c r="B140" s="1">
        <v>5.7666442861589565E-25</v>
      </c>
      <c r="C140" s="1">
        <v>1.8453261715708675E-21</v>
      </c>
      <c r="D140" s="1">
        <v>4.9485496834292075E-19</v>
      </c>
      <c r="E140" s="1">
        <v>4.8705222098250389E-17</v>
      </c>
      <c r="F140" s="1">
        <v>2.5096244772018148E-15</v>
      </c>
      <c r="G140" s="1">
        <v>8.0472752776724836E-14</v>
      </c>
      <c r="H140" s="1">
        <v>1.7822683022570714E-12</v>
      </c>
      <c r="I140" s="1">
        <v>2.9250989646546582E-11</v>
      </c>
      <c r="J140" s="1">
        <v>3.7432839228912779E-10</v>
      </c>
      <c r="K140" s="1">
        <v>3.8819244806370083E-9</v>
      </c>
      <c r="L140" s="1">
        <v>3.36213238458994E-8</v>
      </c>
      <c r="M140" s="1">
        <v>2.4913832807055921E-7</v>
      </c>
      <c r="N140" s="1">
        <v>1.6109190752067639E-6</v>
      </c>
      <c r="O140" s="1">
        <v>9.2381602605841615E-6</v>
      </c>
      <c r="P140" s="1">
        <v>4.7631302063400915E-5</v>
      </c>
      <c r="Q140" s="1">
        <v>2.2335393362433043E-4</v>
      </c>
      <c r="R140" s="1">
        <v>9.6194057630255938E-4</v>
      </c>
      <c r="S140" s="1">
        <v>3.8371814326567388E-3</v>
      </c>
      <c r="T140" s="1">
        <v>1.4280545375833434E-2</v>
      </c>
      <c r="U140" s="1">
        <v>4.9898959557989779E-2</v>
      </c>
      <c r="V140" s="1">
        <v>0.16460855390128343</v>
      </c>
      <c r="W140" s="1">
        <v>0.5151525288033344</v>
      </c>
      <c r="X140" s="1">
        <v>0.16382768966943906</v>
      </c>
      <c r="Y140" s="1">
        <v>5.4563692921587609E-2</v>
      </c>
      <c r="Z140" s="1">
        <v>1.8966385329273808E-2</v>
      </c>
      <c r="AA140" s="1">
        <v>6.8594102831544494E-3</v>
      </c>
      <c r="AB140" s="1">
        <v>2.5739742729413671E-3</v>
      </c>
      <c r="AC140" s="1">
        <v>9.9965433686922543E-4</v>
      </c>
      <c r="AD140" s="1">
        <v>4.0090463800562104E-4</v>
      </c>
      <c r="AE140" s="1">
        <v>1.6568640606894056E-4</v>
      </c>
      <c r="AF140" s="1">
        <v>7.043314275577337E-5</v>
      </c>
      <c r="AG140" s="1">
        <v>3.0744893428453143E-5</v>
      </c>
      <c r="AH140" s="1">
        <v>1.3759399926730636E-5</v>
      </c>
      <c r="AI140" s="1">
        <v>6.3043159243041819E-6</v>
      </c>
      <c r="AJ140" s="1">
        <v>2.9533867975474732E-6</v>
      </c>
      <c r="AK140" s="1">
        <v>1.4129400695633538E-6</v>
      </c>
      <c r="AL140" s="1">
        <v>6.8955039473160923E-7</v>
      </c>
      <c r="AM140" s="1">
        <v>3.4292686967392047E-7</v>
      </c>
      <c r="AN140" s="1">
        <v>1.7362711220256449E-7</v>
      </c>
      <c r="AO140" s="1">
        <v>8.9419207480350913E-8</v>
      </c>
      <c r="AP140" s="1">
        <v>4.6804067884668102E-8</v>
      </c>
      <c r="AQ140" s="1">
        <v>2.4879270315944772E-8</v>
      </c>
      <c r="AR140" s="1">
        <v>1.3420254189284676E-8</v>
      </c>
      <c r="AS140" s="1">
        <v>7.3399087403147984E-9</v>
      </c>
      <c r="AT140" s="1">
        <v>4.0656665818665593E-9</v>
      </c>
      <c r="AU140" s="1">
        <v>2.2759218513846196E-9</v>
      </c>
      <c r="AV140" s="1">
        <v>1.2810085570318982E-9</v>
      </c>
      <c r="AW140" s="1">
        <v>7.1495273457076355E-10</v>
      </c>
      <c r="AX140" s="1">
        <v>3.7942250805789426E-10</v>
      </c>
      <c r="AY140" s="1">
        <v>1.6326682395378257E-10</v>
      </c>
      <c r="AZ140" s="1">
        <v>6.2250578720628218E-10</v>
      </c>
    </row>
    <row r="141" spans="2:52" s="15" customFormat="1" x14ac:dyDescent="0.2">
      <c r="B141" s="1">
        <v>1.8683463462518285E-25</v>
      </c>
      <c r="C141" s="1">
        <v>5.9787083080058545E-22</v>
      </c>
      <c r="D141" s="1">
        <v>1.6032902779302365E-19</v>
      </c>
      <c r="E141" s="1">
        <v>1.5780100043462536E-17</v>
      </c>
      <c r="F141" s="1">
        <v>8.1309813641501913E-16</v>
      </c>
      <c r="G141" s="1">
        <v>2.6072524359460056E-14</v>
      </c>
      <c r="H141" s="1">
        <v>5.7744058855075015E-13</v>
      </c>
      <c r="I141" s="1">
        <v>9.4770852715067089E-12</v>
      </c>
      <c r="J141" s="1">
        <v>1.2127938699294255E-10</v>
      </c>
      <c r="K141" s="1">
        <v>1.2577122950398955E-9</v>
      </c>
      <c r="L141" s="1">
        <v>1.0893038385323443E-8</v>
      </c>
      <c r="M141" s="1">
        <v>8.0718813553170119E-8</v>
      </c>
      <c r="N141" s="1">
        <v>5.2192481778248677E-7</v>
      </c>
      <c r="O141" s="1">
        <v>2.9930895877137322E-6</v>
      </c>
      <c r="P141" s="1">
        <v>1.5432158593684972E-5</v>
      </c>
      <c r="Q141" s="1">
        <v>7.2364877231910512E-5</v>
      </c>
      <c r="R141" s="1">
        <v>3.1166100627361018E-4</v>
      </c>
      <c r="S141" s="1">
        <v>1.2432159075282273E-3</v>
      </c>
      <c r="T141" s="1">
        <v>4.626781790487984E-3</v>
      </c>
      <c r="U141" s="1">
        <v>1.6166861374769411E-2</v>
      </c>
      <c r="V141" s="1">
        <v>5.3331846908162603E-2</v>
      </c>
      <c r="W141" s="1">
        <v>0.16690527405379288</v>
      </c>
      <c r="X141" s="1">
        <v>0.49766472391630184</v>
      </c>
      <c r="Y141" s="1">
        <v>0.16574991216970844</v>
      </c>
      <c r="Z141" s="1">
        <v>5.7614808202621014E-2</v>
      </c>
      <c r="AA141" s="1">
        <v>2.0837054662020918E-2</v>
      </c>
      <c r="AB141" s="1">
        <v>7.8190457211213833E-3</v>
      </c>
      <c r="AC141" s="1">
        <v>3.036682630229149E-3</v>
      </c>
      <c r="AD141" s="1">
        <v>1.2178411133820116E-3</v>
      </c>
      <c r="AE141" s="1">
        <v>5.0331100743322785E-4</v>
      </c>
      <c r="AF141" s="1">
        <v>2.1395705826551836E-4</v>
      </c>
      <c r="AG141" s="1">
        <v>9.3394766969978759E-5</v>
      </c>
      <c r="AH141" s="1">
        <v>4.1797378572614724E-5</v>
      </c>
      <c r="AI141" s="1">
        <v>1.9150826397420982E-5</v>
      </c>
      <c r="AJ141" s="1">
        <v>8.9715995396454322E-6</v>
      </c>
      <c r="AK141" s="1">
        <v>4.292134199342851E-6</v>
      </c>
      <c r="AL141" s="1">
        <v>2.0946697564550858E-6</v>
      </c>
      <c r="AM141" s="1">
        <v>1.0417201528270664E-6</v>
      </c>
      <c r="AN141" s="1">
        <v>5.274327498179501E-7</v>
      </c>
      <c r="AO141" s="1">
        <v>2.7163164721003002E-7</v>
      </c>
      <c r="AP141" s="1">
        <v>1.421782457469905E-7</v>
      </c>
      <c r="AQ141" s="1">
        <v>7.5576572055715139E-8</v>
      </c>
      <c r="AR141" s="1">
        <v>4.0767144488657427E-8</v>
      </c>
      <c r="AS141" s="1">
        <v>2.2296680519575332E-8</v>
      </c>
      <c r="AT141" s="1">
        <v>1.2350408170211755E-8</v>
      </c>
      <c r="AU141" s="1">
        <v>6.913642145047553E-9</v>
      </c>
      <c r="AV141" s="1">
        <v>3.8913615345246702E-9</v>
      </c>
      <c r="AW141" s="1">
        <v>2.1718352738861665E-9</v>
      </c>
      <c r="AX141" s="1">
        <v>1.1525841455816295E-9</v>
      </c>
      <c r="AY141" s="1">
        <v>4.9596096381262532E-10</v>
      </c>
      <c r="AZ141" s="1">
        <v>1.8910061623368269E-9</v>
      </c>
    </row>
    <row r="142" spans="2:52" s="15" customFormat="1" x14ac:dyDescent="0.2">
      <c r="B142" s="1">
        <v>6.3342779876875033E-26</v>
      </c>
      <c r="C142" s="1">
        <v>2.0269689560600025E-22</v>
      </c>
      <c r="D142" s="1">
        <v>5.4356550838342384E-20</v>
      </c>
      <c r="E142" s="1">
        <v>5.3499470560871411E-18</v>
      </c>
      <c r="F142" s="1">
        <v>2.7566567824299864E-16</v>
      </c>
      <c r="G142" s="1">
        <v>8.8394005460973528E-15</v>
      </c>
      <c r="H142" s="1">
        <v>1.9577040502111103E-13</v>
      </c>
      <c r="I142" s="1">
        <v>3.2130280738992643E-12</v>
      </c>
      <c r="J142" s="1">
        <v>4.1117502273108234E-11</v>
      </c>
      <c r="K142" s="1">
        <v>4.2640377258196729E-10</v>
      </c>
      <c r="L142" s="1">
        <v>3.6930804292048051E-9</v>
      </c>
      <c r="M142" s="1">
        <v>2.7366200325107245E-8</v>
      </c>
      <c r="N142" s="1">
        <v>1.7694882381629955E-7</v>
      </c>
      <c r="O142" s="1">
        <v>1.0147509067933988E-6</v>
      </c>
      <c r="P142" s="1">
        <v>5.2319840311505951E-6</v>
      </c>
      <c r="Q142" s="1">
        <v>2.4533954844687879E-5</v>
      </c>
      <c r="R142" s="1">
        <v>1.0566282079443622E-4</v>
      </c>
      <c r="S142" s="1">
        <v>4.2148904419125112E-4</v>
      </c>
      <c r="T142" s="1">
        <v>1.5686236177845782E-3</v>
      </c>
      <c r="U142" s="1">
        <v>5.4810712340159617E-3</v>
      </c>
      <c r="V142" s="1">
        <v>1.8081162766786108E-2</v>
      </c>
      <c r="W142" s="1">
        <v>5.6586103833951067E-2</v>
      </c>
      <c r="X142" s="1">
        <v>0.16872389384739456</v>
      </c>
      <c r="Y142" s="1">
        <v>0.48114543909436641</v>
      </c>
      <c r="Z142" s="1">
        <v>0.16724655734721985</v>
      </c>
      <c r="AA142" s="1">
        <v>6.0486631235896392E-2</v>
      </c>
      <c r="AB142" s="1">
        <v>2.2697436985281347E-2</v>
      </c>
      <c r="AC142" s="1">
        <v>8.8150031477293288E-3</v>
      </c>
      <c r="AD142" s="1">
        <v>3.5351976334407178E-3</v>
      </c>
      <c r="AE142" s="1">
        <v>1.461031215657834E-3</v>
      </c>
      <c r="AF142" s="1">
        <v>6.2108306061181345E-4</v>
      </c>
      <c r="AG142" s="1">
        <v>2.7111004509538925E-4</v>
      </c>
      <c r="AH142" s="1">
        <v>1.2133109335058508E-4</v>
      </c>
      <c r="AI142" s="1">
        <v>5.5591780745999485E-5</v>
      </c>
      <c r="AJ142" s="1">
        <v>2.6043116061876287E-5</v>
      </c>
      <c r="AK142" s="1">
        <v>1.2459377908329156E-5</v>
      </c>
      <c r="AL142" s="1">
        <v>6.0804907015296723E-6</v>
      </c>
      <c r="AM142" s="1">
        <v>3.0239467025010557E-6</v>
      </c>
      <c r="AN142" s="1">
        <v>1.5310527690903036E-6</v>
      </c>
      <c r="AO142" s="1">
        <v>7.8850315187485771E-7</v>
      </c>
      <c r="AP142" s="1">
        <v>4.1272066804813931E-7</v>
      </c>
      <c r="AQ142" s="1">
        <v>2.193866800349331E-7</v>
      </c>
      <c r="AR142" s="1">
        <v>1.1834048886575084E-7</v>
      </c>
      <c r="AS142" s="1">
        <v>6.4723691243671509E-8</v>
      </c>
      <c r="AT142" s="1">
        <v>3.5851256174223034E-8</v>
      </c>
      <c r="AU142" s="1">
        <v>2.0069195464877898E-8</v>
      </c>
      <c r="AV142" s="1">
        <v>1.1295999072909154E-8</v>
      </c>
      <c r="AW142" s="1">
        <v>6.3044898354134156E-9</v>
      </c>
      <c r="AX142" s="1">
        <v>3.3457671111841883E-9</v>
      </c>
      <c r="AY142" s="1">
        <v>1.4396952166283044E-9</v>
      </c>
      <c r="AZ142" s="1">
        <v>5.4892879181506103E-9</v>
      </c>
    </row>
    <row r="143" spans="2:52" s="15" customFormat="1" x14ac:dyDescent="0.2">
      <c r="B143" s="1">
        <v>2.2396098354253658E-26</v>
      </c>
      <c r="C143" s="1">
        <v>7.1667514733611759E-23</v>
      </c>
      <c r="D143" s="1">
        <v>1.9218838534396881E-20</v>
      </c>
      <c r="E143" s="1">
        <v>1.8915800773360144E-18</v>
      </c>
      <c r="F143" s="1">
        <v>9.746707761836268E-17</v>
      </c>
      <c r="G143" s="1">
        <v>3.1253456890879732E-15</v>
      </c>
      <c r="H143" s="1">
        <v>6.9218516368043897E-14</v>
      </c>
      <c r="I143" s="1">
        <v>1.1360299137154976E-12</v>
      </c>
      <c r="J143" s="1">
        <v>1.4537909873544544E-11</v>
      </c>
      <c r="K143" s="1">
        <v>1.507635258183064E-10</v>
      </c>
      <c r="L143" s="1">
        <v>1.305761961874929E-9</v>
      </c>
      <c r="M143" s="1">
        <v>9.6758638514863217E-9</v>
      </c>
      <c r="N143" s="1">
        <v>6.2563772375675785E-8</v>
      </c>
      <c r="O143" s="1">
        <v>3.5878534471945305E-7</v>
      </c>
      <c r="P143" s="1">
        <v>1.8498719061161928E-6</v>
      </c>
      <c r="Q143" s="1">
        <v>8.6744671892912057E-6</v>
      </c>
      <c r="R143" s="1">
        <v>3.7359189658236049E-5</v>
      </c>
      <c r="S143" s="1">
        <v>1.4902582594727333E-4</v>
      </c>
      <c r="T143" s="1">
        <v>5.546180463344983E-4</v>
      </c>
      <c r="U143" s="1">
        <v>1.9379416356891969E-3</v>
      </c>
      <c r="V143" s="1">
        <v>6.3929543425682162E-3</v>
      </c>
      <c r="W143" s="1">
        <v>2.0007141293965258E-2</v>
      </c>
      <c r="X143" s="1">
        <v>5.9655684967789641E-2</v>
      </c>
      <c r="Y143" s="1">
        <v>0.17011852965095359</v>
      </c>
      <c r="Z143" s="1">
        <v>0.46553549104690634</v>
      </c>
      <c r="AA143" s="1">
        <v>0.16836623737322179</v>
      </c>
      <c r="AB143" s="1">
        <v>6.3178953516586756E-2</v>
      </c>
      <c r="AC143" s="1">
        <v>2.4536808912834784E-2</v>
      </c>
      <c r="AD143" s="1">
        <v>9.8403219314997948E-3</v>
      </c>
      <c r="AE143" s="1">
        <v>4.0668214353976034E-3</v>
      </c>
      <c r="AF143" s="1">
        <v>1.7288021480918237E-3</v>
      </c>
      <c r="AG143" s="1">
        <v>7.5464242716341307E-4</v>
      </c>
      <c r="AH143" s="1">
        <v>3.3772850705056134E-4</v>
      </c>
      <c r="AI143" s="1">
        <v>1.5474128351731375E-4</v>
      </c>
      <c r="AJ143" s="1">
        <v>7.2491745220719709E-5</v>
      </c>
      <c r="AK143" s="1">
        <v>3.4681028445034287E-5</v>
      </c>
      <c r="AL143" s="1">
        <v>1.6925216694691015E-5</v>
      </c>
      <c r="AM143" s="1">
        <v>8.4172406020045547E-6</v>
      </c>
      <c r="AN143" s="1">
        <v>4.2617283965817214E-6</v>
      </c>
      <c r="AO143" s="1">
        <v>2.194820675668737E-6</v>
      </c>
      <c r="AP143" s="1">
        <v>1.1488195746002996E-6</v>
      </c>
      <c r="AQ143" s="1">
        <v>6.1066898738714666E-7</v>
      </c>
      <c r="AR143" s="1">
        <v>3.2940407544815786E-7</v>
      </c>
      <c r="AS143" s="1">
        <v>1.8016021294199653E-7</v>
      </c>
      <c r="AT143" s="1">
        <v>9.9792978776030925E-8</v>
      </c>
      <c r="AU143" s="1">
        <v>5.5863169406001447E-8</v>
      </c>
      <c r="AV143" s="1">
        <v>3.1442730772356775E-8</v>
      </c>
      <c r="AW143" s="1">
        <v>1.7548724576949876E-8</v>
      </c>
      <c r="AX143" s="1">
        <v>9.3130367508853956E-9</v>
      </c>
      <c r="AY143" s="1">
        <v>4.0074320826794653E-9</v>
      </c>
      <c r="AZ143" s="1">
        <v>1.5279587137741307E-8</v>
      </c>
    </row>
    <row r="144" spans="2:52" s="15" customFormat="1" x14ac:dyDescent="0.2">
      <c r="B144" s="1">
        <v>8.2331689730264431E-27</v>
      </c>
      <c r="C144" s="1">
        <v>2.6346140713684639E-23</v>
      </c>
      <c r="D144" s="1">
        <v>7.0651567347197622E-21</v>
      </c>
      <c r="E144" s="1">
        <v>6.9537551391222313E-19</v>
      </c>
      <c r="F144" s="1">
        <v>3.583047844521781E-17</v>
      </c>
      <c r="G144" s="1">
        <v>1.1489277618971479E-15</v>
      </c>
      <c r="H144" s="1">
        <v>2.5445849196856384E-14</v>
      </c>
      <c r="I144" s="1">
        <v>4.1762302031755085E-13</v>
      </c>
      <c r="J144" s="1">
        <v>5.3443714440907794E-12</v>
      </c>
      <c r="K144" s="1">
        <v>5.5423117160744229E-11</v>
      </c>
      <c r="L144" s="1">
        <v>4.8001927392076168E-10</v>
      </c>
      <c r="M144" s="1">
        <v>3.5570044741366772E-9</v>
      </c>
      <c r="N144" s="1">
        <v>2.2999457379194399E-8</v>
      </c>
      <c r="O144" s="1">
        <v>1.3189531146882823E-7</v>
      </c>
      <c r="P144" s="1">
        <v>6.8004291375227206E-7</v>
      </c>
      <c r="Q144" s="1">
        <v>3.1888748205485476E-6</v>
      </c>
      <c r="R144" s="1">
        <v>1.3733844006502156E-5</v>
      </c>
      <c r="S144" s="1">
        <v>5.4784310506284946E-5</v>
      </c>
      <c r="T144" s="1">
        <v>2.0388658858048239E-4</v>
      </c>
      <c r="U144" s="1">
        <v>7.1241877465063144E-4</v>
      </c>
      <c r="V144" s="1">
        <v>2.3501536967134528E-3</v>
      </c>
      <c r="W144" s="1">
        <v>7.3549496137636601E-3</v>
      </c>
      <c r="X144" s="1">
        <v>2.1930397284943216E-2</v>
      </c>
      <c r="Y144" s="1">
        <v>6.2538330467417941E-2</v>
      </c>
      <c r="Z144" s="1">
        <v>0.17113839652352011</v>
      </c>
      <c r="AA144" s="1">
        <v>0.45077743125077868</v>
      </c>
      <c r="AB144" s="1">
        <v>0.16915295382047268</v>
      </c>
      <c r="AC144" s="1">
        <v>6.5693929289994582E-2</v>
      </c>
      <c r="AD144" s="1">
        <v>2.6346107819284675E-2</v>
      </c>
      <c r="AE144" s="1">
        <v>1.0888354747397277E-2</v>
      </c>
      <c r="AF144" s="1">
        <v>4.6286298465538266E-3</v>
      </c>
      <c r="AG144" s="1">
        <v>2.0204512504220177E-3</v>
      </c>
      <c r="AH144" s="1">
        <v>9.042216019292357E-4</v>
      </c>
      <c r="AI144" s="1">
        <v>4.1429849226693783E-4</v>
      </c>
      <c r="AJ144" s="1">
        <v>1.9408667205078991E-4</v>
      </c>
      <c r="AK144" s="1">
        <v>9.2853681115013145E-5</v>
      </c>
      <c r="AL144" s="1">
        <v>4.5314938576925537E-5</v>
      </c>
      <c r="AM144" s="1">
        <v>2.2536003393485853E-5</v>
      </c>
      <c r="AN144" s="1">
        <v>1.1410191314313666E-5</v>
      </c>
      <c r="AO144" s="1">
        <v>5.8763303241188271E-6</v>
      </c>
      <c r="AP144" s="1">
        <v>3.0758063189413531E-6</v>
      </c>
      <c r="AQ144" s="1">
        <v>1.6349821779807384E-6</v>
      </c>
      <c r="AR144" s="1">
        <v>8.8193408186049372E-7</v>
      </c>
      <c r="AS144" s="1">
        <v>4.8235417783650648E-7</v>
      </c>
      <c r="AT144" s="1">
        <v>2.671819679013469E-7</v>
      </c>
      <c r="AU144" s="1">
        <v>1.4956594860846802E-7</v>
      </c>
      <c r="AV144" s="1">
        <v>8.4183584726988044E-8</v>
      </c>
      <c r="AW144" s="1">
        <v>4.6984295129131573E-8</v>
      </c>
      <c r="AX144" s="1">
        <v>2.493437430927535E-8</v>
      </c>
      <c r="AY144" s="1">
        <v>1.0729347928217825E-8</v>
      </c>
      <c r="AZ144" s="1">
        <v>4.0908991897558045E-8</v>
      </c>
    </row>
    <row r="145" spans="2:52" s="15" customFormat="1" x14ac:dyDescent="0.2">
      <c r="B145" s="1">
        <v>3.1383301163617929E-27</v>
      </c>
      <c r="C145" s="1">
        <v>1.0042656372357746E-23</v>
      </c>
      <c r="D145" s="1">
        <v>2.6931056838539348E-21</v>
      </c>
      <c r="E145" s="1">
        <v>2.650641477954615E-19</v>
      </c>
      <c r="F145" s="1">
        <v>1.3657908632348188E-17</v>
      </c>
      <c r="G145" s="1">
        <v>4.3794978683166031E-16</v>
      </c>
      <c r="H145" s="1">
        <v>9.6994820745844612E-15</v>
      </c>
      <c r="I145" s="1">
        <v>1.5919008904620638E-13</v>
      </c>
      <c r="J145" s="1">
        <v>2.0371744963529721E-12</v>
      </c>
      <c r="K145" s="1">
        <v>2.1126256280912245E-11</v>
      </c>
      <c r="L145" s="1">
        <v>1.8297437459562861E-10</v>
      </c>
      <c r="M145" s="1">
        <v>1.3558636172522682E-9</v>
      </c>
      <c r="N145" s="1">
        <v>8.7669632421709596E-9</v>
      </c>
      <c r="O145" s="1">
        <v>5.0276027316537038E-8</v>
      </c>
      <c r="P145" s="1">
        <v>2.5921964721473064E-7</v>
      </c>
      <c r="Q145" s="1">
        <v>1.2155394744627175E-6</v>
      </c>
      <c r="R145" s="1">
        <v>5.235084619328168E-6</v>
      </c>
      <c r="S145" s="1">
        <v>2.0882755124943024E-5</v>
      </c>
      <c r="T145" s="1">
        <v>7.7717756475145682E-5</v>
      </c>
      <c r="U145" s="1">
        <v>2.7156072021266669E-4</v>
      </c>
      <c r="V145" s="1">
        <v>8.9583465961146612E-4</v>
      </c>
      <c r="W145" s="1">
        <v>2.803569312474974E-3</v>
      </c>
      <c r="X145" s="1">
        <v>8.3594575173424109E-3</v>
      </c>
      <c r="Y145" s="1">
        <v>2.3838442594326874E-2</v>
      </c>
      <c r="Z145" s="1">
        <v>6.5234757799243898E-2</v>
      </c>
      <c r="AA145" s="1">
        <v>0.17182793076461042</v>
      </c>
      <c r="AB145" s="1">
        <v>0.43681621793685449</v>
      </c>
      <c r="AC145" s="1">
        <v>0.16964630581812198</v>
      </c>
      <c r="AD145" s="1">
        <v>6.8035508189769792E-2</v>
      </c>
      <c r="AE145" s="1">
        <v>2.8117806002730446E-2</v>
      </c>
      <c r="AF145" s="1">
        <v>1.1952854136659943E-2</v>
      </c>
      <c r="AG145" s="1">
        <v>5.2175611114177109E-3</v>
      </c>
      <c r="AH145" s="1">
        <v>2.3350385045639572E-3</v>
      </c>
      <c r="AI145" s="1">
        <v>1.0698737231692476E-3</v>
      </c>
      <c r="AJ145" s="1">
        <v>5.0120440774068019E-4</v>
      </c>
      <c r="AK145" s="1">
        <v>2.3978294726808235E-4</v>
      </c>
      <c r="AL145" s="1">
        <v>1.1702012668499888E-4</v>
      </c>
      <c r="AM145" s="1">
        <v>5.8196392953341209E-5</v>
      </c>
      <c r="AN145" s="1">
        <v>2.9465383271664785E-5</v>
      </c>
      <c r="AO145" s="1">
        <v>1.5174883616005561E-5</v>
      </c>
      <c r="AP145" s="1">
        <v>7.9428827756221428E-6</v>
      </c>
      <c r="AQ145" s="1">
        <v>4.2221357372079704E-6</v>
      </c>
      <c r="AR145" s="1">
        <v>2.2774837885289524E-6</v>
      </c>
      <c r="AS145" s="1">
        <v>1.2456189673885701E-6</v>
      </c>
      <c r="AT145" s="1">
        <v>6.8996381135300635E-7</v>
      </c>
      <c r="AU145" s="1">
        <v>3.8623524170100345E-7</v>
      </c>
      <c r="AV145" s="1">
        <v>2.1739351434464299E-7</v>
      </c>
      <c r="AW145" s="1">
        <v>1.2133102991815596E-7</v>
      </c>
      <c r="AX145" s="1">
        <v>6.4389884045177653E-8</v>
      </c>
      <c r="AY145" s="1">
        <v>2.770719090076862E-8</v>
      </c>
      <c r="AZ145" s="1">
        <v>1.0564232380633691E-7</v>
      </c>
    </row>
    <row r="146" spans="2:52" s="15" customFormat="1" x14ac:dyDescent="0.2">
      <c r="B146" s="1">
        <v>1.2373745821641001E-27</v>
      </c>
      <c r="C146" s="1">
        <v>3.9595986629251236E-24</v>
      </c>
      <c r="D146" s="1">
        <v>1.0618323747744204E-21</v>
      </c>
      <c r="E146" s="1">
        <v>1.0450896717816216E-19</v>
      </c>
      <c r="F146" s="1">
        <v>5.3850131632357038E-18</v>
      </c>
      <c r="G146" s="1">
        <v>1.726739745014161E-16</v>
      </c>
      <c r="H146" s="1">
        <v>3.8242925805270908E-15</v>
      </c>
      <c r="I146" s="1">
        <v>6.2765153000082776E-14</v>
      </c>
      <c r="J146" s="1">
        <v>8.0321312537457827E-13</v>
      </c>
      <c r="K146" s="1">
        <v>8.3296184814968919E-12</v>
      </c>
      <c r="L146" s="1">
        <v>7.2142773996788388E-11</v>
      </c>
      <c r="M146" s="1">
        <v>5.3458722144054427E-10</v>
      </c>
      <c r="N146" s="1">
        <v>3.4566209023304464E-9</v>
      </c>
      <c r="O146" s="1">
        <v>1.9822732468243369E-8</v>
      </c>
      <c r="P146" s="1">
        <v>1.0220460906543964E-7</v>
      </c>
      <c r="Q146" s="1">
        <v>4.7926049636260831E-7</v>
      </c>
      <c r="R146" s="1">
        <v>2.0640787945356257E-6</v>
      </c>
      <c r="S146" s="1">
        <v>8.2336113280259944E-6</v>
      </c>
      <c r="T146" s="1">
        <v>3.0642403086851836E-5</v>
      </c>
      <c r="U146" s="1">
        <v>1.0707042288300599E-4</v>
      </c>
      <c r="V146" s="1">
        <v>3.5320791520488618E-4</v>
      </c>
      <c r="W146" s="1">
        <v>1.1053857554709499E-3</v>
      </c>
      <c r="X146" s="1">
        <v>3.295950352294825E-3</v>
      </c>
      <c r="Y146" s="1">
        <v>9.3989739291013528E-3</v>
      </c>
      <c r="Z146" s="1">
        <v>2.5720631094090469E-2</v>
      </c>
      <c r="AA146" s="1">
        <v>6.7747976200943111E-2</v>
      </c>
      <c r="AB146" s="1">
        <v>0.17222703320284083</v>
      </c>
      <c r="AC146" s="1">
        <v>0.42359961654449418</v>
      </c>
      <c r="AD146" s="1">
        <v>0.16988177279553635</v>
      </c>
      <c r="AE146" s="1">
        <v>7.0208966728686456E-2</v>
      </c>
      <c r="AF146" s="1">
        <v>2.9845768845268652E-2</v>
      </c>
      <c r="AG146" s="1">
        <v>1.3028028376070382E-2</v>
      </c>
      <c r="AH146" s="1">
        <v>5.830491918936094E-3</v>
      </c>
      <c r="AI146" s="1">
        <v>2.6714292226993602E-3</v>
      </c>
      <c r="AJ146" s="1">
        <v>1.2514861075547394E-3</v>
      </c>
      <c r="AK146" s="1">
        <v>5.9872782980351948E-4</v>
      </c>
      <c r="AL146" s="1">
        <v>2.9219428358727347E-4</v>
      </c>
      <c r="AM146" s="1">
        <v>1.4531392016126451E-4</v>
      </c>
      <c r="AN146" s="1">
        <v>7.3573809904208676E-5</v>
      </c>
      <c r="AO146" s="1">
        <v>3.789103953574344E-5</v>
      </c>
      <c r="AP146" s="1">
        <v>1.9833040759629634E-5</v>
      </c>
      <c r="AQ146" s="1">
        <v>1.0542493517056301E-5</v>
      </c>
      <c r="AR146" s="1">
        <v>5.6867802387719918E-6</v>
      </c>
      <c r="AS146" s="1">
        <v>3.1102576292585738E-6</v>
      </c>
      <c r="AT146" s="1">
        <v>1.7228103170843728E-6</v>
      </c>
      <c r="AU146" s="1">
        <v>9.6441298554370306E-7</v>
      </c>
      <c r="AV146" s="1">
        <v>5.4282236722783825E-7</v>
      </c>
      <c r="AW146" s="1">
        <v>3.0295842576955904E-7</v>
      </c>
      <c r="AX146" s="1">
        <v>1.6077880422650539E-7</v>
      </c>
      <c r="AY146" s="1">
        <v>6.9183678268088405E-8</v>
      </c>
      <c r="AZ146" s="1">
        <v>2.6378439329654597E-7</v>
      </c>
    </row>
    <row r="147" spans="2:52" s="15" customFormat="1" x14ac:dyDescent="0.2">
      <c r="B147" s="1">
        <v>5.0351312069998946E-28</v>
      </c>
      <c r="C147" s="1">
        <v>1.6112419862399675E-24</v>
      </c>
      <c r="D147" s="1">
        <v>4.3208139264335129E-22</v>
      </c>
      <c r="E147" s="1">
        <v>4.2526844306900874E-20</v>
      </c>
      <c r="F147" s="1">
        <v>2.1912724100807036E-18</v>
      </c>
      <c r="G147" s="1">
        <v>7.0264585209774417E-17</v>
      </c>
      <c r="H147" s="1">
        <v>1.5561831634873858E-15</v>
      </c>
      <c r="I147" s="1">
        <v>2.5540429320127088E-14</v>
      </c>
      <c r="J147" s="1">
        <v>3.2684391062666158E-13</v>
      </c>
      <c r="K147" s="1">
        <v>3.3894927666314322E-12</v>
      </c>
      <c r="L147" s="1">
        <v>2.9356375825618492E-11</v>
      </c>
      <c r="M147" s="1">
        <v>2.1753451544406085E-10</v>
      </c>
      <c r="N147" s="1">
        <v>1.4065700093542074E-9</v>
      </c>
      <c r="O147" s="1">
        <v>8.0662768007000709E-9</v>
      </c>
      <c r="P147" s="1">
        <v>4.1589153682516142E-8</v>
      </c>
      <c r="Q147" s="1">
        <v>1.9502093515588303E-7</v>
      </c>
      <c r="R147" s="1">
        <v>8.399160368961537E-7</v>
      </c>
      <c r="S147" s="1">
        <v>3.3504254848636838E-6</v>
      </c>
      <c r="T147" s="1">
        <v>1.2469022902526045E-5</v>
      </c>
      <c r="U147" s="1">
        <v>4.3569153219716133E-5</v>
      </c>
      <c r="V147" s="1">
        <v>1.4372755203174506E-4</v>
      </c>
      <c r="W147" s="1">
        <v>4.4980415739676201E-4</v>
      </c>
      <c r="X147" s="1">
        <v>1.3411898639890663E-3</v>
      </c>
      <c r="Y147" s="1">
        <v>3.824635452057508E-3</v>
      </c>
      <c r="Z147" s="1">
        <v>1.0466252835021598E-2</v>
      </c>
      <c r="AA147" s="1">
        <v>2.7568042377584225E-2</v>
      </c>
      <c r="AB147" s="1">
        <v>7.0082715619709191E-2</v>
      </c>
      <c r="AC147" s="1">
        <v>0.17237138044375233</v>
      </c>
      <c r="AD147" s="1">
        <v>0.41107840616582064</v>
      </c>
      <c r="AE147" s="1">
        <v>0.16989103460860452</v>
      </c>
      <c r="AF147" s="1">
        <v>7.2220526580406091E-2</v>
      </c>
      <c r="AG147" s="1">
        <v>3.152510744495135E-2</v>
      </c>
      <c r="AH147" s="1">
        <v>1.4108572601744843E-2</v>
      </c>
      <c r="AI147" s="1">
        <v>6.4643007250328411E-3</v>
      </c>
      <c r="AJ147" s="1">
        <v>3.0283349765336713E-3</v>
      </c>
      <c r="AK147" s="1">
        <v>1.4487962890461338E-3</v>
      </c>
      <c r="AL147" s="1">
        <v>7.0704913429639113E-4</v>
      </c>
      <c r="AM147" s="1">
        <v>3.5162933439301545E-4</v>
      </c>
      <c r="AN147" s="1">
        <v>1.7803325226285754E-4</v>
      </c>
      <c r="AO147" s="1">
        <v>9.1688401198087658E-5</v>
      </c>
      <c r="AP147" s="1">
        <v>4.7991816018442944E-5</v>
      </c>
      <c r="AQ147" s="1">
        <v>2.5510632251412857E-5</v>
      </c>
      <c r="AR147" s="1">
        <v>1.376082035347761E-5</v>
      </c>
      <c r="AS147" s="1">
        <v>7.5261738087671559E-6</v>
      </c>
      <c r="AT147" s="1">
        <v>4.1688411159062515E-6</v>
      </c>
      <c r="AU147" s="1">
        <v>2.3336779835708355E-6</v>
      </c>
      <c r="AV147" s="1">
        <v>1.3135167468480801E-6</v>
      </c>
      <c r="AW147" s="1">
        <v>7.3309611002086675E-7</v>
      </c>
      <c r="AX147" s="1">
        <v>3.8905112360832938E-7</v>
      </c>
      <c r="AY147" s="1">
        <v>1.6741005069074699E-7</v>
      </c>
      <c r="AZ147" s="1">
        <v>6.3830313389931418E-7</v>
      </c>
    </row>
    <row r="148" spans="2:52" s="15" customFormat="1" x14ac:dyDescent="0.2">
      <c r="B148" s="1">
        <v>2.110343622551067E-28</v>
      </c>
      <c r="C148" s="1">
        <v>6.7530995921634201E-25</v>
      </c>
      <c r="D148" s="1">
        <v>1.8109562072984904E-22</v>
      </c>
      <c r="E148" s="1">
        <v>1.7824015101239901E-20</v>
      </c>
      <c r="F148" s="1">
        <v>9.1841454885169925E-19</v>
      </c>
      <c r="G148" s="1">
        <v>2.944956411115953E-17</v>
      </c>
      <c r="H148" s="1">
        <v>6.5223349294679426E-16</v>
      </c>
      <c r="I148" s="1">
        <v>1.0704603299714491E-14</v>
      </c>
      <c r="J148" s="1">
        <v>1.3698808114508002E-13</v>
      </c>
      <c r="K148" s="1">
        <v>1.4206172887410451E-12</v>
      </c>
      <c r="L148" s="1">
        <v>1.2303957525214023E-11</v>
      </c>
      <c r="M148" s="1">
        <v>9.117390560029551E-11</v>
      </c>
      <c r="N148" s="1">
        <v>5.8952705041441999E-10</v>
      </c>
      <c r="O148" s="1">
        <v>3.3807690612757012E-9</v>
      </c>
      <c r="P148" s="1">
        <v>1.7431006588106176E-8</v>
      </c>
      <c r="Q148" s="1">
        <v>8.173792694776377E-8</v>
      </c>
      <c r="R148" s="1">
        <v>3.5202885070363209E-7</v>
      </c>
      <c r="S148" s="1">
        <v>1.4042432588420111E-6</v>
      </c>
      <c r="T148" s="1">
        <v>5.2260649981091115E-6</v>
      </c>
      <c r="U148" s="1">
        <v>1.8260871635153033E-5</v>
      </c>
      <c r="V148" s="1">
        <v>6.0239646266496234E-5</v>
      </c>
      <c r="W148" s="1">
        <v>1.8852365428721448E-4</v>
      </c>
      <c r="X148" s="1">
        <v>5.6212467158048339E-4</v>
      </c>
      <c r="Y148" s="1">
        <v>1.6029959703158236E-3</v>
      </c>
      <c r="Z148" s="1">
        <v>4.3866562785273046E-3</v>
      </c>
      <c r="AA148" s="1">
        <v>1.1554424309116846E-2</v>
      </c>
      <c r="AB148" s="1">
        <v>2.9373338226718511E-2</v>
      </c>
      <c r="AC148" s="1">
        <v>7.2244958169926016E-2</v>
      </c>
      <c r="AD148" s="1">
        <v>0.17229276798476784</v>
      </c>
      <c r="AE148" s="1">
        <v>0.39920644966592878</v>
      </c>
      <c r="AF148" s="1">
        <v>0.16970230404204947</v>
      </c>
      <c r="AG148" s="1">
        <v>7.4077047369976806E-2</v>
      </c>
      <c r="AH148" s="1">
        <v>3.3152032955547715E-2</v>
      </c>
      <c r="AI148" s="1">
        <v>1.5189680538225114E-2</v>
      </c>
      <c r="AJ148" s="1">
        <v>7.1159190781685411E-3</v>
      </c>
      <c r="AK148" s="1">
        <v>3.4043516432266585E-3</v>
      </c>
      <c r="AL148" s="1">
        <v>1.6614094751503453E-3</v>
      </c>
      <c r="AM148" s="1">
        <v>8.2625135873014364E-4</v>
      </c>
      <c r="AN148" s="1">
        <v>4.1833886480278362E-4</v>
      </c>
      <c r="AO148" s="1">
        <v>2.1544751435624042E-4</v>
      </c>
      <c r="AP148" s="1">
        <v>1.1277017960294842E-4</v>
      </c>
      <c r="AQ148" s="1">
        <v>5.9944357589449121E-5</v>
      </c>
      <c r="AR148" s="1">
        <v>3.2334891893843474E-5</v>
      </c>
      <c r="AS148" s="1">
        <v>1.7684848012659448E-5</v>
      </c>
      <c r="AT148" s="1">
        <v>9.795856885187245E-6</v>
      </c>
      <c r="AU148" s="1">
        <v>5.4836284011756368E-6</v>
      </c>
      <c r="AV148" s="1">
        <v>3.0864745646760865E-6</v>
      </c>
      <c r="AW148" s="1">
        <v>1.7226141215724343E-6</v>
      </c>
      <c r="AX148" s="1">
        <v>9.1418430732398079E-7</v>
      </c>
      <c r="AY148" s="1">
        <v>3.9337668481807843E-7</v>
      </c>
      <c r="AZ148" s="1">
        <v>1.4998715410829305E-6</v>
      </c>
    </row>
    <row r="149" spans="2:52" s="15" customFormat="1" x14ac:dyDescent="0.2">
      <c r="B149" s="1">
        <v>9.0935447844844483E-29</v>
      </c>
      <c r="C149" s="1">
        <v>2.9099343310350253E-25</v>
      </c>
      <c r="D149" s="1">
        <v>7.8034738977255916E-23</v>
      </c>
      <c r="E149" s="1">
        <v>7.6804307047645231E-21</v>
      </c>
      <c r="F149" s="1">
        <v>3.9574805455659432E-19</v>
      </c>
      <c r="G149" s="1">
        <v>1.2689920601870834E-17</v>
      </c>
      <c r="H149" s="1">
        <v>2.8104970274379431E-16</v>
      </c>
      <c r="I149" s="1">
        <v>4.6126511562331209E-15</v>
      </c>
      <c r="J149" s="1">
        <v>5.9028645265244268E-14</v>
      </c>
      <c r="K149" s="1">
        <v>6.1214897890246111E-13</v>
      </c>
      <c r="L149" s="1">
        <v>5.3018185089059185E-12</v>
      </c>
      <c r="M149" s="1">
        <v>3.9287156124385224E-11</v>
      </c>
      <c r="N149" s="1">
        <v>2.5402927643262624E-10</v>
      </c>
      <c r="O149" s="1">
        <v>1.4567852617075914E-9</v>
      </c>
      <c r="P149" s="1">
        <v>7.5110819562159371E-9</v>
      </c>
      <c r="Q149" s="1">
        <v>3.5221159784011502E-8</v>
      </c>
      <c r="R149" s="1">
        <v>1.5169046808757818E-7</v>
      </c>
      <c r="S149" s="1">
        <v>6.0509335191365077E-7</v>
      </c>
      <c r="T149" s="1">
        <v>2.2519297615372983E-6</v>
      </c>
      <c r="U149" s="1">
        <v>7.8686737194604689E-6</v>
      </c>
      <c r="V149" s="1">
        <v>2.5957475136854359E-5</v>
      </c>
      <c r="W149" s="1">
        <v>8.1235504724253186E-5</v>
      </c>
      <c r="X149" s="1">
        <v>2.4222149515639092E-4</v>
      </c>
      <c r="Y149" s="1">
        <v>6.9073659330388525E-4</v>
      </c>
      <c r="Z149" s="1">
        <v>1.8902255962802402E-3</v>
      </c>
      <c r="AA149" s="1">
        <v>4.9788420137416387E-3</v>
      </c>
      <c r="AB149" s="1">
        <v>1.2657074600561176E-2</v>
      </c>
      <c r="AC149" s="1">
        <v>3.1130606198495059E-2</v>
      </c>
      <c r="AD149" s="1">
        <v>7.4241558813930131E-2</v>
      </c>
      <c r="AE149" s="1">
        <v>0.17201946116736322</v>
      </c>
      <c r="AF149" s="1">
        <v>0.38794067002389493</v>
      </c>
      <c r="AG149" s="1">
        <v>0.16934065540430096</v>
      </c>
      <c r="AH149" s="1">
        <v>7.5785782344137617E-2</v>
      </c>
      <c r="AI149" s="1">
        <v>3.4723717386817884E-2</v>
      </c>
      <c r="AJ149" s="1">
        <v>1.626704145593981E-2</v>
      </c>
      <c r="AK149" s="1">
        <v>7.7823719891454918E-3</v>
      </c>
      <c r="AL149" s="1">
        <v>3.7979938375743501E-3</v>
      </c>
      <c r="AM149" s="1">
        <v>1.8888164631783771E-3</v>
      </c>
      <c r="AN149" s="1">
        <v>9.5632561045496756E-4</v>
      </c>
      <c r="AO149" s="1">
        <v>4.9251454508026391E-4</v>
      </c>
      <c r="AP149" s="1">
        <v>2.5779342997631137E-4</v>
      </c>
      <c r="AQ149" s="1">
        <v>1.3703322638236349E-4</v>
      </c>
      <c r="AR149" s="1">
        <v>7.391779208454142E-5</v>
      </c>
      <c r="AS149" s="1">
        <v>4.0427687921089685E-5</v>
      </c>
      <c r="AT149" s="1">
        <v>2.2393398280297327E-5</v>
      </c>
      <c r="AU149" s="1">
        <v>1.2535613397370377E-5</v>
      </c>
      <c r="AV149" s="1">
        <v>7.0557027342154522E-6</v>
      </c>
      <c r="AW149" s="1">
        <v>3.9379080931620497E-6</v>
      </c>
      <c r="AX149" s="1">
        <v>2.0898318070019784E-6</v>
      </c>
      <c r="AY149" s="1">
        <v>8.9926189005831287E-7</v>
      </c>
      <c r="AZ149" s="1">
        <v>3.4287169751879631E-6</v>
      </c>
    </row>
    <row r="150" spans="2:52" s="15" customFormat="1" x14ac:dyDescent="0.2">
      <c r="B150" s="1">
        <v>4.021849363906795E-29</v>
      </c>
      <c r="C150" s="1">
        <v>1.2869917964501752E-25</v>
      </c>
      <c r="D150" s="1">
        <v>3.4512830008138862E-23</v>
      </c>
      <c r="E150" s="1">
        <v>3.3968640476914613E-21</v>
      </c>
      <c r="F150" s="1">
        <v>1.7502955109447204E-19</v>
      </c>
      <c r="G150" s="1">
        <v>5.6124372079567923E-18</v>
      </c>
      <c r="H150" s="1">
        <v>1.2430131428339434E-16</v>
      </c>
      <c r="I150" s="1">
        <v>2.0400612256589746E-15</v>
      </c>
      <c r="J150" s="1">
        <v>2.6106906056850959E-14</v>
      </c>
      <c r="K150" s="1">
        <v>2.707383137998849E-13</v>
      </c>
      <c r="L150" s="1">
        <v>2.3448628563389696E-12</v>
      </c>
      <c r="M150" s="1">
        <v>1.7375734943116989E-11</v>
      </c>
      <c r="N150" s="1">
        <v>1.1235084975635098E-10</v>
      </c>
      <c r="O150" s="1">
        <v>6.4429999708630017E-10</v>
      </c>
      <c r="P150" s="1">
        <v>3.3219652955798934E-9</v>
      </c>
      <c r="Q150" s="1">
        <v>1.5577445587014526E-8</v>
      </c>
      <c r="R150" s="1">
        <v>6.7088932539230708E-8</v>
      </c>
      <c r="S150" s="1">
        <v>2.6761778494238955E-7</v>
      </c>
      <c r="T150" s="1">
        <v>9.9597269201935758E-7</v>
      </c>
      <c r="U150" s="1">
        <v>3.4801192651954798E-6</v>
      </c>
      <c r="V150" s="1">
        <v>1.1480347580836472E-5</v>
      </c>
      <c r="W150" s="1">
        <v>3.592844932807005E-5</v>
      </c>
      <c r="X150" s="1">
        <v>1.0712856089755477E-4</v>
      </c>
      <c r="Y150" s="1">
        <v>3.0549566689838176E-4</v>
      </c>
      <c r="Z150" s="1">
        <v>8.3599990896960513E-4</v>
      </c>
      <c r="AA150" s="1">
        <v>2.2020183614342307E-3</v>
      </c>
      <c r="AB150" s="1">
        <v>5.5979102360657514E-3</v>
      </c>
      <c r="AC150" s="1">
        <v>1.3768295170335881E-2</v>
      </c>
      <c r="AD150" s="1">
        <v>3.2835200482072745E-2</v>
      </c>
      <c r="AE150" s="1">
        <v>7.6079942076710469E-2</v>
      </c>
      <c r="AF150" s="1">
        <v>0.17157653851678198</v>
      </c>
      <c r="AG150" s="1">
        <v>0.37724096400329166</v>
      </c>
      <c r="AH150" s="1">
        <v>0.16882833907184697</v>
      </c>
      <c r="AI150" s="1">
        <v>7.7354186385464652E-2</v>
      </c>
      <c r="AJ150" s="1">
        <v>3.6238163751457789E-2</v>
      </c>
      <c r="AK150" s="1">
        <v>1.7336826200466535E-2</v>
      </c>
      <c r="AL150" s="1">
        <v>8.4608084995560929E-3</v>
      </c>
      <c r="AM150" s="1">
        <v>4.2077252015678785E-3</v>
      </c>
      <c r="AN150" s="1">
        <v>2.130411000995249E-3</v>
      </c>
      <c r="AO150" s="1">
        <v>1.0971769379782531E-3</v>
      </c>
      <c r="AP150" s="1">
        <v>5.7428762045235815E-4</v>
      </c>
      <c r="AQ150" s="1">
        <v>3.0526955442296673E-4</v>
      </c>
      <c r="AR150" s="1">
        <v>1.6466700850065955E-4</v>
      </c>
      <c r="AS150" s="1">
        <v>9.00609480184447E-5</v>
      </c>
      <c r="AT150" s="1">
        <v>4.9885877283279137E-5</v>
      </c>
      <c r="AU150" s="1">
        <v>2.7925644146742047E-5</v>
      </c>
      <c r="AV150" s="1">
        <v>1.5718021728575971E-5</v>
      </c>
      <c r="AW150" s="1">
        <v>8.7724961361114795E-6</v>
      </c>
      <c r="AX150" s="1">
        <v>4.6555280159742677E-6</v>
      </c>
      <c r="AY150" s="1">
        <v>2.0032898862183332E-6</v>
      </c>
      <c r="AZ150" s="1">
        <v>7.6381687192968432E-6</v>
      </c>
    </row>
    <row r="151" spans="2:52" s="15" customFormat="1" x14ac:dyDescent="0.2">
      <c r="B151" s="1">
        <v>1.8229218929571111E-29</v>
      </c>
      <c r="C151" s="1">
        <v>5.8333500574627587E-26</v>
      </c>
      <c r="D151" s="1">
        <v>1.5643100404095962E-23</v>
      </c>
      <c r="E151" s="1">
        <v>1.5396443973029854E-21</v>
      </c>
      <c r="F151" s="1">
        <v>7.933295649209266E-20</v>
      </c>
      <c r="G151" s="1">
        <v>2.5438632165211594E-18</v>
      </c>
      <c r="H151" s="1">
        <v>5.6340147685300818E-17</v>
      </c>
      <c r="I151" s="1">
        <v>9.2466722016017446E-16</v>
      </c>
      <c r="J151" s="1">
        <v>1.183307635425182E-14</v>
      </c>
      <c r="K151" s="1">
        <v>1.2271339745272965E-13</v>
      </c>
      <c r="L151" s="1">
        <v>1.0628199741051547E-12</v>
      </c>
      <c r="M151" s="1">
        <v>7.8756325182849117E-12</v>
      </c>
      <c r="N151" s="1">
        <v>5.0923544166318415E-11</v>
      </c>
      <c r="O151" s="1">
        <v>2.9203196441447776E-10</v>
      </c>
      <c r="P151" s="1">
        <v>1.505696190240671E-9</v>
      </c>
      <c r="Q151" s="1">
        <v>7.0605495202666652E-9</v>
      </c>
      <c r="R151" s="1">
        <v>3.0408370089248462E-8</v>
      </c>
      <c r="S151" s="1">
        <v>1.2129900326308575E-7</v>
      </c>
      <c r="T151" s="1">
        <v>4.5142924579996589E-7</v>
      </c>
      <c r="U151" s="1">
        <v>1.5773802110937721E-6</v>
      </c>
      <c r="V151" s="1">
        <v>5.2035208309082266E-6</v>
      </c>
      <c r="W151" s="1">
        <v>1.6284736431927916E-5</v>
      </c>
      <c r="X151" s="1">
        <v>4.8556517500059048E-5</v>
      </c>
      <c r="Y151" s="1">
        <v>1.3846732908256651E-4</v>
      </c>
      <c r="Z151" s="1">
        <v>3.7892083931519475E-4</v>
      </c>
      <c r="AA151" s="1">
        <v>9.9807504372882044E-4</v>
      </c>
      <c r="AB151" s="1">
        <v>2.5372787990797195E-3</v>
      </c>
      <c r="AC151" s="1">
        <v>6.2405436961269992E-3</v>
      </c>
      <c r="AD151" s="1">
        <v>1.488270703412487E-2</v>
      </c>
      <c r="AE151" s="1">
        <v>3.4483586896905581E-2</v>
      </c>
      <c r="AF151" s="1">
        <v>7.7767862512935534E-2</v>
      </c>
      <c r="AG151" s="1">
        <v>0.17098621802529115</v>
      </c>
      <c r="AH151" s="1">
        <v>0.36707007568878602</v>
      </c>
      <c r="AI151" s="1">
        <v>0.16818507608058256</v>
      </c>
      <c r="AJ151" s="1">
        <v>7.8789767074646314E-2</v>
      </c>
      <c r="AK151" s="1">
        <v>3.7694087027062284E-2</v>
      </c>
      <c r="AL151" s="1">
        <v>1.839566528578301E-2</v>
      </c>
      <c r="AM151" s="1">
        <v>9.1485233859929151E-3</v>
      </c>
      <c r="AN151" s="1">
        <v>4.6319837752520588E-3</v>
      </c>
      <c r="AO151" s="1">
        <v>2.3855048499664294E-3</v>
      </c>
      <c r="AP151" s="1">
        <v>1.248628053000449E-3</v>
      </c>
      <c r="AQ151" s="1">
        <v>6.6372339539414566E-4</v>
      </c>
      <c r="AR151" s="1">
        <v>3.5802242447022025E-4</v>
      </c>
      <c r="AS151" s="1">
        <v>1.9581238071450665E-4</v>
      </c>
      <c r="AT151" s="1">
        <v>1.0846290883891259E-4</v>
      </c>
      <c r="AU151" s="1">
        <v>6.0716514578991443E-5</v>
      </c>
      <c r="AV151" s="1">
        <v>3.4174448776227275E-5</v>
      </c>
      <c r="AW151" s="1">
        <v>1.9073343008436879E-5</v>
      </c>
      <c r="AX151" s="1">
        <v>1.0122145550858571E-5</v>
      </c>
      <c r="AY151" s="1">
        <v>4.3555944114797387E-6</v>
      </c>
      <c r="AZ151" s="1">
        <v>1.66070648170201E-5</v>
      </c>
    </row>
    <row r="152" spans="2:52" s="15" customFormat="1" x14ac:dyDescent="0.2">
      <c r="B152" s="1">
        <v>8.4557576064491421E-30</v>
      </c>
      <c r="C152" s="1">
        <v>2.7058424340637269E-26</v>
      </c>
      <c r="D152" s="1">
        <v>7.2561674606808946E-24</v>
      </c>
      <c r="E152" s="1">
        <v>7.141754056506812E-22</v>
      </c>
      <c r="F152" s="1">
        <v>3.679917679917261E-20</v>
      </c>
      <c r="G152" s="1">
        <v>1.1799897091570593E-18</v>
      </c>
      <c r="H152" s="1">
        <v>2.6133792905720451E-17</v>
      </c>
      <c r="I152" s="1">
        <v>4.2891370774093471E-16</v>
      </c>
      <c r="J152" s="1">
        <v>5.4888597134486457E-15</v>
      </c>
      <c r="K152" s="1">
        <v>5.6921514187363405E-14</v>
      </c>
      <c r="L152" s="1">
        <v>4.9299688127324399E-13</v>
      </c>
      <c r="M152" s="1">
        <v>3.6531702114816098E-12</v>
      </c>
      <c r="N152" s="1">
        <v>2.3621261426247332E-11</v>
      </c>
      <c r="O152" s="1">
        <v>1.3546117987635051E-10</v>
      </c>
      <c r="P152" s="1">
        <v>6.9842827950108966E-10</v>
      </c>
      <c r="Q152" s="1">
        <v>3.2750879531573185E-9</v>
      </c>
      <c r="R152" s="1">
        <v>1.4105146670040724E-8</v>
      </c>
      <c r="S152" s="1">
        <v>5.6265437014018486E-8</v>
      </c>
      <c r="T152" s="1">
        <v>2.0939878410009695E-7</v>
      </c>
      <c r="U152" s="1">
        <v>7.3167944110770107E-7</v>
      </c>
      <c r="V152" s="1">
        <v>2.413691503528616E-6</v>
      </c>
      <c r="W152" s="1">
        <v>7.5537950630413369E-6</v>
      </c>
      <c r="X152" s="1">
        <v>2.2523298654763874E-5</v>
      </c>
      <c r="Y152" s="1">
        <v>6.4229091529274622E-5</v>
      </c>
      <c r="Z152" s="1">
        <v>1.7576522513995256E-4</v>
      </c>
      <c r="AA152" s="1">
        <v>4.6296446794693224E-4</v>
      </c>
      <c r="AB152" s="1">
        <v>1.1769354785792381E-3</v>
      </c>
      <c r="AC152" s="1">
        <v>2.8947222056400876E-3</v>
      </c>
      <c r="AD152" s="1">
        <v>6.903453389558712E-3</v>
      </c>
      <c r="AE152" s="1">
        <v>1.5995466033278897E-2</v>
      </c>
      <c r="AF152" s="1">
        <v>3.607319641733641E-2</v>
      </c>
      <c r="AG152" s="1">
        <v>7.9313217930579966E-2</v>
      </c>
      <c r="AH152" s="1">
        <v>0.1702681610549038</v>
      </c>
      <c r="AI152" s="1">
        <v>0.35739344601666062</v>
      </c>
      <c r="AJ152" s="1">
        <v>0.16742832968227259</v>
      </c>
      <c r="AK152" s="1">
        <v>8.0099970645427718E-2</v>
      </c>
      <c r="AL152" s="1">
        <v>3.9090806161094879E-2</v>
      </c>
      <c r="AM152" s="1">
        <v>1.9440620862920328E-2</v>
      </c>
      <c r="AN152" s="1">
        <v>9.8429699109415809E-3</v>
      </c>
      <c r="AO152" s="1">
        <v>5.0692000663035645E-3</v>
      </c>
      <c r="AP152" s="1">
        <v>2.6533357956272613E-3</v>
      </c>
      <c r="AQ152" s="1">
        <v>1.4104128440512618E-3</v>
      </c>
      <c r="AR152" s="1">
        <v>7.6079799120431222E-4</v>
      </c>
      <c r="AS152" s="1">
        <v>4.161014945389881E-4</v>
      </c>
      <c r="AT152" s="1">
        <v>2.3048378404488703E-4</v>
      </c>
      <c r="AU152" s="1">
        <v>1.2902265100566706E-4</v>
      </c>
      <c r="AV152" s="1">
        <v>7.2620736027754037E-5</v>
      </c>
      <c r="AW152" s="1">
        <v>4.0530871963793955E-5</v>
      </c>
      <c r="AX152" s="1">
        <v>2.1509568885709323E-5</v>
      </c>
      <c r="AY152" s="1">
        <v>9.2556422510628083E-6</v>
      </c>
      <c r="AZ152" s="1">
        <v>3.5290028470380427E-5</v>
      </c>
    </row>
    <row r="153" spans="2:52" s="15" customFormat="1" x14ac:dyDescent="0.2">
      <c r="B153" s="1">
        <v>4.0088632890279176E-30</v>
      </c>
      <c r="C153" s="1">
        <v>1.2828362524889344E-26</v>
      </c>
      <c r="D153" s="1">
        <v>3.440139217091159E-24</v>
      </c>
      <c r="E153" s="1">
        <v>3.3858959763179883E-22</v>
      </c>
      <c r="F153" s="1">
        <v>1.7446440142056151E-20</v>
      </c>
      <c r="G153" s="1">
        <v>5.594315313464771E-19</v>
      </c>
      <c r="H153" s="1">
        <v>1.2389996007323592E-17</v>
      </c>
      <c r="I153" s="1">
        <v>2.0334741097735186E-16</v>
      </c>
      <c r="J153" s="1">
        <v>2.6022609951692825E-15</v>
      </c>
      <c r="K153" s="1">
        <v>2.698641318757337E-14</v>
      </c>
      <c r="L153" s="1">
        <v>2.3372915721167438E-13</v>
      </c>
      <c r="M153" s="1">
        <v>1.7319630754563379E-12</v>
      </c>
      <c r="N153" s="1">
        <v>1.1198808217963989E-11</v>
      </c>
      <c r="O153" s="1">
        <v>6.4221962876576821E-11</v>
      </c>
      <c r="P153" s="1">
        <v>3.3112390633991013E-10</v>
      </c>
      <c r="Q153" s="1">
        <v>1.5527147861637236E-9</v>
      </c>
      <c r="R153" s="1">
        <v>6.6872310328235671E-9</v>
      </c>
      <c r="S153" s="1">
        <v>2.6675367883603721E-8</v>
      </c>
      <c r="T153" s="1">
        <v>9.9275681425129611E-8</v>
      </c>
      <c r="U153" s="1">
        <v>3.4688823725930788E-7</v>
      </c>
      <c r="V153" s="1">
        <v>1.1443278899284593E-6</v>
      </c>
      <c r="W153" s="1">
        <v>3.5812440623854674E-6</v>
      </c>
      <c r="X153" s="1">
        <v>1.0678265547256124E-5</v>
      </c>
      <c r="Y153" s="1">
        <v>3.0450925760092823E-5</v>
      </c>
      <c r="Z153" s="1">
        <v>8.3330056435614391E-5</v>
      </c>
      <c r="AA153" s="1">
        <v>2.1949083051544326E-4</v>
      </c>
      <c r="AB153" s="1">
        <v>5.5798352474440566E-4</v>
      </c>
      <c r="AC153" s="1">
        <v>1.3723838977212131E-3</v>
      </c>
      <c r="AD153" s="1">
        <v>3.2729179511732636E-3</v>
      </c>
      <c r="AE153" s="1">
        <v>7.5834288961639778E-3</v>
      </c>
      <c r="AF153" s="1">
        <v>1.7102253821119292E-2</v>
      </c>
      <c r="AG153" s="1">
        <v>3.7602289764558802E-2</v>
      </c>
      <c r="AH153" s="1">
        <v>8.0723905758923006E-2</v>
      </c>
      <c r="AI153" s="1">
        <v>0.16943975125098557</v>
      </c>
      <c r="AJ153" s="1">
        <v>0.34817904955945544</v>
      </c>
      <c r="AK153" s="1">
        <v>0.16657355240890412</v>
      </c>
      <c r="AL153" s="1">
        <v>8.1292095319302579E-2</v>
      </c>
      <c r="AM153" s="1">
        <v>4.042814562949084E-2</v>
      </c>
      <c r="AN153" s="1">
        <v>2.0469151874939973E-2</v>
      </c>
      <c r="AO153" s="1">
        <v>1.0541759954612878E-2</v>
      </c>
      <c r="AP153" s="1">
        <v>5.517799390561547E-3</v>
      </c>
      <c r="AQ153" s="1">
        <v>2.9330532321509041E-3</v>
      </c>
      <c r="AR153" s="1">
        <v>1.5821332147728374E-3</v>
      </c>
      <c r="AS153" s="1">
        <v>8.6531247826331017E-4</v>
      </c>
      <c r="AT153" s="1">
        <v>4.7930732522927645E-4</v>
      </c>
      <c r="AU153" s="1">
        <v>2.6831172528594456E-4</v>
      </c>
      <c r="AV153" s="1">
        <v>1.5101995520372619E-4</v>
      </c>
      <c r="AW153" s="1">
        <v>8.4286813975567869E-5</v>
      </c>
      <c r="AX153" s="1">
        <v>4.4730669327419485E-5</v>
      </c>
      <c r="AY153" s="1">
        <v>1.9247762479342232E-5</v>
      </c>
      <c r="AZ153" s="1">
        <v>7.3388109378267073E-5</v>
      </c>
    </row>
    <row r="154" spans="2:52" s="15" customFormat="1" x14ac:dyDescent="0.2">
      <c r="B154" s="1">
        <v>1.9402632051327465E-30</v>
      </c>
      <c r="C154" s="1">
        <v>6.2088422564247918E-27</v>
      </c>
      <c r="D154" s="1">
        <v>1.6650045317645814E-24</v>
      </c>
      <c r="E154" s="1">
        <v>1.6387511635124406E-22</v>
      </c>
      <c r="F154" s="1">
        <v>8.443961149992396E-21</v>
      </c>
      <c r="G154" s="1">
        <v>2.7076114544326059E-19</v>
      </c>
      <c r="H154" s="1">
        <v>5.9966757735409981E-18</v>
      </c>
      <c r="I154" s="1">
        <v>9.8418796285276577E-17</v>
      </c>
      <c r="J154" s="1">
        <v>1.2594770375178837E-15</v>
      </c>
      <c r="K154" s="1">
        <v>1.3061244739791144E-14</v>
      </c>
      <c r="L154" s="1">
        <v>1.1312335966798809E-13</v>
      </c>
      <c r="M154" s="1">
        <v>8.3825862487102649E-13</v>
      </c>
      <c r="N154" s="1">
        <v>5.4201487953266123E-12</v>
      </c>
      <c r="O154" s="1">
        <v>3.1083003471799212E-11</v>
      </c>
      <c r="P154" s="1">
        <v>1.6026177135288067E-10</v>
      </c>
      <c r="Q154" s="1">
        <v>7.5150364341547706E-10</v>
      </c>
      <c r="R154" s="1">
        <v>3.2365754034869164E-9</v>
      </c>
      <c r="S154" s="1">
        <v>1.291070087862396E-8</v>
      </c>
      <c r="T154" s="1">
        <v>4.8048770423489992E-8</v>
      </c>
      <c r="U154" s="1">
        <v>1.6789160281162834E-7</v>
      </c>
      <c r="V154" s="1">
        <v>5.5384709813184222E-7</v>
      </c>
      <c r="W154" s="1">
        <v>1.7332983396726287E-6</v>
      </c>
      <c r="X154" s="1">
        <v>5.1682096001337245E-6</v>
      </c>
      <c r="Y154" s="1">
        <v>1.4738045813695882E-5</v>
      </c>
      <c r="Z154" s="1">
        <v>4.0331193838955538E-5</v>
      </c>
      <c r="AA154" s="1">
        <v>1.0623210411757609E-4</v>
      </c>
      <c r="AB154" s="1">
        <v>2.7006031986547696E-4</v>
      </c>
      <c r="AC154" s="1">
        <v>6.6422469116197101E-4</v>
      </c>
      <c r="AD154" s="1">
        <v>1.5840705497392465E-3</v>
      </c>
      <c r="AE154" s="1">
        <v>3.6703292168227728E-3</v>
      </c>
      <c r="AF154" s="1">
        <v>8.27737725673478E-3</v>
      </c>
      <c r="AG154" s="1">
        <v>1.8199258492699631E-2</v>
      </c>
      <c r="AH154" s="1">
        <v>3.9069834221416112E-2</v>
      </c>
      <c r="AI154" s="1">
        <v>8.2007714191433725E-2</v>
      </c>
      <c r="AJ154" s="1">
        <v>0.1685163473913609</v>
      </c>
      <c r="AK154" s="1">
        <v>0.33939722576942222</v>
      </c>
      <c r="AL154" s="1">
        <v>0.16563440731951334</v>
      </c>
      <c r="AM154" s="1">
        <v>8.2373223547328997E-2</v>
      </c>
      <c r="AN154" s="1">
        <v>4.1706340891101965E-2</v>
      </c>
      <c r="AO154" s="1">
        <v>2.1479064542850854E-2</v>
      </c>
      <c r="AP154" s="1">
        <v>1.1242635931252985E-2</v>
      </c>
      <c r="AQ154" s="1">
        <v>5.9761595741344197E-3</v>
      </c>
      <c r="AR154" s="1">
        <v>3.2236307392508661E-3</v>
      </c>
      <c r="AS154" s="1">
        <v>1.7630929418212501E-3</v>
      </c>
      <c r="AT154" s="1">
        <v>9.7659907062823056E-4</v>
      </c>
      <c r="AU154" s="1">
        <v>5.466909595582901E-4</v>
      </c>
      <c r="AV154" s="1">
        <v>3.0770643412913871E-4</v>
      </c>
      <c r="AW154" s="1">
        <v>1.7173621153271352E-4</v>
      </c>
      <c r="AX154" s="1">
        <v>9.1139708897293347E-5</v>
      </c>
      <c r="AY154" s="1">
        <v>3.9217733507425217E-5</v>
      </c>
      <c r="AZ154" s="1">
        <v>1.4952986453877976E-4</v>
      </c>
    </row>
    <row r="155" spans="2:52" s="15" customFormat="1" x14ac:dyDescent="0.2">
      <c r="B155" s="1">
        <v>9.5762838629048684E-31</v>
      </c>
      <c r="C155" s="1">
        <v>3.0644108361295592E-27</v>
      </c>
      <c r="D155" s="1">
        <v>8.2177283922207676E-25</v>
      </c>
      <c r="E155" s="1">
        <v>8.0881533396841836E-23</v>
      </c>
      <c r="F155" s="1">
        <v>4.1675669922388465E-21</v>
      </c>
      <c r="G155" s="1">
        <v>1.3363576554720767E-19</v>
      </c>
      <c r="H155" s="1">
        <v>2.9596948130191614E-18</v>
      </c>
      <c r="I155" s="1">
        <v>4.8575179294230545E-17</v>
      </c>
      <c r="J155" s="1">
        <v>6.2162234475072459E-16</v>
      </c>
      <c r="K155" s="1">
        <v>6.4464546304971847E-15</v>
      </c>
      <c r="L155" s="1">
        <v>5.5832703565185725E-14</v>
      </c>
      <c r="M155" s="1">
        <v>4.1372750465285602E-13</v>
      </c>
      <c r="N155" s="1">
        <v>2.6751465113558307E-12</v>
      </c>
      <c r="O155" s="1">
        <v>1.5341200295412596E-11</v>
      </c>
      <c r="P155" s="1">
        <v>7.9098145591135964E-11</v>
      </c>
      <c r="Q155" s="1">
        <v>3.7090907018779854E-10</v>
      </c>
      <c r="R155" s="1">
        <v>1.5974309426419309E-9</v>
      </c>
      <c r="S155" s="1">
        <v>6.3721528169833802E-9</v>
      </c>
      <c r="T155" s="1">
        <v>2.3714754968381076E-8</v>
      </c>
      <c r="U155" s="1">
        <v>8.2863894056694806E-8</v>
      </c>
      <c r="V155" s="1">
        <v>2.7335451264168983E-7</v>
      </c>
      <c r="W155" s="1">
        <v>8.5547965223981948E-7</v>
      </c>
      <c r="X155" s="1">
        <v>2.5508004307325157E-6</v>
      </c>
      <c r="Y155" s="1">
        <v>7.2740497228979039E-6</v>
      </c>
      <c r="Z155" s="1">
        <v>1.9905699376763374E-5</v>
      </c>
      <c r="AA155" s="1">
        <v>5.2431483609666907E-5</v>
      </c>
      <c r="AB155" s="1">
        <v>1.3328986893619703E-4</v>
      </c>
      <c r="AC155" s="1">
        <v>3.2783202683484214E-4</v>
      </c>
      <c r="AD155" s="1">
        <v>7.8182739347123489E-4</v>
      </c>
      <c r="AE155" s="1">
        <v>1.8115127039273762E-3</v>
      </c>
      <c r="AF155" s="1">
        <v>4.0853485259708311E-3</v>
      </c>
      <c r="AG155" s="1">
        <v>8.9823517221494769E-3</v>
      </c>
      <c r="AH155" s="1">
        <v>1.9283147873502958E-2</v>
      </c>
      <c r="AI155" s="1">
        <v>4.0475392615169019E-2</v>
      </c>
      <c r="AJ155" s="1">
        <v>8.3172240440912357E-2</v>
      </c>
      <c r="AK155" s="1">
        <v>0.16751150914228841</v>
      </c>
      <c r="AL155" s="1">
        <v>0.33102050724006565</v>
      </c>
      <c r="AM155" s="1">
        <v>0.16462295897878831</v>
      </c>
      <c r="AN155" s="1">
        <v>8.3350158583102699E-2</v>
      </c>
      <c r="AO155" s="1">
        <v>4.2925929189948989E-2</v>
      </c>
      <c r="AP155" s="1">
        <v>2.2468417697174423E-2</v>
      </c>
      <c r="AQ155" s="1">
        <v>1.1943360112138339E-2</v>
      </c>
      <c r="AR155" s="1">
        <v>6.4424288390940868E-3</v>
      </c>
      <c r="AS155" s="1">
        <v>3.5235427792924138E-3</v>
      </c>
      <c r="AT155" s="1">
        <v>1.9517340929407769E-3</v>
      </c>
      <c r="AU155" s="1">
        <v>1.0925623586617191E-3</v>
      </c>
      <c r="AV155" s="1">
        <v>6.1495157651618904E-4</v>
      </c>
      <c r="AW155" s="1">
        <v>3.432149682727712E-4</v>
      </c>
      <c r="AX155" s="1">
        <v>1.8214278758336072E-4</v>
      </c>
      <c r="AY155" s="1">
        <v>7.8376674560082308E-5</v>
      </c>
      <c r="AZ155" s="1">
        <v>2.9883556447111396E-4</v>
      </c>
    </row>
    <row r="156" spans="2:52" s="15" customFormat="1" x14ac:dyDescent="0.2">
      <c r="B156" s="1">
        <v>4.8149578529944291E-31</v>
      </c>
      <c r="C156" s="1">
        <v>1.5407865129582181E-27</v>
      </c>
      <c r="D156" s="1">
        <v>4.1318758322496217E-25</v>
      </c>
      <c r="E156" s="1">
        <v>4.0667254643516987E-23</v>
      </c>
      <c r="F156" s="1">
        <v>2.0954536962810738E-21</v>
      </c>
      <c r="G156" s="1">
        <v>6.7192095386285452E-20</v>
      </c>
      <c r="H156" s="1">
        <v>1.4881352710957186E-18</v>
      </c>
      <c r="I156" s="1">
        <v>2.4423611951329563E-17</v>
      </c>
      <c r="J156" s="1">
        <v>3.1255186597469867E-16</v>
      </c>
      <c r="K156" s="1">
        <v>3.2412789544930258E-15</v>
      </c>
      <c r="L156" s="1">
        <v>2.8072696918108445E-14</v>
      </c>
      <c r="M156" s="1">
        <v>2.0802228986179837E-13</v>
      </c>
      <c r="N156" s="1">
        <v>1.3450643158834032E-12</v>
      </c>
      <c r="O156" s="1">
        <v>7.7135592359467164E-12</v>
      </c>
      <c r="P156" s="1">
        <v>3.9770566821502779E-11</v>
      </c>
      <c r="Q156" s="1">
        <v>1.8649317060927896E-10</v>
      </c>
      <c r="R156" s="1">
        <v>8.0318866608418423E-10</v>
      </c>
      <c r="S156" s="1">
        <v>3.203919984605358E-9</v>
      </c>
      <c r="T156" s="1">
        <v>1.192378456001701E-8</v>
      </c>
      <c r="U156" s="1">
        <v>4.1663986064940299E-8</v>
      </c>
      <c r="V156" s="1">
        <v>1.3744271537250743E-7</v>
      </c>
      <c r="W156" s="1">
        <v>4.301353769999437E-7</v>
      </c>
      <c r="X156" s="1">
        <v>1.2825430763339425E-6</v>
      </c>
      <c r="Y156" s="1">
        <v>3.657393968030827E-6</v>
      </c>
      <c r="Z156" s="1">
        <v>1.0008590483074871E-5</v>
      </c>
      <c r="AA156" s="1">
        <v>2.6362562698087631E-5</v>
      </c>
      <c r="AB156" s="1">
        <v>6.7018178486227671E-5</v>
      </c>
      <c r="AC156" s="1">
        <v>1.6483402274509044E-4</v>
      </c>
      <c r="AD156" s="1">
        <v>3.9310300339599329E-4</v>
      </c>
      <c r="AE156" s="1">
        <v>9.1082902767341883E-4</v>
      </c>
      <c r="AF156" s="1">
        <v>2.0541142314650994E-3</v>
      </c>
      <c r="AG156" s="1">
        <v>4.5163286283164041E-3</v>
      </c>
      <c r="AH156" s="1">
        <v>9.6955714359757451E-3</v>
      </c>
      <c r="AI156" s="1">
        <v>2.0351037241112414E-2</v>
      </c>
      <c r="AJ156" s="1">
        <v>4.1819022701843039E-2</v>
      </c>
      <c r="AK156" s="1">
        <v>8.4224827496597168E-2</v>
      </c>
      <c r="AL156" s="1">
        <v>0.166437191467534</v>
      </c>
      <c r="AM156" s="1">
        <v>0.32302343846213361</v>
      </c>
      <c r="AN156" s="1">
        <v>0.16354981704190558</v>
      </c>
      <c r="AO156" s="1">
        <v>8.4229328230614769E-2</v>
      </c>
      <c r="AP156" s="1">
        <v>4.4087565831445824E-2</v>
      </c>
      <c r="AQ156" s="1">
        <v>2.3435280681059326E-2</v>
      </c>
      <c r="AR156" s="1">
        <v>1.2641344369954666E-2</v>
      </c>
      <c r="AS156" s="1">
        <v>6.9139013852989586E-3</v>
      </c>
      <c r="AT156" s="1">
        <v>3.8296958187146761E-3</v>
      </c>
      <c r="AU156" s="1">
        <v>2.1438276411656623E-3</v>
      </c>
      <c r="AV156" s="1">
        <v>1.2066589858803626E-3</v>
      </c>
      <c r="AW156" s="1">
        <v>6.7345697022386654E-4</v>
      </c>
      <c r="AX156" s="1">
        <v>3.5740087470931845E-4</v>
      </c>
      <c r="AY156" s="1">
        <v>1.5379083858459611E-4</v>
      </c>
      <c r="AZ156" s="1">
        <v>5.8637563174083053E-4</v>
      </c>
    </row>
    <row r="157" spans="2:52" s="15" customFormat="1" x14ac:dyDescent="0.2">
      <c r="B157" s="1">
        <v>2.4640046861184005E-31</v>
      </c>
      <c r="C157" s="1">
        <v>7.8848149955788852E-28</v>
      </c>
      <c r="D157" s="1">
        <v>2.1144445546477384E-25</v>
      </c>
      <c r="E157" s="1">
        <v>2.0811045303517861E-23</v>
      </c>
      <c r="F157" s="1">
        <v>1.0723266713476387E-21</v>
      </c>
      <c r="G157" s="1">
        <v>3.438485713825281E-20</v>
      </c>
      <c r="H157" s="1">
        <v>7.6153777322839003E-19</v>
      </c>
      <c r="I157" s="1">
        <v>1.2498529818404838E-17</v>
      </c>
      <c r="J157" s="1">
        <v>1.5994517209278652E-16</v>
      </c>
      <c r="K157" s="1">
        <v>1.6586908497902912E-15</v>
      </c>
      <c r="L157" s="1">
        <v>1.4365911160610279E-14</v>
      </c>
      <c r="M157" s="1">
        <v>1.0645324687894927E-13</v>
      </c>
      <c r="N157" s="1">
        <v>6.8832269744712563E-13</v>
      </c>
      <c r="O157" s="1">
        <v>3.9473338467967202E-12</v>
      </c>
      <c r="P157" s="1">
        <v>2.0352174621180681E-11</v>
      </c>
      <c r="Q157" s="1">
        <v>9.5435943644774711E-11</v>
      </c>
      <c r="R157" s="1">
        <v>4.1102346011976753E-10</v>
      </c>
      <c r="S157" s="1">
        <v>1.6395727848596664E-9</v>
      </c>
      <c r="T157" s="1">
        <v>6.1018729403574148E-9</v>
      </c>
      <c r="U157" s="1">
        <v>2.1321112259069949E-8</v>
      </c>
      <c r="V157" s="1">
        <v>7.0334882482944884E-8</v>
      </c>
      <c r="W157" s="1">
        <v>2.2011731295509482E-7</v>
      </c>
      <c r="X157" s="1">
        <v>6.5632810228447077E-7</v>
      </c>
      <c r="Y157" s="1">
        <v>1.8716333873212733E-6</v>
      </c>
      <c r="Z157" s="1">
        <v>5.121792257516785E-6</v>
      </c>
      <c r="AA157" s="1">
        <v>1.3490767730351143E-5</v>
      </c>
      <c r="AB157" s="1">
        <v>3.4295856970479574E-5</v>
      </c>
      <c r="AC157" s="1">
        <v>8.4352099618704556E-5</v>
      </c>
      <c r="AD157" s="1">
        <v>2.0116638028151512E-4</v>
      </c>
      <c r="AE157" s="1">
        <v>4.6610729750090027E-4</v>
      </c>
      <c r="AF157" s="1">
        <v>1.0511716294681259E-3</v>
      </c>
      <c r="AG157" s="1">
        <v>2.3111842811462269E-3</v>
      </c>
      <c r="AH157" s="1">
        <v>4.9616080103344539E-3</v>
      </c>
      <c r="AI157" s="1">
        <v>1.0414431997215885E-2</v>
      </c>
      <c r="AJ157" s="1">
        <v>2.1400450648213023E-2</v>
      </c>
      <c r="AK157" s="1">
        <v>4.3101180939738838E-2</v>
      </c>
      <c r="AL157" s="1">
        <v>8.5172504566233376E-2</v>
      </c>
      <c r="AM157" s="1">
        <v>0.16530389058375355</v>
      </c>
      <c r="AN157" s="1">
        <v>0.31538235325941394</v>
      </c>
      <c r="AO157" s="1">
        <v>0.16242417283795796</v>
      </c>
      <c r="AP157" s="1">
        <v>8.5016544273100875E-2</v>
      </c>
      <c r="AQ157" s="1">
        <v>4.519157590126556E-2</v>
      </c>
      <c r="AR157" s="1">
        <v>2.4377018622634184E-2</v>
      </c>
      <c r="AS157" s="1">
        <v>1.333246669753475E-2</v>
      </c>
      <c r="AT157" s="1">
        <v>7.3850188365817545E-3</v>
      </c>
      <c r="AU157" s="1">
        <v>4.1340639731817291E-3</v>
      </c>
      <c r="AV157" s="1">
        <v>2.3268687023419773E-3</v>
      </c>
      <c r="AW157" s="1">
        <v>1.2986651280309093E-3</v>
      </c>
      <c r="AX157" s="1">
        <v>6.8919630092839927E-4</v>
      </c>
      <c r="AY157" s="1">
        <v>2.965635636884933E-4</v>
      </c>
      <c r="AZ157" s="1">
        <v>1.1307412626760337E-3</v>
      </c>
    </row>
    <row r="158" spans="2:52" s="15" customFormat="1" x14ac:dyDescent="0.2">
      <c r="B158" s="1">
        <v>1.2822344812334391E-31</v>
      </c>
      <c r="C158" s="1">
        <v>4.1031503399470065E-28</v>
      </c>
      <c r="D158" s="1">
        <v>1.1003281494957892E-25</v>
      </c>
      <c r="E158" s="1">
        <v>1.0829784549118983E-23</v>
      </c>
      <c r="F158" s="1">
        <v>5.5802419569024712E-22</v>
      </c>
      <c r="G158" s="1">
        <v>1.7893411365385251E-20</v>
      </c>
      <c r="H158" s="1">
        <v>3.9629388576099963E-19</v>
      </c>
      <c r="I158" s="1">
        <v>6.5040646992961585E-18</v>
      </c>
      <c r="J158" s="1">
        <v>8.3233289254520686E-17</v>
      </c>
      <c r="K158" s="1">
        <v>8.6316012842408516E-16</v>
      </c>
      <c r="L158" s="1">
        <v>7.4758245178051799E-15</v>
      </c>
      <c r="M158" s="1">
        <v>5.5396819882868406E-14</v>
      </c>
      <c r="N158" s="1">
        <v>3.5819375744478859E-13</v>
      </c>
      <c r="O158" s="1">
        <v>2.0541387749046582E-12</v>
      </c>
      <c r="P158" s="1">
        <v>1.0590994495417123E-11</v>
      </c>
      <c r="Q158" s="1">
        <v>4.9663565325095011E-11</v>
      </c>
      <c r="R158" s="1">
        <v>2.1389101089401029E-10</v>
      </c>
      <c r="S158" s="1">
        <v>8.5321134780422198E-10</v>
      </c>
      <c r="T158" s="1">
        <v>3.175331576400902E-9</v>
      </c>
      <c r="U158" s="1">
        <v>1.1095216446156871E-8</v>
      </c>
      <c r="V158" s="1">
        <v>3.660131494928501E-8</v>
      </c>
      <c r="W158" s="1">
        <v>1.1454605187139334E-7</v>
      </c>
      <c r="X158" s="1">
        <v>3.4154420585838815E-7</v>
      </c>
      <c r="Y158" s="1">
        <v>9.7397252487845255E-7</v>
      </c>
      <c r="Z158" s="1">
        <v>2.66531093682624E-6</v>
      </c>
      <c r="AA158" s="1">
        <v>7.0204117953274048E-6</v>
      </c>
      <c r="AB158" s="1">
        <v>1.78470968901745E-5</v>
      </c>
      <c r="AC158" s="1">
        <v>4.3895683845442057E-5</v>
      </c>
      <c r="AD158" s="1">
        <v>1.0468424460191251E-4</v>
      </c>
      <c r="AE158" s="1">
        <v>2.4255588967717913E-4</v>
      </c>
      <c r="AF158" s="1">
        <v>5.4701540000788953E-4</v>
      </c>
      <c r="AG158" s="1">
        <v>1.2027088237558691E-3</v>
      </c>
      <c r="AH158" s="1">
        <v>2.5819532361510979E-3</v>
      </c>
      <c r="AI158" s="1">
        <v>5.4195285765983982E-3</v>
      </c>
      <c r="AJ158" s="1">
        <v>1.1136503063352808E-2</v>
      </c>
      <c r="AK158" s="1">
        <v>2.2429267563559733E-2</v>
      </c>
      <c r="AL158" s="1">
        <v>4.4322611406993548E-2</v>
      </c>
      <c r="AM158" s="1">
        <v>8.6021893376522329E-2</v>
      </c>
      <c r="AN158" s="1">
        <v>0.16412068142565775</v>
      </c>
      <c r="AO158" s="1">
        <v>0.30807500139857535</v>
      </c>
      <c r="AP158" s="1">
        <v>0.16125353473074136</v>
      </c>
      <c r="AQ158" s="1">
        <v>8.5716273419941313E-2</v>
      </c>
      <c r="AR158" s="1">
        <v>4.6236652556349504E-2</v>
      </c>
      <c r="AS158" s="1">
        <v>2.5288105980303888E-2</v>
      </c>
      <c r="AT158" s="1">
        <v>1.4007395873754679E-2</v>
      </c>
      <c r="AU158" s="1">
        <v>7.8412082516213059E-3</v>
      </c>
      <c r="AV158" s="1">
        <v>4.4134445397081955E-3</v>
      </c>
      <c r="AW158" s="1">
        <v>2.4632187078061857E-3</v>
      </c>
      <c r="AX158" s="1">
        <v>1.307220148716621E-3</v>
      </c>
      <c r="AY158" s="1">
        <v>5.6250137342086343E-4</v>
      </c>
      <c r="AZ158" s="1">
        <v>2.1447122678462365E-3</v>
      </c>
    </row>
    <row r="159" spans="2:52" s="15" customFormat="1" x14ac:dyDescent="0.2">
      <c r="B159" s="1">
        <v>6.7798270435015059E-32</v>
      </c>
      <c r="C159" s="1">
        <v>2.1695446539204828E-28</v>
      </c>
      <c r="D159" s="1">
        <v>5.817995580263429E-26</v>
      </c>
      <c r="E159" s="1">
        <v>5.7262589047505364E-24</v>
      </c>
      <c r="F159" s="1">
        <v>2.9505582545476232E-22</v>
      </c>
      <c r="G159" s="1">
        <v>9.4611583178482715E-21</v>
      </c>
      <c r="H159" s="1">
        <v>2.0954076989663883E-19</v>
      </c>
      <c r="I159" s="1">
        <v>3.439030410300091E-18</v>
      </c>
      <c r="J159" s="1">
        <v>4.4009681042468144E-17</v>
      </c>
      <c r="K159" s="1">
        <v>4.5639674078429634E-16</v>
      </c>
      <c r="L159" s="1">
        <v>3.9528493407485947E-15</v>
      </c>
      <c r="M159" s="1">
        <v>2.9291121324749044E-14</v>
      </c>
      <c r="N159" s="1">
        <v>1.8939529072728733E-13</v>
      </c>
      <c r="O159" s="1">
        <v>1.0861278355115619E-12</v>
      </c>
      <c r="P159" s="1">
        <v>5.5999984362089559E-12</v>
      </c>
      <c r="Q159" s="1">
        <v>2.6259657511618777E-11</v>
      </c>
      <c r="R159" s="1">
        <v>1.1309507591982143E-10</v>
      </c>
      <c r="S159" s="1">
        <v>4.5113631354703097E-10</v>
      </c>
      <c r="T159" s="1">
        <v>1.6789595981741312E-9</v>
      </c>
      <c r="U159" s="1">
        <v>5.8666062733546206E-9</v>
      </c>
      <c r="V159" s="1">
        <v>1.9352980172719363E-8</v>
      </c>
      <c r="W159" s="1">
        <v>6.0566334127666733E-8</v>
      </c>
      <c r="X159" s="1">
        <v>1.8059182445339133E-7</v>
      </c>
      <c r="Y159" s="1">
        <v>5.1498890105078928E-7</v>
      </c>
      <c r="Z159" s="1">
        <v>1.4092856987789156E-6</v>
      </c>
      <c r="AA159" s="1">
        <v>3.7120494295779529E-6</v>
      </c>
      <c r="AB159" s="1">
        <v>9.4366694949274133E-6</v>
      </c>
      <c r="AC159" s="1">
        <v>2.3209884680533662E-5</v>
      </c>
      <c r="AD159" s="1">
        <v>5.5351894132330695E-5</v>
      </c>
      <c r="AE159" s="1">
        <v>1.2825165790363092E-4</v>
      </c>
      <c r="AF159" s="1">
        <v>2.8923491424265448E-4</v>
      </c>
      <c r="AG159" s="1">
        <v>6.3593343714435716E-4</v>
      </c>
      <c r="AH159" s="1">
        <v>1.3652102350791881E-3</v>
      </c>
      <c r="AI159" s="1">
        <v>2.8655809014982848E-3</v>
      </c>
      <c r="AJ159" s="1">
        <v>5.8884366115569166E-3</v>
      </c>
      <c r="AK159" s="1">
        <v>1.1859496606819817E-2</v>
      </c>
      <c r="AL159" s="1">
        <v>2.343562303570865E-2</v>
      </c>
      <c r="AM159" s="1">
        <v>4.548415813044817E-2</v>
      </c>
      <c r="AN159" s="1">
        <v>8.6778966765673329E-2</v>
      </c>
      <c r="AO159" s="1">
        <v>0.16289495068792842</v>
      </c>
      <c r="AP159" s="1">
        <v>0.30107967586399514</v>
      </c>
      <c r="AQ159" s="1">
        <v>0.16004255572219456</v>
      </c>
      <c r="AR159" s="1">
        <v>8.6329371867393798E-2</v>
      </c>
      <c r="AS159" s="1">
        <v>4.7215924689511753E-2</v>
      </c>
      <c r="AT159" s="1">
        <v>2.6153486907501123E-2</v>
      </c>
      <c r="AU159" s="1">
        <v>1.4640475588471915E-2</v>
      </c>
      <c r="AV159" s="1">
        <v>8.2404299147790447E-3</v>
      </c>
      <c r="AW159" s="1">
        <v>4.5991245485983876E-3</v>
      </c>
      <c r="AX159" s="1">
        <v>2.4407366903037085E-3</v>
      </c>
      <c r="AY159" s="1">
        <v>1.050257480962489E-3</v>
      </c>
      <c r="AZ159" s="1">
        <v>4.004434851632291E-3</v>
      </c>
    </row>
    <row r="160" spans="2:52" s="15" customFormat="1" x14ac:dyDescent="0.2">
      <c r="B160" s="1">
        <v>3.6396733483915772E-32</v>
      </c>
      <c r="C160" s="1">
        <v>1.1646954714853054E-28</v>
      </c>
      <c r="D160" s="1">
        <v>3.1233250226997605E-26</v>
      </c>
      <c r="E160" s="1">
        <v>3.0740772276170881E-24</v>
      </c>
      <c r="F160" s="1">
        <v>1.5839737758866873E-22</v>
      </c>
      <c r="G160" s="1">
        <v>5.0791156696824945E-21</v>
      </c>
      <c r="H160" s="1">
        <v>1.1248958870200995E-19</v>
      </c>
      <c r="I160" s="1">
        <v>1.846204519431649E-18</v>
      </c>
      <c r="J160" s="1">
        <v>2.3626098738760514E-17</v>
      </c>
      <c r="K160" s="1">
        <v>2.4501142036028599E-16</v>
      </c>
      <c r="L160" s="1">
        <v>2.1220423918512724E-15</v>
      </c>
      <c r="M160" s="1">
        <v>1.5724606681873922E-14</v>
      </c>
      <c r="N160" s="1">
        <v>1.0167471641208233E-13</v>
      </c>
      <c r="O160" s="1">
        <v>5.830754251536217E-13</v>
      </c>
      <c r="P160" s="1">
        <v>3.0062957253224685E-12</v>
      </c>
      <c r="Q160" s="1">
        <v>1.4097199673336818E-11</v>
      </c>
      <c r="R160" s="1">
        <v>6.0713810399373597E-11</v>
      </c>
      <c r="S160" s="1">
        <v>2.4218741958655249E-10</v>
      </c>
      <c r="T160" s="1">
        <v>9.0133044151294501E-10</v>
      </c>
      <c r="U160" s="1">
        <v>3.1494211226379502E-9</v>
      </c>
      <c r="V160" s="1">
        <v>1.0389428180784189E-8</v>
      </c>
      <c r="W160" s="1">
        <v>3.2514350398590499E-8</v>
      </c>
      <c r="X160" s="1">
        <v>9.6948675266051092E-8</v>
      </c>
      <c r="Y160" s="1">
        <v>2.7646595788437364E-7</v>
      </c>
      <c r="Z160" s="1">
        <v>7.5655906341025526E-7</v>
      </c>
      <c r="AA160" s="1">
        <v>1.99277168725079E-6</v>
      </c>
      <c r="AB160" s="1">
        <v>5.0659691224997078E-6</v>
      </c>
      <c r="AC160" s="1">
        <v>1.2459963675909893E-5</v>
      </c>
      <c r="AD160" s="1">
        <v>2.9715037354756593E-5</v>
      </c>
      <c r="AE160" s="1">
        <v>6.8850449748021777E-5</v>
      </c>
      <c r="AF160" s="1">
        <v>1.5527248734204075E-4</v>
      </c>
      <c r="AG160" s="1">
        <v>3.4139366206161734E-4</v>
      </c>
      <c r="AH160" s="1">
        <v>7.3289764999711195E-4</v>
      </c>
      <c r="AI160" s="1">
        <v>1.5383546465009318E-3</v>
      </c>
      <c r="AJ160" s="1">
        <v>3.1611404924141201E-3</v>
      </c>
      <c r="AK160" s="1">
        <v>6.3666364124370968E-3</v>
      </c>
      <c r="AL160" s="1">
        <v>1.2581148754787042E-2</v>
      </c>
      <c r="AM160" s="1">
        <v>2.4417655060994258E-2</v>
      </c>
      <c r="AN160" s="1">
        <v>4.658630530121273E-2</v>
      </c>
      <c r="AO160" s="1">
        <v>8.7448309050110001E-2</v>
      </c>
      <c r="AP160" s="1">
        <v>0.16163121344443696</v>
      </c>
      <c r="AQ160" s="1">
        <v>0.29437277287984964</v>
      </c>
      <c r="AR160" s="1">
        <v>0.15878911994940192</v>
      </c>
      <c r="AS160" s="1">
        <v>8.6846167959627352E-2</v>
      </c>
      <c r="AT160" s="1">
        <v>4.8105170694735883E-2</v>
      </c>
      <c r="AU160" s="1">
        <v>2.6928821373855081E-2</v>
      </c>
      <c r="AV160" s="1">
        <v>1.515695742791221E-2</v>
      </c>
      <c r="AW160" s="1">
        <v>8.459356576014378E-3</v>
      </c>
      <c r="AX160" s="1">
        <v>4.4893461251734462E-3</v>
      </c>
      <c r="AY160" s="1">
        <v>1.9317812410181274E-3</v>
      </c>
      <c r="AZ160" s="1">
        <v>7.3655196630194302E-3</v>
      </c>
    </row>
    <row r="161" spans="2:52" s="15" customFormat="1" x14ac:dyDescent="0.2">
      <c r="B161" s="1">
        <v>1.98231140420197E-32</v>
      </c>
      <c r="C161" s="1">
        <v>6.3433964934463071E-29</v>
      </c>
      <c r="D161" s="1">
        <v>1.7010874929925179E-26</v>
      </c>
      <c r="E161" s="1">
        <v>1.6742651777791695E-24</v>
      </c>
      <c r="F161" s="1">
        <v>8.626953518465097E-23</v>
      </c>
      <c r="G161" s="1">
        <v>2.7662891560644852E-21</v>
      </c>
      <c r="H161" s="1">
        <v>6.1266320681367067E-20</v>
      </c>
      <c r="I161" s="1">
        <v>1.0055166832418823E-18</v>
      </c>
      <c r="J161" s="1">
        <v>1.2867716545866259E-17</v>
      </c>
      <c r="K161" s="1">
        <v>1.3344300057985983E-16</v>
      </c>
      <c r="L161" s="1">
        <v>1.1557490002298521E-15</v>
      </c>
      <c r="M161" s="1">
        <v>8.564248537810159E-15</v>
      </c>
      <c r="N161" s="1">
        <v>5.5376109493930318E-14</v>
      </c>
      <c r="O161" s="1">
        <v>3.1756615337547172E-13</v>
      </c>
      <c r="P161" s="1">
        <v>1.6373486657377951E-12</v>
      </c>
      <c r="Q161" s="1">
        <v>7.6778977135728861E-12</v>
      </c>
      <c r="R161" s="1">
        <v>3.3067164887316171E-11</v>
      </c>
      <c r="S161" s="1">
        <v>1.319049370221175E-10</v>
      </c>
      <c r="T161" s="1">
        <v>4.9090054027927619E-10</v>
      </c>
      <c r="U161" s="1">
        <v>1.7153004707960144E-9</v>
      </c>
      <c r="V161" s="1">
        <v>5.6584973415284867E-9</v>
      </c>
      <c r="W161" s="1">
        <v>1.770861322591703E-8</v>
      </c>
      <c r="X161" s="1">
        <v>5.2802118818463383E-8</v>
      </c>
      <c r="Y161" s="1">
        <v>1.5057439740574593E-7</v>
      </c>
      <c r="Z161" s="1">
        <v>4.120522683754751E-7</v>
      </c>
      <c r="AA161" s="1">
        <v>1.0853430139146231E-6</v>
      </c>
      <c r="AB161" s="1">
        <v>2.7591290216480722E-6</v>
      </c>
      <c r="AC161" s="1">
        <v>6.7861936296051263E-6</v>
      </c>
      <c r="AD161" s="1">
        <v>1.6183995591431918E-5</v>
      </c>
      <c r="AE161" s="1">
        <v>3.7498703497733381E-5</v>
      </c>
      <c r="AF161" s="1">
        <v>8.4567595208222138E-5</v>
      </c>
      <c r="AG161" s="1">
        <v>1.8593661706649641E-4</v>
      </c>
      <c r="AH161" s="1">
        <v>3.9916531804814998E-4</v>
      </c>
      <c r="AI161" s="1">
        <v>8.3784935283093547E-4</v>
      </c>
      <c r="AJ161" s="1">
        <v>1.7216833074227213E-3</v>
      </c>
      <c r="AK161" s="1">
        <v>3.4675243514253329E-3</v>
      </c>
      <c r="AL161" s="1">
        <v>6.8521958613667888E-3</v>
      </c>
      <c r="AM161" s="1">
        <v>1.3298829718515537E-2</v>
      </c>
      <c r="AN161" s="1">
        <v>2.5372761629567336E-2</v>
      </c>
      <c r="AO161" s="1">
        <v>4.7627840115052389E-2</v>
      </c>
      <c r="AP161" s="1">
        <v>8.8030811289013314E-2</v>
      </c>
      <c r="AQ161" s="1">
        <v>0.16032716370664313</v>
      </c>
      <c r="AR161" s="1">
        <v>0.28792160690721613</v>
      </c>
      <c r="AS161" s="1">
        <v>0.15747230188464859</v>
      </c>
      <c r="AT161" s="1">
        <v>8.7225863153519198E-2</v>
      </c>
      <c r="AU161" s="1">
        <v>4.882821647067731E-2</v>
      </c>
      <c r="AV161" s="1">
        <v>2.7483089142753235E-2</v>
      </c>
      <c r="AW161" s="1">
        <v>1.5338781016881374E-2</v>
      </c>
      <c r="AX161" s="1">
        <v>8.1402286928380415E-3</v>
      </c>
      <c r="AY161" s="1">
        <v>3.5027686990417779E-3</v>
      </c>
      <c r="AZ161" s="1">
        <v>1.3355400280315233E-2</v>
      </c>
    </row>
    <row r="162" spans="2:52" s="15" customFormat="1" x14ac:dyDescent="0.2">
      <c r="B162" s="1">
        <v>1.0944341727323929E-32</v>
      </c>
      <c r="C162" s="1">
        <v>3.502189352743659E-29</v>
      </c>
      <c r="D162" s="1">
        <v>9.3917044476075779E-27</v>
      </c>
      <c r="E162" s="1">
        <v>9.2436184390265686E-25</v>
      </c>
      <c r="F162" s="1">
        <v>4.762941239791295E-23</v>
      </c>
      <c r="G162" s="1">
        <v>1.5272683079149365E-21</v>
      </c>
      <c r="H162" s="1">
        <v>3.382513708448493E-20</v>
      </c>
      <c r="I162" s="1">
        <v>5.5514578439075877E-19</v>
      </c>
      <c r="J162" s="1">
        <v>7.1042666066381634E-18</v>
      </c>
      <c r="K162" s="1">
        <v>7.3673883748522895E-17</v>
      </c>
      <c r="L162" s="1">
        <v>6.3808905012180087E-16</v>
      </c>
      <c r="M162" s="1">
        <v>4.7283218185016738E-15</v>
      </c>
      <c r="N162" s="1">
        <v>3.0573151349813436E-14</v>
      </c>
      <c r="O162" s="1">
        <v>1.7532828072348691E-13</v>
      </c>
      <c r="P162" s="1">
        <v>9.0398023673915871E-13</v>
      </c>
      <c r="Q162" s="1">
        <v>4.2389675076610357E-12</v>
      </c>
      <c r="R162" s="1">
        <v>1.8256382509500136E-11</v>
      </c>
      <c r="S162" s="1">
        <v>7.282471882223562E-11</v>
      </c>
      <c r="T162" s="1">
        <v>2.7102619979665675E-10</v>
      </c>
      <c r="U162" s="1">
        <v>9.470174301392714E-10</v>
      </c>
      <c r="V162" s="1">
        <v>3.1240565149133387E-9</v>
      </c>
      <c r="W162" s="1">
        <v>9.7769257771821649E-9</v>
      </c>
      <c r="X162" s="1">
        <v>2.9152051037544575E-8</v>
      </c>
      <c r="Y162" s="1">
        <v>8.3132128337715974E-8</v>
      </c>
      <c r="Z162" s="1">
        <v>2.2749406703008202E-7</v>
      </c>
      <c r="AA162" s="1">
        <v>5.9921790342659423E-7</v>
      </c>
      <c r="AB162" s="1">
        <v>1.5233151975357755E-6</v>
      </c>
      <c r="AC162" s="1">
        <v>3.7466576619976948E-6</v>
      </c>
      <c r="AD162" s="1">
        <v>8.9351843454404307E-6</v>
      </c>
      <c r="AE162" s="1">
        <v>2.070303508020263E-5</v>
      </c>
      <c r="AF162" s="1">
        <v>4.6689771297027026E-5</v>
      </c>
      <c r="AG162" s="1">
        <v>1.0265561064143349E-4</v>
      </c>
      <c r="AH162" s="1">
        <v>2.2037918145224953E-4</v>
      </c>
      <c r="AI162" s="1">
        <v>4.6257664734015172E-4</v>
      </c>
      <c r="AJ162" s="1">
        <v>9.5054139439051271E-4</v>
      </c>
      <c r="AK162" s="1">
        <v>1.9144202757131268E-3</v>
      </c>
      <c r="AL162" s="1">
        <v>3.7830974957006368E-3</v>
      </c>
      <c r="AM162" s="1">
        <v>7.3422841993646681E-3</v>
      </c>
      <c r="AN162" s="1">
        <v>1.4008302290512609E-2</v>
      </c>
      <c r="AO162" s="1">
        <v>2.6295331644087722E-2</v>
      </c>
      <c r="AP162" s="1">
        <v>4.8601812976422035E-2</v>
      </c>
      <c r="AQ162" s="1">
        <v>8.8516630841081106E-2</v>
      </c>
      <c r="AR162" s="1">
        <v>0.15896152592338858</v>
      </c>
      <c r="AS162" s="1">
        <v>0.28166327375439004</v>
      </c>
      <c r="AT162" s="1">
        <v>0.1560167843984995</v>
      </c>
      <c r="AU162" s="1">
        <v>8.733672612973814E-2</v>
      </c>
      <c r="AV162" s="1">
        <v>4.9157704359348353E-2</v>
      </c>
      <c r="AW162" s="1">
        <v>2.7435753620857421E-2</v>
      </c>
      <c r="AX162" s="1">
        <v>1.4560042847495196E-2</v>
      </c>
      <c r="AY162" s="1">
        <v>6.2652370427608087E-3</v>
      </c>
      <c r="AZ162" s="1">
        <v>2.3888174112101455E-2</v>
      </c>
    </row>
    <row r="163" spans="2:52" s="15" customFormat="1" x14ac:dyDescent="0.2">
      <c r="B163" s="1">
        <v>6.1182131354178472E-33</v>
      </c>
      <c r="C163" s="1">
        <v>1.9578282033337122E-29</v>
      </c>
      <c r="D163" s="1">
        <v>5.2502426319399053E-27</v>
      </c>
      <c r="E163" s="1">
        <v>5.1674581406068236E-25</v>
      </c>
      <c r="F163" s="1">
        <v>2.6626260749663056E-23</v>
      </c>
      <c r="G163" s="1">
        <v>8.5378849231870177E-22</v>
      </c>
      <c r="H163" s="1">
        <v>1.8909259521833991E-20</v>
      </c>
      <c r="I163" s="1">
        <v>3.1034303521897466E-19</v>
      </c>
      <c r="J163" s="1">
        <v>3.9714967197823414E-18</v>
      </c>
      <c r="K163" s="1">
        <v>4.1185896284844587E-17</v>
      </c>
      <c r="L163" s="1">
        <v>3.5671079223291787E-16</v>
      </c>
      <c r="M163" s="1">
        <v>2.6432727869064204E-15</v>
      </c>
      <c r="N163" s="1">
        <v>1.7091302596349393E-14</v>
      </c>
      <c r="O163" s="1">
        <v>9.8013733201928923E-14</v>
      </c>
      <c r="P163" s="1">
        <v>5.0535188834312963E-13</v>
      </c>
      <c r="Q163" s="1">
        <v>2.3697091457982746E-12</v>
      </c>
      <c r="R163" s="1">
        <v>1.0205861810397617E-11</v>
      </c>
      <c r="S163" s="1">
        <v>4.0711187788382353E-11</v>
      </c>
      <c r="T163" s="1">
        <v>1.5151172148603438E-10</v>
      </c>
      <c r="U163" s="1">
        <v>5.2941096183813022E-10</v>
      </c>
      <c r="V163" s="1">
        <v>1.7464406797177095E-9</v>
      </c>
      <c r="W163" s="1">
        <v>5.4655928336575779E-9</v>
      </c>
      <c r="X163" s="1">
        <v>1.6296865177097159E-8</v>
      </c>
      <c r="Y163" s="1">
        <v>4.6473336838635261E-8</v>
      </c>
      <c r="Z163" s="1">
        <v>1.2717596213741473E-7</v>
      </c>
      <c r="AA163" s="1">
        <v>3.3498066298214573E-7</v>
      </c>
      <c r="AB163" s="1">
        <v>8.5157858582545379E-7</v>
      </c>
      <c r="AC163" s="1">
        <v>2.0944932726578182E-6</v>
      </c>
      <c r="AD163" s="1">
        <v>4.9950342918450361E-6</v>
      </c>
      <c r="AE163" s="1">
        <v>1.1573613500616088E-5</v>
      </c>
      <c r="AF163" s="1">
        <v>2.6100973375670902E-5</v>
      </c>
      <c r="AG163" s="1">
        <v>5.7387545189922692E-5</v>
      </c>
      <c r="AH163" s="1">
        <v>1.2319852909632002E-4</v>
      </c>
      <c r="AI163" s="1">
        <v>2.5859412931416952E-4</v>
      </c>
      <c r="AJ163" s="1">
        <v>5.3138096285855333E-4</v>
      </c>
      <c r="AK163" s="1">
        <v>1.0702179783308255E-3</v>
      </c>
      <c r="AL163" s="1">
        <v>2.1148642254997943E-3</v>
      </c>
      <c r="AM163" s="1">
        <v>4.1045556463547954E-3</v>
      </c>
      <c r="AN163" s="1">
        <v>7.8310583874352992E-3</v>
      </c>
      <c r="AO163" s="1">
        <v>1.4699873914149423E-2</v>
      </c>
      <c r="AP163" s="1">
        <v>2.7169861647784579E-2</v>
      </c>
      <c r="AQ163" s="1">
        <v>4.9483434180673753E-2</v>
      </c>
      <c r="AR163" s="1">
        <v>8.886422958654705E-2</v>
      </c>
      <c r="AS163" s="1">
        <v>0.157458162782557</v>
      </c>
      <c r="AT163" s="1">
        <v>0.27544355224453254</v>
      </c>
      <c r="AU163" s="1">
        <v>0.15419070569444654</v>
      </c>
      <c r="AV163" s="1">
        <v>8.6786641329185565E-2</v>
      </c>
      <c r="AW163" s="1">
        <v>4.8437105436890691E-2</v>
      </c>
      <c r="AX163" s="1">
        <v>2.570537483007659E-2</v>
      </c>
      <c r="AY163" s="1">
        <v>1.1061112132039716E-2</v>
      </c>
      <c r="AZ163" s="1">
        <v>4.2173946600942688E-2</v>
      </c>
    </row>
    <row r="164" spans="2:52" s="15" customFormat="1" x14ac:dyDescent="0.2">
      <c r="B164" s="1">
        <v>3.4558451972020451E-33</v>
      </c>
      <c r="C164" s="1">
        <v>1.105870463104655E-29</v>
      </c>
      <c r="D164" s="1">
        <v>2.9655759585589829E-27</v>
      </c>
      <c r="E164" s="1">
        <v>2.9188155106236061E-25</v>
      </c>
      <c r="F164" s="1">
        <v>1.5039723738700397E-23</v>
      </c>
      <c r="G164" s="1">
        <v>4.8225859336697507E-22</v>
      </c>
      <c r="H164" s="1">
        <v>1.0680810271692847E-20</v>
      </c>
      <c r="I164" s="1">
        <v>1.7529586890950177E-19</v>
      </c>
      <c r="J164" s="1">
        <v>2.2432820761524735E-18</v>
      </c>
      <c r="K164" s="1">
        <v>2.3263668446673207E-17</v>
      </c>
      <c r="L164" s="1">
        <v>2.0148648810418979E-16</v>
      </c>
      <c r="M164" s="1">
        <v>1.4930407560738816E-15</v>
      </c>
      <c r="N164" s="1">
        <v>9.6539454713662927E-15</v>
      </c>
      <c r="O164" s="1">
        <v>5.5362616772028418E-14</v>
      </c>
      <c r="P164" s="1">
        <v>2.8544574331968188E-13</v>
      </c>
      <c r="Q164" s="1">
        <v>1.3385195626587847E-12</v>
      </c>
      <c r="R164" s="1">
        <v>5.7647351833161657E-12</v>
      </c>
      <c r="S164" s="1">
        <v>2.2995531485560626E-11</v>
      </c>
      <c r="T164" s="1">
        <v>8.5580715059800889E-11</v>
      </c>
      <c r="U164" s="1">
        <v>2.9903540287330421E-10</v>
      </c>
      <c r="V164" s="1">
        <v>9.8646917026510687E-10</v>
      </c>
      <c r="W164" s="1">
        <v>3.0872155523178699E-9</v>
      </c>
      <c r="X164" s="1">
        <v>9.2052110649254309E-9</v>
      </c>
      <c r="Y164" s="1">
        <v>2.6250255484239837E-8</v>
      </c>
      <c r="Z164" s="1">
        <v>7.1834770745056421E-8</v>
      </c>
      <c r="AA164" s="1">
        <v>1.8921232224175259E-7</v>
      </c>
      <c r="AB164" s="1">
        <v>4.8101033761453219E-7</v>
      </c>
      <c r="AC164" s="1">
        <v>1.1830651134045814E-6</v>
      </c>
      <c r="AD164" s="1">
        <v>2.8214226744412467E-6</v>
      </c>
      <c r="AE164" s="1">
        <v>6.537303579510763E-6</v>
      </c>
      <c r="AF164" s="1">
        <v>1.4743017525892451E-5</v>
      </c>
      <c r="AG164" s="1">
        <v>3.2415097028205295E-5</v>
      </c>
      <c r="AH164" s="1">
        <v>6.9588135564485647E-5</v>
      </c>
      <c r="AI164" s="1">
        <v>1.4606573194413312E-4</v>
      </c>
      <c r="AJ164" s="1">
        <v>3.0014814909744292E-4</v>
      </c>
      <c r="AK164" s="1">
        <v>6.0450781600979219E-4</v>
      </c>
      <c r="AL164" s="1">
        <v>1.1945715545800021E-3</v>
      </c>
      <c r="AM164" s="1">
        <v>2.3184398129234185E-3</v>
      </c>
      <c r="AN164" s="1">
        <v>4.423338141092528E-3</v>
      </c>
      <c r="AO164" s="1">
        <v>8.3031577261682733E-3</v>
      </c>
      <c r="AP164" s="1">
        <v>1.5346774263320557E-2</v>
      </c>
      <c r="AQ164" s="1">
        <v>2.7950495441945056E-2</v>
      </c>
      <c r="AR164" s="1">
        <v>5.0194560768395804E-2</v>
      </c>
      <c r="AS164" s="1">
        <v>8.8939535705663889E-2</v>
      </c>
      <c r="AT164" s="1">
        <v>0.15558305277305909</v>
      </c>
      <c r="AU164" s="1">
        <v>0.26884411535868891</v>
      </c>
      <c r="AV164" s="1">
        <v>0.15131961234636901</v>
      </c>
      <c r="AW164" s="1">
        <v>8.4454057740170466E-2</v>
      </c>
      <c r="AX164" s="1">
        <v>4.4819424913004675E-2</v>
      </c>
      <c r="AY164" s="1">
        <v>1.9285954316302107E-2</v>
      </c>
      <c r="AZ164" s="1">
        <v>7.3533727691625639E-2</v>
      </c>
    </row>
    <row r="165" spans="2:52" s="15" customFormat="1" x14ac:dyDescent="0.2">
      <c r="B165" s="1">
        <v>1.962308297354204E-33</v>
      </c>
      <c r="C165" s="1">
        <v>6.2793865515334552E-30</v>
      </c>
      <c r="D165" s="1">
        <v>1.6839221602362215E-27</v>
      </c>
      <c r="E165" s="1">
        <v>1.6573705036267531E-25</v>
      </c>
      <c r="F165" s="1">
        <v>8.5399006605565083E-24</v>
      </c>
      <c r="G165" s="1">
        <v>2.7383750869412994E-22</v>
      </c>
      <c r="H165" s="1">
        <v>6.0648094525697924E-21</v>
      </c>
      <c r="I165" s="1">
        <v>9.9537021603725248E-20</v>
      </c>
      <c r="J165" s="1">
        <v>1.27378709986893E-18</v>
      </c>
      <c r="K165" s="1">
        <v>1.3209645402162113E-17</v>
      </c>
      <c r="L165" s="1">
        <v>1.1440865688420331E-16</v>
      </c>
      <c r="M165" s="1">
        <v>8.4778284232865243E-16</v>
      </c>
      <c r="N165" s="1">
        <v>5.4817320278132694E-15</v>
      </c>
      <c r="O165" s="1">
        <v>3.1436165700636518E-14</v>
      </c>
      <c r="P165" s="1">
        <v>1.6208265087051643E-13</v>
      </c>
      <c r="Q165" s="1">
        <v>7.6004215874681448E-13</v>
      </c>
      <c r="R165" s="1">
        <v>3.2733490757715954E-12</v>
      </c>
      <c r="S165" s="1">
        <v>1.3057391075479725E-11</v>
      </c>
      <c r="T165" s="1">
        <v>4.8594696137234085E-11</v>
      </c>
      <c r="U165" s="1">
        <v>1.6979917177309687E-10</v>
      </c>
      <c r="V165" s="1">
        <v>5.6013985796082018E-10</v>
      </c>
      <c r="W165" s="1">
        <v>1.7529919161133403E-9</v>
      </c>
      <c r="X165" s="1">
        <v>5.2269303226384721E-9</v>
      </c>
      <c r="Y165" s="1">
        <v>1.490549813576616E-8</v>
      </c>
      <c r="Z165" s="1">
        <v>4.0789433156811611E-8</v>
      </c>
      <c r="AA165" s="1">
        <v>1.0743910352155191E-7</v>
      </c>
      <c r="AB165" s="1">
        <v>2.7312872040053914E-7</v>
      </c>
      <c r="AC165" s="1">
        <v>6.7177155105896789E-7</v>
      </c>
      <c r="AD165" s="1">
        <v>1.6020686137451595E-6</v>
      </c>
      <c r="AE165" s="1">
        <v>3.7120311600714652E-6</v>
      </c>
      <c r="AF165" s="1">
        <v>8.3714240564131954E-6</v>
      </c>
      <c r="AG165" s="1">
        <v>1.8406036795134257E-5</v>
      </c>
      <c r="AH165" s="1">
        <v>3.951374208721994E-5</v>
      </c>
      <c r="AI165" s="1">
        <v>8.293947830335348E-5</v>
      </c>
      <c r="AJ165" s="1">
        <v>1.704310146433287E-4</v>
      </c>
      <c r="AK165" s="1">
        <v>3.432534258571221E-4</v>
      </c>
      <c r="AL165" s="1">
        <v>6.7830517270666985E-4</v>
      </c>
      <c r="AM165" s="1">
        <v>1.3164633894768658E-3</v>
      </c>
      <c r="AN165" s="1">
        <v>2.5116730180208117E-3</v>
      </c>
      <c r="AO165" s="1">
        <v>4.714723713172179E-3</v>
      </c>
      <c r="AP165" s="1">
        <v>8.7142510025964015E-3</v>
      </c>
      <c r="AQ165" s="1">
        <v>1.5870933444963275E-2</v>
      </c>
      <c r="AR165" s="1">
        <v>2.8501624771161378E-2</v>
      </c>
      <c r="AS165" s="1">
        <v>5.0501911665301678E-2</v>
      </c>
      <c r="AT165" s="1">
        <v>8.8343631720382704E-2</v>
      </c>
      <c r="AU165" s="1">
        <v>0.15265586510944706</v>
      </c>
      <c r="AV165" s="1">
        <v>0.26070473735103089</v>
      </c>
      <c r="AW165" s="1">
        <v>0.14550376253265801</v>
      </c>
      <c r="AX165" s="1">
        <v>7.7218254917433463E-2</v>
      </c>
      <c r="AY165" s="1">
        <v>3.3227283473913613E-2</v>
      </c>
      <c r="AZ165" s="1">
        <v>0.12668940177038127</v>
      </c>
    </row>
    <row r="166" spans="2:52" s="15" customFormat="1" x14ac:dyDescent="0.2">
      <c r="B166" s="1">
        <v>1.1046601560586008E-33</v>
      </c>
      <c r="C166" s="1">
        <v>3.5349124993875244E-30</v>
      </c>
      <c r="D166" s="1">
        <v>9.4794570191908768E-28</v>
      </c>
      <c r="E166" s="1">
        <v>9.3299873503657663E-26</v>
      </c>
      <c r="F166" s="1">
        <v>4.8074443802407684E-24</v>
      </c>
      <c r="G166" s="1">
        <v>1.5415385314153525E-22</v>
      </c>
      <c r="H166" s="1">
        <v>3.4141186506597795E-21</v>
      </c>
      <c r="I166" s="1">
        <v>5.603328588409482E-20</v>
      </c>
      <c r="J166" s="1">
        <v>7.1706462150919473E-19</v>
      </c>
      <c r="K166" s="1">
        <v>7.4362264946369113E-18</v>
      </c>
      <c r="L166" s="1">
        <v>6.4405111540608445E-17</v>
      </c>
      <c r="M166" s="1">
        <v>4.772501488034677E-16</v>
      </c>
      <c r="N166" s="1">
        <v>3.0858815434252866E-15</v>
      </c>
      <c r="O166" s="1">
        <v>1.7696648256326944E-14</v>
      </c>
      <c r="P166" s="1">
        <v>9.1242668976340702E-14</v>
      </c>
      <c r="Q166" s="1">
        <v>4.2785748336507348E-13</v>
      </c>
      <c r="R166" s="1">
        <v>1.8426963315354297E-12</v>
      </c>
      <c r="S166" s="1">
        <v>7.3505165740804249E-12</v>
      </c>
      <c r="T166" s="1">
        <v>2.7355856717802855E-11</v>
      </c>
      <c r="U166" s="1">
        <v>9.5586600659230253E-11</v>
      </c>
      <c r="V166" s="1">
        <v>3.1532465298339039E-10</v>
      </c>
      <c r="W166" s="1">
        <v>9.8682777127028078E-10</v>
      </c>
      <c r="X166" s="1">
        <v>2.9424436892502333E-9</v>
      </c>
      <c r="Y166" s="1">
        <v>8.3908883833326329E-9</v>
      </c>
      <c r="Z166" s="1">
        <v>2.2961968645445806E-8</v>
      </c>
      <c r="AA166" s="1">
        <v>6.0481677126339363E-8</v>
      </c>
      <c r="AB166" s="1">
        <v>1.5375484846522305E-7</v>
      </c>
      <c r="AC166" s="1">
        <v>3.781665029032794E-7</v>
      </c>
      <c r="AD166" s="1">
        <v>9.0186713640383132E-7</v>
      </c>
      <c r="AE166" s="1">
        <v>2.0896476492036011E-6</v>
      </c>
      <c r="AF166" s="1">
        <v>4.712602304672874E-6</v>
      </c>
      <c r="AG166" s="1">
        <v>1.0361478624917253E-5</v>
      </c>
      <c r="AH166" s="1">
        <v>2.2243832204847894E-5</v>
      </c>
      <c r="AI166" s="1">
        <v>4.6689879041704749E-5</v>
      </c>
      <c r="AJ166" s="1">
        <v>9.5942289744669024E-5</v>
      </c>
      <c r="AK166" s="1">
        <v>1.9323079023119205E-4</v>
      </c>
      <c r="AL166" s="1">
        <v>3.8184453429045216E-4</v>
      </c>
      <c r="AM166" s="1">
        <v>7.4108877551285846E-4</v>
      </c>
      <c r="AN166" s="1">
        <v>1.4139190624612799E-3</v>
      </c>
      <c r="AO166" s="1">
        <v>2.6541025382138882E-3</v>
      </c>
      <c r="AP166" s="1">
        <v>4.9055930128008721E-3</v>
      </c>
      <c r="AQ166" s="1">
        <v>8.9343697112973103E-3</v>
      </c>
      <c r="AR166" s="1">
        <v>1.6044680293145458E-2</v>
      </c>
      <c r="AS166" s="1">
        <v>2.8429502997397754E-2</v>
      </c>
      <c r="AT166" s="1">
        <v>4.9732088548268626E-2</v>
      </c>
      <c r="AU166" s="1">
        <v>8.5935962255488357E-2</v>
      </c>
      <c r="AV166" s="1">
        <v>0.14676090206401599</v>
      </c>
      <c r="AW166" s="1">
        <v>0.24783085294769586</v>
      </c>
      <c r="AX166" s="1">
        <v>0.1315228255697159</v>
      </c>
      <c r="AY166" s="1">
        <v>5.6594728968789497E-2</v>
      </c>
      <c r="AZ166" s="1">
        <v>0.21578509004631274</v>
      </c>
    </row>
    <row r="167" spans="2:52" s="15" customFormat="1" x14ac:dyDescent="0.2">
      <c r="B167" s="1">
        <v>5.9119660318667236E-34</v>
      </c>
      <c r="C167" s="1">
        <v>1.8918291301973523E-30</v>
      </c>
      <c r="D167" s="1">
        <v>5.0732551174792331E-28</v>
      </c>
      <c r="E167" s="1">
        <v>4.9932613202881304E-26</v>
      </c>
      <c r="F167" s="1">
        <v>2.5728680191995877E-24</v>
      </c>
      <c r="G167" s="1">
        <v>8.2500698378206144E-23</v>
      </c>
      <c r="H167" s="1">
        <v>1.8271821773204722E-21</v>
      </c>
      <c r="I167" s="1">
        <v>2.99881263014498E-20</v>
      </c>
      <c r="J167" s="1">
        <v>3.8376161770343066E-19</v>
      </c>
      <c r="K167" s="1">
        <v>3.9797505323645075E-18</v>
      </c>
      <c r="L167" s="1">
        <v>3.4468594673063022E-17</v>
      </c>
      <c r="M167" s="1">
        <v>2.5541671372455694E-16</v>
      </c>
      <c r="N167" s="1">
        <v>1.6515148811185101E-15</v>
      </c>
      <c r="O167" s="1">
        <v>9.4709655992832167E-15</v>
      </c>
      <c r="P167" s="1">
        <v>4.88316299530197E-14</v>
      </c>
      <c r="Q167" s="1">
        <v>2.2898254221093768E-13</v>
      </c>
      <c r="R167" s="1">
        <v>9.8618186410852784E-13</v>
      </c>
      <c r="S167" s="1">
        <v>3.9338799416543407E-12</v>
      </c>
      <c r="T167" s="1">
        <v>1.4640420839048006E-11</v>
      </c>
      <c r="U167" s="1">
        <v>5.1156433324730187E-11</v>
      </c>
      <c r="V167" s="1">
        <v>1.6875675538976108E-10</v>
      </c>
      <c r="W167" s="1">
        <v>5.2813457886165963E-10</v>
      </c>
      <c r="X167" s="1">
        <v>1.5747492155048967E-9</v>
      </c>
      <c r="Y167" s="1">
        <v>4.4906704408026138E-9</v>
      </c>
      <c r="Z167" s="1">
        <v>1.2288881599660319E-8</v>
      </c>
      <c r="AA167" s="1">
        <v>3.2368834773314707E-8</v>
      </c>
      <c r="AB167" s="1">
        <v>8.2287157400922242E-8</v>
      </c>
      <c r="AC167" s="1">
        <v>2.0238871722602572E-7</v>
      </c>
      <c r="AD167" s="1">
        <v>4.826649939742661E-7</v>
      </c>
      <c r="AE167" s="1">
        <v>1.1183462943698749E-6</v>
      </c>
      <c r="AF167" s="1">
        <v>2.5221100439006773E-6</v>
      </c>
      <c r="AG167" s="1">
        <v>5.5452990980489687E-6</v>
      </c>
      <c r="AH167" s="1">
        <v>1.1904546361372309E-5</v>
      </c>
      <c r="AI167" s="1">
        <v>2.49876830817714E-5</v>
      </c>
      <c r="AJ167" s="1">
        <v>5.1346792484466938E-5</v>
      </c>
      <c r="AK167" s="1">
        <v>1.0341405561630215E-4</v>
      </c>
      <c r="AL167" s="1">
        <v>2.0435714131608149E-4</v>
      </c>
      <c r="AM167" s="1">
        <v>3.9661896406783235E-4</v>
      </c>
      <c r="AN167" s="1">
        <v>7.5670706716758726E-4</v>
      </c>
      <c r="AO167" s="1">
        <v>1.4204336025838674E-3</v>
      </c>
      <c r="AP167" s="1">
        <v>2.6253956113814056E-3</v>
      </c>
      <c r="AQ167" s="1">
        <v>4.7815330316418681E-3</v>
      </c>
      <c r="AR167" s="1">
        <v>8.5868585342735396E-3</v>
      </c>
      <c r="AS167" s="1">
        <v>1.5215019307218735E-2</v>
      </c>
      <c r="AT167" s="1">
        <v>2.6615825381100747E-2</v>
      </c>
      <c r="AU167" s="1">
        <v>4.5991564644002295E-2</v>
      </c>
      <c r="AV167" s="1">
        <v>7.8544108163031617E-2</v>
      </c>
      <c r="AW167" s="1">
        <v>0.1326351435995497</v>
      </c>
      <c r="AX167" s="1">
        <v>0.22157089358355717</v>
      </c>
      <c r="AY167" s="1">
        <v>9.5342725609913345E-2</v>
      </c>
      <c r="AZ167" s="1">
        <v>0.3635239359895478</v>
      </c>
    </row>
    <row r="168" spans="2:52" s="15" customFormat="1" x14ac:dyDescent="0.2">
      <c r="B168" s="1">
        <v>2.5650087027082867E-34</v>
      </c>
      <c r="C168" s="1">
        <v>8.2080278486665205E-31</v>
      </c>
      <c r="D168" s="1">
        <v>2.2011194680840716E-28</v>
      </c>
      <c r="E168" s="1">
        <v>2.166412775783766E-26</v>
      </c>
      <c r="F168" s="1">
        <v>1.1162832845443432E-24</v>
      </c>
      <c r="G168" s="1">
        <v>3.579435473393477E-23</v>
      </c>
      <c r="H168" s="1">
        <v>7.9275458637583424E-22</v>
      </c>
      <c r="I168" s="1">
        <v>1.3010867201624689E-20</v>
      </c>
      <c r="J168" s="1">
        <v>1.665016144999564E-19</v>
      </c>
      <c r="K168" s="1">
        <v>1.7266835930888559E-18</v>
      </c>
      <c r="L168" s="1">
        <v>1.4954795888537047E-17</v>
      </c>
      <c r="M168" s="1">
        <v>1.1081695835010998E-16</v>
      </c>
      <c r="N168" s="1">
        <v>7.1653829198061893E-16</v>
      </c>
      <c r="O168" s="1">
        <v>4.1091422133123496E-15</v>
      </c>
      <c r="P168" s="1">
        <v>2.1186447134808205E-14</v>
      </c>
      <c r="Q168" s="1">
        <v>9.9348035894223068E-14</v>
      </c>
      <c r="R168" s="1">
        <v>4.278720564794477E-13</v>
      </c>
      <c r="S168" s="1">
        <v>1.7067818440368915E-12</v>
      </c>
      <c r="T168" s="1">
        <v>6.3519997681063239E-12</v>
      </c>
      <c r="U168" s="1">
        <v>2.2195103282083141E-11</v>
      </c>
      <c r="V168" s="1">
        <v>7.3218036755003634E-11</v>
      </c>
      <c r="W168" s="1">
        <v>2.2914032044152177E-10</v>
      </c>
      <c r="X168" s="1">
        <v>6.8323218039155434E-10</v>
      </c>
      <c r="Y168" s="1">
        <v>1.9483550310617265E-9</v>
      </c>
      <c r="Z168" s="1">
        <v>5.3317438022774892E-9</v>
      </c>
      <c r="AA168" s="1">
        <v>1.4043778743407797E-8</v>
      </c>
      <c r="AB168" s="1">
        <v>3.5701706288025973E-8</v>
      </c>
      <c r="AC168" s="1">
        <v>8.7809845018816159E-8</v>
      </c>
      <c r="AD168" s="1">
        <v>2.0941255470064328E-7</v>
      </c>
      <c r="AE168" s="1">
        <v>4.8521388016069717E-7</v>
      </c>
      <c r="AF168" s="1">
        <v>1.0942610591675767E-6</v>
      </c>
      <c r="AG168" s="1">
        <v>2.4059239124425121E-6</v>
      </c>
      <c r="AH168" s="1">
        <v>5.1649933125668903E-6</v>
      </c>
      <c r="AI168" s="1">
        <v>1.084133843458882E-5</v>
      </c>
      <c r="AJ168" s="1">
        <v>2.2277693895549642E-5</v>
      </c>
      <c r="AK168" s="1">
        <v>4.4867976441065186E-5</v>
      </c>
      <c r="AL168" s="1">
        <v>8.8663879851627836E-5</v>
      </c>
      <c r="AM168" s="1">
        <v>1.7207999657127754E-4</v>
      </c>
      <c r="AN168" s="1">
        <v>3.283104473577059E-4</v>
      </c>
      <c r="AO168" s="1">
        <v>6.1627968303743451E-4</v>
      </c>
      <c r="AP168" s="1">
        <v>1.1390732888089876E-3</v>
      </c>
      <c r="AQ168" s="1">
        <v>2.0745507961885084E-3</v>
      </c>
      <c r="AR168" s="1">
        <v>3.7255570736731661E-3</v>
      </c>
      <c r="AS168" s="1">
        <v>6.6012992504572727E-3</v>
      </c>
      <c r="AT168" s="1">
        <v>1.1547736127761729E-2</v>
      </c>
      <c r="AU168" s="1">
        <v>1.9954235685245909E-2</v>
      </c>
      <c r="AV168" s="1">
        <v>3.4077719644986425E-2</v>
      </c>
      <c r="AW168" s="1">
        <v>5.7546050803405191E-2</v>
      </c>
      <c r="AX168" s="1">
        <v>9.6132363962386183E-2</v>
      </c>
      <c r="AY168" s="1">
        <v>0.15893534597426215</v>
      </c>
      <c r="AZ168" s="1">
        <v>0.60599067382249139</v>
      </c>
    </row>
    <row r="169" spans="2:52" s="15" customFormat="1" x14ac:dyDescent="0.2"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1</v>
      </c>
    </row>
    <row r="170" spans="2:52" s="15" customFormat="1" x14ac:dyDescent="0.2"/>
    <row r="171" spans="2:52" s="15" customFormat="1" x14ac:dyDescent="0.2"/>
    <row r="172" spans="2:52" s="15" customFormat="1" x14ac:dyDescent="0.2"/>
    <row r="173" spans="2:52" s="15" customFormat="1" x14ac:dyDescent="0.2"/>
    <row r="174" spans="2:52" s="15" customFormat="1" x14ac:dyDescent="0.2"/>
    <row r="175" spans="2:52" s="15" customFormat="1" x14ac:dyDescent="0.2"/>
    <row r="176" spans="2:52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41" spans="1:2" x14ac:dyDescent="0.2">
      <c r="A241" s="7"/>
      <c r="B241" s="7"/>
    </row>
    <row r="242" spans="1:2" x14ac:dyDescent="0.2">
      <c r="A242" s="7"/>
      <c r="B242" s="7"/>
    </row>
    <row r="243" spans="1:2" x14ac:dyDescent="0.2">
      <c r="A243" s="7"/>
      <c r="B243" s="7"/>
    </row>
    <row r="244" spans="1:2" x14ac:dyDescent="0.2">
      <c r="A244" s="7"/>
      <c r="B244" s="7"/>
    </row>
    <row r="245" spans="1:2" x14ac:dyDescent="0.2">
      <c r="A245" s="7"/>
      <c r="B245" s="7"/>
    </row>
    <row r="246" spans="1:2" x14ac:dyDescent="0.2">
      <c r="A246" s="7"/>
      <c r="B246" s="7"/>
    </row>
    <row r="247" spans="1:2" x14ac:dyDescent="0.2">
      <c r="A247" s="7"/>
      <c r="B247" s="7"/>
    </row>
    <row r="248" spans="1:2" x14ac:dyDescent="0.2">
      <c r="A248" s="7"/>
      <c r="B248" s="7"/>
    </row>
    <row r="249" spans="1:2" x14ac:dyDescent="0.2">
      <c r="A249" s="7"/>
      <c r="B249" s="7"/>
    </row>
    <row r="250" spans="1:2" x14ac:dyDescent="0.2">
      <c r="A250" s="7"/>
      <c r="B250" s="7"/>
    </row>
    <row r="251" spans="1:2" x14ac:dyDescent="0.2">
      <c r="A251" s="7"/>
      <c r="B251" s="7"/>
    </row>
    <row r="252" spans="1:2" x14ac:dyDescent="0.2">
      <c r="A252" s="7"/>
      <c r="B252" s="7"/>
    </row>
    <row r="253" spans="1:2" x14ac:dyDescent="0.2">
      <c r="A253" s="7"/>
      <c r="B253" s="7"/>
    </row>
    <row r="254" spans="1:2" x14ac:dyDescent="0.2">
      <c r="A254" s="7"/>
      <c r="B254" s="7"/>
    </row>
    <row r="255" spans="1:2" x14ac:dyDescent="0.2">
      <c r="A255" s="7"/>
      <c r="B255" s="7"/>
    </row>
    <row r="256" spans="1:2" x14ac:dyDescent="0.2">
      <c r="A256" s="7"/>
      <c r="B256" s="7"/>
    </row>
    <row r="257" spans="1:2" x14ac:dyDescent="0.2">
      <c r="A257" s="7"/>
      <c r="B257" s="7"/>
    </row>
    <row r="258" spans="1:2" x14ac:dyDescent="0.2">
      <c r="A258" s="7"/>
      <c r="B258" s="7"/>
    </row>
    <row r="259" spans="1:2" x14ac:dyDescent="0.2">
      <c r="A259" s="7"/>
      <c r="B259" s="7"/>
    </row>
    <row r="260" spans="1:2" x14ac:dyDescent="0.2">
      <c r="A260" s="7"/>
      <c r="B260" s="7"/>
    </row>
    <row r="261" spans="1:2" x14ac:dyDescent="0.2">
      <c r="A261" s="7"/>
      <c r="B261" s="7"/>
    </row>
    <row r="262" spans="1:2" x14ac:dyDescent="0.2">
      <c r="A262" s="7"/>
      <c r="B262" s="7"/>
    </row>
    <row r="263" spans="1:2" x14ac:dyDescent="0.2">
      <c r="A263" s="7"/>
      <c r="B263" s="7"/>
    </row>
    <row r="264" spans="1:2" x14ac:dyDescent="0.2">
      <c r="A264" s="7"/>
      <c r="B264" s="7"/>
    </row>
    <row r="265" spans="1:2" x14ac:dyDescent="0.2">
      <c r="A265" s="7"/>
      <c r="B265" s="7"/>
    </row>
    <row r="266" spans="1:2" x14ac:dyDescent="0.2">
      <c r="A266" s="7"/>
      <c r="B266" s="7"/>
    </row>
    <row r="267" spans="1:2" x14ac:dyDescent="0.2">
      <c r="A267" s="7"/>
      <c r="B267" s="7"/>
    </row>
    <row r="268" spans="1:2" x14ac:dyDescent="0.2">
      <c r="A268" s="7"/>
      <c r="B268" s="7"/>
    </row>
    <row r="269" spans="1:2" x14ac:dyDescent="0.2">
      <c r="A269" s="7"/>
      <c r="B269" s="7"/>
    </row>
    <row r="270" spans="1:2" x14ac:dyDescent="0.2">
      <c r="A270" s="7"/>
      <c r="B270" s="7"/>
    </row>
    <row r="271" spans="1:2" x14ac:dyDescent="0.2">
      <c r="A271" s="7"/>
      <c r="B271" s="7"/>
    </row>
    <row r="272" spans="1:2" x14ac:dyDescent="0.2">
      <c r="A272" s="7"/>
      <c r="B272" s="7"/>
    </row>
    <row r="273" spans="1:2" x14ac:dyDescent="0.2">
      <c r="A273" s="7"/>
      <c r="B273" s="7"/>
    </row>
    <row r="274" spans="1:2" x14ac:dyDescent="0.2">
      <c r="A274" s="7"/>
      <c r="B274" s="7"/>
    </row>
    <row r="275" spans="1:2" x14ac:dyDescent="0.2">
      <c r="A275" s="7"/>
      <c r="B275" s="7"/>
    </row>
    <row r="276" spans="1:2" x14ac:dyDescent="0.2">
      <c r="A276" s="7"/>
      <c r="B276" s="7"/>
    </row>
    <row r="277" spans="1:2" x14ac:dyDescent="0.2">
      <c r="A277" s="7"/>
      <c r="B277" s="7"/>
    </row>
    <row r="278" spans="1:2" x14ac:dyDescent="0.2">
      <c r="A278" s="7"/>
      <c r="B278" s="7"/>
    </row>
    <row r="279" spans="1:2" x14ac:dyDescent="0.2">
      <c r="A279" s="7"/>
      <c r="B279" s="7"/>
    </row>
    <row r="280" spans="1:2" x14ac:dyDescent="0.2">
      <c r="A280" s="7"/>
      <c r="B280" s="7"/>
    </row>
    <row r="281" spans="1:2" x14ac:dyDescent="0.2">
      <c r="A281" s="7"/>
      <c r="B281" s="7"/>
    </row>
    <row r="282" spans="1:2" x14ac:dyDescent="0.2">
      <c r="A282" s="7"/>
      <c r="B282" s="7"/>
    </row>
    <row r="283" spans="1:2" x14ac:dyDescent="0.2">
      <c r="A283" s="7"/>
      <c r="B283" s="7"/>
    </row>
    <row r="284" spans="1:2" x14ac:dyDescent="0.2">
      <c r="A284" s="7"/>
      <c r="B284" s="7"/>
    </row>
    <row r="285" spans="1:2" x14ac:dyDescent="0.2">
      <c r="A285" s="7"/>
      <c r="B285" s="7"/>
    </row>
    <row r="286" spans="1:2" x14ac:dyDescent="0.2">
      <c r="A286" s="7"/>
      <c r="B286" s="7"/>
    </row>
    <row r="287" spans="1:2" x14ac:dyDescent="0.2">
      <c r="A287" s="7"/>
      <c r="B287" s="7"/>
    </row>
    <row r="288" spans="1:2" x14ac:dyDescent="0.2">
      <c r="A288" s="7"/>
      <c r="B288" s="7"/>
    </row>
    <row r="289" spans="1:2" x14ac:dyDescent="0.2">
      <c r="A289" s="7"/>
      <c r="B289" s="7"/>
    </row>
    <row r="290" spans="1:2" x14ac:dyDescent="0.2">
      <c r="A290" s="7"/>
      <c r="B290" s="7"/>
    </row>
    <row r="291" spans="1:2" x14ac:dyDescent="0.2">
      <c r="A291" s="7"/>
      <c r="B291" s="7"/>
    </row>
    <row r="292" spans="1:2" x14ac:dyDescent="0.2">
      <c r="A292" s="7"/>
      <c r="B292" s="7"/>
    </row>
    <row r="293" spans="1:2" x14ac:dyDescent="0.2">
      <c r="A293" s="7"/>
      <c r="B293" s="7"/>
    </row>
    <row r="294" spans="1:2" x14ac:dyDescent="0.2">
      <c r="A294" s="7"/>
      <c r="B294" s="7"/>
    </row>
    <row r="295" spans="1:2" x14ac:dyDescent="0.2">
      <c r="A295" s="7"/>
      <c r="B295" s="7"/>
    </row>
    <row r="296" spans="1:2" x14ac:dyDescent="0.2">
      <c r="A296" s="7"/>
      <c r="B296" s="7"/>
    </row>
    <row r="297" spans="1:2" x14ac:dyDescent="0.2">
      <c r="A297" s="7"/>
      <c r="B297" s="7"/>
    </row>
    <row r="298" spans="1:2" x14ac:dyDescent="0.2">
      <c r="A298" s="7"/>
      <c r="B298" s="7"/>
    </row>
    <row r="299" spans="1:2" x14ac:dyDescent="0.2">
      <c r="A299" s="7"/>
      <c r="B299" s="7"/>
    </row>
    <row r="300" spans="1:2" x14ac:dyDescent="0.2">
      <c r="A300" s="7"/>
      <c r="B300" s="7"/>
    </row>
    <row r="301" spans="1:2" x14ac:dyDescent="0.2">
      <c r="A301" s="7"/>
      <c r="B301" s="7"/>
    </row>
    <row r="302" spans="1:2" x14ac:dyDescent="0.2">
      <c r="A302" s="7"/>
      <c r="B302" s="7"/>
    </row>
    <row r="303" spans="1:2" x14ac:dyDescent="0.2">
      <c r="A303" s="7"/>
      <c r="B303" s="7"/>
    </row>
    <row r="304" spans="1:2" x14ac:dyDescent="0.2">
      <c r="A304" s="7"/>
      <c r="B304" s="7"/>
    </row>
    <row r="305" spans="1:2" x14ac:dyDescent="0.2">
      <c r="A305" s="7"/>
      <c r="B305" s="7"/>
    </row>
    <row r="306" spans="1:2" x14ac:dyDescent="0.2">
      <c r="A306" s="7"/>
      <c r="B306" s="7"/>
    </row>
    <row r="307" spans="1:2" x14ac:dyDescent="0.2">
      <c r="A307" s="7"/>
      <c r="B307" s="7"/>
    </row>
    <row r="308" spans="1:2" x14ac:dyDescent="0.2">
      <c r="A308" s="7"/>
      <c r="B308" s="7"/>
    </row>
    <row r="309" spans="1:2" x14ac:dyDescent="0.2">
      <c r="A309" s="7"/>
      <c r="B309" s="7"/>
    </row>
    <row r="310" spans="1:2" x14ac:dyDescent="0.2">
      <c r="A310" s="7"/>
      <c r="B310" s="7"/>
    </row>
    <row r="311" spans="1:2" x14ac:dyDescent="0.2">
      <c r="A311" s="7"/>
      <c r="B311" s="7"/>
    </row>
    <row r="312" spans="1:2" x14ac:dyDescent="0.2">
      <c r="A312" s="7"/>
      <c r="B312" s="7"/>
    </row>
    <row r="313" spans="1:2" x14ac:dyDescent="0.2">
      <c r="A313" s="7"/>
      <c r="B313" s="7"/>
    </row>
    <row r="314" spans="1:2" x14ac:dyDescent="0.2">
      <c r="A314" s="7"/>
      <c r="B314" s="7"/>
    </row>
    <row r="315" spans="1:2" x14ac:dyDescent="0.2">
      <c r="A315" s="7"/>
      <c r="B315" s="7"/>
    </row>
    <row r="316" spans="1:2" x14ac:dyDescent="0.2">
      <c r="A316" s="7"/>
      <c r="B316" s="7"/>
    </row>
    <row r="317" spans="1:2" x14ac:dyDescent="0.2">
      <c r="A317" s="7"/>
      <c r="B317" s="7"/>
    </row>
    <row r="318" spans="1:2" x14ac:dyDescent="0.2">
      <c r="A318" s="7"/>
      <c r="B318" s="7"/>
    </row>
    <row r="319" spans="1:2" x14ac:dyDescent="0.2">
      <c r="A319" s="7"/>
      <c r="B319" s="7"/>
    </row>
    <row r="320" spans="1:2" x14ac:dyDescent="0.2">
      <c r="A320" s="7"/>
      <c r="B320" s="7"/>
    </row>
    <row r="321" spans="1:2" x14ac:dyDescent="0.2">
      <c r="A321" s="7"/>
      <c r="B321" s="7"/>
    </row>
    <row r="322" spans="1:2" x14ac:dyDescent="0.2">
      <c r="A322" s="7"/>
      <c r="B322" s="7"/>
    </row>
    <row r="323" spans="1:2" x14ac:dyDescent="0.2">
      <c r="A323" s="7"/>
      <c r="B323" s="7"/>
    </row>
    <row r="324" spans="1:2" x14ac:dyDescent="0.2">
      <c r="A324" s="7"/>
      <c r="B324" s="7"/>
    </row>
    <row r="325" spans="1:2" x14ac:dyDescent="0.2">
      <c r="A325" s="7"/>
      <c r="B325" s="7"/>
    </row>
    <row r="326" spans="1:2" x14ac:dyDescent="0.2">
      <c r="A326" s="7"/>
      <c r="B326" s="7"/>
    </row>
    <row r="327" spans="1:2" x14ac:dyDescent="0.2">
      <c r="A327" s="7"/>
      <c r="B327" s="7"/>
    </row>
    <row r="328" spans="1:2" x14ac:dyDescent="0.2">
      <c r="A328" s="7"/>
      <c r="B328" s="7"/>
    </row>
    <row r="329" spans="1:2" x14ac:dyDescent="0.2">
      <c r="A329" s="7"/>
      <c r="B329" s="7"/>
    </row>
    <row r="330" spans="1:2" x14ac:dyDescent="0.2">
      <c r="A330" s="7"/>
      <c r="B330" s="7"/>
    </row>
    <row r="331" spans="1:2" x14ac:dyDescent="0.2">
      <c r="A331" s="7"/>
      <c r="B331" s="7"/>
    </row>
    <row r="332" spans="1:2" x14ac:dyDescent="0.2">
      <c r="A332" s="7"/>
      <c r="B332" s="7"/>
    </row>
    <row r="333" spans="1:2" x14ac:dyDescent="0.2">
      <c r="A333" s="7"/>
      <c r="B333" s="7"/>
    </row>
    <row r="334" spans="1:2" x14ac:dyDescent="0.2">
      <c r="A334" s="7"/>
      <c r="B334" s="7"/>
    </row>
    <row r="335" spans="1:2" x14ac:dyDescent="0.2">
      <c r="A335" s="7"/>
      <c r="B335" s="7"/>
    </row>
    <row r="336" spans="1:2" x14ac:dyDescent="0.2">
      <c r="A336" s="7"/>
      <c r="B336" s="7"/>
    </row>
    <row r="337" spans="1:2" x14ac:dyDescent="0.2">
      <c r="A337" s="7"/>
      <c r="B337" s="7"/>
    </row>
    <row r="338" spans="1:2" x14ac:dyDescent="0.2">
      <c r="A338" s="7"/>
      <c r="B338" s="7"/>
    </row>
    <row r="339" spans="1:2" x14ac:dyDescent="0.2">
      <c r="A339" s="7"/>
      <c r="B339" s="7"/>
    </row>
    <row r="340" spans="1:2" x14ac:dyDescent="0.2">
      <c r="A340" s="7"/>
      <c r="B340" s="7"/>
    </row>
    <row r="341" spans="1:2" x14ac:dyDescent="0.2">
      <c r="A341" s="7"/>
      <c r="B341" s="7"/>
    </row>
    <row r="342" spans="1:2" x14ac:dyDescent="0.2">
      <c r="A342" s="7"/>
      <c r="B342" s="7"/>
    </row>
    <row r="343" spans="1:2" x14ac:dyDescent="0.2">
      <c r="A343" s="7"/>
      <c r="B343" s="7"/>
    </row>
    <row r="344" spans="1:2" x14ac:dyDescent="0.2">
      <c r="A344" s="7"/>
      <c r="B344" s="7"/>
    </row>
    <row r="345" spans="1:2" x14ac:dyDescent="0.2">
      <c r="A345" s="7"/>
      <c r="B345" s="7"/>
    </row>
    <row r="346" spans="1:2" x14ac:dyDescent="0.2">
      <c r="A346" s="7"/>
      <c r="B346" s="7"/>
    </row>
    <row r="347" spans="1:2" x14ac:dyDescent="0.2">
      <c r="A347" s="7"/>
      <c r="B347" s="7"/>
    </row>
    <row r="348" spans="1:2" x14ac:dyDescent="0.2">
      <c r="A348" s="7"/>
      <c r="B348" s="7"/>
    </row>
    <row r="349" spans="1:2" x14ac:dyDescent="0.2">
      <c r="A349" s="7"/>
      <c r="B349" s="7"/>
    </row>
    <row r="350" spans="1:2" x14ac:dyDescent="0.2">
      <c r="A350" s="7"/>
      <c r="B350" s="7"/>
    </row>
    <row r="351" spans="1:2" x14ac:dyDescent="0.2">
      <c r="A351" s="7"/>
      <c r="B351" s="7"/>
    </row>
    <row r="352" spans="1:2" x14ac:dyDescent="0.2">
      <c r="A352" s="7"/>
      <c r="B352" s="7"/>
    </row>
    <row r="353" spans="1:2" x14ac:dyDescent="0.2">
      <c r="A353" s="7"/>
      <c r="B353" s="7"/>
    </row>
    <row r="354" spans="1:2" x14ac:dyDescent="0.2">
      <c r="A354" s="7"/>
      <c r="B354" s="7"/>
    </row>
    <row r="355" spans="1:2" x14ac:dyDescent="0.2">
      <c r="A355" s="7"/>
      <c r="B355" s="7"/>
    </row>
    <row r="356" spans="1:2" x14ac:dyDescent="0.2">
      <c r="A356" s="7"/>
      <c r="B356" s="7"/>
    </row>
    <row r="357" spans="1:2" x14ac:dyDescent="0.2">
      <c r="A357" s="7"/>
      <c r="B357" s="7"/>
    </row>
    <row r="358" spans="1:2" x14ac:dyDescent="0.2">
      <c r="A358" s="7"/>
      <c r="B358" s="7"/>
    </row>
    <row r="359" spans="1:2" x14ac:dyDescent="0.2">
      <c r="A359" s="7"/>
      <c r="B359" s="7"/>
    </row>
    <row r="360" spans="1:2" x14ac:dyDescent="0.2">
      <c r="A360" s="7"/>
      <c r="B360" s="7"/>
    </row>
    <row r="361" spans="1:2" x14ac:dyDescent="0.2">
      <c r="A361" s="7"/>
      <c r="B361" s="7"/>
    </row>
    <row r="362" spans="1:2" x14ac:dyDescent="0.2">
      <c r="A362" s="7"/>
      <c r="B362" s="7"/>
    </row>
    <row r="363" spans="1:2" x14ac:dyDescent="0.2">
      <c r="A363" s="7"/>
      <c r="B363" s="7"/>
    </row>
    <row r="364" spans="1:2" x14ac:dyDescent="0.2">
      <c r="A364" s="7"/>
      <c r="B364" s="7"/>
    </row>
    <row r="365" spans="1:2" x14ac:dyDescent="0.2">
      <c r="A365" s="7"/>
      <c r="B365" s="7"/>
    </row>
    <row r="366" spans="1:2" x14ac:dyDescent="0.2">
      <c r="A366" s="7"/>
      <c r="B366" s="7"/>
    </row>
    <row r="367" spans="1:2" x14ac:dyDescent="0.2">
      <c r="A367" s="7"/>
      <c r="B367" s="7"/>
    </row>
    <row r="368" spans="1:2" x14ac:dyDescent="0.2">
      <c r="A368" s="7"/>
      <c r="B368" s="7"/>
    </row>
    <row r="369" spans="1:2" x14ac:dyDescent="0.2">
      <c r="A369" s="7"/>
      <c r="B369" s="7"/>
    </row>
    <row r="370" spans="1:2" x14ac:dyDescent="0.2">
      <c r="A370" s="7"/>
      <c r="B370" s="7"/>
    </row>
    <row r="371" spans="1:2" x14ac:dyDescent="0.2">
      <c r="A371" s="7"/>
      <c r="B371" s="7"/>
    </row>
    <row r="372" spans="1:2" x14ac:dyDescent="0.2">
      <c r="A372" s="7"/>
      <c r="B372" s="7"/>
    </row>
    <row r="373" spans="1:2" x14ac:dyDescent="0.2">
      <c r="A373" s="7"/>
      <c r="B373" s="7"/>
    </row>
    <row r="374" spans="1:2" x14ac:dyDescent="0.2">
      <c r="A374" s="7"/>
      <c r="B374" s="7"/>
    </row>
    <row r="375" spans="1:2" x14ac:dyDescent="0.2">
      <c r="A375" s="7"/>
      <c r="B375" s="7"/>
    </row>
    <row r="376" spans="1:2" x14ac:dyDescent="0.2">
      <c r="A376" s="7"/>
      <c r="B376" s="7"/>
    </row>
    <row r="377" spans="1:2" x14ac:dyDescent="0.2">
      <c r="A377" s="7"/>
      <c r="B377" s="7"/>
    </row>
    <row r="378" spans="1:2" x14ac:dyDescent="0.2">
      <c r="A378" s="7"/>
      <c r="B378" s="7"/>
    </row>
    <row r="379" spans="1:2" x14ac:dyDescent="0.2">
      <c r="A379" s="7"/>
      <c r="B379" s="7"/>
    </row>
    <row r="380" spans="1:2" x14ac:dyDescent="0.2">
      <c r="A380" s="7"/>
      <c r="B380" s="7"/>
    </row>
    <row r="381" spans="1:2" x14ac:dyDescent="0.2">
      <c r="A381" s="7"/>
      <c r="B381" s="7"/>
    </row>
    <row r="382" spans="1:2" x14ac:dyDescent="0.2">
      <c r="A382" s="7"/>
      <c r="B382" s="7"/>
    </row>
    <row r="383" spans="1:2" x14ac:dyDescent="0.2">
      <c r="A383" s="7"/>
      <c r="B383" s="7"/>
    </row>
    <row r="384" spans="1:2" x14ac:dyDescent="0.2">
      <c r="A384" s="7"/>
      <c r="B384" s="7"/>
    </row>
    <row r="385" spans="1:2" x14ac:dyDescent="0.2">
      <c r="A385" s="7"/>
      <c r="B385" s="7"/>
    </row>
    <row r="386" spans="1:2" x14ac:dyDescent="0.2">
      <c r="A386" s="7"/>
      <c r="B386" s="7"/>
    </row>
    <row r="387" spans="1:2" x14ac:dyDescent="0.2">
      <c r="A387" s="7"/>
      <c r="B387" s="7"/>
    </row>
    <row r="388" spans="1:2" x14ac:dyDescent="0.2">
      <c r="A388" s="7"/>
      <c r="B388" s="7"/>
    </row>
    <row r="389" spans="1:2" x14ac:dyDescent="0.2">
      <c r="A389" s="7"/>
      <c r="B389" s="7"/>
    </row>
    <row r="390" spans="1:2" x14ac:dyDescent="0.2">
      <c r="A390" s="7"/>
      <c r="B390" s="7"/>
    </row>
    <row r="391" spans="1:2" x14ac:dyDescent="0.2">
      <c r="A391" s="7"/>
      <c r="B391" s="7"/>
    </row>
    <row r="392" spans="1:2" x14ac:dyDescent="0.2">
      <c r="A392" s="7"/>
      <c r="B392" s="7"/>
    </row>
    <row r="393" spans="1:2" x14ac:dyDescent="0.2">
      <c r="A393" s="7"/>
      <c r="B393" s="7"/>
    </row>
    <row r="394" spans="1:2" x14ac:dyDescent="0.2">
      <c r="A394" s="7"/>
      <c r="B394" s="7"/>
    </row>
    <row r="395" spans="1:2" x14ac:dyDescent="0.2">
      <c r="A395" s="7"/>
      <c r="B395" s="7"/>
    </row>
    <row r="396" spans="1:2" x14ac:dyDescent="0.2">
      <c r="A396" s="7"/>
      <c r="B396" s="7"/>
    </row>
    <row r="397" spans="1:2" x14ac:dyDescent="0.2">
      <c r="A397" s="7"/>
      <c r="B397" s="7"/>
    </row>
    <row r="398" spans="1:2" x14ac:dyDescent="0.2">
      <c r="A398" s="7"/>
      <c r="B398" s="7"/>
    </row>
    <row r="399" spans="1:2" x14ac:dyDescent="0.2">
      <c r="A399" s="7"/>
      <c r="B399" s="7"/>
    </row>
    <row r="400" spans="1:2" x14ac:dyDescent="0.2">
      <c r="A400" s="7"/>
      <c r="B400" s="7"/>
    </row>
    <row r="401" spans="1:2" x14ac:dyDescent="0.2">
      <c r="A401" s="7"/>
      <c r="B401" s="7"/>
    </row>
    <row r="402" spans="1:2" x14ac:dyDescent="0.2">
      <c r="A402" s="7"/>
      <c r="B402" s="7"/>
    </row>
    <row r="403" spans="1:2" x14ac:dyDescent="0.2">
      <c r="A403" s="7"/>
      <c r="B403" s="7"/>
    </row>
    <row r="404" spans="1:2" x14ac:dyDescent="0.2">
      <c r="A404" s="7"/>
      <c r="B404" s="7"/>
    </row>
    <row r="405" spans="1:2" x14ac:dyDescent="0.2">
      <c r="A405" s="7"/>
      <c r="B405" s="7"/>
    </row>
    <row r="406" spans="1:2" x14ac:dyDescent="0.2">
      <c r="A406" s="7"/>
      <c r="B406" s="7"/>
    </row>
    <row r="407" spans="1:2" x14ac:dyDescent="0.2">
      <c r="A407" s="7"/>
      <c r="B407" s="7"/>
    </row>
    <row r="408" spans="1:2" x14ac:dyDescent="0.2">
      <c r="A408" s="7"/>
      <c r="B408" s="7"/>
    </row>
    <row r="409" spans="1:2" x14ac:dyDescent="0.2">
      <c r="A409" s="7"/>
      <c r="B409" s="7"/>
    </row>
    <row r="410" spans="1:2" x14ac:dyDescent="0.2">
      <c r="A410" s="7"/>
      <c r="B410" s="7"/>
    </row>
    <row r="411" spans="1:2" x14ac:dyDescent="0.2">
      <c r="A411" s="7"/>
      <c r="B411" s="7"/>
    </row>
    <row r="412" spans="1:2" x14ac:dyDescent="0.2">
      <c r="A412" s="7"/>
      <c r="B412" s="7"/>
    </row>
    <row r="413" spans="1:2" x14ac:dyDescent="0.2">
      <c r="A413" s="7"/>
      <c r="B413" s="7"/>
    </row>
    <row r="414" spans="1:2" x14ac:dyDescent="0.2">
      <c r="A414" s="7"/>
      <c r="B414" s="7"/>
    </row>
    <row r="415" spans="1:2" x14ac:dyDescent="0.2">
      <c r="A415" s="7"/>
      <c r="B415" s="7"/>
    </row>
    <row r="416" spans="1:2" x14ac:dyDescent="0.2">
      <c r="A416" s="7"/>
      <c r="B416" s="7"/>
    </row>
    <row r="417" spans="1:2" x14ac:dyDescent="0.2">
      <c r="A417" s="7"/>
      <c r="B417" s="7"/>
    </row>
    <row r="418" spans="1:2" x14ac:dyDescent="0.2">
      <c r="A418" s="7"/>
      <c r="B418" s="7"/>
    </row>
    <row r="419" spans="1:2" x14ac:dyDescent="0.2">
      <c r="A419" s="7"/>
      <c r="B419" s="7"/>
    </row>
    <row r="420" spans="1:2" x14ac:dyDescent="0.2">
      <c r="A420" s="7"/>
      <c r="B420" s="7"/>
    </row>
    <row r="421" spans="1:2" x14ac:dyDescent="0.2">
      <c r="A421" s="7"/>
      <c r="B421" s="7"/>
    </row>
    <row r="422" spans="1:2" x14ac:dyDescent="0.2">
      <c r="A422" s="7"/>
      <c r="B422" s="7"/>
    </row>
    <row r="423" spans="1:2" x14ac:dyDescent="0.2">
      <c r="A423" s="7"/>
      <c r="B423" s="7"/>
    </row>
    <row r="424" spans="1:2" x14ac:dyDescent="0.2">
      <c r="A424" s="7"/>
      <c r="B424" s="7"/>
    </row>
    <row r="425" spans="1:2" x14ac:dyDescent="0.2">
      <c r="A425" s="7"/>
      <c r="B425" s="7"/>
    </row>
    <row r="426" spans="1:2" x14ac:dyDescent="0.2">
      <c r="A426" s="7"/>
      <c r="B426" s="7"/>
    </row>
    <row r="427" spans="1:2" x14ac:dyDescent="0.2">
      <c r="A427" s="7"/>
      <c r="B427" s="7"/>
    </row>
    <row r="428" spans="1:2" x14ac:dyDescent="0.2">
      <c r="A428" s="7"/>
      <c r="B428" s="7"/>
    </row>
    <row r="429" spans="1:2" x14ac:dyDescent="0.2">
      <c r="A429" s="7"/>
      <c r="B429" s="7"/>
    </row>
    <row r="430" spans="1:2" x14ac:dyDescent="0.2">
      <c r="A430" s="7"/>
      <c r="B430" s="7"/>
    </row>
    <row r="431" spans="1:2" x14ac:dyDescent="0.2">
      <c r="A431" s="7"/>
      <c r="B431" s="7"/>
    </row>
    <row r="432" spans="1:2" x14ac:dyDescent="0.2">
      <c r="A432" s="7"/>
      <c r="B432" s="7"/>
    </row>
    <row r="433" spans="1:2" x14ac:dyDescent="0.2">
      <c r="A433" s="7"/>
      <c r="B433" s="7"/>
    </row>
    <row r="434" spans="1:2" x14ac:dyDescent="0.2">
      <c r="A434" s="7"/>
      <c r="B434" s="7"/>
    </row>
    <row r="435" spans="1:2" x14ac:dyDescent="0.2">
      <c r="A435" s="7"/>
      <c r="B435" s="7"/>
    </row>
    <row r="436" spans="1:2" x14ac:dyDescent="0.2">
      <c r="A436" s="7"/>
      <c r="B436" s="7"/>
    </row>
    <row r="437" spans="1:2" x14ac:dyDescent="0.2">
      <c r="A437" s="7"/>
      <c r="B437" s="7"/>
    </row>
    <row r="438" spans="1:2" x14ac:dyDescent="0.2">
      <c r="A438" s="7"/>
      <c r="B438" s="7"/>
    </row>
    <row r="439" spans="1:2" x14ac:dyDescent="0.2">
      <c r="A439" s="7"/>
      <c r="B439" s="7"/>
    </row>
    <row r="440" spans="1:2" x14ac:dyDescent="0.2">
      <c r="A440" s="7"/>
      <c r="B440" s="7"/>
    </row>
    <row r="441" spans="1:2" x14ac:dyDescent="0.2">
      <c r="A441" s="7"/>
      <c r="B441" s="7"/>
    </row>
    <row r="442" spans="1:2" x14ac:dyDescent="0.2">
      <c r="A442" s="7"/>
      <c r="B442" s="7"/>
    </row>
    <row r="443" spans="1:2" x14ac:dyDescent="0.2">
      <c r="A443" s="7"/>
      <c r="B443" s="7"/>
    </row>
    <row r="444" spans="1:2" x14ac:dyDescent="0.2">
      <c r="A444" s="7"/>
      <c r="B444" s="7"/>
    </row>
    <row r="445" spans="1:2" x14ac:dyDescent="0.2">
      <c r="A445" s="7"/>
      <c r="B445" s="7"/>
    </row>
    <row r="446" spans="1:2" x14ac:dyDescent="0.2">
      <c r="A446" s="7"/>
      <c r="B446" s="7"/>
    </row>
    <row r="447" spans="1:2" x14ac:dyDescent="0.2">
      <c r="A447" s="7"/>
      <c r="B447" s="7"/>
    </row>
    <row r="448" spans="1:2" x14ac:dyDescent="0.2">
      <c r="A448" s="7"/>
      <c r="B448" s="7"/>
    </row>
    <row r="449" spans="1:2" x14ac:dyDescent="0.2">
      <c r="A449" s="7"/>
      <c r="B449" s="7"/>
    </row>
    <row r="450" spans="1:2" x14ac:dyDescent="0.2">
      <c r="A450" s="7"/>
      <c r="B450" s="7"/>
    </row>
    <row r="451" spans="1:2" x14ac:dyDescent="0.2">
      <c r="A451" s="7"/>
      <c r="B451" s="7"/>
    </row>
    <row r="452" spans="1:2" x14ac:dyDescent="0.2">
      <c r="A452" s="7"/>
      <c r="B452" s="7"/>
    </row>
    <row r="453" spans="1:2" x14ac:dyDescent="0.2">
      <c r="A453" s="7"/>
      <c r="B453" s="7"/>
    </row>
    <row r="454" spans="1:2" x14ac:dyDescent="0.2">
      <c r="A454" s="7"/>
      <c r="B454" s="7"/>
    </row>
    <row r="455" spans="1:2" x14ac:dyDescent="0.2">
      <c r="A455" s="7"/>
      <c r="B455" s="7"/>
    </row>
    <row r="456" spans="1:2" x14ac:dyDescent="0.2">
      <c r="A456" s="7"/>
      <c r="B456" s="7"/>
    </row>
    <row r="457" spans="1:2" x14ac:dyDescent="0.2">
      <c r="A457" s="7"/>
      <c r="B457" s="7"/>
    </row>
    <row r="458" spans="1:2" x14ac:dyDescent="0.2">
      <c r="A458" s="7"/>
      <c r="B458" s="7"/>
    </row>
    <row r="459" spans="1:2" x14ac:dyDescent="0.2">
      <c r="A459" s="7"/>
      <c r="B459" s="7"/>
    </row>
    <row r="460" spans="1:2" x14ac:dyDescent="0.2">
      <c r="A460" s="7"/>
      <c r="B460" s="7"/>
    </row>
    <row r="461" spans="1:2" x14ac:dyDescent="0.2">
      <c r="A461" s="7"/>
      <c r="B461" s="7"/>
    </row>
    <row r="462" spans="1:2" x14ac:dyDescent="0.2">
      <c r="A462" s="7"/>
      <c r="B462" s="7"/>
    </row>
    <row r="463" spans="1:2" x14ac:dyDescent="0.2">
      <c r="A463" s="7"/>
      <c r="B463" s="7"/>
    </row>
    <row r="464" spans="1:2" x14ac:dyDescent="0.2">
      <c r="A464" s="7"/>
      <c r="B464" s="7"/>
    </row>
    <row r="465" spans="1:2" x14ac:dyDescent="0.2">
      <c r="A465" s="7"/>
      <c r="B465" s="7"/>
    </row>
    <row r="466" spans="1:2" x14ac:dyDescent="0.2">
      <c r="A466" s="7"/>
      <c r="B466" s="7"/>
    </row>
    <row r="467" spans="1:2" x14ac:dyDescent="0.2">
      <c r="A467" s="7"/>
      <c r="B467" s="7"/>
    </row>
    <row r="468" spans="1:2" x14ac:dyDescent="0.2">
      <c r="A468" s="7"/>
      <c r="B468" s="7"/>
    </row>
    <row r="469" spans="1:2" x14ac:dyDescent="0.2">
      <c r="A469" s="7"/>
      <c r="B469" s="7"/>
    </row>
    <row r="470" spans="1:2" x14ac:dyDescent="0.2">
      <c r="A470" s="7"/>
      <c r="B470" s="7"/>
    </row>
    <row r="471" spans="1:2" x14ac:dyDescent="0.2">
      <c r="A471" s="7"/>
      <c r="B471" s="7"/>
    </row>
    <row r="472" spans="1:2" x14ac:dyDescent="0.2">
      <c r="A472" s="7"/>
      <c r="B472" s="7"/>
    </row>
    <row r="473" spans="1:2" x14ac:dyDescent="0.2">
      <c r="A473" s="7"/>
      <c r="B473" s="7"/>
    </row>
    <row r="474" spans="1:2" x14ac:dyDescent="0.2">
      <c r="A474" s="7"/>
      <c r="B474" s="7"/>
    </row>
    <row r="475" spans="1:2" x14ac:dyDescent="0.2">
      <c r="A475" s="7"/>
      <c r="B475" s="7"/>
    </row>
    <row r="476" spans="1:2" x14ac:dyDescent="0.2">
      <c r="A476" s="7"/>
      <c r="B476" s="7"/>
    </row>
    <row r="477" spans="1:2" x14ac:dyDescent="0.2">
      <c r="A477" s="7"/>
      <c r="B477" s="7"/>
    </row>
    <row r="478" spans="1:2" x14ac:dyDescent="0.2">
      <c r="A478" s="7"/>
      <c r="B478" s="7"/>
    </row>
    <row r="479" spans="1:2" x14ac:dyDescent="0.2">
      <c r="A479" s="7"/>
      <c r="B479" s="7"/>
    </row>
    <row r="480" spans="1:2" x14ac:dyDescent="0.2">
      <c r="A480" s="7"/>
      <c r="B480" s="7"/>
    </row>
    <row r="481" spans="1:2" x14ac:dyDescent="0.2">
      <c r="A481" s="7"/>
      <c r="B481" s="7"/>
    </row>
    <row r="482" spans="1:2" x14ac:dyDescent="0.2">
      <c r="A482" s="7"/>
      <c r="B482" s="7"/>
    </row>
    <row r="483" spans="1:2" x14ac:dyDescent="0.2">
      <c r="A483" s="7"/>
      <c r="B483" s="7"/>
    </row>
    <row r="484" spans="1:2" x14ac:dyDescent="0.2">
      <c r="A484" s="7"/>
      <c r="B484" s="7"/>
    </row>
    <row r="485" spans="1:2" x14ac:dyDescent="0.2">
      <c r="A485" s="7"/>
      <c r="B485" s="7"/>
    </row>
    <row r="486" spans="1:2" x14ac:dyDescent="0.2">
      <c r="A486" s="7"/>
      <c r="B486" s="7"/>
    </row>
    <row r="487" spans="1:2" x14ac:dyDescent="0.2">
      <c r="A487" s="7"/>
      <c r="B487" s="7"/>
    </row>
    <row r="488" spans="1:2" x14ac:dyDescent="0.2">
      <c r="A488" s="7"/>
      <c r="B488" s="7"/>
    </row>
    <row r="489" spans="1:2" x14ac:dyDescent="0.2">
      <c r="A489" s="7"/>
      <c r="B489" s="7"/>
    </row>
    <row r="490" spans="1:2" x14ac:dyDescent="0.2">
      <c r="A490" s="7"/>
      <c r="B490" s="7"/>
    </row>
    <row r="491" spans="1:2" x14ac:dyDescent="0.2">
      <c r="A491" s="7"/>
      <c r="B491" s="7"/>
    </row>
    <row r="492" spans="1:2" x14ac:dyDescent="0.2">
      <c r="A492" s="7"/>
      <c r="B492" s="7"/>
    </row>
    <row r="493" spans="1:2" x14ac:dyDescent="0.2">
      <c r="A493" s="7"/>
      <c r="B493" s="7"/>
    </row>
    <row r="494" spans="1:2" x14ac:dyDescent="0.2">
      <c r="A494" s="7"/>
      <c r="B494" s="7"/>
    </row>
    <row r="495" spans="1:2" x14ac:dyDescent="0.2">
      <c r="A495" s="7"/>
      <c r="B495" s="7"/>
    </row>
    <row r="496" spans="1:2" x14ac:dyDescent="0.2">
      <c r="A496" s="7"/>
      <c r="B496" s="7"/>
    </row>
    <row r="497" spans="1:2" x14ac:dyDescent="0.2">
      <c r="A497" s="7"/>
      <c r="B497" s="7"/>
    </row>
    <row r="498" spans="1:2" x14ac:dyDescent="0.2">
      <c r="A498" s="7"/>
      <c r="B498" s="7"/>
    </row>
    <row r="499" spans="1:2" x14ac:dyDescent="0.2">
      <c r="A499" s="7"/>
      <c r="B499" s="7"/>
    </row>
    <row r="500" spans="1:2" x14ac:dyDescent="0.2">
      <c r="A500" s="7"/>
      <c r="B500" s="7"/>
    </row>
    <row r="501" spans="1:2" x14ac:dyDescent="0.2">
      <c r="A501" s="7"/>
      <c r="B501" s="7"/>
    </row>
    <row r="502" spans="1:2" x14ac:dyDescent="0.2">
      <c r="A502" s="7"/>
      <c r="B502" s="7"/>
    </row>
    <row r="503" spans="1:2" x14ac:dyDescent="0.2">
      <c r="A503" s="7"/>
      <c r="B503" s="7"/>
    </row>
    <row r="504" spans="1:2" x14ac:dyDescent="0.2">
      <c r="A504" s="7"/>
      <c r="B504" s="7"/>
    </row>
    <row r="505" spans="1:2" x14ac:dyDescent="0.2">
      <c r="A505" s="7"/>
      <c r="B505" s="7"/>
    </row>
    <row r="506" spans="1:2" x14ac:dyDescent="0.2">
      <c r="A506" s="7"/>
      <c r="B506" s="7"/>
    </row>
    <row r="507" spans="1:2" x14ac:dyDescent="0.2">
      <c r="A507" s="7"/>
      <c r="B507" s="7"/>
    </row>
    <row r="508" spans="1:2" x14ac:dyDescent="0.2">
      <c r="A508" s="7"/>
      <c r="B508" s="7"/>
    </row>
    <row r="509" spans="1:2" x14ac:dyDescent="0.2">
      <c r="A509" s="7"/>
      <c r="B509" s="7"/>
    </row>
    <row r="510" spans="1:2" x14ac:dyDescent="0.2">
      <c r="A510" s="7"/>
      <c r="B510" s="7"/>
    </row>
    <row r="511" spans="1:2" x14ac:dyDescent="0.2">
      <c r="A511" s="7"/>
      <c r="B511" s="7"/>
    </row>
    <row r="512" spans="1:2" x14ac:dyDescent="0.2">
      <c r="A512" s="7"/>
      <c r="B512" s="7"/>
    </row>
    <row r="513" spans="1:2" x14ac:dyDescent="0.2">
      <c r="A513" s="7"/>
      <c r="B513" s="7"/>
    </row>
    <row r="514" spans="1:2" x14ac:dyDescent="0.2">
      <c r="A514" s="7"/>
      <c r="B514" s="7"/>
    </row>
    <row r="515" spans="1:2" x14ac:dyDescent="0.2">
      <c r="A515" s="7"/>
      <c r="B515" s="7"/>
    </row>
    <row r="516" spans="1:2" x14ac:dyDescent="0.2">
      <c r="A516" s="7"/>
      <c r="B516" s="7"/>
    </row>
    <row r="517" spans="1:2" x14ac:dyDescent="0.2">
      <c r="A517" s="7"/>
      <c r="B517" s="7"/>
    </row>
    <row r="518" spans="1:2" x14ac:dyDescent="0.2">
      <c r="A518" s="7"/>
      <c r="B518" s="7"/>
    </row>
    <row r="519" spans="1:2" x14ac:dyDescent="0.2">
      <c r="A519" s="7"/>
      <c r="B519" s="7"/>
    </row>
    <row r="520" spans="1:2" x14ac:dyDescent="0.2">
      <c r="A520" s="7"/>
      <c r="B520" s="7"/>
    </row>
    <row r="521" spans="1:2" x14ac:dyDescent="0.2">
      <c r="A521" s="7"/>
      <c r="B521" s="7"/>
    </row>
    <row r="522" spans="1:2" x14ac:dyDescent="0.2">
      <c r="A522" s="7"/>
      <c r="B522" s="7"/>
    </row>
    <row r="523" spans="1:2" x14ac:dyDescent="0.2">
      <c r="A523" s="7"/>
      <c r="B523" s="7"/>
    </row>
    <row r="524" spans="1:2" x14ac:dyDescent="0.2">
      <c r="A524" s="7"/>
      <c r="B524" s="7"/>
    </row>
    <row r="525" spans="1:2" x14ac:dyDescent="0.2">
      <c r="A525" s="7"/>
      <c r="B525" s="7"/>
    </row>
    <row r="526" spans="1:2" x14ac:dyDescent="0.2">
      <c r="A526" s="7"/>
      <c r="B526" s="7"/>
    </row>
    <row r="527" spans="1:2" x14ac:dyDescent="0.2">
      <c r="A527" s="7"/>
      <c r="B527" s="7"/>
    </row>
    <row r="528" spans="1:2" x14ac:dyDescent="0.2">
      <c r="A528" s="7"/>
      <c r="B528" s="7"/>
    </row>
    <row r="529" spans="1:2" x14ac:dyDescent="0.2">
      <c r="A529" s="7"/>
      <c r="B529" s="7"/>
    </row>
    <row r="530" spans="1:2" x14ac:dyDescent="0.2">
      <c r="A530" s="7"/>
      <c r="B530" s="7"/>
    </row>
    <row r="531" spans="1:2" x14ac:dyDescent="0.2">
      <c r="A531" s="7"/>
      <c r="B531" s="7"/>
    </row>
    <row r="532" spans="1:2" x14ac:dyDescent="0.2">
      <c r="A532" s="7"/>
      <c r="B532" s="7"/>
    </row>
    <row r="533" spans="1:2" x14ac:dyDescent="0.2">
      <c r="A533" s="7"/>
      <c r="B533" s="7"/>
    </row>
    <row r="534" spans="1:2" x14ac:dyDescent="0.2">
      <c r="A534" s="7"/>
      <c r="B534" s="7"/>
    </row>
    <row r="535" spans="1:2" x14ac:dyDescent="0.2">
      <c r="A535" s="7"/>
      <c r="B535" s="7"/>
    </row>
    <row r="536" spans="1:2" x14ac:dyDescent="0.2">
      <c r="A536" s="7"/>
      <c r="B536" s="7"/>
    </row>
    <row r="537" spans="1:2" x14ac:dyDescent="0.2">
      <c r="A537" s="7"/>
      <c r="B537" s="7"/>
    </row>
    <row r="538" spans="1:2" x14ac:dyDescent="0.2">
      <c r="A538" s="7"/>
      <c r="B538" s="7"/>
    </row>
    <row r="539" spans="1:2" x14ac:dyDescent="0.2">
      <c r="A539" s="7"/>
      <c r="B539" s="7"/>
    </row>
    <row r="540" spans="1:2" x14ac:dyDescent="0.2">
      <c r="A540" s="7"/>
      <c r="B540" s="7"/>
    </row>
    <row r="541" spans="1:2" x14ac:dyDescent="0.2">
      <c r="A541" s="7"/>
      <c r="B541" s="7"/>
    </row>
    <row r="542" spans="1:2" x14ac:dyDescent="0.2">
      <c r="A542" s="7"/>
      <c r="B542" s="7"/>
    </row>
    <row r="543" spans="1:2" x14ac:dyDescent="0.2">
      <c r="A543" s="7"/>
      <c r="B543" s="7"/>
    </row>
    <row r="544" spans="1:2" x14ac:dyDescent="0.2">
      <c r="A544" s="7"/>
      <c r="B544" s="7"/>
    </row>
    <row r="545" spans="1:2" x14ac:dyDescent="0.2">
      <c r="A545" s="7"/>
      <c r="B545" s="7"/>
    </row>
    <row r="546" spans="1:2" x14ac:dyDescent="0.2">
      <c r="A546" s="7"/>
      <c r="B546" s="7"/>
    </row>
    <row r="547" spans="1:2" x14ac:dyDescent="0.2">
      <c r="A547" s="7"/>
      <c r="B547" s="7"/>
    </row>
    <row r="548" spans="1:2" x14ac:dyDescent="0.2">
      <c r="A548" s="7"/>
      <c r="B548" s="7"/>
    </row>
    <row r="549" spans="1:2" x14ac:dyDescent="0.2">
      <c r="A549" s="7"/>
      <c r="B549" s="7"/>
    </row>
    <row r="550" spans="1:2" x14ac:dyDescent="0.2">
      <c r="A550" s="7"/>
      <c r="B550" s="7"/>
    </row>
    <row r="551" spans="1:2" x14ac:dyDescent="0.2">
      <c r="A551" s="7"/>
      <c r="B551" s="7"/>
    </row>
    <row r="552" spans="1:2" x14ac:dyDescent="0.2">
      <c r="A552" s="7"/>
      <c r="B552" s="7"/>
    </row>
    <row r="553" spans="1:2" x14ac:dyDescent="0.2">
      <c r="A553" s="7"/>
      <c r="B553" s="7"/>
    </row>
    <row r="554" spans="1:2" x14ac:dyDescent="0.2">
      <c r="A554" s="7"/>
      <c r="B554" s="7"/>
    </row>
    <row r="555" spans="1:2" x14ac:dyDescent="0.2">
      <c r="A555" s="7"/>
      <c r="B555" s="7"/>
    </row>
    <row r="556" spans="1:2" x14ac:dyDescent="0.2">
      <c r="A556" s="7"/>
      <c r="B556" s="7"/>
    </row>
    <row r="557" spans="1:2" x14ac:dyDescent="0.2">
      <c r="A557" s="7"/>
      <c r="B557" s="7"/>
    </row>
    <row r="558" spans="1:2" x14ac:dyDescent="0.2">
      <c r="A558" s="7"/>
      <c r="B558" s="7"/>
    </row>
    <row r="559" spans="1:2" x14ac:dyDescent="0.2">
      <c r="A559" s="7"/>
      <c r="B559" s="7"/>
    </row>
    <row r="560" spans="1:2" x14ac:dyDescent="0.2">
      <c r="A560" s="7"/>
      <c r="B560" s="7"/>
    </row>
    <row r="561" spans="1:2" x14ac:dyDescent="0.2">
      <c r="A561" s="7"/>
      <c r="B561" s="7"/>
    </row>
    <row r="562" spans="1:2" x14ac:dyDescent="0.2">
      <c r="A562" s="7"/>
      <c r="B562" s="7"/>
    </row>
    <row r="563" spans="1:2" x14ac:dyDescent="0.2">
      <c r="A563" s="7"/>
      <c r="B563" s="7"/>
    </row>
    <row r="564" spans="1:2" x14ac:dyDescent="0.2">
      <c r="A564" s="7"/>
      <c r="B564" s="7"/>
    </row>
    <row r="565" spans="1:2" x14ac:dyDescent="0.2">
      <c r="A565" s="7"/>
      <c r="B565" s="7"/>
    </row>
    <row r="566" spans="1:2" x14ac:dyDescent="0.2">
      <c r="A566" s="7"/>
      <c r="B566" s="7"/>
    </row>
    <row r="567" spans="1:2" x14ac:dyDescent="0.2">
      <c r="A567" s="7"/>
      <c r="B567" s="7"/>
    </row>
    <row r="568" spans="1:2" x14ac:dyDescent="0.2">
      <c r="A568" s="7"/>
      <c r="B568" s="7"/>
    </row>
    <row r="569" spans="1:2" x14ac:dyDescent="0.2">
      <c r="A569" s="7"/>
      <c r="B569" s="7"/>
    </row>
    <row r="570" spans="1:2" x14ac:dyDescent="0.2">
      <c r="A570" s="7"/>
      <c r="B570" s="7"/>
    </row>
    <row r="571" spans="1:2" x14ac:dyDescent="0.2">
      <c r="A571" s="7"/>
      <c r="B571" s="7"/>
    </row>
    <row r="572" spans="1:2" x14ac:dyDescent="0.2">
      <c r="A572" s="7"/>
      <c r="B572" s="7"/>
    </row>
    <row r="573" spans="1:2" x14ac:dyDescent="0.2">
      <c r="A573" s="7"/>
      <c r="B573" s="7"/>
    </row>
    <row r="574" spans="1:2" x14ac:dyDescent="0.2">
      <c r="A574" s="7"/>
      <c r="B574" s="7"/>
    </row>
    <row r="575" spans="1:2" x14ac:dyDescent="0.2">
      <c r="A575" s="7"/>
      <c r="B575" s="7"/>
    </row>
    <row r="576" spans="1:2" x14ac:dyDescent="0.2">
      <c r="A576" s="7"/>
      <c r="B576" s="7"/>
    </row>
    <row r="577" spans="1:2" x14ac:dyDescent="0.2">
      <c r="A577" s="7"/>
      <c r="B577" s="7"/>
    </row>
    <row r="578" spans="1:2" x14ac:dyDescent="0.2">
      <c r="A578" s="7"/>
      <c r="B578" s="7"/>
    </row>
    <row r="579" spans="1:2" x14ac:dyDescent="0.2">
      <c r="A579" s="7"/>
      <c r="B579" s="7"/>
    </row>
    <row r="580" spans="1:2" x14ac:dyDescent="0.2">
      <c r="A580" s="7"/>
      <c r="B580" s="7"/>
    </row>
    <row r="581" spans="1:2" x14ac:dyDescent="0.2">
      <c r="A581" s="7"/>
      <c r="B581" s="7"/>
    </row>
    <row r="582" spans="1:2" x14ac:dyDescent="0.2">
      <c r="A582" s="7"/>
      <c r="B582" s="7"/>
    </row>
    <row r="583" spans="1:2" x14ac:dyDescent="0.2">
      <c r="A583" s="7"/>
      <c r="B583" s="7"/>
    </row>
    <row r="584" spans="1:2" x14ac:dyDescent="0.2">
      <c r="A584" s="7"/>
      <c r="B584" s="7"/>
    </row>
    <row r="585" spans="1:2" x14ac:dyDescent="0.2">
      <c r="A585" s="7"/>
      <c r="B585" s="7"/>
    </row>
    <row r="586" spans="1:2" x14ac:dyDescent="0.2">
      <c r="A586" s="7"/>
      <c r="B586" s="7"/>
    </row>
    <row r="587" spans="1:2" x14ac:dyDescent="0.2">
      <c r="A587" s="7"/>
      <c r="B587" s="7"/>
    </row>
    <row r="588" spans="1:2" x14ac:dyDescent="0.2">
      <c r="A588" s="7"/>
      <c r="B588" s="7"/>
    </row>
    <row r="589" spans="1:2" x14ac:dyDescent="0.2">
      <c r="A589" s="7"/>
      <c r="B589" s="7"/>
    </row>
    <row r="590" spans="1:2" x14ac:dyDescent="0.2">
      <c r="A590" s="7"/>
      <c r="B590" s="7"/>
    </row>
    <row r="591" spans="1:2" x14ac:dyDescent="0.2">
      <c r="A591" s="7"/>
      <c r="B591" s="7"/>
    </row>
    <row r="592" spans="1:2" x14ac:dyDescent="0.2">
      <c r="A592" s="7"/>
      <c r="B592" s="7"/>
    </row>
    <row r="593" spans="1:2" x14ac:dyDescent="0.2">
      <c r="A593" s="7"/>
      <c r="B593" s="7"/>
    </row>
    <row r="594" spans="1:2" x14ac:dyDescent="0.2">
      <c r="A594" s="7"/>
      <c r="B594" s="7"/>
    </row>
    <row r="595" spans="1:2" x14ac:dyDescent="0.2">
      <c r="A595" s="7"/>
      <c r="B595" s="7"/>
    </row>
    <row r="596" spans="1:2" x14ac:dyDescent="0.2">
      <c r="A596" s="7"/>
      <c r="B596" s="7"/>
    </row>
    <row r="597" spans="1:2" x14ac:dyDescent="0.2">
      <c r="A597" s="7"/>
      <c r="B597" s="7"/>
    </row>
    <row r="598" spans="1:2" x14ac:dyDescent="0.2">
      <c r="A598" s="7"/>
      <c r="B598" s="7"/>
    </row>
    <row r="599" spans="1:2" x14ac:dyDescent="0.2">
      <c r="A599" s="7"/>
      <c r="B599" s="7"/>
    </row>
    <row r="600" spans="1:2" x14ac:dyDescent="0.2">
      <c r="A600" s="7"/>
      <c r="B600" s="7"/>
    </row>
    <row r="601" spans="1:2" x14ac:dyDescent="0.2">
      <c r="A601" s="7"/>
      <c r="B601" s="7"/>
    </row>
    <row r="602" spans="1:2" x14ac:dyDescent="0.2">
      <c r="A602" s="7"/>
      <c r="B602" s="7"/>
    </row>
    <row r="603" spans="1:2" x14ac:dyDescent="0.2">
      <c r="A603" s="7"/>
      <c r="B603" s="7"/>
    </row>
    <row r="604" spans="1:2" x14ac:dyDescent="0.2">
      <c r="A604" s="7"/>
      <c r="B604" s="7"/>
    </row>
    <row r="605" spans="1:2" x14ac:dyDescent="0.2">
      <c r="A605" s="7"/>
      <c r="B605" s="7"/>
    </row>
    <row r="606" spans="1:2" x14ac:dyDescent="0.2">
      <c r="A606" s="7"/>
      <c r="B606" s="7"/>
    </row>
    <row r="607" spans="1:2" x14ac:dyDescent="0.2">
      <c r="A607" s="7"/>
      <c r="B607" s="7"/>
    </row>
    <row r="608" spans="1:2" x14ac:dyDescent="0.2">
      <c r="A608" s="7"/>
      <c r="B608" s="7"/>
    </row>
    <row r="609" spans="1:2" x14ac:dyDescent="0.2">
      <c r="A609" s="7"/>
      <c r="B609" s="7"/>
    </row>
    <row r="610" spans="1:2" x14ac:dyDescent="0.2">
      <c r="A610" s="7"/>
      <c r="B610" s="7"/>
    </row>
    <row r="611" spans="1:2" x14ac:dyDescent="0.2">
      <c r="A611" s="7"/>
      <c r="B611" s="7"/>
    </row>
    <row r="612" spans="1:2" x14ac:dyDescent="0.2">
      <c r="A612" s="7"/>
      <c r="B612" s="7"/>
    </row>
    <row r="613" spans="1:2" x14ac:dyDescent="0.2">
      <c r="A613" s="7"/>
      <c r="B613" s="7"/>
    </row>
    <row r="614" spans="1:2" x14ac:dyDescent="0.2">
      <c r="A614" s="7"/>
      <c r="B614" s="7"/>
    </row>
    <row r="615" spans="1:2" x14ac:dyDescent="0.2">
      <c r="A615" s="7"/>
      <c r="B615" s="7"/>
    </row>
    <row r="616" spans="1:2" x14ac:dyDescent="0.2">
      <c r="A616" s="7"/>
      <c r="B616" s="7"/>
    </row>
    <row r="617" spans="1:2" x14ac:dyDescent="0.2">
      <c r="A617" s="7"/>
      <c r="B617" s="7"/>
    </row>
    <row r="618" spans="1:2" x14ac:dyDescent="0.2">
      <c r="A618" s="7"/>
      <c r="B618" s="7"/>
    </row>
    <row r="619" spans="1:2" x14ac:dyDescent="0.2">
      <c r="A619" s="7"/>
      <c r="B619" s="7"/>
    </row>
    <row r="620" spans="1:2" x14ac:dyDescent="0.2">
      <c r="A620" s="7"/>
      <c r="B620" s="7"/>
    </row>
    <row r="621" spans="1:2" x14ac:dyDescent="0.2">
      <c r="A621" s="7"/>
      <c r="B621" s="7"/>
    </row>
    <row r="622" spans="1:2" x14ac:dyDescent="0.2">
      <c r="A622" s="7"/>
      <c r="B622" s="7"/>
    </row>
    <row r="623" spans="1:2" x14ac:dyDescent="0.2">
      <c r="A623" s="7"/>
      <c r="B623" s="7"/>
    </row>
    <row r="624" spans="1:2" x14ac:dyDescent="0.2">
      <c r="A624" s="7"/>
      <c r="B624" s="7"/>
    </row>
    <row r="625" spans="1:2" x14ac:dyDescent="0.2">
      <c r="A625" s="7"/>
      <c r="B625" s="7"/>
    </row>
    <row r="626" spans="1:2" x14ac:dyDescent="0.2">
      <c r="A626" s="7"/>
      <c r="B626" s="7"/>
    </row>
    <row r="627" spans="1:2" x14ac:dyDescent="0.2">
      <c r="A627" s="7"/>
      <c r="B627" s="7"/>
    </row>
    <row r="628" spans="1:2" x14ac:dyDescent="0.2">
      <c r="A628" s="7"/>
      <c r="B628" s="7"/>
    </row>
    <row r="629" spans="1:2" x14ac:dyDescent="0.2">
      <c r="A629" s="7"/>
      <c r="B629" s="7"/>
    </row>
    <row r="630" spans="1:2" x14ac:dyDescent="0.2">
      <c r="A630" s="7"/>
      <c r="B630" s="7"/>
    </row>
    <row r="631" spans="1:2" x14ac:dyDescent="0.2">
      <c r="A631" s="7"/>
      <c r="B631" s="7"/>
    </row>
    <row r="632" spans="1:2" x14ac:dyDescent="0.2">
      <c r="A632" s="7"/>
      <c r="B632" s="7"/>
    </row>
    <row r="633" spans="1:2" x14ac:dyDescent="0.2">
      <c r="A633" s="7"/>
      <c r="B633" s="7"/>
    </row>
    <row r="634" spans="1:2" x14ac:dyDescent="0.2">
      <c r="A634" s="7"/>
      <c r="B634" s="7"/>
    </row>
    <row r="635" spans="1:2" x14ac:dyDescent="0.2">
      <c r="A635" s="7"/>
      <c r="B635" s="7"/>
    </row>
    <row r="636" spans="1:2" x14ac:dyDescent="0.2">
      <c r="A636" s="7"/>
      <c r="B636" s="7"/>
    </row>
    <row r="637" spans="1:2" x14ac:dyDescent="0.2">
      <c r="A637" s="7"/>
      <c r="B637" s="7"/>
    </row>
    <row r="638" spans="1:2" x14ac:dyDescent="0.2">
      <c r="A638" s="7"/>
      <c r="B638" s="7"/>
    </row>
    <row r="639" spans="1:2" x14ac:dyDescent="0.2">
      <c r="A639" s="7"/>
      <c r="B639" s="7"/>
    </row>
    <row r="640" spans="1:2" x14ac:dyDescent="0.2">
      <c r="A640" s="7"/>
      <c r="B640" s="7"/>
    </row>
    <row r="641" spans="1:2" x14ac:dyDescent="0.2">
      <c r="A641" s="7"/>
      <c r="B641" s="7"/>
    </row>
    <row r="642" spans="1:2" x14ac:dyDescent="0.2">
      <c r="A642" s="7"/>
      <c r="B642" s="7"/>
    </row>
    <row r="643" spans="1:2" x14ac:dyDescent="0.2">
      <c r="A643" s="7"/>
      <c r="B643" s="7"/>
    </row>
    <row r="644" spans="1:2" x14ac:dyDescent="0.2">
      <c r="A644" s="7"/>
      <c r="B644" s="7"/>
    </row>
    <row r="645" spans="1:2" x14ac:dyDescent="0.2">
      <c r="A645" s="7"/>
      <c r="B645" s="7"/>
    </row>
    <row r="646" spans="1:2" x14ac:dyDescent="0.2">
      <c r="A646" s="7"/>
      <c r="B646" s="7"/>
    </row>
    <row r="647" spans="1:2" x14ac:dyDescent="0.2">
      <c r="A647" s="7"/>
      <c r="B647" s="7"/>
    </row>
    <row r="648" spans="1:2" x14ac:dyDescent="0.2">
      <c r="A648" s="7"/>
      <c r="B648" s="7"/>
    </row>
    <row r="649" spans="1:2" x14ac:dyDescent="0.2">
      <c r="A649" s="7"/>
      <c r="B649" s="7"/>
    </row>
    <row r="650" spans="1:2" x14ac:dyDescent="0.2">
      <c r="A650" s="7"/>
      <c r="B650" s="7"/>
    </row>
    <row r="651" spans="1:2" x14ac:dyDescent="0.2">
      <c r="A651" s="7"/>
      <c r="B651" s="7"/>
    </row>
    <row r="652" spans="1:2" x14ac:dyDescent="0.2">
      <c r="A652" s="7"/>
      <c r="B652" s="7"/>
    </row>
    <row r="653" spans="1:2" x14ac:dyDescent="0.2">
      <c r="A653" s="7"/>
      <c r="B653" s="7"/>
    </row>
    <row r="654" spans="1:2" x14ac:dyDescent="0.2">
      <c r="A654" s="7"/>
      <c r="B654" s="7"/>
    </row>
    <row r="655" spans="1:2" x14ac:dyDescent="0.2">
      <c r="A655" s="7"/>
      <c r="B655" s="7"/>
    </row>
    <row r="656" spans="1:2" x14ac:dyDescent="0.2">
      <c r="A656" s="7"/>
      <c r="B656" s="7"/>
    </row>
    <row r="657" spans="1:2" x14ac:dyDescent="0.2">
      <c r="A657" s="7"/>
      <c r="B657" s="7"/>
    </row>
    <row r="658" spans="1:2" x14ac:dyDescent="0.2">
      <c r="A658" s="7"/>
      <c r="B658" s="7"/>
    </row>
    <row r="659" spans="1:2" x14ac:dyDescent="0.2">
      <c r="A659" s="7"/>
      <c r="B659" s="7"/>
    </row>
    <row r="660" spans="1:2" x14ac:dyDescent="0.2">
      <c r="A660" s="7"/>
      <c r="B660" s="7"/>
    </row>
    <row r="661" spans="1:2" x14ac:dyDescent="0.2">
      <c r="A661" s="7"/>
      <c r="B661" s="7"/>
    </row>
    <row r="662" spans="1:2" x14ac:dyDescent="0.2">
      <c r="A662" s="7"/>
      <c r="B662" s="7"/>
    </row>
    <row r="663" spans="1:2" x14ac:dyDescent="0.2">
      <c r="A663" s="7"/>
      <c r="B663" s="7"/>
    </row>
    <row r="664" spans="1:2" x14ac:dyDescent="0.2">
      <c r="A664" s="7"/>
      <c r="B664" s="7"/>
    </row>
    <row r="665" spans="1:2" x14ac:dyDescent="0.2">
      <c r="A665" s="7"/>
      <c r="B665" s="7"/>
    </row>
    <row r="666" spans="1:2" x14ac:dyDescent="0.2">
      <c r="A666" s="7"/>
      <c r="B666" s="7"/>
    </row>
    <row r="667" spans="1:2" x14ac:dyDescent="0.2">
      <c r="A667" s="7"/>
      <c r="B667" s="7"/>
    </row>
    <row r="668" spans="1:2" x14ac:dyDescent="0.2">
      <c r="A668" s="7"/>
      <c r="B668" s="7"/>
    </row>
    <row r="669" spans="1:2" x14ac:dyDescent="0.2">
      <c r="A669" s="7"/>
      <c r="B669" s="7"/>
    </row>
    <row r="670" spans="1:2" x14ac:dyDescent="0.2">
      <c r="A670" s="7"/>
      <c r="B670" s="7"/>
    </row>
    <row r="671" spans="1:2" x14ac:dyDescent="0.2">
      <c r="A671" s="7"/>
      <c r="B671" s="7"/>
    </row>
    <row r="672" spans="1:2" x14ac:dyDescent="0.2">
      <c r="A672" s="7"/>
      <c r="B672" s="7"/>
    </row>
    <row r="673" spans="1:2" x14ac:dyDescent="0.2">
      <c r="A673" s="7"/>
      <c r="B673" s="7"/>
    </row>
    <row r="674" spans="1:2" x14ac:dyDescent="0.2">
      <c r="A674" s="7"/>
      <c r="B674" s="7"/>
    </row>
    <row r="675" spans="1:2" x14ac:dyDescent="0.2">
      <c r="A675" s="7"/>
      <c r="B675" s="7"/>
    </row>
    <row r="676" spans="1:2" x14ac:dyDescent="0.2">
      <c r="A676" s="7"/>
      <c r="B676" s="7"/>
    </row>
    <row r="677" spans="1:2" x14ac:dyDescent="0.2">
      <c r="A677" s="7"/>
      <c r="B677" s="7"/>
    </row>
    <row r="678" spans="1:2" x14ac:dyDescent="0.2">
      <c r="A678" s="7"/>
      <c r="B678" s="7"/>
    </row>
    <row r="679" spans="1:2" x14ac:dyDescent="0.2">
      <c r="A679" s="7"/>
      <c r="B679" s="7"/>
    </row>
    <row r="680" spans="1:2" x14ac:dyDescent="0.2">
      <c r="A680" s="7"/>
      <c r="B680" s="7"/>
    </row>
    <row r="681" spans="1:2" x14ac:dyDescent="0.2">
      <c r="A681" s="7"/>
      <c r="B681" s="7"/>
    </row>
    <row r="682" spans="1:2" x14ac:dyDescent="0.2">
      <c r="A682" s="7"/>
      <c r="B682" s="7"/>
    </row>
    <row r="683" spans="1:2" x14ac:dyDescent="0.2">
      <c r="A683" s="7"/>
      <c r="B683" s="7"/>
    </row>
    <row r="684" spans="1:2" x14ac:dyDescent="0.2">
      <c r="A684" s="7"/>
      <c r="B684" s="7"/>
    </row>
    <row r="685" spans="1:2" x14ac:dyDescent="0.2">
      <c r="A685" s="7"/>
      <c r="B685" s="7"/>
    </row>
    <row r="686" spans="1:2" x14ac:dyDescent="0.2">
      <c r="A686" s="7"/>
      <c r="B686" s="7"/>
    </row>
    <row r="687" spans="1:2" x14ac:dyDescent="0.2">
      <c r="A687" s="7"/>
      <c r="B687" s="7"/>
    </row>
    <row r="688" spans="1:2" x14ac:dyDescent="0.2">
      <c r="A688" s="7"/>
      <c r="B688" s="7"/>
    </row>
    <row r="689" spans="1:2" x14ac:dyDescent="0.2">
      <c r="A689" s="7"/>
      <c r="B689" s="7"/>
    </row>
    <row r="690" spans="1:2" x14ac:dyDescent="0.2">
      <c r="A690" s="7"/>
      <c r="B690" s="7"/>
    </row>
    <row r="691" spans="1:2" x14ac:dyDescent="0.2">
      <c r="A691" s="7"/>
      <c r="B691" s="7"/>
    </row>
    <row r="692" spans="1:2" x14ac:dyDescent="0.2">
      <c r="A692" s="7"/>
      <c r="B692" s="7"/>
    </row>
    <row r="693" spans="1:2" x14ac:dyDescent="0.2">
      <c r="A693" s="7"/>
      <c r="B693" s="7"/>
    </row>
    <row r="694" spans="1:2" x14ac:dyDescent="0.2">
      <c r="A694" s="7"/>
      <c r="B694" s="7"/>
    </row>
    <row r="695" spans="1:2" x14ac:dyDescent="0.2">
      <c r="A695" s="7"/>
      <c r="B695" s="7"/>
    </row>
    <row r="696" spans="1:2" x14ac:dyDescent="0.2">
      <c r="A696" s="7"/>
      <c r="B696" s="7"/>
    </row>
    <row r="697" spans="1:2" x14ac:dyDescent="0.2">
      <c r="A697" s="7"/>
      <c r="B697" s="7"/>
    </row>
    <row r="698" spans="1:2" x14ac:dyDescent="0.2">
      <c r="A698" s="7"/>
      <c r="B698" s="7"/>
    </row>
    <row r="699" spans="1:2" x14ac:dyDescent="0.2">
      <c r="A699" s="7"/>
      <c r="B699" s="7"/>
    </row>
    <row r="700" spans="1:2" x14ac:dyDescent="0.2">
      <c r="A700" s="7"/>
      <c r="B700" s="7"/>
    </row>
    <row r="701" spans="1:2" x14ac:dyDescent="0.2">
      <c r="A701" s="7"/>
      <c r="B701" s="7"/>
    </row>
    <row r="702" spans="1:2" x14ac:dyDescent="0.2">
      <c r="A702" s="7"/>
      <c r="B702" s="7"/>
    </row>
    <row r="703" spans="1:2" x14ac:dyDescent="0.2">
      <c r="A703" s="7"/>
      <c r="B703" s="7"/>
    </row>
    <row r="704" spans="1:2" x14ac:dyDescent="0.2">
      <c r="A704" s="7"/>
      <c r="B704" s="7"/>
    </row>
    <row r="705" spans="1:2" x14ac:dyDescent="0.2">
      <c r="A705" s="7"/>
      <c r="B705" s="7"/>
    </row>
    <row r="706" spans="1:2" x14ac:dyDescent="0.2">
      <c r="A706" s="7"/>
      <c r="B706" s="7"/>
    </row>
    <row r="707" spans="1:2" x14ac:dyDescent="0.2">
      <c r="A707" s="7"/>
      <c r="B707" s="7"/>
    </row>
    <row r="708" spans="1:2" x14ac:dyDescent="0.2">
      <c r="A708" s="7"/>
      <c r="B708" s="7"/>
    </row>
    <row r="709" spans="1:2" x14ac:dyDescent="0.2">
      <c r="A709" s="7"/>
      <c r="B709" s="7"/>
    </row>
    <row r="710" spans="1:2" x14ac:dyDescent="0.2">
      <c r="A710" s="7"/>
      <c r="B710" s="7"/>
    </row>
    <row r="711" spans="1:2" x14ac:dyDescent="0.2">
      <c r="A711" s="7"/>
      <c r="B711" s="7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6</vt:i4>
      </vt:variant>
    </vt:vector>
  </HeadingPairs>
  <TitlesOfParts>
    <vt:vector size="7" baseType="lpstr">
      <vt:lpstr>American Put Option</vt:lpstr>
      <vt:lpstr>dprice</vt:lpstr>
      <vt:lpstr>dtime</vt:lpstr>
      <vt:lpstr>inverseG</vt:lpstr>
      <vt:lpstr>riskfree</vt:lpstr>
      <vt:lpstr>sigma</vt:lpstr>
      <vt:lpstr>strike</vt:lpstr>
    </vt:vector>
  </TitlesOfParts>
  <Company>RiskDynamics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2005-03-04T09:10:14Z</dcterms:created>
  <dcterms:modified xsi:type="dcterms:W3CDTF">2019-01-31T09:04:18Z</dcterms:modified>
</cp:coreProperties>
</file>