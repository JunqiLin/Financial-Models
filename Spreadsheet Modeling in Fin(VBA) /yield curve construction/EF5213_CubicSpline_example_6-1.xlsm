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cityu\year2018-2019\EF5213B_1819\note\yield_curve\"/>
    </mc:Choice>
  </mc:AlternateContent>
  <bookViews>
    <workbookView xWindow="90" yWindow="90" windowWidth="15180" windowHeight="9210"/>
  </bookViews>
  <sheets>
    <sheet name="cubicspline" sheetId="1" r:id="rId1"/>
  </sheets>
  <definedNames>
    <definedName name="solver_adj" localSheetId="0" hidden="1">cubicspline!$B$2</definedName>
    <definedName name="solver_cvg" localSheetId="0" hidden="1">0.00000001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cubicspline!$B$3</definedName>
    <definedName name="solver_pre" localSheetId="0" hidden="1">0.00000001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0.0000000001</definedName>
    <definedName name="solver_typ" localSheetId="0" hidden="1">3</definedName>
    <definedName name="solver_val" localSheetId="0" hidden="1">0</definedName>
  </definedNames>
  <calcPr calcId="152511"/>
</workbook>
</file>

<file path=xl/calcChain.xml><?xml version="1.0" encoding="utf-8"?>
<calcChain xmlns="http://schemas.openxmlformats.org/spreadsheetml/2006/main">
  <c r="H1" i="1" l="1"/>
  <c r="I1" i="1" s="1"/>
  <c r="G2" i="1"/>
  <c r="H2" i="1"/>
  <c r="G3" i="1"/>
  <c r="H3" i="1" s="1"/>
  <c r="G4" i="1" l="1"/>
  <c r="H4" i="1" l="1"/>
  <c r="G5" i="1"/>
  <c r="H5" i="1" l="1"/>
  <c r="G6" i="1"/>
  <c r="H6" i="1" l="1"/>
  <c r="G7" i="1"/>
  <c r="H7" i="1" l="1"/>
  <c r="G8" i="1"/>
  <c r="H8" i="1" l="1"/>
  <c r="G9" i="1"/>
  <c r="H9" i="1" l="1"/>
  <c r="G10" i="1"/>
  <c r="G11" i="1" l="1"/>
  <c r="H10" i="1"/>
  <c r="H11" i="1" l="1"/>
  <c r="I11" i="1" s="1"/>
  <c r="G12" i="1"/>
  <c r="H12" i="1" l="1"/>
  <c r="G13" i="1"/>
  <c r="H13" i="1" l="1"/>
  <c r="G14" i="1"/>
  <c r="H14" i="1" l="1"/>
  <c r="G15" i="1"/>
  <c r="H15" i="1" l="1"/>
  <c r="G16" i="1"/>
  <c r="H16" i="1" l="1"/>
  <c r="G17" i="1"/>
  <c r="H17" i="1" l="1"/>
  <c r="G18" i="1"/>
  <c r="H18" i="1" l="1"/>
  <c r="G19" i="1"/>
  <c r="H19" i="1" l="1"/>
  <c r="G20" i="1"/>
  <c r="H20" i="1" l="1"/>
  <c r="G21" i="1"/>
  <c r="H21" i="1" l="1"/>
  <c r="G22" i="1"/>
  <c r="H22" i="1" l="1"/>
  <c r="G23" i="1"/>
  <c r="H23" i="1" l="1"/>
  <c r="G24" i="1"/>
  <c r="H24" i="1" l="1"/>
  <c r="G25" i="1"/>
  <c r="G26" i="1" l="1"/>
  <c r="H25" i="1"/>
  <c r="H26" i="1" l="1"/>
  <c r="G27" i="1"/>
  <c r="H27" i="1" l="1"/>
  <c r="G28" i="1"/>
  <c r="H28" i="1" l="1"/>
  <c r="G29" i="1"/>
  <c r="G30" i="1" l="1"/>
  <c r="H29" i="1"/>
  <c r="H30" i="1" l="1"/>
  <c r="G31" i="1"/>
  <c r="H31" i="1" s="1"/>
  <c r="I31" i="1" s="1"/>
</calcChain>
</file>

<file path=xl/sharedStrings.xml><?xml version="1.0" encoding="utf-8"?>
<sst xmlns="http://schemas.openxmlformats.org/spreadsheetml/2006/main" count="11" uniqueCount="11">
  <si>
    <r>
      <rPr>
        <i/>
        <sz val="10"/>
        <rFont val="Arial"/>
        <family val="2"/>
      </rPr>
      <t>a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</t>
    </r>
  </si>
  <si>
    <r>
      <rPr>
        <i/>
        <sz val="10"/>
        <rFont val="Arial"/>
        <family val="2"/>
      </rPr>
      <t>b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</t>
    </r>
  </si>
  <si>
    <r>
      <rPr>
        <i/>
        <sz val="10"/>
        <rFont val="Arial"/>
        <family val="2"/>
      </rPr>
      <t>c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</t>
    </r>
  </si>
  <si>
    <r>
      <rPr>
        <i/>
        <sz val="10"/>
        <rFont val="Arial"/>
        <family val="2"/>
      </rPr>
      <t>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</t>
    </r>
  </si>
  <si>
    <r>
      <rPr>
        <i/>
        <sz val="10"/>
        <rFont val="Arial"/>
        <family val="2"/>
      </rPr>
      <t>a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</t>
    </r>
  </si>
  <si>
    <r>
      <rPr>
        <i/>
        <sz val="10"/>
        <rFont val="Arial"/>
        <family val="2"/>
      </rPr>
      <t>b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</t>
    </r>
  </si>
  <si>
    <r>
      <rPr>
        <i/>
        <sz val="10"/>
        <rFont val="Arial"/>
        <family val="2"/>
      </rPr>
      <t>c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</t>
    </r>
  </si>
  <si>
    <r>
      <rPr>
        <i/>
        <sz val="10"/>
        <rFont val="Arial"/>
        <family val="2"/>
      </rPr>
      <t>d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</t>
    </r>
  </si>
  <si>
    <t>NPV Error =</t>
  </si>
  <si>
    <r>
      <rPr>
        <i/>
        <sz val="10"/>
        <rFont val="Arial"/>
        <family val="2"/>
      </rPr>
      <t>Two-year Zero Rate</t>
    </r>
    <r>
      <rPr>
        <sz val="10"/>
        <rFont val="Arial"/>
        <family val="2"/>
      </rPr>
      <t xml:space="preserve"> = </t>
    </r>
  </si>
  <si>
    <r>
      <rPr>
        <i/>
        <sz val="10"/>
        <rFont val="Arial"/>
        <family val="2"/>
      </rPr>
      <t>Prec Flag</t>
    </r>
    <r>
      <rPr>
        <sz val="10"/>
        <rFont val="Arial"/>
        <family val="2"/>
      </rPr>
      <t xml:space="preserve">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</si>
</sst>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81" formatCode="0.0000000"/>
    <numFmt numFmtId="183" formatCode="0.00000"/>
    <numFmt numFmtId="190" formatCode="0.00000000"/>
    <numFmt numFmtId="191" formatCode="0.000000000"/>
    <numFmt numFmtId="192" formatCode="0.00000000E+00"/>
    <numFmt numFmtId="194" formatCode="0.000000E+00"/>
    <numFmt numFmtId="196" formatCode="0.0000E+00"/>
  </numFmts>
  <fonts count="6">
    <font>
      <sz val="10"/>
      <name val="Arial"/>
      <charset val="136"/>
    </font>
    <font>
      <sz val="8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83" fontId="0" fillId="0" borderId="0" xfId="0" applyNumberFormat="1"/>
    <xf numFmtId="181" fontId="0" fillId="2" borderId="0" xfId="0" applyNumberForma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right"/>
    </xf>
    <xf numFmtId="190" fontId="0" fillId="0" borderId="0" xfId="0" applyNumberFormat="1"/>
    <xf numFmtId="191" fontId="0" fillId="0" borderId="0" xfId="0" applyNumberFormat="1"/>
    <xf numFmtId="0" fontId="5" fillId="2" borderId="0" xfId="0" applyFont="1" applyFill="1" applyAlignment="1">
      <alignment horizontal="center"/>
    </xf>
    <xf numFmtId="190" fontId="2" fillId="2" borderId="0" xfId="0" applyNumberFormat="1" applyFont="1" applyFill="1" applyAlignment="1">
      <alignment horizontal="center"/>
    </xf>
    <xf numFmtId="190" fontId="0" fillId="2" borderId="0" xfId="0" applyNumberFormat="1" applyFill="1" applyAlignment="1">
      <alignment horizontal="center"/>
    </xf>
    <xf numFmtId="0" fontId="0" fillId="0" borderId="0" xfId="0" applyFill="1"/>
    <xf numFmtId="0" fontId="4" fillId="2" borderId="0" xfId="0" applyFont="1" applyFill="1" applyAlignment="1">
      <alignment horizontal="right"/>
    </xf>
    <xf numFmtId="196" fontId="2" fillId="2" borderId="0" xfId="0" applyNumberFormat="1" applyFont="1" applyFill="1" applyAlignment="1">
      <alignment horizontal="center"/>
    </xf>
    <xf numFmtId="194" fontId="0" fillId="2" borderId="0" xfId="0" applyNumberFormat="1" applyFill="1" applyAlignment="1">
      <alignment horizontal="center"/>
    </xf>
    <xf numFmtId="192" fontId="0" fillId="2" borderId="0" xfId="0" applyNumberFormat="1" applyFill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cubicspline!$G$1:$G$31</c:f>
              <c:numCache>
                <c:formatCode>General</c:formatCode>
                <c:ptCount val="31"/>
                <c:pt idx="0">
                  <c:v>0.5</c:v>
                </c:pt>
                <c:pt idx="1">
                  <c:v>0.55000000000000004</c:v>
                </c:pt>
                <c:pt idx="2">
                  <c:v>0.60000000000000009</c:v>
                </c:pt>
                <c:pt idx="3">
                  <c:v>0.65000000000000013</c:v>
                </c:pt>
                <c:pt idx="4">
                  <c:v>0.70000000000000018</c:v>
                </c:pt>
                <c:pt idx="5">
                  <c:v>0.75000000000000022</c:v>
                </c:pt>
                <c:pt idx="6">
                  <c:v>0.80000000000000027</c:v>
                </c:pt>
                <c:pt idx="7">
                  <c:v>0.85000000000000031</c:v>
                </c:pt>
                <c:pt idx="8">
                  <c:v>0.90000000000000036</c:v>
                </c:pt>
                <c:pt idx="9">
                  <c:v>0.9500000000000004</c:v>
                </c:pt>
                <c:pt idx="10">
                  <c:v>1.0000000000000004</c:v>
                </c:pt>
                <c:pt idx="11">
                  <c:v>1.0500000000000005</c:v>
                </c:pt>
                <c:pt idx="12">
                  <c:v>1.1000000000000005</c:v>
                </c:pt>
                <c:pt idx="13">
                  <c:v>1.1500000000000006</c:v>
                </c:pt>
                <c:pt idx="14">
                  <c:v>1.2000000000000006</c:v>
                </c:pt>
                <c:pt idx="15">
                  <c:v>1.2500000000000007</c:v>
                </c:pt>
                <c:pt idx="16">
                  <c:v>1.3000000000000007</c:v>
                </c:pt>
                <c:pt idx="17">
                  <c:v>1.3500000000000008</c:v>
                </c:pt>
                <c:pt idx="18">
                  <c:v>1.4000000000000008</c:v>
                </c:pt>
                <c:pt idx="19">
                  <c:v>1.4500000000000008</c:v>
                </c:pt>
                <c:pt idx="20">
                  <c:v>1.5000000000000009</c:v>
                </c:pt>
                <c:pt idx="21">
                  <c:v>1.5500000000000009</c:v>
                </c:pt>
                <c:pt idx="22">
                  <c:v>1.600000000000001</c:v>
                </c:pt>
                <c:pt idx="23">
                  <c:v>1.650000000000001</c:v>
                </c:pt>
                <c:pt idx="24">
                  <c:v>1.7000000000000011</c:v>
                </c:pt>
                <c:pt idx="25">
                  <c:v>1.7500000000000011</c:v>
                </c:pt>
                <c:pt idx="26">
                  <c:v>1.8000000000000012</c:v>
                </c:pt>
                <c:pt idx="27">
                  <c:v>1.8500000000000012</c:v>
                </c:pt>
                <c:pt idx="28">
                  <c:v>1.9000000000000012</c:v>
                </c:pt>
                <c:pt idx="29">
                  <c:v>1.9500000000000013</c:v>
                </c:pt>
                <c:pt idx="30">
                  <c:v>2.0000000000000013</c:v>
                </c:pt>
              </c:numCache>
            </c:numRef>
          </c:xVal>
          <c:yVal>
            <c:numRef>
              <c:f>cubicspline!$H$1:$H$31</c:f>
              <c:numCache>
                <c:formatCode>General</c:formatCode>
                <c:ptCount val="31"/>
                <c:pt idx="0">
                  <c:v>2.1300000000000012</c:v>
                </c:pt>
                <c:pt idx="1">
                  <c:v>2.1570521526419744</c:v>
                </c:pt>
                <c:pt idx="2">
                  <c:v>2.1839799323965559</c:v>
                </c:pt>
                <c:pt idx="3">
                  <c:v>2.2106589663763523</c:v>
                </c:pt>
                <c:pt idx="4">
                  <c:v>2.2369648816939716</c:v>
                </c:pt>
                <c:pt idx="5">
                  <c:v>2.262773305462022</c:v>
                </c:pt>
                <c:pt idx="6">
                  <c:v>2.2879598647931103</c:v>
                </c:pt>
                <c:pt idx="7">
                  <c:v>2.3124001867998452</c:v>
                </c:pt>
                <c:pt idx="8">
                  <c:v>2.3359698985948336</c:v>
                </c:pt>
                <c:pt idx="9">
                  <c:v>2.3585446272906831</c:v>
                </c:pt>
                <c:pt idx="10">
                  <c:v>2.3799999999999994</c:v>
                </c:pt>
                <c:pt idx="11">
                  <c:v>2.4002427370572419</c:v>
                </c:pt>
                <c:pt idx="12">
                  <c:v>2.4193039316842584</c:v>
                </c:pt>
                <c:pt idx="13">
                  <c:v>2.4372457703247434</c:v>
                </c:pt>
                <c:pt idx="14">
                  <c:v>2.4541304394223933</c:v>
                </c:pt>
                <c:pt idx="15">
                  <c:v>2.4700201254209047</c:v>
                </c:pt>
                <c:pt idx="16">
                  <c:v>2.4849770147639729</c:v>
                </c:pt>
                <c:pt idx="17">
                  <c:v>2.4990632938952957</c:v>
                </c:pt>
                <c:pt idx="18">
                  <c:v>2.5123411492585688</c:v>
                </c:pt>
                <c:pt idx="19">
                  <c:v>2.5248727672974867</c:v>
                </c:pt>
                <c:pt idx="20" formatCode="0.00000">
                  <c:v>2.536720334455747</c:v>
                </c:pt>
                <c:pt idx="21">
                  <c:v>2.5479460371770455</c:v>
                </c:pt>
                <c:pt idx="22">
                  <c:v>2.5586120619050789</c:v>
                </c:pt>
                <c:pt idx="23">
                  <c:v>2.5687805950835427</c:v>
                </c:pt>
                <c:pt idx="24">
                  <c:v>2.5785138231561335</c:v>
                </c:pt>
                <c:pt idx="25">
                  <c:v>2.5878739325665467</c:v>
                </c:pt>
                <c:pt idx="26">
                  <c:v>2.5969231097584804</c:v>
                </c:pt>
                <c:pt idx="27">
                  <c:v>2.6057235411756281</c:v>
                </c:pt>
                <c:pt idx="28">
                  <c:v>2.6143374132616883</c:v>
                </c:pt>
                <c:pt idx="29">
                  <c:v>2.6228269124603552</c:v>
                </c:pt>
                <c:pt idx="30">
                  <c:v>2.6312542252153261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</c:spPr>
          </c:marker>
          <c:xVal>
            <c:numRef>
              <c:f>cubicspline!$G$1:$G$31</c:f>
              <c:numCache>
                <c:formatCode>General</c:formatCode>
                <c:ptCount val="31"/>
                <c:pt idx="0">
                  <c:v>0.5</c:v>
                </c:pt>
                <c:pt idx="1">
                  <c:v>0.55000000000000004</c:v>
                </c:pt>
                <c:pt idx="2">
                  <c:v>0.60000000000000009</c:v>
                </c:pt>
                <c:pt idx="3">
                  <c:v>0.65000000000000013</c:v>
                </c:pt>
                <c:pt idx="4">
                  <c:v>0.70000000000000018</c:v>
                </c:pt>
                <c:pt idx="5">
                  <c:v>0.75000000000000022</c:v>
                </c:pt>
                <c:pt idx="6">
                  <c:v>0.80000000000000027</c:v>
                </c:pt>
                <c:pt idx="7">
                  <c:v>0.85000000000000031</c:v>
                </c:pt>
                <c:pt idx="8">
                  <c:v>0.90000000000000036</c:v>
                </c:pt>
                <c:pt idx="9">
                  <c:v>0.9500000000000004</c:v>
                </c:pt>
                <c:pt idx="10">
                  <c:v>1.0000000000000004</c:v>
                </c:pt>
                <c:pt idx="11">
                  <c:v>1.0500000000000005</c:v>
                </c:pt>
                <c:pt idx="12">
                  <c:v>1.1000000000000005</c:v>
                </c:pt>
                <c:pt idx="13">
                  <c:v>1.1500000000000006</c:v>
                </c:pt>
                <c:pt idx="14">
                  <c:v>1.2000000000000006</c:v>
                </c:pt>
                <c:pt idx="15">
                  <c:v>1.2500000000000007</c:v>
                </c:pt>
                <c:pt idx="16">
                  <c:v>1.3000000000000007</c:v>
                </c:pt>
                <c:pt idx="17">
                  <c:v>1.3500000000000008</c:v>
                </c:pt>
                <c:pt idx="18">
                  <c:v>1.4000000000000008</c:v>
                </c:pt>
                <c:pt idx="19">
                  <c:v>1.4500000000000008</c:v>
                </c:pt>
                <c:pt idx="20">
                  <c:v>1.5000000000000009</c:v>
                </c:pt>
                <c:pt idx="21">
                  <c:v>1.5500000000000009</c:v>
                </c:pt>
                <c:pt idx="22">
                  <c:v>1.600000000000001</c:v>
                </c:pt>
                <c:pt idx="23">
                  <c:v>1.650000000000001</c:v>
                </c:pt>
                <c:pt idx="24">
                  <c:v>1.7000000000000011</c:v>
                </c:pt>
                <c:pt idx="25">
                  <c:v>1.7500000000000011</c:v>
                </c:pt>
                <c:pt idx="26">
                  <c:v>1.8000000000000012</c:v>
                </c:pt>
                <c:pt idx="27">
                  <c:v>1.8500000000000012</c:v>
                </c:pt>
                <c:pt idx="28">
                  <c:v>1.9000000000000012</c:v>
                </c:pt>
                <c:pt idx="29">
                  <c:v>1.9500000000000013</c:v>
                </c:pt>
                <c:pt idx="30">
                  <c:v>2.0000000000000013</c:v>
                </c:pt>
              </c:numCache>
            </c:numRef>
          </c:xVal>
          <c:yVal>
            <c:numRef>
              <c:f>cubicspline!$I$1:$I$31</c:f>
              <c:numCache>
                <c:formatCode>General</c:formatCode>
                <c:ptCount val="31"/>
                <c:pt idx="0">
                  <c:v>2.1300000000000012</c:v>
                </c:pt>
                <c:pt idx="10">
                  <c:v>2.3799999999999994</c:v>
                </c:pt>
                <c:pt idx="30" formatCode="0.00000000">
                  <c:v>2.6312542252153261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722688"/>
        <c:axId val="406723080"/>
      </c:scatterChart>
      <c:valAx>
        <c:axId val="406722688"/>
        <c:scaling>
          <c:orientation val="minMax"/>
          <c:max val="2.5"/>
          <c:min val="0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>
                <a:lumMod val="50000"/>
                <a:lumOff val="50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6723080"/>
        <c:crosses val="autoZero"/>
        <c:crossBetween val="midCat"/>
        <c:majorUnit val="0.5"/>
        <c:minorUnit val="0.25"/>
      </c:valAx>
      <c:valAx>
        <c:axId val="406723080"/>
        <c:scaling>
          <c:orientation val="minMax"/>
          <c:max val="2.8"/>
          <c:min val="2"/>
        </c:scaling>
        <c:delete val="0"/>
        <c:axPos val="l"/>
        <c:numFmt formatCode="General" sourceLinked="1"/>
        <c:majorTickMark val="out"/>
        <c:minorTickMark val="out"/>
        <c:tickLblPos val="nextTo"/>
        <c:spPr>
          <a:ln>
            <a:solidFill>
              <a:schemeClr val="tx1">
                <a:lumMod val="50000"/>
                <a:lumOff val="50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6722688"/>
        <c:crosses val="autoZero"/>
        <c:crossBetween val="midCat"/>
        <c:majorUnit val="0.2"/>
        <c:minorUnit val="0.1"/>
      </c:valAx>
      <c:spPr>
        <a:solidFill>
          <a:srgbClr val="FFFFCC"/>
        </a:solidFill>
        <a:ln>
          <a:solidFill>
            <a:schemeClr val="tx1">
              <a:lumMod val="50000"/>
              <a:lumOff val="50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0</xdr:row>
      <xdr:rowOff>0</xdr:rowOff>
    </xdr:from>
    <xdr:to>
      <xdr:col>12</xdr:col>
      <xdr:colOff>542925</xdr:colOff>
      <xdr:row>14</xdr:row>
      <xdr:rowOff>104775</xdr:rowOff>
    </xdr:to>
    <xdr:graphicFrame macro="">
      <xdr:nvGraphicFramePr>
        <xdr:cNvPr id="1121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5</xdr:row>
          <xdr:rowOff>104775</xdr:rowOff>
        </xdr:from>
        <xdr:to>
          <xdr:col>1</xdr:col>
          <xdr:colOff>790575</xdr:colOff>
          <xdr:row>7</xdr:row>
          <xdr:rowOff>47625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1"/>
  <sheetViews>
    <sheetView tabSelected="1" workbookViewId="0">
      <selection activeCell="P12" sqref="P12"/>
    </sheetView>
  </sheetViews>
  <sheetFormatPr defaultRowHeight="12.75"/>
  <cols>
    <col min="1" max="1" width="19.85546875" customWidth="1"/>
    <col min="2" max="2" width="16.5703125" customWidth="1"/>
    <col min="3" max="3" width="6.140625" customWidth="1"/>
    <col min="4" max="4" width="11.5703125" customWidth="1"/>
    <col min="5" max="5" width="14.140625" customWidth="1"/>
    <col min="6" max="6" width="8.7109375" customWidth="1"/>
    <col min="8" max="8" width="9.5703125" bestFit="1" customWidth="1"/>
    <col min="9" max="9" width="10.5703125" bestFit="1" customWidth="1"/>
  </cols>
  <sheetData>
    <row r="1" spans="1:9" ht="15.75">
      <c r="A1" s="8"/>
      <c r="B1" s="8"/>
      <c r="C1" s="8"/>
      <c r="D1" s="5" t="s">
        <v>0</v>
      </c>
      <c r="E1" s="2">
        <v>1.8800000000000008</v>
      </c>
      <c r="F1" s="3"/>
      <c r="G1">
        <v>0.5</v>
      </c>
      <c r="H1">
        <f t="shared" ref="H1:H10" si="0">$E$1+$E$2*G1+$E$3*G1^2+$E$4*G1^3</f>
        <v>2.1300000000000012</v>
      </c>
      <c r="I1">
        <f>H1</f>
        <v>2.1300000000000012</v>
      </c>
    </row>
    <row r="2" spans="1:9" ht="15.75">
      <c r="A2" s="5" t="s">
        <v>9</v>
      </c>
      <c r="B2" s="10">
        <v>2.6312542252153293</v>
      </c>
      <c r="C2" s="4"/>
      <c r="D2" s="5" t="s">
        <v>1</v>
      </c>
      <c r="E2" s="2">
        <v>0.41708474173844323</v>
      </c>
      <c r="F2" s="3"/>
      <c r="G2">
        <f>G1+0.05</f>
        <v>0.55000000000000004</v>
      </c>
      <c r="H2">
        <f t="shared" si="0"/>
        <v>2.1570521526419744</v>
      </c>
    </row>
    <row r="3" spans="1:9" ht="15.75">
      <c r="A3" s="5" t="s">
        <v>10</v>
      </c>
      <c r="B3" s="14" t="b">
        <v>1</v>
      </c>
      <c r="C3" s="4"/>
      <c r="D3" s="5" t="s">
        <v>2</v>
      </c>
      <c r="E3" s="2">
        <v>0.24874577478467064</v>
      </c>
      <c r="F3" s="3"/>
      <c r="G3">
        <f t="shared" ref="G3:G29" si="1">G2+0.05</f>
        <v>0.60000000000000009</v>
      </c>
      <c r="H3">
        <f t="shared" si="0"/>
        <v>2.1839799323965559</v>
      </c>
    </row>
    <row r="4" spans="1:9" ht="15.75">
      <c r="A4" s="12" t="s">
        <v>8</v>
      </c>
      <c r="B4" s="15">
        <v>2.55351295663786E-15</v>
      </c>
      <c r="C4" s="10"/>
      <c r="D4" s="5" t="s">
        <v>3</v>
      </c>
      <c r="E4" s="2">
        <v>-0.16583051652311331</v>
      </c>
      <c r="F4" s="3"/>
      <c r="G4">
        <f t="shared" si="1"/>
        <v>0.65000000000000013</v>
      </c>
      <c r="H4">
        <f t="shared" si="0"/>
        <v>2.2106589663763523</v>
      </c>
    </row>
    <row r="5" spans="1:9" ht="15.75">
      <c r="A5" s="4"/>
      <c r="B5" s="4"/>
      <c r="C5" s="4"/>
      <c r="D5" s="5" t="s">
        <v>4</v>
      </c>
      <c r="E5" s="2">
        <v>1.6312542252153297</v>
      </c>
      <c r="F5" s="3"/>
      <c r="G5">
        <f t="shared" si="1"/>
        <v>0.70000000000000018</v>
      </c>
      <c r="H5">
        <f t="shared" si="0"/>
        <v>2.2369648816939716</v>
      </c>
    </row>
    <row r="6" spans="1:9" ht="15.75">
      <c r="A6" s="3"/>
      <c r="B6" s="13"/>
      <c r="C6" s="9"/>
      <c r="D6" s="5" t="s">
        <v>5</v>
      </c>
      <c r="E6" s="2">
        <v>1.1633220660924541</v>
      </c>
      <c r="F6" s="3"/>
      <c r="G6">
        <f t="shared" si="1"/>
        <v>0.75000000000000022</v>
      </c>
      <c r="H6">
        <f t="shared" si="0"/>
        <v>2.262773305462022</v>
      </c>
    </row>
    <row r="7" spans="1:9" ht="15.75">
      <c r="A7" s="3"/>
      <c r="B7" s="4"/>
      <c r="C7" s="4"/>
      <c r="D7" s="5" t="s">
        <v>6</v>
      </c>
      <c r="E7" s="2">
        <v>-0.49749154956934127</v>
      </c>
      <c r="F7" s="3"/>
      <c r="G7">
        <f t="shared" si="1"/>
        <v>0.80000000000000027</v>
      </c>
      <c r="H7">
        <f t="shared" si="0"/>
        <v>2.2879598647931103</v>
      </c>
    </row>
    <row r="8" spans="1:9" ht="15.75">
      <c r="A8" s="5"/>
      <c r="B8" s="4"/>
      <c r="C8" s="4"/>
      <c r="D8" s="5" t="s">
        <v>7</v>
      </c>
      <c r="E8" s="2">
        <v>8.2915258261556657E-2</v>
      </c>
      <c r="F8" s="3"/>
      <c r="G8">
        <f t="shared" si="1"/>
        <v>0.85000000000000031</v>
      </c>
      <c r="H8">
        <f t="shared" si="0"/>
        <v>2.3124001867998452</v>
      </c>
    </row>
    <row r="9" spans="1:9">
      <c r="A9" s="3"/>
      <c r="B9" s="3"/>
      <c r="C9" s="3"/>
      <c r="D9" s="3"/>
      <c r="E9" s="3"/>
      <c r="F9" s="3"/>
      <c r="G9">
        <f t="shared" si="1"/>
        <v>0.90000000000000036</v>
      </c>
      <c r="H9">
        <f t="shared" si="0"/>
        <v>2.3359698985948336</v>
      </c>
    </row>
    <row r="10" spans="1:9">
      <c r="A10" s="11"/>
      <c r="B10" s="11"/>
      <c r="C10" s="11"/>
      <c r="D10" s="11"/>
      <c r="E10" s="11"/>
      <c r="F10" s="11"/>
      <c r="G10">
        <f t="shared" si="1"/>
        <v>0.9500000000000004</v>
      </c>
      <c r="H10">
        <f t="shared" si="0"/>
        <v>2.3585446272906831</v>
      </c>
    </row>
    <row r="11" spans="1:9">
      <c r="B11" s="6"/>
      <c r="C11" s="6"/>
      <c r="G11">
        <f t="shared" si="1"/>
        <v>1.0000000000000004</v>
      </c>
      <c r="H11">
        <f t="shared" ref="H11:H31" si="2">$E$5+$E$6*G11+$E$7*G11^2+$E$8*G11^3</f>
        <v>2.3799999999999994</v>
      </c>
      <c r="I11">
        <f>H11</f>
        <v>2.3799999999999994</v>
      </c>
    </row>
    <row r="12" spans="1:9">
      <c r="G12">
        <f t="shared" si="1"/>
        <v>1.0500000000000005</v>
      </c>
      <c r="H12">
        <f t="shared" si="2"/>
        <v>2.4002427370572419</v>
      </c>
    </row>
    <row r="13" spans="1:9">
      <c r="B13" s="7"/>
      <c r="C13" s="7"/>
      <c r="G13">
        <f t="shared" si="1"/>
        <v>1.1000000000000005</v>
      </c>
      <c r="H13">
        <f t="shared" si="2"/>
        <v>2.4193039316842584</v>
      </c>
    </row>
    <row r="14" spans="1:9">
      <c r="G14">
        <f t="shared" si="1"/>
        <v>1.1500000000000006</v>
      </c>
      <c r="H14">
        <f t="shared" si="2"/>
        <v>2.4372457703247434</v>
      </c>
    </row>
    <row r="15" spans="1:9">
      <c r="G15">
        <f t="shared" si="1"/>
        <v>1.2000000000000006</v>
      </c>
      <c r="H15">
        <f t="shared" si="2"/>
        <v>2.4541304394223933</v>
      </c>
    </row>
    <row r="16" spans="1:9">
      <c r="G16">
        <f t="shared" si="1"/>
        <v>1.2500000000000007</v>
      </c>
      <c r="H16">
        <f t="shared" si="2"/>
        <v>2.4700201254209047</v>
      </c>
    </row>
    <row r="17" spans="7:9">
      <c r="G17">
        <f t="shared" si="1"/>
        <v>1.3000000000000007</v>
      </c>
      <c r="H17">
        <f t="shared" si="2"/>
        <v>2.4849770147639729</v>
      </c>
    </row>
    <row r="18" spans="7:9">
      <c r="G18">
        <f t="shared" si="1"/>
        <v>1.3500000000000008</v>
      </c>
      <c r="H18">
        <f t="shared" si="2"/>
        <v>2.4990632938952957</v>
      </c>
    </row>
    <row r="19" spans="7:9">
      <c r="G19">
        <f t="shared" si="1"/>
        <v>1.4000000000000008</v>
      </c>
      <c r="H19">
        <f t="shared" si="2"/>
        <v>2.5123411492585688</v>
      </c>
    </row>
    <row r="20" spans="7:9">
      <c r="G20">
        <f t="shared" si="1"/>
        <v>1.4500000000000008</v>
      </c>
      <c r="H20">
        <f t="shared" si="2"/>
        <v>2.5248727672974867</v>
      </c>
    </row>
    <row r="21" spans="7:9">
      <c r="G21">
        <f t="shared" si="1"/>
        <v>1.5000000000000009</v>
      </c>
      <c r="H21" s="1">
        <f t="shared" si="2"/>
        <v>2.536720334455747</v>
      </c>
    </row>
    <row r="22" spans="7:9">
      <c r="G22">
        <f t="shared" si="1"/>
        <v>1.5500000000000009</v>
      </c>
      <c r="H22">
        <f t="shared" si="2"/>
        <v>2.5479460371770455</v>
      </c>
    </row>
    <row r="23" spans="7:9">
      <c r="G23">
        <f t="shared" si="1"/>
        <v>1.600000000000001</v>
      </c>
      <c r="H23">
        <f t="shared" si="2"/>
        <v>2.5586120619050789</v>
      </c>
    </row>
    <row r="24" spans="7:9">
      <c r="G24">
        <f t="shared" si="1"/>
        <v>1.650000000000001</v>
      </c>
      <c r="H24">
        <f t="shared" si="2"/>
        <v>2.5687805950835427</v>
      </c>
    </row>
    <row r="25" spans="7:9">
      <c r="G25">
        <f t="shared" si="1"/>
        <v>1.7000000000000011</v>
      </c>
      <c r="H25">
        <f t="shared" si="2"/>
        <v>2.5785138231561335</v>
      </c>
    </row>
    <row r="26" spans="7:9">
      <c r="G26">
        <f t="shared" si="1"/>
        <v>1.7500000000000011</v>
      </c>
      <c r="H26">
        <f t="shared" si="2"/>
        <v>2.5878739325665467</v>
      </c>
    </row>
    <row r="27" spans="7:9">
      <c r="G27">
        <f t="shared" si="1"/>
        <v>1.8000000000000012</v>
      </c>
      <c r="H27">
        <f t="shared" si="2"/>
        <v>2.5969231097584804</v>
      </c>
    </row>
    <row r="28" spans="7:9">
      <c r="G28">
        <f t="shared" si="1"/>
        <v>1.8500000000000012</v>
      </c>
      <c r="H28">
        <f t="shared" si="2"/>
        <v>2.6057235411756281</v>
      </c>
    </row>
    <row r="29" spans="7:9">
      <c r="G29">
        <f t="shared" si="1"/>
        <v>1.9000000000000012</v>
      </c>
      <c r="H29">
        <f t="shared" si="2"/>
        <v>2.6143374132616883</v>
      </c>
    </row>
    <row r="30" spans="7:9">
      <c r="G30">
        <f>G29+0.05</f>
        <v>1.9500000000000013</v>
      </c>
      <c r="H30">
        <f t="shared" si="2"/>
        <v>2.6228269124603552</v>
      </c>
    </row>
    <row r="31" spans="7:9">
      <c r="G31">
        <f>G30+0.05</f>
        <v>2.0000000000000013</v>
      </c>
      <c r="H31">
        <f t="shared" si="2"/>
        <v>2.6312542252153261</v>
      </c>
      <c r="I31" s="6">
        <f>H31</f>
        <v>2.6312542252153261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7" r:id="rId4" name="Button 83">
              <controlPr defaultSize="0" print="0" autoFill="0" autoPict="0" macro="[0]!Searchr2y">
                <anchor moveWithCells="1" sizeWithCells="1">
                  <from>
                    <xdr:col>0</xdr:col>
                    <xdr:colOff>752475</xdr:colOff>
                    <xdr:row>5</xdr:row>
                    <xdr:rowOff>104775</xdr:rowOff>
                  </from>
                  <to>
                    <xdr:col>1</xdr:col>
                    <xdr:colOff>790575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cubicspline</vt:lpstr>
    </vt:vector>
  </TitlesOfParts>
  <Company>City University of Hong Kong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donnylai</dc:creator>
  <cp:lastModifiedBy>user</cp:lastModifiedBy>
  <dcterms:created xsi:type="dcterms:W3CDTF">2007-07-16T04:00:05Z</dcterms:created>
  <dcterms:modified xsi:type="dcterms:W3CDTF">2019-02-26T06:57:00Z</dcterms:modified>
</cp:coreProperties>
</file>