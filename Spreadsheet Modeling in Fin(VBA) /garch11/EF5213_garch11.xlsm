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garch11\"/>
    </mc:Choice>
  </mc:AlternateContent>
  <bookViews>
    <workbookView xWindow="360" yWindow="315" windowWidth="12120" windowHeight="8640"/>
  </bookViews>
  <sheets>
    <sheet name="Garch" sheetId="1" r:id="rId1"/>
  </sheets>
  <functionGroups builtInGroupCount="18"/>
  <definedNames>
    <definedName name="alpha">Garch!$F$6</definedName>
    <definedName name="beta">Garch!$F$7</definedName>
    <definedName name="longvar">Garch!$F$5</definedName>
    <definedName name="mu">Garch!$C$3</definedName>
    <definedName name="solver_adj" localSheetId="0" hidden="1">Garch!$F$5:$F$7</definedName>
    <definedName name="solver_cvg" localSheetId="0" hidden="1">0.00000001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20</definedName>
    <definedName name="solver_lhs1" localSheetId="0" hidden="1">Garch!$F$5</definedName>
    <definedName name="solver_lhs2" localSheetId="0" hidden="1">Garch!$F$8</definedName>
    <definedName name="solver_lhs3" localSheetId="0" hidden="1">Garch!$F$6</definedName>
    <definedName name="solver_lhs4" localSheetId="0" hidden="1">Garch!$F$7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Garch!$F$10</definedName>
    <definedName name="solver_pre" localSheetId="0" hidden="1">0.00000001</definedName>
    <definedName name="solver_rel1" localSheetId="0" hidden="1">3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hs1" localSheetId="0" hidden="1">0</definedName>
    <definedName name="solver_rhs2" localSheetId="0" hidden="1">1</definedName>
    <definedName name="solver_rhs3" localSheetId="0" hidden="1">0</definedName>
    <definedName name="solver_rhs4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zvalue">Garch!$C$7</definedName>
  </definedNames>
  <calcPr calcId="152511"/>
</workbook>
</file>

<file path=xl/calcChain.xml><?xml version="1.0" encoding="utf-8"?>
<calcChain xmlns="http://schemas.openxmlformats.org/spreadsheetml/2006/main">
  <c r="F8" i="1" l="1"/>
  <c r="C8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3" i="1"/>
  <c r="D4133" i="1" l="1"/>
  <c r="D3389" i="1"/>
  <c r="D3001" i="1"/>
  <c r="D4077" i="1"/>
  <c r="D2945" i="1"/>
  <c r="D2177" i="1"/>
  <c r="D3169" i="1"/>
  <c r="D3201" i="1"/>
  <c r="D3233" i="1"/>
  <c r="D3697" i="1"/>
  <c r="D3857" i="1"/>
  <c r="D3269" i="1"/>
  <c r="D2641" i="1"/>
  <c r="D2881" i="1"/>
  <c r="D4045" i="1"/>
  <c r="D4065" i="1"/>
  <c r="D4225" i="1"/>
  <c r="D601" i="1"/>
  <c r="D3401" i="1"/>
  <c r="D3117" i="1"/>
  <c r="D3421" i="1"/>
  <c r="D3469" i="1"/>
  <c r="D2257" i="1"/>
  <c r="D105" i="1"/>
  <c r="D1034" i="1"/>
  <c r="D3673" i="1"/>
  <c r="D3553" i="1"/>
  <c r="D3209" i="1"/>
  <c r="D3245" i="1"/>
  <c r="D3141" i="1"/>
  <c r="D2625" i="1"/>
  <c r="D3821" i="1"/>
  <c r="D2829" i="1"/>
  <c r="D4029" i="1"/>
  <c r="D1033" i="1"/>
  <c r="D1573" i="1"/>
  <c r="D1273" i="1"/>
  <c r="D2277" i="1"/>
  <c r="D650" i="1"/>
  <c r="D2197" i="1"/>
  <c r="D3765" i="1"/>
  <c r="D889" i="1"/>
  <c r="D458" i="1"/>
  <c r="D653" i="1"/>
  <c r="D410" i="1"/>
  <c r="D3093" i="1"/>
  <c r="D89" i="1"/>
  <c r="D1065" i="1"/>
  <c r="D1438" i="1"/>
  <c r="D544" i="1"/>
  <c r="D1082" i="1"/>
  <c r="D326" i="1"/>
  <c r="D953" i="1"/>
  <c r="D2953" i="1"/>
  <c r="D2969" i="1"/>
  <c r="D3565" i="1"/>
  <c r="D3709" i="1"/>
  <c r="D2769" i="1"/>
  <c r="D3757" i="1"/>
  <c r="D2873" i="1"/>
  <c r="D2669" i="1"/>
  <c r="D4021" i="1"/>
  <c r="D3377" i="1"/>
  <c r="D1926" i="1"/>
  <c r="D2301" i="1"/>
  <c r="D1241" i="1"/>
  <c r="D2009" i="1"/>
  <c r="D138" i="1"/>
  <c r="D3689" i="1"/>
  <c r="D2073" i="1"/>
  <c r="D24" i="1"/>
  <c r="D618" i="1"/>
  <c r="D137" i="1"/>
  <c r="D284" i="1"/>
  <c r="D153" i="1"/>
  <c r="D316" i="1"/>
  <c r="D2897" i="1"/>
  <c r="D1261" i="1"/>
  <c r="D15" i="1"/>
  <c r="D1961" i="1"/>
  <c r="D557" i="1"/>
  <c r="D1357" i="1"/>
  <c r="D2217" i="1"/>
  <c r="D158" i="1"/>
  <c r="D4141" i="1"/>
  <c r="D2985" i="1"/>
  <c r="D3317" i="1"/>
  <c r="D2929" i="1"/>
  <c r="D4017" i="1"/>
  <c r="D3429" i="1"/>
  <c r="D2701" i="1"/>
  <c r="D3493" i="1"/>
  <c r="D3965" i="1"/>
  <c r="D4069" i="1"/>
  <c r="D3749" i="1"/>
  <c r="D3785" i="1"/>
  <c r="D4073" i="1"/>
  <c r="D1921" i="1"/>
  <c r="D3413" i="1"/>
  <c r="D2793" i="1"/>
  <c r="D1605" i="1"/>
  <c r="D921" i="1"/>
  <c r="D1593" i="1"/>
  <c r="D3221" i="1"/>
  <c r="D2717" i="1"/>
  <c r="D3841" i="1"/>
  <c r="D4149" i="1"/>
  <c r="D3837" i="1"/>
  <c r="D3813" i="1"/>
  <c r="D4189" i="1"/>
  <c r="D1017" i="1"/>
  <c r="D2777" i="1"/>
  <c r="D2697" i="1"/>
  <c r="D1674" i="1"/>
  <c r="D4057" i="1"/>
  <c r="D3925" i="1"/>
  <c r="D321" i="1"/>
  <c r="D273" i="1"/>
  <c r="D2022" i="1"/>
  <c r="D1137" i="1"/>
  <c r="D1501" i="1"/>
  <c r="D262" i="1"/>
  <c r="D1533" i="1"/>
  <c r="D148" i="1"/>
  <c r="D1001" i="1"/>
  <c r="D1317" i="1"/>
  <c r="D3877" i="1"/>
  <c r="D2745" i="1"/>
  <c r="D2685" i="1"/>
  <c r="D3761" i="1"/>
  <c r="D2081" i="1"/>
  <c r="D505" i="1"/>
  <c r="D136" i="1"/>
  <c r="D2337" i="1"/>
  <c r="D2181" i="1"/>
  <c r="D3921" i="1"/>
  <c r="D3753" i="1"/>
  <c r="D17" i="1"/>
  <c r="D825" i="1"/>
  <c r="D424" i="1"/>
  <c r="D2449" i="1"/>
  <c r="D1730" i="1"/>
  <c r="D2785" i="1"/>
  <c r="D797" i="1"/>
  <c r="D1993" i="1"/>
  <c r="D362" i="1"/>
  <c r="D2157" i="1"/>
  <c r="D132" i="1"/>
  <c r="D165" i="1"/>
  <c r="D1682" i="1"/>
  <c r="D649" i="1"/>
  <c r="D1145" i="1"/>
  <c r="D3105" i="1"/>
  <c r="D504" i="1"/>
  <c r="D1566" i="1"/>
  <c r="D1338" i="1"/>
  <c r="D2309" i="1"/>
  <c r="D646" i="1"/>
  <c r="D2849" i="1"/>
  <c r="D1810" i="1"/>
  <c r="D837" i="1"/>
  <c r="D998" i="1"/>
  <c r="D433" i="1"/>
  <c r="D734" i="1"/>
  <c r="D1861" i="1"/>
  <c r="D88" i="1"/>
  <c r="D1169" i="1"/>
  <c r="D412" i="1"/>
  <c r="D2545" i="1"/>
  <c r="D1902" i="1"/>
  <c r="D977" i="1"/>
  <c r="D548" i="1"/>
  <c r="D1925" i="1"/>
  <c r="D2377" i="1"/>
  <c r="D573" i="1"/>
  <c r="D3961" i="1"/>
  <c r="D378" i="1"/>
  <c r="D817" i="1"/>
  <c r="D481" i="1"/>
  <c r="D1786" i="1"/>
  <c r="D146" i="1"/>
  <c r="D50" i="1"/>
  <c r="D901" i="1"/>
  <c r="D206" i="1"/>
  <c r="D181" i="1"/>
  <c r="D1662" i="1"/>
  <c r="D3561" i="1"/>
  <c r="D3937" i="1"/>
  <c r="D3329" i="1"/>
  <c r="D857" i="1"/>
  <c r="D2261" i="1"/>
  <c r="D522" i="1"/>
  <c r="D2925" i="1"/>
  <c r="D761" i="1"/>
  <c r="D521" i="1"/>
  <c r="D489" i="1"/>
  <c r="D665" i="1"/>
  <c r="D3657" i="1"/>
  <c r="D701" i="1"/>
  <c r="D1130" i="1"/>
  <c r="D1018" i="1"/>
  <c r="D65" i="1"/>
  <c r="D2093" i="1"/>
  <c r="D3633" i="1"/>
  <c r="D2741" i="1"/>
  <c r="D113" i="1"/>
  <c r="D160" i="1"/>
  <c r="D682" i="1"/>
  <c r="D2021" i="1"/>
  <c r="D1325" i="1"/>
  <c r="D340" i="1"/>
  <c r="D404" i="1"/>
  <c r="D450" i="1"/>
  <c r="D208" i="1"/>
  <c r="D1134" i="1"/>
  <c r="D306" i="1"/>
  <c r="D2901" i="1"/>
  <c r="D1726" i="1"/>
  <c r="D1177" i="1"/>
  <c r="D3477" i="1"/>
  <c r="D637" i="1"/>
  <c r="D352" i="1"/>
  <c r="D368" i="1"/>
  <c r="D1022" i="1"/>
  <c r="D34" i="1"/>
  <c r="D1909" i="1"/>
  <c r="D472" i="1"/>
  <c r="D1481" i="1"/>
  <c r="D2045" i="1"/>
  <c r="D2173" i="1"/>
  <c r="D1769" i="1"/>
  <c r="D1170" i="1"/>
  <c r="D310" i="1"/>
  <c r="D853" i="1"/>
  <c r="D1650" i="1"/>
  <c r="D1473" i="1"/>
  <c r="D1013" i="1"/>
  <c r="D609" i="1"/>
  <c r="D178" i="1"/>
  <c r="D1413" i="1"/>
  <c r="D398" i="1"/>
  <c r="D1210" i="1"/>
  <c r="D3381" i="1"/>
  <c r="D1741" i="1"/>
  <c r="D1681" i="1"/>
  <c r="D826" i="1"/>
  <c r="D1374" i="1"/>
  <c r="D2153" i="1"/>
  <c r="D2837" i="1"/>
  <c r="D1174" i="1"/>
  <c r="D1506" i="1"/>
  <c r="D1670" i="1"/>
  <c r="D633" i="1"/>
  <c r="D497" i="1"/>
  <c r="D3309" i="1"/>
  <c r="D3009" i="1"/>
  <c r="D2889" i="1"/>
  <c r="D2761" i="1"/>
  <c r="D3217" i="1"/>
  <c r="D3313" i="1"/>
  <c r="D3061" i="1"/>
  <c r="D3713" i="1"/>
  <c r="D3585" i="1"/>
  <c r="D3901" i="1"/>
  <c r="D3933" i="1"/>
  <c r="D3521" i="1"/>
  <c r="D2917" i="1"/>
  <c r="D2521" i="1"/>
  <c r="D3229" i="1"/>
  <c r="D3629" i="1"/>
  <c r="D3789" i="1"/>
  <c r="D3053" i="1"/>
  <c r="D2681" i="1"/>
  <c r="D2049" i="1"/>
  <c r="D2269" i="1"/>
  <c r="D1133" i="1"/>
  <c r="D2721" i="1"/>
  <c r="D3917" i="1"/>
  <c r="D1621" i="1"/>
  <c r="D1434" i="1"/>
  <c r="D2193" i="1"/>
  <c r="D1066" i="1"/>
  <c r="D1081" i="1"/>
  <c r="D301" i="1"/>
  <c r="D1793" i="1"/>
  <c r="D1265" i="1"/>
  <c r="D3957" i="1"/>
  <c r="D2857" i="1"/>
  <c r="D3721" i="1"/>
  <c r="D1825" i="1"/>
  <c r="D266" i="1"/>
  <c r="D4033" i="1"/>
  <c r="D1418" i="1"/>
  <c r="D2453" i="1"/>
  <c r="D3865" i="1"/>
  <c r="D1721" i="1"/>
  <c r="D1785" i="1"/>
  <c r="D3809" i="1"/>
  <c r="D2361" i="1"/>
  <c r="D4101" i="1"/>
  <c r="D893" i="1"/>
  <c r="D540" i="1"/>
  <c r="D572" i="1"/>
  <c r="D2833" i="1"/>
  <c r="D478" i="1"/>
  <c r="D104" i="1"/>
  <c r="D1161" i="1"/>
  <c r="D1225" i="1"/>
  <c r="D1450" i="1"/>
  <c r="D706" i="1"/>
  <c r="D324" i="1"/>
  <c r="D622" i="1"/>
  <c r="D818" i="1"/>
  <c r="D1253" i="1"/>
  <c r="D1849" i="1"/>
  <c r="D1717" i="1"/>
  <c r="D2481" i="1"/>
  <c r="D1609" i="1"/>
  <c r="D1118" i="1"/>
  <c r="D1813" i="1"/>
  <c r="D1289" i="1"/>
  <c r="D3609" i="1"/>
  <c r="D73" i="1"/>
  <c r="D369" i="1"/>
  <c r="D258" i="1"/>
  <c r="D1277" i="1"/>
  <c r="D108" i="1"/>
  <c r="D2034" i="1"/>
  <c r="D1138" i="1"/>
  <c r="D2373" i="1"/>
  <c r="D3681" i="1"/>
  <c r="D3953" i="1"/>
  <c r="D1797" i="1"/>
  <c r="D3941" i="1"/>
  <c r="D925" i="1"/>
  <c r="D2909" i="1"/>
  <c r="D3993" i="1"/>
  <c r="D1537" i="1"/>
  <c r="D2437" i="1"/>
  <c r="D2501" i="1"/>
  <c r="D605" i="1"/>
  <c r="D1853" i="1"/>
  <c r="D397" i="1"/>
  <c r="D2397" i="1"/>
  <c r="D3137" i="1"/>
  <c r="D554" i="1"/>
  <c r="D176" i="1"/>
  <c r="D541" i="1"/>
  <c r="D3853" i="1"/>
  <c r="D574" i="1"/>
  <c r="D1358" i="1"/>
  <c r="D1121" i="1"/>
  <c r="D2018" i="1"/>
  <c r="D197" i="1"/>
  <c r="D4037" i="1"/>
  <c r="D74" i="1"/>
  <c r="D3013" i="1"/>
  <c r="D1489" i="1"/>
  <c r="D49" i="1"/>
  <c r="D1550" i="1"/>
  <c r="D1645" i="1"/>
  <c r="D2381" i="1"/>
  <c r="D830" i="1"/>
  <c r="D598" i="1"/>
  <c r="D382" i="1"/>
  <c r="D2589" i="1"/>
  <c r="D174" i="1"/>
  <c r="D898" i="1"/>
  <c r="D532" i="1"/>
  <c r="D1446" i="1"/>
  <c r="D96" i="1"/>
  <c r="D870" i="1"/>
  <c r="D546" i="1"/>
  <c r="D1353" i="1"/>
  <c r="D248" i="1"/>
  <c r="D553" i="1"/>
  <c r="D3321" i="1"/>
  <c r="D1230" i="1"/>
  <c r="D422" i="1"/>
  <c r="D230" i="1"/>
  <c r="D2189" i="1"/>
  <c r="D2645" i="1"/>
  <c r="D2030" i="1"/>
  <c r="D312" i="1"/>
  <c r="D930" i="1"/>
  <c r="D2569" i="1"/>
  <c r="D221" i="1"/>
  <c r="D2365" i="1"/>
  <c r="D1422" i="1"/>
  <c r="D3441" i="1"/>
  <c r="D3637" i="1"/>
  <c r="D4085" i="1"/>
  <c r="D3489" i="1"/>
  <c r="D3981" i="1"/>
  <c r="D3741" i="1"/>
  <c r="D1449" i="1"/>
  <c r="D1693" i="1"/>
  <c r="D3985" i="1"/>
  <c r="D41" i="1"/>
  <c r="D1713" i="1"/>
  <c r="D414" i="1"/>
  <c r="D4137" i="1"/>
  <c r="D909" i="1"/>
  <c r="D1469" i="1"/>
  <c r="D1417" i="1"/>
  <c r="D969" i="1"/>
  <c r="D1125" i="1"/>
  <c r="D973" i="1"/>
  <c r="D702" i="1"/>
  <c r="D733" i="1"/>
  <c r="D854" i="1"/>
  <c r="D344" i="1"/>
  <c r="D1669" i="1"/>
  <c r="D933" i="1"/>
  <c r="D3513" i="1"/>
  <c r="D1646" i="1"/>
  <c r="D3089" i="1"/>
  <c r="D1441" i="1"/>
  <c r="D529" i="1"/>
  <c r="D1105" i="1"/>
  <c r="D1922" i="1"/>
  <c r="D69" i="1"/>
  <c r="D336" i="1"/>
  <c r="D78" i="1"/>
  <c r="D593" i="1"/>
  <c r="D1869" i="1"/>
  <c r="D198" i="1"/>
  <c r="D1654" i="1"/>
  <c r="D386" i="1"/>
  <c r="D1298" i="1"/>
  <c r="D1221" i="1"/>
  <c r="D334" i="1"/>
  <c r="D1070" i="1"/>
  <c r="D2493" i="1"/>
  <c r="D346" i="1"/>
  <c r="D1690" i="1"/>
  <c r="D1754" i="1"/>
  <c r="D1262" i="1"/>
  <c r="D1126" i="1"/>
  <c r="D1518" i="1"/>
  <c r="D1510" i="1"/>
  <c r="D476" i="1"/>
  <c r="D80" i="1"/>
  <c r="D2693" i="1"/>
  <c r="D1625" i="1"/>
  <c r="D2137" i="1"/>
  <c r="D1597" i="1"/>
  <c r="D93" i="1"/>
  <c r="D1377" i="1"/>
  <c r="D581" i="1"/>
  <c r="D14" i="1"/>
  <c r="E14" i="1" s="1"/>
  <c r="F14" i="1" s="1"/>
  <c r="D3133" i="1"/>
  <c r="D3525" i="1"/>
  <c r="D3777" i="1"/>
  <c r="D3733" i="1"/>
  <c r="D689" i="1"/>
  <c r="D3029" i="1"/>
  <c r="D3621" i="1"/>
  <c r="D2665" i="1"/>
  <c r="D3021" i="1"/>
  <c r="D3745" i="1"/>
  <c r="D1798" i="1"/>
  <c r="D970" i="1"/>
  <c r="D1178" i="1"/>
  <c r="D3701" i="1"/>
  <c r="D3573" i="1"/>
  <c r="D3109" i="1"/>
  <c r="D1433" i="1"/>
  <c r="D2614" i="1"/>
  <c r="D4169" i="1"/>
  <c r="D2358" i="1"/>
  <c r="D2374" i="1"/>
  <c r="D473" i="1"/>
  <c r="D1226" i="1"/>
  <c r="D664" i="1"/>
  <c r="D2738" i="1"/>
  <c r="D1274" i="1"/>
  <c r="D929" i="1"/>
  <c r="D2148" i="1"/>
  <c r="D1269" i="1"/>
  <c r="D1700" i="1"/>
  <c r="D1344" i="1"/>
  <c r="D57" i="1"/>
  <c r="D746" i="1"/>
  <c r="D1828" i="1"/>
  <c r="D757" i="1"/>
  <c r="D86" i="1"/>
  <c r="D2682" i="1"/>
  <c r="D3228" i="1"/>
  <c r="D129" i="1"/>
  <c r="D3177" i="1"/>
  <c r="D2364" i="1"/>
  <c r="D1560" i="1"/>
  <c r="D3101" i="1"/>
  <c r="D1329" i="1"/>
  <c r="D1173" i="1"/>
  <c r="D3725" i="1"/>
  <c r="D39" i="1"/>
  <c r="D1432" i="1"/>
  <c r="D2316" i="1"/>
  <c r="D2806" i="1"/>
  <c r="D774" i="1"/>
  <c r="D1596" i="1"/>
  <c r="D1561" i="1"/>
  <c r="D1610" i="1"/>
  <c r="D979" i="1"/>
  <c r="D1702" i="1"/>
  <c r="D1830" i="1"/>
  <c r="D1375" i="1"/>
  <c r="D406" i="1"/>
  <c r="D492" i="1"/>
  <c r="D1330" i="1"/>
  <c r="D3258" i="1"/>
  <c r="D1982" i="1"/>
  <c r="D1589" i="1"/>
  <c r="D2892" i="1"/>
  <c r="D4173" i="1"/>
  <c r="D127" i="1"/>
  <c r="D3720" i="1"/>
  <c r="D1569" i="1"/>
  <c r="D2017" i="1"/>
  <c r="D1709" i="1"/>
  <c r="D2516" i="1"/>
  <c r="D828" i="1"/>
  <c r="D2578" i="1"/>
  <c r="D2532" i="1"/>
  <c r="D2053" i="1"/>
  <c r="D1656" i="1"/>
  <c r="D1184" i="1"/>
  <c r="D2405" i="1"/>
  <c r="D3308" i="1"/>
  <c r="D2278" i="1"/>
  <c r="D1479" i="1"/>
  <c r="D385" i="1"/>
  <c r="D1381" i="1"/>
  <c r="D85" i="1"/>
  <c r="D2355" i="1"/>
  <c r="D1246" i="1"/>
  <c r="D2513" i="1"/>
  <c r="D1242" i="1"/>
  <c r="D1968" i="1"/>
  <c r="D37" i="1"/>
  <c r="D448" i="1"/>
  <c r="D380" i="1"/>
  <c r="D1976" i="1"/>
  <c r="D2906" i="1"/>
  <c r="D90" i="1"/>
  <c r="D1763" i="1"/>
  <c r="D168" i="1"/>
  <c r="D1774" i="1"/>
  <c r="D770" i="1"/>
  <c r="D3301" i="1"/>
  <c r="D3149" i="1"/>
  <c r="D4157" i="1"/>
  <c r="D3185" i="1"/>
  <c r="D3405" i="1"/>
  <c r="D4193" i="1"/>
  <c r="D3505" i="1"/>
  <c r="D3581" i="1"/>
  <c r="D3849" i="1"/>
  <c r="D3249" i="1"/>
  <c r="D2765" i="1"/>
  <c r="D2809" i="1"/>
  <c r="D2241" i="1"/>
  <c r="D1437" i="1"/>
  <c r="D3677" i="1"/>
  <c r="D3557" i="1"/>
  <c r="D3625" i="1"/>
  <c r="D3037" i="1"/>
  <c r="D3033" i="1"/>
  <c r="D2029" i="1"/>
  <c r="D3113" i="1"/>
  <c r="D669" i="1"/>
  <c r="D2245" i="1"/>
  <c r="D749" i="1"/>
  <c r="D2509" i="1"/>
  <c r="D1642" i="1"/>
  <c r="D4217" i="1"/>
  <c r="D237" i="1"/>
  <c r="D1850" i="1"/>
  <c r="D2273" i="1"/>
  <c r="D72" i="1"/>
  <c r="D2729" i="1"/>
  <c r="D3433" i="1"/>
  <c r="D4093" i="1"/>
  <c r="D3949" i="1"/>
  <c r="D1933" i="1"/>
  <c r="D3409" i="1"/>
  <c r="D233" i="1"/>
  <c r="D3213" i="1"/>
  <c r="D2341" i="1"/>
  <c r="D1405" i="1"/>
  <c r="D1822" i="1"/>
  <c r="D485" i="1"/>
  <c r="D2133" i="1"/>
  <c r="D152" i="1"/>
  <c r="D225" i="1"/>
  <c r="D2249" i="1"/>
  <c r="D2221" i="1"/>
  <c r="D196" i="1"/>
  <c r="D1194" i="1"/>
  <c r="D1878" i="1"/>
  <c r="D721" i="1"/>
  <c r="D518" i="1"/>
  <c r="D1598" i="1"/>
  <c r="D1630" i="1"/>
  <c r="D229" i="1"/>
  <c r="D1618" i="1"/>
  <c r="D430" i="1"/>
  <c r="D1969" i="1"/>
  <c r="D342" i="1"/>
  <c r="D2597" i="1"/>
  <c r="D2477" i="1"/>
  <c r="D1886" i="1"/>
  <c r="D1606" i="1"/>
  <c r="D466" i="1"/>
  <c r="D294" i="1"/>
  <c r="D842" i="1"/>
  <c r="D602" i="1"/>
  <c r="D589" i="1"/>
  <c r="D1857" i="1"/>
  <c r="D332" i="1"/>
  <c r="D20" i="1"/>
  <c r="D285" i="1"/>
  <c r="D846" i="1"/>
  <c r="D116" i="1"/>
  <c r="D801" i="1"/>
  <c r="D3473" i="1"/>
  <c r="D2617" i="1"/>
  <c r="D3293" i="1"/>
  <c r="D3717" i="1"/>
  <c r="D1369" i="1"/>
  <c r="D2209" i="1"/>
  <c r="D520" i="1"/>
  <c r="D1497" i="1"/>
  <c r="D1862" i="1"/>
  <c r="D4221" i="1"/>
  <c r="D3253" i="1"/>
  <c r="D4165" i="1"/>
  <c r="D3729" i="1"/>
  <c r="D4081" i="1"/>
  <c r="D3549" i="1"/>
  <c r="D937" i="1"/>
  <c r="D3157" i="1"/>
  <c r="D4013" i="1"/>
  <c r="D2801" i="1"/>
  <c r="D2705" i="1"/>
  <c r="D3465" i="1"/>
  <c r="D1814" i="1"/>
  <c r="D1049" i="1"/>
  <c r="D1470" i="1"/>
  <c r="D2585" i="1"/>
  <c r="D3325" i="1"/>
  <c r="D2485" i="1"/>
  <c r="D2749" i="1"/>
  <c r="D2421" i="1"/>
  <c r="D2385" i="1"/>
  <c r="D1838" i="1"/>
  <c r="D794" i="1"/>
  <c r="D133" i="1"/>
  <c r="D1966" i="1"/>
  <c r="D1498" i="1"/>
  <c r="D1829" i="1"/>
  <c r="D64" i="1"/>
  <c r="D594" i="1"/>
  <c r="D552" i="1"/>
  <c r="D3589" i="1"/>
  <c r="D3861" i="1"/>
  <c r="D1749" i="1"/>
  <c r="D1037" i="1"/>
  <c r="D241" i="1"/>
  <c r="D569" i="1"/>
  <c r="D1582" i="1"/>
  <c r="D1410" i="1"/>
  <c r="D3457" i="1"/>
  <c r="D3497" i="1"/>
  <c r="D2657" i="1"/>
  <c r="D394" i="1"/>
  <c r="D697" i="1"/>
  <c r="D2457" i="1"/>
  <c r="D3801" i="1"/>
  <c r="D26" i="1"/>
  <c r="D345" i="1"/>
  <c r="D570" i="1"/>
  <c r="D4197" i="1"/>
  <c r="D542" i="1"/>
  <c r="D468" i="1"/>
  <c r="D338" i="1"/>
  <c r="D985" i="1"/>
  <c r="D1746" i="1"/>
  <c r="D1565" i="1"/>
  <c r="D1425" i="1"/>
  <c r="D2050" i="1"/>
  <c r="D366" i="1"/>
  <c r="D1649" i="1"/>
  <c r="D798" i="1"/>
  <c r="D862" i="1"/>
  <c r="D1093" i="1"/>
  <c r="D142" i="1"/>
  <c r="D1109" i="1"/>
  <c r="D274" i="1"/>
  <c r="D172" i="1"/>
  <c r="D1266" i="1"/>
  <c r="D269" i="1"/>
  <c r="D2549" i="1"/>
  <c r="D1342" i="1"/>
  <c r="D354" i="1"/>
  <c r="D305" i="1"/>
  <c r="D1834" i="1"/>
  <c r="D1734" i="1"/>
  <c r="D3665" i="1"/>
  <c r="D1937" i="1"/>
  <c r="D21" i="1"/>
  <c r="D1345" i="1"/>
  <c r="D530" i="1"/>
  <c r="D1842" i="1"/>
  <c r="D3881" i="1"/>
  <c r="D3817" i="1"/>
  <c r="D1113" i="1"/>
  <c r="D1546" i="1"/>
  <c r="D2517" i="1"/>
  <c r="D2993" i="1"/>
  <c r="D3437" i="1"/>
  <c r="D2797" i="1"/>
  <c r="D2633" i="1"/>
  <c r="D3197" i="1"/>
  <c r="D392" i="1"/>
  <c r="D3005" i="1"/>
  <c r="D4061" i="1"/>
  <c r="D1061" i="1"/>
  <c r="D1685" i="1"/>
  <c r="D1818" i="1"/>
  <c r="D2321" i="1"/>
  <c r="D3529" i="1"/>
  <c r="D2757" i="1"/>
  <c r="D1545" i="1"/>
  <c r="D657" i="1"/>
  <c r="D2229" i="1"/>
  <c r="D3153" i="1"/>
  <c r="D190" i="1"/>
  <c r="D1777" i="1"/>
  <c r="D582" i="1"/>
  <c r="D4213" i="1"/>
  <c r="D3517" i="1"/>
  <c r="D2957" i="1"/>
  <c r="D2689" i="1"/>
  <c r="D3265" i="1"/>
  <c r="D2101" i="1"/>
  <c r="D3189" i="1"/>
  <c r="D1290" i="1"/>
  <c r="D2713" i="1"/>
  <c r="D2149" i="1"/>
  <c r="D84" i="1"/>
  <c r="D2533" i="1"/>
  <c r="D2877" i="1"/>
  <c r="D877" i="1"/>
  <c r="D3825" i="1"/>
  <c r="D421" i="1"/>
  <c r="D2097" i="1"/>
  <c r="D762" i="1"/>
  <c r="D1577" i="1"/>
  <c r="D1701" i="1"/>
  <c r="D673" i="1"/>
  <c r="D1314" i="1"/>
  <c r="D3049" i="1"/>
  <c r="D1542" i="1"/>
  <c r="D1930" i="1"/>
  <c r="D4201" i="1"/>
  <c r="D449" i="1"/>
  <c r="D1634" i="1"/>
  <c r="D4209" i="1"/>
  <c r="D3161" i="1"/>
  <c r="D2649" i="1"/>
  <c r="D3593" i="1"/>
  <c r="D201" i="1"/>
  <c r="D714" i="1"/>
  <c r="D2037" i="1"/>
  <c r="D1182" i="1"/>
  <c r="D1341" i="1"/>
  <c r="D1613" i="1"/>
  <c r="D1278" i="1"/>
  <c r="D304" i="1"/>
  <c r="D3461" i="1"/>
  <c r="D2213" i="1"/>
  <c r="D1602" i="1"/>
  <c r="D2389" i="1"/>
  <c r="D1782" i="1"/>
  <c r="D1282" i="1"/>
  <c r="D590" i="1"/>
  <c r="D910" i="1"/>
  <c r="D577" i="1"/>
  <c r="D1038" i="1"/>
  <c r="D1534" i="1"/>
  <c r="D3649" i="1"/>
  <c r="D1866" i="1"/>
  <c r="D130" i="1"/>
  <c r="D1349" i="1"/>
  <c r="D216" i="1"/>
  <c r="D517" i="1"/>
  <c r="D1062" i="1"/>
  <c r="D642" i="1"/>
  <c r="D3897" i="1"/>
  <c r="D2941" i="1"/>
  <c r="D3069" i="1"/>
  <c r="D413" i="1"/>
  <c r="D621" i="1"/>
  <c r="D1761" i="1"/>
  <c r="D681" i="1"/>
  <c r="D106" i="1"/>
  <c r="D3357" i="1"/>
  <c r="D202" i="1"/>
  <c r="D1686" i="1"/>
  <c r="D3613" i="1"/>
  <c r="D897" i="1"/>
  <c r="D509" i="1"/>
  <c r="D2825" i="1"/>
  <c r="D1414" i="1"/>
  <c r="D1877" i="1"/>
  <c r="D22" i="1"/>
  <c r="D2469" i="1"/>
  <c r="D678" i="1"/>
  <c r="D2605" i="1"/>
  <c r="D1581" i="1"/>
  <c r="D97" i="1"/>
  <c r="D314" i="1"/>
  <c r="D1478" i="1"/>
  <c r="D3365" i="1"/>
  <c r="D1373" i="1"/>
  <c r="D357" i="1"/>
  <c r="D2058" i="1"/>
  <c r="D638" i="1"/>
  <c r="D822" i="1"/>
  <c r="D1493" i="1"/>
  <c r="D210" i="1"/>
  <c r="D1057" i="1"/>
  <c r="D480" i="1"/>
  <c r="D917" i="1"/>
  <c r="D1142" i="1"/>
  <c r="D1326" i="1"/>
  <c r="D1454" i="1"/>
  <c r="D510" i="1"/>
  <c r="D2845" i="1"/>
  <c r="D1689" i="1"/>
  <c r="D4161" i="1"/>
  <c r="D2537" i="1"/>
  <c r="D126" i="1"/>
  <c r="D349" i="1"/>
  <c r="D3273" i="1"/>
  <c r="D3533" i="1"/>
  <c r="D2725" i="1"/>
  <c r="D2105" i="1"/>
  <c r="D3337" i="1"/>
  <c r="D3261" i="1"/>
  <c r="D2353" i="1"/>
  <c r="D409" i="1"/>
  <c r="D2001" i="1"/>
  <c r="D1069" i="1"/>
  <c r="D3781" i="1"/>
  <c r="D2036" i="1"/>
  <c r="D1181" i="1"/>
  <c r="D2260" i="1"/>
  <c r="D3341" i="1"/>
  <c r="D2782" i="1"/>
  <c r="D2961" i="1"/>
  <c r="D445" i="1"/>
  <c r="D2568" i="1"/>
  <c r="D2272" i="1"/>
  <c r="D672" i="1"/>
  <c r="D1302" i="1"/>
  <c r="D1372" i="1"/>
  <c r="D805" i="1"/>
  <c r="D1337" i="1"/>
  <c r="D1733" i="1"/>
  <c r="D2010" i="1"/>
  <c r="D1148" i="1"/>
  <c r="D3281" i="1"/>
  <c r="D2005" i="1"/>
  <c r="D3165" i="1"/>
  <c r="D1321" i="1"/>
  <c r="D1530" i="1"/>
  <c r="D1083" i="1"/>
  <c r="D459" i="1"/>
  <c r="D347" i="1"/>
  <c r="D1766" i="1"/>
  <c r="D1578" i="1"/>
  <c r="D1974" i="1"/>
  <c r="D1800" i="1"/>
  <c r="D1781" i="1"/>
  <c r="D122" i="1"/>
  <c r="D885" i="1"/>
  <c r="D2008" i="1"/>
  <c r="D2441" i="1"/>
  <c r="D3096" i="1"/>
  <c r="D2138" i="1"/>
  <c r="D599" i="1"/>
  <c r="D3412" i="1"/>
  <c r="D3226" i="1"/>
  <c r="D4032" i="1"/>
  <c r="D3796" i="1"/>
  <c r="D2110" i="1"/>
  <c r="D1910" i="1"/>
  <c r="D1328" i="1"/>
  <c r="D179" i="1"/>
  <c r="D2813" i="1"/>
  <c r="D3198" i="1"/>
  <c r="D2773" i="1"/>
  <c r="D1301" i="1"/>
  <c r="D3121" i="1"/>
  <c r="D307" i="1"/>
  <c r="D1964" i="1"/>
  <c r="D2082" i="1"/>
  <c r="D1179" i="1"/>
  <c r="D3909" i="1"/>
  <c r="D2865" i="1"/>
  <c r="D3205" i="1"/>
  <c r="D3653" i="1"/>
  <c r="D2465" i="1"/>
  <c r="D1129" i="1"/>
  <c r="D3945" i="1"/>
  <c r="D249" i="1"/>
  <c r="D957" i="1"/>
  <c r="D613" i="1"/>
  <c r="D1285" i="1"/>
  <c r="D3017" i="1"/>
  <c r="D3845" i="1"/>
  <c r="D562" i="1"/>
  <c r="D2013" i="1"/>
  <c r="D934" i="1"/>
  <c r="D3977" i="1"/>
  <c r="D365" i="1"/>
  <c r="D3397" i="1"/>
  <c r="D2821" i="1"/>
  <c r="D1306" i="1"/>
  <c r="D120" i="1"/>
  <c r="D3705" i="1"/>
  <c r="D320" i="1"/>
  <c r="D290" i="1"/>
  <c r="D1585" i="1"/>
  <c r="D3225" i="1"/>
  <c r="D1590" i="1"/>
  <c r="D470" i="1"/>
  <c r="D2201" i="1"/>
  <c r="D981" i="1"/>
  <c r="D364" i="1"/>
  <c r="D372" i="1"/>
  <c r="D1370" i="1"/>
  <c r="D894" i="1"/>
  <c r="D140" i="1"/>
  <c r="D3997" i="1"/>
  <c r="D252" i="1"/>
  <c r="D1206" i="1"/>
  <c r="D374" i="1"/>
  <c r="D3661" i="1"/>
  <c r="D2593" i="1"/>
  <c r="D3669" i="1"/>
  <c r="D1513" i="1"/>
  <c r="D753" i="1"/>
  <c r="D726" i="1"/>
  <c r="D2417" i="1"/>
  <c r="D4109" i="1"/>
  <c r="D477" i="1"/>
  <c r="D1281" i="1"/>
  <c r="D1409" i="1"/>
  <c r="D781" i="1"/>
  <c r="D2293" i="1"/>
  <c r="D405" i="1"/>
  <c r="D3537" i="1"/>
  <c r="D1257" i="1"/>
  <c r="D1821" i="1"/>
  <c r="D773" i="1"/>
  <c r="D2637" i="1"/>
  <c r="D184" i="1"/>
  <c r="D333" i="1"/>
  <c r="D150" i="1"/>
  <c r="D1365" i="1"/>
  <c r="D454" i="1"/>
  <c r="D1894" i="1"/>
  <c r="D496" i="1"/>
  <c r="D1166" i="1"/>
  <c r="D1398" i="1"/>
  <c r="D2281" i="1"/>
  <c r="D2505" i="1"/>
  <c r="D1938" i="1"/>
  <c r="D1334" i="1"/>
  <c r="D1254" i="1"/>
  <c r="D1522" i="1"/>
  <c r="D4113" i="1"/>
  <c r="D3041" i="1"/>
  <c r="D257" i="1"/>
  <c r="D2937" i="1"/>
  <c r="D729" i="1"/>
  <c r="D2430" i="1"/>
  <c r="D2666" i="1"/>
  <c r="D2921" i="1"/>
  <c r="D1637" i="1"/>
  <c r="D585" i="1"/>
  <c r="D1965" i="1"/>
  <c r="D1350" i="1"/>
  <c r="D2977" i="1"/>
  <c r="D1386" i="1"/>
  <c r="D1958" i="1"/>
  <c r="D1594" i="1"/>
  <c r="D2312" i="1"/>
  <c r="D1368" i="1"/>
  <c r="D1146" i="1"/>
  <c r="D2820" i="1"/>
  <c r="D3012" i="1"/>
  <c r="D3380" i="1"/>
  <c r="D264" i="1"/>
  <c r="D1977" i="1"/>
  <c r="D644" i="1"/>
  <c r="D2594" i="1"/>
  <c r="D2429" i="1"/>
  <c r="D2286" i="1"/>
  <c r="D911" i="1"/>
  <c r="D1854" i="1"/>
  <c r="D2060" i="1"/>
  <c r="D1136" i="1"/>
  <c r="D2370" i="1"/>
  <c r="D2057" i="1"/>
  <c r="D170" i="1"/>
  <c r="D2028" i="1"/>
  <c r="D2733" i="1"/>
  <c r="D1865" i="1"/>
  <c r="D671" i="1"/>
  <c r="D711" i="1"/>
  <c r="D1393" i="1"/>
  <c r="D2868" i="1"/>
  <c r="D2932" i="1"/>
  <c r="D2304" i="1"/>
  <c r="D2415" i="1"/>
  <c r="D2550" i="1"/>
  <c r="D1079" i="1"/>
  <c r="D737" i="1"/>
  <c r="D724" i="1"/>
  <c r="D2171" i="1"/>
  <c r="D2432" i="1"/>
  <c r="D1392" i="1"/>
  <c r="D2579" i="1"/>
  <c r="D141" i="1"/>
  <c r="D1521" i="1"/>
  <c r="D2393" i="1"/>
  <c r="D2744" i="1"/>
  <c r="D1873" i="1"/>
  <c r="D617" i="1"/>
  <c r="D3237" i="1"/>
  <c r="D3829" i="1"/>
  <c r="D1201" i="1"/>
  <c r="D2653" i="1"/>
  <c r="D1653" i="1"/>
  <c r="D3145" i="1"/>
  <c r="D3345" i="1"/>
  <c r="D154" i="1"/>
  <c r="D2317" i="1"/>
  <c r="D2285" i="1"/>
  <c r="D254" i="1"/>
  <c r="D317" i="1"/>
  <c r="D444" i="1"/>
  <c r="D1053" i="1"/>
  <c r="D2141" i="1"/>
  <c r="D164" i="1"/>
  <c r="D3601" i="1"/>
  <c r="D549" i="1"/>
  <c r="D945" i="1"/>
  <c r="D381" i="1"/>
  <c r="D2861" i="1"/>
  <c r="D1214" i="1"/>
  <c r="D457" i="1"/>
  <c r="D698" i="1"/>
  <c r="D913" i="1"/>
  <c r="D1209" i="1"/>
  <c r="D1086" i="1"/>
  <c r="D2345" i="1"/>
  <c r="D534" i="1"/>
  <c r="D1461" i="1"/>
  <c r="D1629" i="1"/>
  <c r="D1237" i="1"/>
  <c r="D53" i="1"/>
  <c r="D810" i="1"/>
  <c r="D1249" i="1"/>
  <c r="D686" i="1"/>
  <c r="D1901" i="1"/>
  <c r="D1806" i="1"/>
  <c r="D556" i="1"/>
  <c r="D453" i="1"/>
  <c r="D2609" i="1"/>
  <c r="D4181" i="1"/>
  <c r="D1841" i="1"/>
  <c r="D2905" i="1"/>
  <c r="D280" i="1"/>
  <c r="D3693" i="1"/>
  <c r="D3097" i="1"/>
  <c r="D232" i="1"/>
  <c r="D670" i="1"/>
  <c r="D1189" i="1"/>
  <c r="D348" i="1"/>
  <c r="D2038" i="1"/>
  <c r="D194" i="1"/>
  <c r="D1106" i="1"/>
  <c r="D33" i="1"/>
  <c r="D1293" i="1"/>
  <c r="D2125" i="1"/>
  <c r="D3641" i="1"/>
  <c r="D2085" i="1"/>
  <c r="D661" i="1"/>
  <c r="D694" i="1"/>
  <c r="D1897" i="1"/>
  <c r="D1250" i="1"/>
  <c r="D236" i="1"/>
  <c r="D1633" i="1"/>
  <c r="D384" i="1"/>
  <c r="D2805" i="1"/>
  <c r="D1981" i="1"/>
  <c r="D2297" i="1"/>
  <c r="D1945" i="1"/>
  <c r="D2002" i="1"/>
  <c r="D865" i="1"/>
  <c r="D1554" i="1"/>
  <c r="D2109" i="1"/>
  <c r="D3509" i="1"/>
  <c r="D1973" i="1"/>
  <c r="D1162" i="1"/>
  <c r="D1665" i="1"/>
  <c r="D3393" i="1"/>
  <c r="D1465" i="1"/>
  <c r="D1213" i="1"/>
  <c r="D3173" i="1"/>
  <c r="D648" i="1"/>
  <c r="D666" i="1"/>
  <c r="D2330" i="1"/>
  <c r="D3773" i="1"/>
  <c r="D1765" i="1"/>
  <c r="D2468" i="1"/>
  <c r="D28" i="1"/>
  <c r="D1856" i="1"/>
  <c r="D390" i="1"/>
  <c r="D3769" i="1"/>
  <c r="D2386" i="1"/>
  <c r="D962" i="1"/>
  <c r="D819" i="1"/>
  <c r="D2561" i="1"/>
  <c r="D1309" i="1"/>
  <c r="D873" i="1"/>
  <c r="D3349" i="1"/>
  <c r="D1096" i="1"/>
  <c r="D1601" i="1"/>
  <c r="D847" i="1"/>
  <c r="D838" i="1"/>
  <c r="D2204" i="1"/>
  <c r="D1773" i="1"/>
  <c r="D1218" i="1"/>
  <c r="D1362" i="1"/>
  <c r="D2478" i="1"/>
  <c r="D1397" i="1"/>
  <c r="D81" i="1"/>
  <c r="D3508" i="1"/>
  <c r="D3873" i="1"/>
  <c r="D2884" i="1"/>
  <c r="D2044" i="1"/>
  <c r="D735" i="1"/>
  <c r="D1942" i="1"/>
  <c r="D2289" i="1"/>
  <c r="D2242" i="1"/>
  <c r="D2447" i="1"/>
  <c r="D1120" i="1"/>
  <c r="D1816" i="1"/>
  <c r="D29" i="1"/>
  <c r="D3073" i="1"/>
  <c r="D2425" i="1"/>
  <c r="D2981" i="1"/>
  <c r="D2573" i="1"/>
  <c r="D568" i="1"/>
  <c r="D1811" i="1"/>
  <c r="D343" i="1"/>
  <c r="D251" i="1"/>
  <c r="D156" i="1"/>
  <c r="D3449" i="1"/>
  <c r="D455" i="1"/>
  <c r="D1442" i="1"/>
  <c r="D630" i="1"/>
  <c r="D1636" i="1"/>
  <c r="D1740" i="1"/>
  <c r="D3305" i="1"/>
  <c r="D3913" i="1"/>
  <c r="D3896" i="1"/>
  <c r="D643" i="1"/>
  <c r="D2636" i="1"/>
  <c r="D401" i="1"/>
  <c r="D2789" i="1"/>
  <c r="D195" i="1"/>
  <c r="D1617" i="1"/>
  <c r="D3353" i="1"/>
  <c r="D2855" i="1"/>
  <c r="D1739" i="1"/>
  <c r="D861" i="1"/>
  <c r="D964" i="1"/>
  <c r="D124" i="1"/>
  <c r="D3424" i="1"/>
  <c r="D816" i="1"/>
  <c r="D3289" i="1"/>
  <c r="D829" i="1"/>
  <c r="D2300" i="1"/>
  <c r="D3051" i="1"/>
  <c r="D1500" i="1"/>
  <c r="D1960" i="1"/>
  <c r="D1187" i="1"/>
  <c r="D2113" i="1"/>
  <c r="D943" i="1"/>
  <c r="D1264" i="1"/>
  <c r="D954" i="1"/>
  <c r="D692" i="1"/>
  <c r="D3072" i="1"/>
  <c r="D2944" i="1"/>
  <c r="D1006" i="1"/>
  <c r="D420" i="1"/>
  <c r="D806" i="1"/>
  <c r="D322" i="1"/>
  <c r="D227" i="1"/>
  <c r="D2639" i="1"/>
  <c r="D3227" i="1"/>
  <c r="D2434" i="1"/>
  <c r="D1872" i="1"/>
  <c r="D1784" i="1"/>
  <c r="D526" i="1"/>
  <c r="D717" i="1"/>
  <c r="D2226" i="1"/>
  <c r="D1010" i="1"/>
  <c r="D1031" i="1"/>
  <c r="D3277" i="1"/>
  <c r="D2284" i="1"/>
  <c r="D2348" i="1"/>
  <c r="D516" i="1"/>
  <c r="D402" i="1"/>
  <c r="D118" i="1"/>
  <c r="D3168" i="1"/>
  <c r="D876" i="1"/>
  <c r="D1808" i="1"/>
  <c r="D3976" i="1"/>
  <c r="D1407" i="1"/>
  <c r="D2495" i="1"/>
  <c r="D2997" i="1"/>
  <c r="D1165" i="1"/>
  <c r="D2176" i="1"/>
  <c r="D58" i="1"/>
  <c r="D915" i="1"/>
  <c r="D1361" i="1"/>
  <c r="D2166" i="1"/>
  <c r="D3064" i="1"/>
  <c r="D560" i="1"/>
  <c r="D4052" i="1"/>
  <c r="D2041" i="1"/>
  <c r="D988" i="1"/>
  <c r="D766" i="1"/>
  <c r="D705" i="1"/>
  <c r="D2730" i="1"/>
  <c r="D2179" i="1"/>
  <c r="D1624" i="1"/>
  <c r="D1101" i="1"/>
  <c r="D3045" i="1"/>
  <c r="D2702" i="1"/>
  <c r="D978" i="1"/>
  <c r="D200" i="1"/>
  <c r="D2184" i="1"/>
  <c r="D2688" i="1"/>
  <c r="D188" i="1"/>
  <c r="D1379" i="1"/>
  <c r="D2864" i="1"/>
  <c r="D1036" i="1"/>
  <c r="D3170" i="1"/>
  <c r="D3296" i="1"/>
  <c r="D1204" i="1"/>
  <c r="D738" i="1"/>
  <c r="D242" i="1"/>
  <c r="D961" i="1"/>
  <c r="D2870" i="1"/>
  <c r="D3307" i="1"/>
  <c r="D2565" i="1"/>
  <c r="D989" i="1"/>
  <c r="D537" i="1"/>
  <c r="D2246" i="1"/>
  <c r="D740" i="1"/>
  <c r="D1720" i="1"/>
  <c r="D1896" i="1"/>
  <c r="D1703" i="1"/>
  <c r="D834" i="1"/>
  <c r="D1260" i="1"/>
  <c r="D1817" i="1"/>
  <c r="D353" i="1"/>
  <c r="D286" i="1"/>
  <c r="D1024" i="1"/>
  <c r="D2490" i="1"/>
  <c r="D2677" i="1"/>
  <c r="D3200" i="1"/>
  <c r="D494" i="1"/>
  <c r="D1802" i="1"/>
  <c r="D3220" i="1"/>
  <c r="D855" i="1"/>
  <c r="D1067" i="1"/>
  <c r="D2610" i="1"/>
  <c r="D751" i="1"/>
  <c r="D1419" i="1"/>
  <c r="D2652" i="1"/>
  <c r="D2679" i="1"/>
  <c r="D1753" i="1"/>
  <c r="D2161" i="1"/>
  <c r="D426" i="1"/>
  <c r="D767" i="1"/>
  <c r="D1384" i="1"/>
  <c r="D1790" i="1"/>
  <c r="D100" i="1"/>
  <c r="D1168" i="1"/>
  <c r="D1268" i="1"/>
  <c r="D1014" i="1"/>
  <c r="D566" i="1"/>
  <c r="D1735" i="1"/>
  <c r="D109" i="1"/>
  <c r="D564" i="1"/>
  <c r="D38" i="1"/>
  <c r="D677" i="1"/>
  <c r="D1085" i="1"/>
  <c r="D1363" i="1"/>
  <c r="D833" i="1"/>
  <c r="D2912" i="1"/>
  <c r="D3893" i="1"/>
  <c r="D2169" i="1"/>
  <c r="D2767" i="1"/>
  <c r="D1824" i="1"/>
  <c r="D3142" i="1"/>
  <c r="D107" i="1"/>
  <c r="D222" i="1"/>
  <c r="D4121" i="1"/>
  <c r="D186" i="1"/>
  <c r="D3085" i="1"/>
  <c r="D2526" i="1"/>
  <c r="D2216" i="1"/>
  <c r="D144" i="1"/>
  <c r="D1205" i="1"/>
  <c r="D1190" i="1"/>
  <c r="D1263" i="1"/>
  <c r="D914" i="1"/>
  <c r="D1792" i="1"/>
  <c r="D2651" i="1"/>
  <c r="D3324" i="1"/>
  <c r="D514" i="1"/>
  <c r="D628" i="1"/>
  <c r="D1783" i="1"/>
  <c r="D1051" i="1"/>
  <c r="D3193" i="1"/>
  <c r="D377" i="1"/>
  <c r="D2054" i="1"/>
  <c r="D3326" i="1"/>
  <c r="D2714" i="1"/>
  <c r="D1472" i="1"/>
  <c r="D431" i="1"/>
  <c r="D1380" i="1"/>
  <c r="D2117" i="1"/>
  <c r="D23" i="1"/>
  <c r="D758" i="1"/>
  <c r="D226" i="1"/>
  <c r="D3674" i="1"/>
  <c r="D1025" i="1"/>
  <c r="D1021" i="1"/>
  <c r="D2622" i="1"/>
  <c r="D400" i="1"/>
  <c r="D1572" i="1"/>
  <c r="D890" i="1"/>
  <c r="D784" i="1"/>
  <c r="D1666" i="1"/>
  <c r="D3626" i="1"/>
  <c r="D2003" i="1"/>
  <c r="D2930" i="1"/>
  <c r="D641" i="1"/>
  <c r="D1200" i="1"/>
  <c r="D1619" i="1"/>
  <c r="D2168" i="1"/>
  <c r="D1098" i="1"/>
  <c r="D461" i="1"/>
  <c r="D1970" i="1"/>
  <c r="D760" i="1"/>
  <c r="D764" i="1"/>
  <c r="D4070" i="1"/>
  <c r="D821" i="1"/>
  <c r="D1954" i="1"/>
  <c r="D3545" i="1"/>
  <c r="D134" i="1"/>
  <c r="D2902" i="1"/>
  <c r="D3445" i="1"/>
  <c r="D2737" i="1"/>
  <c r="D2145" i="1"/>
  <c r="D513" i="1"/>
  <c r="D1950" i="1"/>
  <c r="D1998" i="1"/>
  <c r="D1737" i="1"/>
  <c r="D173" i="1"/>
  <c r="D2673" i="1"/>
  <c r="D849" i="1"/>
  <c r="D1805" i="1"/>
  <c r="D3869" i="1"/>
  <c r="D92" i="1"/>
  <c r="D918" i="1"/>
  <c r="D4129" i="1"/>
  <c r="D1846" i="1"/>
  <c r="D493" i="1"/>
  <c r="D182" i="1"/>
  <c r="D2014" i="1"/>
  <c r="D101" i="1"/>
  <c r="D3369" i="1"/>
  <c r="D906" i="1"/>
  <c r="D506" i="1"/>
  <c r="D1657" i="1"/>
  <c r="D1661" i="1"/>
  <c r="D576" i="1"/>
  <c r="D1738" i="1"/>
  <c r="D260" i="1"/>
  <c r="D1046" i="1"/>
  <c r="D3077" i="1"/>
  <c r="D228" i="1"/>
  <c r="D112" i="1"/>
  <c r="D2869" i="1"/>
  <c r="D1270" i="1"/>
  <c r="D1941" i="1"/>
  <c r="D2205" i="1"/>
  <c r="D180" i="1"/>
  <c r="D2433" i="1"/>
  <c r="D3685" i="1"/>
  <c r="D3797" i="1"/>
  <c r="D2413" i="1"/>
  <c r="D545" i="1"/>
  <c r="D1286" i="1"/>
  <c r="D282" i="1"/>
  <c r="D189" i="1"/>
  <c r="D2336" i="1"/>
  <c r="D1718" i="1"/>
  <c r="D4053" i="1"/>
  <c r="D1900" i="1"/>
  <c r="D3969" i="1"/>
  <c r="D1881" i="1"/>
  <c r="D688" i="1"/>
  <c r="D629" i="1"/>
  <c r="D2409" i="1"/>
  <c r="D3453" i="1"/>
  <c r="D3888" i="1"/>
  <c r="D2446" i="1"/>
  <c r="D1401" i="1"/>
  <c r="D2087" i="1"/>
  <c r="D1003" i="1"/>
  <c r="D464" i="1"/>
  <c r="D239" i="1"/>
  <c r="D298" i="1"/>
  <c r="D1360" i="1"/>
  <c r="D2406" i="1"/>
  <c r="D224" i="1"/>
  <c r="D580" i="1"/>
  <c r="D2183" i="1"/>
  <c r="D626" i="1"/>
  <c r="D1020" i="1"/>
  <c r="D3501" i="1"/>
  <c r="D1879" i="1"/>
  <c r="D1482" i="1"/>
  <c r="D2020" i="1"/>
  <c r="D446" i="1"/>
  <c r="D1997" i="1"/>
  <c r="D235" i="1"/>
  <c r="D60" i="1"/>
  <c r="D991" i="1"/>
  <c r="D2564" i="1"/>
  <c r="D1229" i="1"/>
  <c r="D2638" i="1"/>
  <c r="D902" i="1"/>
  <c r="D313" i="1"/>
  <c r="D1658" i="1"/>
  <c r="D2574" i="1"/>
  <c r="D3131" i="1"/>
  <c r="D185" i="1"/>
  <c r="D1920" i="1"/>
  <c r="D1751" i="1"/>
  <c r="D2066" i="1"/>
  <c r="D1012" i="1"/>
  <c r="D588" i="1"/>
  <c r="D356" i="1"/>
  <c r="D275" i="1"/>
  <c r="D2418" i="1"/>
  <c r="D908" i="1"/>
  <c r="D2560" i="1"/>
  <c r="D1453" i="1"/>
  <c r="D1519" i="1"/>
  <c r="D2606" i="1"/>
  <c r="D2344" i="1"/>
  <c r="D1706" i="1"/>
  <c r="D192" i="1"/>
  <c r="D2055" i="1"/>
  <c r="D858" i="1"/>
  <c r="D261" i="1"/>
  <c r="D2298" i="1"/>
  <c r="D1548" i="1"/>
  <c r="D2121" i="1"/>
  <c r="D756" i="1"/>
  <c r="D3645" i="1"/>
  <c r="D2116" i="1"/>
  <c r="D1837" i="1"/>
  <c r="D536" i="1"/>
  <c r="D519" i="1"/>
  <c r="D3805" i="1"/>
  <c r="D1050" i="1"/>
  <c r="D2159" i="1"/>
  <c r="D2388" i="1"/>
  <c r="D2329" i="1"/>
  <c r="D2596" i="1"/>
  <c r="D56" i="1"/>
  <c r="D1078" i="1"/>
  <c r="D1752" i="1"/>
  <c r="D1515" i="1"/>
  <c r="D634" i="1"/>
  <c r="D880" i="1"/>
  <c r="D1404" i="1"/>
  <c r="D1211" i="1"/>
  <c r="D119" i="1"/>
  <c r="D2350" i="1"/>
  <c r="D471" i="1"/>
  <c r="D940" i="1"/>
  <c r="D1140" i="1"/>
  <c r="D1929" i="1"/>
  <c r="D1196" i="1"/>
  <c r="D2354" i="1"/>
  <c r="D1716" i="1"/>
  <c r="D1953" i="1"/>
  <c r="D1153" i="1"/>
  <c r="D1880" i="1"/>
  <c r="D1026" i="1"/>
  <c r="D3584" i="1"/>
  <c r="D2122" i="1"/>
  <c r="D48" i="1"/>
  <c r="D1252" i="1"/>
  <c r="D645" i="1"/>
  <c r="D2613" i="1"/>
  <c r="D651" i="1"/>
  <c r="D2237" i="1"/>
  <c r="D434" i="1"/>
  <c r="D2274" i="1"/>
  <c r="D614" i="1"/>
  <c r="D718" i="1"/>
  <c r="D3159" i="1"/>
  <c r="D796" i="1"/>
  <c r="D1235" i="1"/>
  <c r="D278" i="1"/>
  <c r="D924" i="1"/>
  <c r="D949" i="1"/>
  <c r="D456" i="1"/>
  <c r="D1994" i="1"/>
  <c r="D1259" i="1"/>
  <c r="D1855" i="1"/>
  <c r="D1680" i="1"/>
  <c r="D1157" i="1"/>
  <c r="D1477" i="1"/>
  <c r="D330" i="1"/>
  <c r="D1494" i="1"/>
  <c r="D1524" i="1"/>
  <c r="D469" i="1"/>
  <c r="D3973" i="1"/>
  <c r="D683" i="1"/>
  <c r="D2709" i="1"/>
  <c r="D2077" i="1"/>
  <c r="D2756" i="1"/>
  <c r="D145" i="1"/>
  <c r="D527" i="1"/>
  <c r="D61" i="1"/>
  <c r="D2497" i="1"/>
  <c r="D1986" i="1"/>
  <c r="D3218" i="1"/>
  <c r="D1356" i="1"/>
  <c r="D3450" i="1"/>
  <c r="D244" i="1"/>
  <c r="D3481" i="1"/>
  <c r="D2598" i="1"/>
  <c r="D1154" i="1"/>
  <c r="D3940" i="1"/>
  <c r="D388" i="1"/>
  <c r="D2814" i="1"/>
  <c r="D3794" i="1"/>
  <c r="D2698" i="1"/>
  <c r="D3241" i="1"/>
  <c r="D1238" i="1"/>
  <c r="D3186" i="1"/>
  <c r="D715" i="1"/>
  <c r="D1376" i="1"/>
  <c r="D1647" i="1"/>
  <c r="D1244" i="1"/>
  <c r="D2843" i="1"/>
  <c r="D1324" i="1"/>
  <c r="D2461" i="1"/>
  <c r="D1245" i="1"/>
  <c r="D4098" i="1"/>
  <c r="D1451" i="1"/>
  <c r="D992" i="1"/>
  <c r="D1789" i="1"/>
  <c r="D205" i="1"/>
  <c r="D2716" i="1"/>
  <c r="D3504" i="1"/>
  <c r="D214" i="1"/>
  <c r="D1978" i="1"/>
  <c r="D265" i="1"/>
  <c r="D2061" i="1"/>
  <c r="D3904" i="1"/>
  <c r="D1094" i="1"/>
  <c r="D114" i="1"/>
  <c r="D974" i="1"/>
  <c r="D276" i="1"/>
  <c r="D4025" i="1"/>
  <c r="D4022" i="1"/>
  <c r="D4174" i="1"/>
  <c r="D1354" i="1"/>
  <c r="D325" i="1"/>
  <c r="D1588" i="1"/>
  <c r="D2746" i="1"/>
  <c r="D3812" i="1"/>
  <c r="D1627" i="1"/>
  <c r="D1924" i="1"/>
  <c r="D612" i="1"/>
  <c r="D1074" i="1"/>
  <c r="D3764" i="1"/>
  <c r="D373" i="1"/>
  <c r="D1728" i="1"/>
  <c r="D1505" i="1"/>
  <c r="D2072" i="1"/>
  <c r="D1989" i="1"/>
  <c r="D778" i="1"/>
  <c r="D3190" i="1"/>
  <c r="D2033" i="1"/>
  <c r="D1092" i="1"/>
  <c r="D117" i="1"/>
  <c r="D350" i="1"/>
  <c r="D2504" i="1"/>
  <c r="D490" i="1"/>
  <c r="D1725" i="1"/>
  <c r="D1335" i="1"/>
  <c r="D722" i="1"/>
  <c r="D3647" i="1"/>
  <c r="D4199" i="1"/>
  <c r="D4147" i="1"/>
  <c r="D4095" i="1"/>
  <c r="D4039" i="1"/>
  <c r="D3987" i="1"/>
  <c r="D3935" i="1"/>
  <c r="D3887" i="1"/>
  <c r="D3851" i="1"/>
  <c r="D3815" i="1"/>
  <c r="D3783" i="1"/>
  <c r="D3751" i="1"/>
  <c r="D3715" i="1"/>
  <c r="D3683" i="1"/>
  <c r="D3651" i="1"/>
  <c r="D3619" i="1"/>
  <c r="D3587" i="1"/>
  <c r="D3551" i="1"/>
  <c r="D3519" i="1"/>
  <c r="D3483" i="1"/>
  <c r="D3451" i="1"/>
  <c r="D3419" i="1"/>
  <c r="D3387" i="1"/>
  <c r="D2919" i="1"/>
  <c r="D4179" i="1"/>
  <c r="D4127" i="1"/>
  <c r="D4071" i="1"/>
  <c r="D4019" i="1"/>
  <c r="D3967" i="1"/>
  <c r="D3915" i="1"/>
  <c r="D3867" i="1"/>
  <c r="D3831" i="1"/>
  <c r="D3795" i="1"/>
  <c r="D3763" i="1"/>
  <c r="D3727" i="1"/>
  <c r="D3695" i="1"/>
  <c r="D3663" i="1"/>
  <c r="D3623" i="1"/>
  <c r="D3591" i="1"/>
  <c r="D3559" i="1"/>
  <c r="D3523" i="1"/>
  <c r="D3487" i="1"/>
  <c r="D3455" i="1"/>
  <c r="D3423" i="1"/>
  <c r="D3391" i="1"/>
  <c r="D3335" i="1"/>
  <c r="D4215" i="1"/>
  <c r="D4175" i="1"/>
  <c r="D4131" i="1"/>
  <c r="D4091" i="1"/>
  <c r="D4051" i="1"/>
  <c r="D4011" i="1"/>
  <c r="D3971" i="1"/>
  <c r="D3931" i="1"/>
  <c r="D3875" i="1"/>
  <c r="D3515" i="1"/>
  <c r="D4222" i="1"/>
  <c r="D4198" i="1"/>
  <c r="D4182" i="1"/>
  <c r="D4158" i="1"/>
  <c r="D4142" i="1"/>
  <c r="D4126" i="1"/>
  <c r="D4106" i="1"/>
  <c r="D4078" i="1"/>
  <c r="D4054" i="1"/>
  <c r="D3590" i="1"/>
  <c r="D4046" i="1"/>
  <c r="D4026" i="1"/>
  <c r="D4006" i="1"/>
  <c r="D3990" i="1"/>
  <c r="D3966" i="1"/>
  <c r="D3950" i="1"/>
  <c r="D3934" i="1"/>
  <c r="D3918" i="1"/>
  <c r="D3894" i="1"/>
  <c r="D3878" i="1"/>
  <c r="D3862" i="1"/>
  <c r="D3846" i="1"/>
  <c r="D3830" i="1"/>
  <c r="D3802" i="1"/>
  <c r="D3782" i="1"/>
  <c r="D3766" i="1"/>
  <c r="D3750" i="1"/>
  <c r="D3730" i="1"/>
  <c r="D3714" i="1"/>
  <c r="D3694" i="1"/>
  <c r="D3678" i="1"/>
  <c r="D3658" i="1"/>
  <c r="D3638" i="1"/>
  <c r="D3614" i="1"/>
  <c r="D3586" i="1"/>
  <c r="D3885" i="1"/>
  <c r="D2781" i="1"/>
  <c r="D376" i="1"/>
  <c r="D2165" i="1"/>
  <c r="D2601" i="1"/>
  <c r="D436" i="1"/>
  <c r="D578" i="1"/>
  <c r="D528" i="1"/>
  <c r="D3541" i="1"/>
  <c r="D922" i="1"/>
  <c r="D2553" i="1"/>
  <c r="D606" i="1"/>
  <c r="D3373" i="1"/>
  <c r="D1490" i="1"/>
  <c r="D1541" i="1"/>
  <c r="D997" i="1"/>
  <c r="D3989" i="1"/>
  <c r="D18" i="1"/>
  <c r="D2062" i="1"/>
  <c r="D690" i="1"/>
  <c r="D4041" i="1"/>
  <c r="D3905" i="1"/>
  <c r="D42" i="1"/>
  <c r="D1562" i="1"/>
  <c r="D1694" i="1"/>
  <c r="D1005" i="1"/>
  <c r="D1525" i="1"/>
  <c r="D1366" i="1"/>
  <c r="D1110" i="1"/>
  <c r="D4117" i="1"/>
  <c r="D769" i="1"/>
  <c r="D1641" i="1"/>
  <c r="D1722" i="1"/>
  <c r="D512" i="1"/>
  <c r="D1549" i="1"/>
  <c r="D1426" i="1"/>
  <c r="D277" i="1"/>
  <c r="D2817" i="1"/>
  <c r="D2661" i="1"/>
  <c r="D3081" i="1"/>
  <c r="D3425" i="1"/>
  <c r="D2566" i="1"/>
  <c r="D800" i="1"/>
  <c r="D2692" i="1"/>
  <c r="D1957" i="1"/>
  <c r="D1990" i="1"/>
  <c r="D624" i="1"/>
  <c r="D2208" i="1"/>
  <c r="D3257" i="1"/>
  <c r="D2973" i="1"/>
  <c r="D3212" i="1"/>
  <c r="D2142" i="1"/>
  <c r="D869" i="1"/>
  <c r="D2766" i="1"/>
  <c r="D1193" i="1"/>
  <c r="D2949" i="1"/>
  <c r="D3836" i="1"/>
  <c r="D1996" i="1"/>
  <c r="D1141" i="1"/>
  <c r="D2676" i="1"/>
  <c r="D1089" i="1"/>
  <c r="D2390" i="1"/>
  <c r="D30" i="1"/>
  <c r="D1655" i="1"/>
  <c r="D4105" i="1"/>
  <c r="D1509" i="1"/>
  <c r="D658" i="1"/>
  <c r="D814" i="1"/>
  <c r="D3263" i="1"/>
  <c r="D1678" i="1"/>
  <c r="D2514" i="1"/>
  <c r="D303" i="1"/>
  <c r="D1295" i="1"/>
  <c r="D1400" i="1"/>
  <c r="D1651" i="1"/>
  <c r="D408" i="1"/>
  <c r="D250" i="1"/>
  <c r="D40" i="1"/>
  <c r="D3824" i="1"/>
  <c r="D1635" i="1"/>
  <c r="D1742" i="1"/>
  <c r="D2305" i="1"/>
  <c r="D3311" i="1"/>
  <c r="D2882" i="1"/>
  <c r="D429" i="1"/>
  <c r="D685" i="1"/>
  <c r="D1586" i="1"/>
  <c r="D1913" i="1"/>
  <c r="D1402" i="1"/>
  <c r="D1455" i="1"/>
  <c r="D871" i="1"/>
  <c r="D2098" i="1"/>
  <c r="D710" i="1"/>
  <c r="D999" i="1"/>
  <c r="D1292" i="1"/>
  <c r="D2555" i="1"/>
  <c r="D3912" i="1"/>
  <c r="D2127" i="1"/>
  <c r="D207" i="1"/>
  <c r="D1604" i="1"/>
  <c r="D2592" i="1"/>
  <c r="D1150" i="1"/>
  <c r="D482" i="1"/>
  <c r="D1484" i="1"/>
  <c r="D2357" i="1"/>
  <c r="D121" i="1"/>
  <c r="D1322" i="1"/>
  <c r="D2349" i="1"/>
  <c r="D1729" i="1"/>
  <c r="D1502" i="1"/>
  <c r="D218" i="1"/>
  <c r="D709" i="1"/>
  <c r="D1310" i="1"/>
  <c r="D213" i="1"/>
  <c r="D1833" i="1"/>
  <c r="D4185" i="1"/>
  <c r="D1710" i="1"/>
  <c r="D2025" i="1"/>
  <c r="D1770" i="1"/>
  <c r="D942" i="1"/>
  <c r="D3065" i="1"/>
  <c r="D1149" i="1"/>
  <c r="D597" i="1"/>
  <c r="D2989" i="1"/>
  <c r="D3025" i="1"/>
  <c r="D1697" i="1"/>
  <c r="D432" i="1"/>
  <c r="D1744" i="1"/>
  <c r="D151" i="1"/>
  <c r="D1564" i="1"/>
  <c r="D716" i="1"/>
  <c r="D1159" i="1"/>
  <c r="D3062" i="1"/>
  <c r="D2764" i="1"/>
  <c r="D3408" i="1"/>
  <c r="D1705" i="1"/>
  <c r="D383" i="1"/>
  <c r="D2979" i="1"/>
  <c r="D2965" i="1"/>
  <c r="D1529" i="1"/>
  <c r="D91" i="1"/>
  <c r="D3079" i="1"/>
  <c r="D1052" i="1"/>
  <c r="D1917" i="1"/>
  <c r="D3808" i="1"/>
  <c r="D169" i="1"/>
  <c r="D1436" i="1"/>
  <c r="D1683" i="1"/>
  <c r="D1030" i="1"/>
  <c r="D1316" i="1"/>
  <c r="D786" i="1"/>
  <c r="D754" i="1"/>
  <c r="D2839" i="1"/>
  <c r="D2200" i="1"/>
  <c r="D3042" i="1"/>
  <c r="D780" i="1"/>
  <c r="D3275" i="1"/>
  <c r="D1251" i="1"/>
  <c r="D881" i="1"/>
  <c r="D370" i="1"/>
  <c r="D270" i="1"/>
  <c r="D502" i="1"/>
  <c r="D1389" i="1"/>
  <c r="D2079" i="1"/>
  <c r="D3333" i="1"/>
  <c r="D1041" i="1"/>
  <c r="D561" i="1"/>
  <c r="D253" i="1"/>
  <c r="D337" i="1"/>
  <c r="D2976" i="1"/>
  <c r="D110" i="1"/>
  <c r="D2859" i="1"/>
  <c r="D905" i="1"/>
  <c r="D1696" i="1"/>
  <c r="D341" i="1"/>
  <c r="D1904" i="1"/>
  <c r="D533" i="1"/>
  <c r="D1552" i="1"/>
  <c r="D52" i="1"/>
  <c r="D125" i="1"/>
  <c r="D742" i="1"/>
  <c r="D1333" i="1"/>
  <c r="D725" i="1"/>
  <c r="D1514" i="1"/>
  <c r="D45" i="1"/>
  <c r="D3385" i="1"/>
  <c r="D3568" i="1"/>
  <c r="D77" i="1"/>
  <c r="D1104" i="1"/>
  <c r="D2004" i="1"/>
  <c r="D293" i="1"/>
  <c r="D292" i="1"/>
  <c r="D3014" i="1"/>
  <c r="D994" i="1"/>
  <c r="D3361" i="1"/>
  <c r="D2108" i="1"/>
  <c r="D3648" i="1"/>
  <c r="D986" i="1"/>
  <c r="D3057" i="1"/>
  <c r="D982" i="1"/>
  <c r="D2718" i="1"/>
  <c r="D939" i="1"/>
  <c r="D511" i="1"/>
  <c r="D308" i="1"/>
  <c r="D3050" i="1"/>
  <c r="D272" i="1"/>
  <c r="D19" i="1"/>
  <c r="D1699" i="1"/>
  <c r="D2525" i="1"/>
  <c r="D3833" i="1"/>
  <c r="D1507" i="1"/>
  <c r="D1845" i="1"/>
  <c r="D2254" i="1"/>
  <c r="D2907" i="1"/>
  <c r="D166" i="1"/>
  <c r="D3616" i="1"/>
  <c r="D1612" i="1"/>
  <c r="D3902" i="1"/>
  <c r="D3592" i="1"/>
  <c r="D1698" i="1"/>
  <c r="D2382" i="1"/>
  <c r="D1676" i="1"/>
  <c r="D3710" i="1"/>
  <c r="D2581" i="1"/>
  <c r="D3806" i="1"/>
  <c r="D1152" i="1"/>
  <c r="D3238" i="1"/>
  <c r="D2384" i="1"/>
  <c r="D2154" i="1"/>
  <c r="D674" i="1"/>
  <c r="D501" i="1"/>
  <c r="D25" i="1"/>
  <c r="D389" i="1"/>
  <c r="D813" i="1"/>
  <c r="D246" i="1"/>
  <c r="D707" i="1"/>
  <c r="D2401" i="1"/>
  <c r="D990" i="1"/>
  <c r="D966" i="1"/>
  <c r="D1258" i="1"/>
  <c r="D2006" i="1"/>
  <c r="D750" i="1"/>
  <c r="D3328" i="1"/>
  <c r="D627" i="1"/>
  <c r="D2338" i="1"/>
  <c r="D438" i="1"/>
  <c r="D2150" i="1"/>
  <c r="D620" i="1"/>
  <c r="D1934" i="1"/>
  <c r="D3280" i="1"/>
  <c r="D2577" i="1"/>
  <c r="D1202" i="1"/>
  <c r="D2683" i="1"/>
  <c r="D2984" i="1"/>
  <c r="D243" i="1"/>
  <c r="D1077" i="1"/>
  <c r="D442" i="1"/>
  <c r="D1927" i="1"/>
  <c r="D2404" i="1"/>
  <c r="D2462" i="1"/>
  <c r="D1558" i="1"/>
  <c r="D149" i="1"/>
  <c r="D1388" i="1"/>
  <c r="D1002" i="1"/>
  <c r="D460" i="1"/>
  <c r="D3040" i="1"/>
  <c r="D4207" i="1"/>
  <c r="D4135" i="1"/>
  <c r="D4067" i="1"/>
  <c r="D3999" i="1"/>
  <c r="D3923" i="1"/>
  <c r="D3871" i="1"/>
  <c r="D3823" i="1"/>
  <c r="D3775" i="1"/>
  <c r="D3731" i="1"/>
  <c r="D3691" i="1"/>
  <c r="D3643" i="1"/>
  <c r="D3603" i="1"/>
  <c r="D3563" i="1"/>
  <c r="D3507" i="1"/>
  <c r="D3467" i="1"/>
  <c r="D3427" i="1"/>
  <c r="D3379" i="1"/>
  <c r="D4211" i="1"/>
  <c r="D4139" i="1"/>
  <c r="D4059" i="1"/>
  <c r="D3991" i="1"/>
  <c r="D3927" i="1"/>
  <c r="D3855" i="1"/>
  <c r="D3811" i="1"/>
  <c r="D3771" i="1"/>
  <c r="D3719" i="1"/>
  <c r="D3679" i="1"/>
  <c r="D3631" i="1"/>
  <c r="D3583" i="1"/>
  <c r="D3539" i="1"/>
  <c r="D3495" i="1"/>
  <c r="D3447" i="1"/>
  <c r="D3407" i="1"/>
  <c r="D3367" i="1"/>
  <c r="D4203" i="1"/>
  <c r="D4151" i="1"/>
  <c r="D4103" i="1"/>
  <c r="D4047" i="1"/>
  <c r="D3995" i="1"/>
  <c r="D3943" i="1"/>
  <c r="D3859" i="1"/>
  <c r="D4178" i="1"/>
  <c r="D4202" i="1"/>
  <c r="D4170" i="1"/>
  <c r="D4150" i="1"/>
  <c r="D4130" i="1"/>
  <c r="D4090" i="1"/>
  <c r="D4062" i="1"/>
  <c r="D3610" i="1"/>
  <c r="D4038" i="1"/>
  <c r="D4014" i="1"/>
  <c r="D3994" i="1"/>
  <c r="D3962" i="1"/>
  <c r="D3942" i="1"/>
  <c r="D3922" i="1"/>
  <c r="D3890" i="1"/>
  <c r="D3870" i="1"/>
  <c r="D3850" i="1"/>
  <c r="D3826" i="1"/>
  <c r="D3790" i="1"/>
  <c r="D3770" i="1"/>
  <c r="D3746" i="1"/>
  <c r="D3722" i="1"/>
  <c r="D3698" i="1"/>
  <c r="D3670" i="1"/>
  <c r="D3650" i="1"/>
  <c r="D3618" i="1"/>
  <c r="D3582" i="1"/>
  <c r="D3558" i="1"/>
  <c r="D3542" i="1"/>
  <c r="D3518" i="1"/>
  <c r="D3502" i="1"/>
  <c r="D3486" i="1"/>
  <c r="D3470" i="1"/>
  <c r="D3454" i="1"/>
  <c r="D3434" i="1"/>
  <c r="D3418" i="1"/>
  <c r="D3402" i="1"/>
  <c r="D3386" i="1"/>
  <c r="D3370" i="1"/>
  <c r="D3350" i="1"/>
  <c r="D3334" i="1"/>
  <c r="D3314" i="1"/>
  <c r="D3294" i="1"/>
  <c r="D3090" i="1"/>
  <c r="D3006" i="1"/>
  <c r="D3351" i="1"/>
  <c r="D3331" i="1"/>
  <c r="D3315" i="1"/>
  <c r="D3287" i="1"/>
  <c r="D3267" i="1"/>
  <c r="D3247" i="1"/>
  <c r="D3211" i="1"/>
  <c r="D3183" i="1"/>
  <c r="D3167" i="1"/>
  <c r="D3147" i="1"/>
  <c r="D3119" i="1"/>
  <c r="D3103" i="1"/>
  <c r="D3083" i="1"/>
  <c r="D3063" i="1"/>
  <c r="D3039" i="1"/>
  <c r="D3019" i="1"/>
  <c r="D3003" i="1"/>
  <c r="D2987" i="1"/>
  <c r="D2963" i="1"/>
  <c r="D2943" i="1"/>
  <c r="D2923" i="1"/>
  <c r="D2899" i="1"/>
  <c r="D2883" i="1"/>
  <c r="D2867" i="1"/>
  <c r="D2835" i="1"/>
  <c r="D2815" i="1"/>
  <c r="D2795" i="1"/>
  <c r="D2775" i="1"/>
  <c r="D2755" i="1"/>
  <c r="D2739" i="1"/>
  <c r="D2719" i="1"/>
  <c r="D2695" i="1"/>
  <c r="D2667" i="1"/>
  <c r="D2647" i="1"/>
  <c r="D2627" i="1"/>
  <c r="D2599" i="1"/>
  <c r="D2583" i="1"/>
  <c r="D2559" i="1"/>
  <c r="D2539" i="1"/>
  <c r="D2523" i="1"/>
  <c r="D2499" i="1"/>
  <c r="D2479" i="1"/>
  <c r="D2463" i="1"/>
  <c r="D2443" i="1"/>
  <c r="D2427" i="1"/>
  <c r="D2407" i="1"/>
  <c r="D2387" i="1"/>
  <c r="D2371" i="1"/>
  <c r="D2351" i="1"/>
  <c r="D2335" i="1"/>
  <c r="D2319" i="1"/>
  <c r="D2295" i="1"/>
  <c r="D2279" i="1"/>
  <c r="D2263" i="1"/>
  <c r="D2247" i="1"/>
  <c r="D2231" i="1"/>
  <c r="D2211" i="1"/>
  <c r="D2187" i="1"/>
  <c r="D2155" i="1"/>
  <c r="D2139" i="1"/>
  <c r="D2119" i="1"/>
  <c r="D2099" i="1"/>
  <c r="D2075" i="1"/>
  <c r="D2059" i="1"/>
  <c r="D2035" i="1"/>
  <c r="D2019" i="1"/>
  <c r="D1999" i="1"/>
  <c r="D1983" i="1"/>
  <c r="D1967" i="1"/>
  <c r="D1951" i="1"/>
  <c r="D1931" i="1"/>
  <c r="D1907" i="1"/>
  <c r="D1887" i="1"/>
  <c r="D1863" i="1"/>
  <c r="D1839" i="1"/>
  <c r="D1823" i="1"/>
  <c r="D1803" i="1"/>
  <c r="D1787" i="1"/>
  <c r="D1743" i="1"/>
  <c r="D1719" i="1"/>
  <c r="D1695" i="1"/>
  <c r="D1671" i="1"/>
  <c r="D1643" i="1"/>
  <c r="D1583" i="1"/>
  <c r="D1195" i="1"/>
  <c r="D4216" i="1"/>
  <c r="D4200" i="1"/>
  <c r="D4184" i="1"/>
  <c r="D4168" i="1"/>
  <c r="D4148" i="1"/>
  <c r="D4132" i="1"/>
  <c r="D4116" i="1"/>
  <c r="D4100" i="1"/>
  <c r="D4084" i="1"/>
  <c r="D4068" i="1"/>
  <c r="D4048" i="1"/>
  <c r="D4028" i="1"/>
  <c r="D4012" i="1"/>
  <c r="D3996" i="1"/>
  <c r="D3980" i="1"/>
  <c r="D3956" i="1"/>
  <c r="D3572" i="1"/>
  <c r="D1599" i="1"/>
  <c r="D1575" i="1"/>
  <c r="D1555" i="1"/>
  <c r="D1539" i="1"/>
  <c r="D1511" i="1"/>
  <c r="D1487" i="1"/>
  <c r="D1467" i="1"/>
  <c r="D1439" i="1"/>
  <c r="D1423" i="1"/>
  <c r="D1391" i="1"/>
  <c r="D1355" i="1"/>
  <c r="D1339" i="1"/>
  <c r="D1319" i="1"/>
  <c r="D1303" i="1"/>
  <c r="D1283" i="1"/>
  <c r="D1267" i="1"/>
  <c r="D1239" i="1"/>
  <c r="D1215" i="1"/>
  <c r="D1175" i="1"/>
  <c r="D1155" i="1"/>
  <c r="D1135" i="1"/>
  <c r="D1103" i="1"/>
  <c r="D1087" i="1"/>
  <c r="D1055" i="1"/>
  <c r="D1027" i="1"/>
  <c r="D995" i="1"/>
  <c r="D963" i="1"/>
  <c r="D935" i="1"/>
  <c r="D919" i="1"/>
  <c r="D879" i="1"/>
  <c r="D859" i="1"/>
  <c r="D835" i="1"/>
  <c r="D815" i="1"/>
  <c r="D795" i="1"/>
  <c r="D779" i="1"/>
  <c r="D759" i="1"/>
  <c r="D731" i="1"/>
  <c r="D703" i="1"/>
  <c r="D679" i="1"/>
  <c r="D659" i="1"/>
  <c r="D635" i="1"/>
  <c r="D611" i="1"/>
  <c r="D3936" i="1"/>
  <c r="D3916" i="1"/>
  <c r="D3884" i="1"/>
  <c r="D3864" i="1"/>
  <c r="D3848" i="1"/>
  <c r="D3828" i="1"/>
  <c r="D3792" i="1"/>
  <c r="D3772" i="1"/>
  <c r="D3748" i="1"/>
  <c r="D3732" i="1"/>
  <c r="D3704" i="1"/>
  <c r="D3688" i="1"/>
  <c r="D3668" i="1"/>
  <c r="D3644" i="1"/>
  <c r="D3624" i="1"/>
  <c r="D3604" i="1"/>
  <c r="D3580" i="1"/>
  <c r="D3552" i="1"/>
  <c r="D3536" i="1"/>
  <c r="D3520" i="1"/>
  <c r="D3496" i="1"/>
  <c r="D3476" i="1"/>
  <c r="D3460" i="1"/>
  <c r="D3444" i="1"/>
  <c r="D3428" i="1"/>
  <c r="D3400" i="1"/>
  <c r="D3384" i="1"/>
  <c r="D3364" i="1"/>
  <c r="D3348" i="1"/>
  <c r="D3332" i="1"/>
  <c r="D3304" i="1"/>
  <c r="D591" i="1"/>
  <c r="D571" i="1"/>
  <c r="D551" i="1"/>
  <c r="D535" i="1"/>
  <c r="D507" i="1"/>
  <c r="D483" i="1"/>
  <c r="D463" i="1"/>
  <c r="D435" i="1"/>
  <c r="D415" i="1"/>
  <c r="D395" i="1"/>
  <c r="D363" i="1"/>
  <c r="D331" i="1"/>
  <c r="D315" i="1"/>
  <c r="D287" i="1"/>
  <c r="D267" i="1"/>
  <c r="D223" i="1"/>
  <c r="D187" i="1"/>
  <c r="D159" i="1"/>
  <c r="D139" i="1"/>
  <c r="D115" i="1"/>
  <c r="D95" i="1"/>
  <c r="D71" i="1"/>
  <c r="D55" i="1"/>
  <c r="D35" i="1"/>
  <c r="D3282" i="1"/>
  <c r="D3266" i="1"/>
  <c r="D3234" i="1"/>
  <c r="D3206" i="1"/>
  <c r="D3166" i="1"/>
  <c r="D3146" i="1"/>
  <c r="D3122" i="1"/>
  <c r="D3102" i="1"/>
  <c r="D3078" i="1"/>
  <c r="D3046" i="1"/>
  <c r="D3018" i="1"/>
  <c r="D2913" i="1"/>
  <c r="D2621" i="1"/>
  <c r="D417" i="1"/>
  <c r="D3737" i="1"/>
  <c r="D2445" i="1"/>
  <c r="D1794" i="1"/>
  <c r="D1054" i="1"/>
  <c r="D1122" i="1"/>
  <c r="D938" i="1"/>
  <c r="D866" i="1"/>
  <c r="D4049" i="1"/>
  <c r="D777" i="1"/>
  <c r="D1197" i="1"/>
  <c r="D54" i="1"/>
  <c r="D1058" i="1"/>
  <c r="D302" i="1"/>
  <c r="D1885" i="1"/>
  <c r="D1874" i="1"/>
  <c r="D4005" i="1"/>
  <c r="D3125" i="1"/>
  <c r="D3297" i="1"/>
  <c r="D1732" i="1"/>
  <c r="D1932" i="1"/>
  <c r="D2841" i="1"/>
  <c r="D3030" i="1"/>
  <c r="D416" i="1"/>
  <c r="D765" i="1"/>
  <c r="D2399" i="1"/>
  <c r="D2126" i="1"/>
  <c r="D2846" i="1"/>
  <c r="D2563" i="1"/>
  <c r="D2311" i="1"/>
  <c r="D2634" i="1"/>
  <c r="D1318" i="1"/>
  <c r="D2325" i="1"/>
  <c r="D3291" i="1"/>
  <c r="D2422" i="1"/>
  <c r="D297" i="1"/>
  <c r="D2191" i="1"/>
  <c r="D1775" i="1"/>
  <c r="D1516" i="1"/>
  <c r="D2136" i="1"/>
  <c r="D2978" i="1"/>
  <c r="D1224" i="1"/>
  <c r="D2776" i="1"/>
  <c r="D1962" i="1"/>
  <c r="D1399" i="1"/>
  <c r="D300" i="1"/>
  <c r="D2253" i="1"/>
  <c r="D1622" i="1"/>
  <c r="D932" i="1"/>
  <c r="D46" i="1"/>
  <c r="D2512" i="1"/>
  <c r="D1107" i="1"/>
  <c r="D238" i="1"/>
  <c r="D558" i="1"/>
  <c r="D2928" i="1"/>
  <c r="D4097" i="1"/>
  <c r="D883" i="1"/>
  <c r="D2939" i="1"/>
  <c r="D1312" i="1"/>
  <c r="D3084" i="1"/>
  <c r="D3056" i="1"/>
  <c r="D1882" i="1"/>
  <c r="D2488" i="1"/>
  <c r="D204" i="1"/>
  <c r="D3652" i="1"/>
  <c r="D311" i="1"/>
  <c r="D1223" i="1"/>
  <c r="D289" i="1"/>
  <c r="D439" i="1"/>
  <c r="D793" i="1"/>
  <c r="D240" i="1"/>
  <c r="D887" i="1"/>
  <c r="D965" i="1"/>
  <c r="D1826" i="1"/>
  <c r="D1207" i="1"/>
  <c r="D1396" i="1"/>
  <c r="D193" i="1"/>
  <c r="D1679" i="1"/>
  <c r="D2264" i="1"/>
  <c r="D1217" i="1"/>
  <c r="D2114" i="1"/>
  <c r="D4153" i="1"/>
  <c r="D2100" i="1"/>
  <c r="D335" i="1"/>
  <c r="D4145" i="1"/>
  <c r="D462" i="1"/>
  <c r="D508" i="1"/>
  <c r="D498" i="1"/>
  <c r="D2265" i="1"/>
  <c r="D2460" i="1"/>
  <c r="D3262" i="1"/>
  <c r="D1883" i="1"/>
  <c r="D1628" i="1"/>
  <c r="D62" i="1"/>
  <c r="D2503" i="1"/>
  <c r="D1040" i="1"/>
  <c r="D2410" i="1"/>
  <c r="D94" i="1"/>
  <c r="D1185" i="1"/>
  <c r="D1294" i="1"/>
  <c r="D1906" i="1"/>
  <c r="D2012" i="1"/>
  <c r="D2800" i="1"/>
  <c r="D3738" i="1"/>
  <c r="D2856" i="1"/>
  <c r="D1313" i="1"/>
  <c r="D82" i="1"/>
  <c r="D3760" i="1"/>
  <c r="D1860" i="1"/>
  <c r="D3298" i="1"/>
  <c r="D32" i="1"/>
  <c r="D2678" i="1"/>
  <c r="D4042" i="1"/>
  <c r="D1949" i="1"/>
  <c r="D2502" i="1"/>
  <c r="D2089" i="1"/>
  <c r="D3602" i="1"/>
  <c r="D926" i="1"/>
  <c r="D1084" i="1"/>
  <c r="D631" i="1"/>
  <c r="D2489" i="1"/>
  <c r="D809" i="1"/>
  <c r="D503" i="1"/>
  <c r="D1890" i="1"/>
  <c r="D1750" i="1"/>
  <c r="D1757" i="1"/>
  <c r="D4218" i="1"/>
  <c r="D907" i="1"/>
  <c r="D68" i="1"/>
  <c r="D1297" i="1"/>
  <c r="D1131" i="1"/>
  <c r="D3358" i="1"/>
  <c r="D3135" i="1"/>
  <c r="D4074" i="1"/>
  <c r="D1073" i="1"/>
  <c r="D358" i="1"/>
  <c r="D1191" i="1"/>
  <c r="D728" i="1"/>
  <c r="D1378" i="1"/>
  <c r="D1918" i="1"/>
  <c r="D872" i="1"/>
  <c r="D2146" i="1"/>
  <c r="D1188" i="1"/>
  <c r="D1755" i="1"/>
  <c r="D177" i="1"/>
  <c r="D1143" i="1"/>
  <c r="D3622" i="1"/>
  <c r="D2786" i="1"/>
  <c r="D2711" i="1"/>
  <c r="D4094" i="1"/>
  <c r="D4102" i="1"/>
  <c r="D393" i="1"/>
  <c r="D2039" i="1"/>
  <c r="D98" i="1"/>
  <c r="D1898" i="1"/>
  <c r="D654" i="1"/>
  <c r="D3978" i="1"/>
  <c r="D2557" i="1"/>
  <c r="D1778" i="1"/>
  <c r="D2303" i="1"/>
  <c r="D4187" i="1"/>
  <c r="D4123" i="1"/>
  <c r="D4055" i="1"/>
  <c r="D3975" i="1"/>
  <c r="D3911" i="1"/>
  <c r="D3863" i="1"/>
  <c r="D3807" i="1"/>
  <c r="D3767" i="1"/>
  <c r="D3723" i="1"/>
  <c r="D3675" i="1"/>
  <c r="D3635" i="1"/>
  <c r="D3595" i="1"/>
  <c r="D3543" i="1"/>
  <c r="D3499" i="1"/>
  <c r="D3459" i="1"/>
  <c r="D3411" i="1"/>
  <c r="D3371" i="1"/>
  <c r="D4195" i="1"/>
  <c r="D4115" i="1"/>
  <c r="D4043" i="1"/>
  <c r="D3979" i="1"/>
  <c r="D3903" i="1"/>
  <c r="D3847" i="1"/>
  <c r="D3803" i="1"/>
  <c r="D3755" i="1"/>
  <c r="D3711" i="1"/>
  <c r="D3671" i="1"/>
  <c r="D3615" i="1"/>
  <c r="D3575" i="1"/>
  <c r="D3531" i="1"/>
  <c r="D3479" i="1"/>
  <c r="D3439" i="1"/>
  <c r="D3399" i="1"/>
  <c r="D3035" i="1"/>
  <c r="D4191" i="1"/>
  <c r="D4143" i="1"/>
  <c r="D4079" i="1"/>
  <c r="D4035" i="1"/>
  <c r="D3983" i="1"/>
  <c r="D3919" i="1"/>
  <c r="D3827" i="1"/>
  <c r="D4226" i="1"/>
  <c r="D4194" i="1"/>
  <c r="D4166" i="1"/>
  <c r="D4146" i="1"/>
  <c r="D4118" i="1"/>
  <c r="D4086" i="1"/>
  <c r="D4058" i="1"/>
  <c r="D3574" i="1"/>
  <c r="D4034" i="1"/>
  <c r="D4010" i="1"/>
  <c r="D3982" i="1"/>
  <c r="D3958" i="1"/>
  <c r="D3938" i="1"/>
  <c r="D3914" i="1"/>
  <c r="D3886" i="1"/>
  <c r="D3866" i="1"/>
  <c r="D3842" i="1"/>
  <c r="D3818" i="1"/>
  <c r="D3786" i="1"/>
  <c r="D3762" i="1"/>
  <c r="D3742" i="1"/>
  <c r="D3718" i="1"/>
  <c r="D3690" i="1"/>
  <c r="D3666" i="1"/>
  <c r="D3642" i="1"/>
  <c r="D3606" i="1"/>
  <c r="D3570" i="1"/>
  <c r="D3554" i="1"/>
  <c r="D3538" i="1"/>
  <c r="D3514" i="1"/>
  <c r="D3498" i="1"/>
  <c r="D3482" i="1"/>
  <c r="D3466" i="1"/>
  <c r="D3446" i="1"/>
  <c r="D3430" i="1"/>
  <c r="D3414" i="1"/>
  <c r="D3398" i="1"/>
  <c r="D3382" i="1"/>
  <c r="D3366" i="1"/>
  <c r="D3346" i="1"/>
  <c r="D3330" i="1"/>
  <c r="D3310" i="1"/>
  <c r="D3210" i="1"/>
  <c r="D3086" i="1"/>
  <c r="D3363" i="1"/>
  <c r="D3347" i="1"/>
  <c r="D3327" i="1"/>
  <c r="D3303" i="1"/>
  <c r="D3283" i="1"/>
  <c r="D3259" i="1"/>
  <c r="D3239" i="1"/>
  <c r="D3207" i="1"/>
  <c r="D3179" i="1"/>
  <c r="D3163" i="1"/>
  <c r="D3143" i="1"/>
  <c r="D3115" i="1"/>
  <c r="D3099" i="1"/>
  <c r="D3075" i="1"/>
  <c r="D3059" i="1"/>
  <c r="D3031" i="1"/>
  <c r="D3015" i="1"/>
  <c r="D2999" i="1"/>
  <c r="D2983" i="1"/>
  <c r="D2959" i="1"/>
  <c r="D2935" i="1"/>
  <c r="D2915" i="1"/>
  <c r="D2895" i="1"/>
  <c r="D2879" i="1"/>
  <c r="D2863" i="1"/>
  <c r="D2827" i="1"/>
  <c r="D2807" i="1"/>
  <c r="D2787" i="1"/>
  <c r="D2771" i="1"/>
  <c r="D2751" i="1"/>
  <c r="D2731" i="1"/>
  <c r="D2715" i="1"/>
  <c r="D2687" i="1"/>
  <c r="D2663" i="1"/>
  <c r="D2643" i="1"/>
  <c r="D2611" i="1"/>
  <c r="D2595" i="1"/>
  <c r="D2575" i="1"/>
  <c r="D2551" i="1"/>
  <c r="D2535" i="1"/>
  <c r="D2519" i="1"/>
  <c r="D2491" i="1"/>
  <c r="D2475" i="1"/>
  <c r="D2459" i="1"/>
  <c r="D2439" i="1"/>
  <c r="D2423" i="1"/>
  <c r="D2403" i="1"/>
  <c r="D2383" i="1"/>
  <c r="D2367" i="1"/>
  <c r="D2347" i="1"/>
  <c r="D2331" i="1"/>
  <c r="D2315" i="1"/>
  <c r="D2291" i="1"/>
  <c r="D2275" i="1"/>
  <c r="D2259" i="1"/>
  <c r="D2243" i="1"/>
  <c r="D2227" i="1"/>
  <c r="D2207" i="1"/>
  <c r="D2175" i="1"/>
  <c r="D2151" i="1"/>
  <c r="D2135" i="1"/>
  <c r="D2115" i="1"/>
  <c r="D2095" i="1"/>
  <c r="D2071" i="1"/>
  <c r="D2051" i="1"/>
  <c r="D2031" i="1"/>
  <c r="D2015" i="1"/>
  <c r="D1995" i="1"/>
  <c r="D1979" i="1"/>
  <c r="D1963" i="1"/>
  <c r="D1947" i="1"/>
  <c r="D1923" i="1"/>
  <c r="D1903" i="1"/>
  <c r="D1875" i="1"/>
  <c r="D1859" i="1"/>
  <c r="D1835" i="1"/>
  <c r="D1819" i="1"/>
  <c r="D1799" i="1"/>
  <c r="D1779" i="1"/>
  <c r="D1731" i="1"/>
  <c r="D1715" i="1"/>
  <c r="D1691" i="1"/>
  <c r="D1667" i="1"/>
  <c r="D1623" i="1"/>
  <c r="D1443" i="1"/>
  <c r="D1043" i="1"/>
  <c r="D4212" i="1"/>
  <c r="D4196" i="1"/>
  <c r="D4180" i="1"/>
  <c r="D4164" i="1"/>
  <c r="D4144" i="1"/>
  <c r="D4128" i="1"/>
  <c r="D4112" i="1"/>
  <c r="D4096" i="1"/>
  <c r="D4080" i="1"/>
  <c r="D4064" i="1"/>
  <c r="D4044" i="1"/>
  <c r="D4024" i="1"/>
  <c r="D4008" i="1"/>
  <c r="D3992" i="1"/>
  <c r="D3968" i="1"/>
  <c r="D3952" i="1"/>
  <c r="D1611" i="1"/>
  <c r="D1595" i="1"/>
  <c r="D1571" i="1"/>
  <c r="D1551" i="1"/>
  <c r="D1535" i="1"/>
  <c r="D1503" i="1"/>
  <c r="D1483" i="1"/>
  <c r="D1463" i="1"/>
  <c r="D1435" i="1"/>
  <c r="D1411" i="1"/>
  <c r="D1387" i="1"/>
  <c r="D1351" i="1"/>
  <c r="D1331" i="1"/>
  <c r="D1315" i="1"/>
  <c r="D1299" i="1"/>
  <c r="D1279" i="1"/>
  <c r="D1255" i="1"/>
  <c r="D1231" i="1"/>
  <c r="D1203" i="1"/>
  <c r="D1171" i="1"/>
  <c r="D1151" i="1"/>
  <c r="D1127" i="1"/>
  <c r="D1099" i="1"/>
  <c r="D1075" i="1"/>
  <c r="D1047" i="1"/>
  <c r="D1023" i="1"/>
  <c r="D987" i="1"/>
  <c r="D959" i="1"/>
  <c r="D931" i="1"/>
  <c r="D903" i="1"/>
  <c r="D875" i="1"/>
  <c r="D851" i="1"/>
  <c r="D831" i="1"/>
  <c r="D811" i="1"/>
  <c r="D791" i="1"/>
  <c r="D775" i="1"/>
  <c r="D755" i="1"/>
  <c r="D727" i="1"/>
  <c r="D699" i="1"/>
  <c r="D675" i="1"/>
  <c r="D655" i="1"/>
  <c r="D623" i="1"/>
  <c r="D607" i="1"/>
  <c r="D3932" i="1"/>
  <c r="D3908" i="1"/>
  <c r="D3880" i="1"/>
  <c r="D3860" i="1"/>
  <c r="D3844" i="1"/>
  <c r="D3820" i="1"/>
  <c r="D3788" i="1"/>
  <c r="D3768" i="1"/>
  <c r="D3744" i="1"/>
  <c r="D3724" i="1"/>
  <c r="D3700" i="1"/>
  <c r="D3684" i="1"/>
  <c r="D3664" i="1"/>
  <c r="D3636" i="1"/>
  <c r="D3620" i="1"/>
  <c r="D3600" i="1"/>
  <c r="D3576" i="1"/>
  <c r="D3548" i="1"/>
  <c r="D3532" i="1"/>
  <c r="D3516" i="1"/>
  <c r="D3492" i="1"/>
  <c r="D3472" i="1"/>
  <c r="D3456" i="1"/>
  <c r="D3440" i="1"/>
  <c r="D3420" i="1"/>
  <c r="D3396" i="1"/>
  <c r="D3376" i="1"/>
  <c r="D3360" i="1"/>
  <c r="D3344" i="1"/>
  <c r="D3320" i="1"/>
  <c r="D3300" i="1"/>
  <c r="D587" i="1"/>
  <c r="D563" i="1"/>
  <c r="D547" i="1"/>
  <c r="D531" i="1"/>
  <c r="D499" i="1"/>
  <c r="D479" i="1"/>
  <c r="D451" i="1"/>
  <c r="D427" i="1"/>
  <c r="D411" i="1"/>
  <c r="D387" i="1"/>
  <c r="D359" i="1"/>
  <c r="D327" i="1"/>
  <c r="D299" i="1"/>
  <c r="D283" i="1"/>
  <c r="D263" i="1"/>
  <c r="D219" i="1"/>
  <c r="D183" i="1"/>
  <c r="D155" i="1"/>
  <c r="D135" i="1"/>
  <c r="D111" i="1"/>
  <c r="D87" i="1"/>
  <c r="D67" i="1"/>
  <c r="D51" i="1"/>
  <c r="D31" i="1"/>
  <c r="D3278" i="1"/>
  <c r="D3254" i="1"/>
  <c r="D3230" i="1"/>
  <c r="D3202" i="1"/>
  <c r="D3162" i="1"/>
  <c r="D3134" i="1"/>
  <c r="D3114" i="1"/>
  <c r="D3098" i="1"/>
  <c r="D3070" i="1"/>
  <c r="D3038" i="1"/>
  <c r="D3010" i="1"/>
  <c r="D2990" i="1"/>
  <c r="D2970" i="1"/>
  <c r="D2954" i="1"/>
  <c r="D2934" i="1"/>
  <c r="D2914" i="1"/>
  <c r="D2890" i="1"/>
  <c r="D2866" i="1"/>
  <c r="D2850" i="1"/>
  <c r="D2830" i="1"/>
  <c r="D2802" i="1"/>
  <c r="D2778" i="1"/>
  <c r="D2754" i="1"/>
  <c r="D2726" i="1"/>
  <c r="D3284" i="1"/>
  <c r="D3264" i="1"/>
  <c r="D3248" i="1"/>
  <c r="D3232" i="1"/>
  <c r="D3204" i="1"/>
  <c r="D3176" i="1"/>
  <c r="D3156" i="1"/>
  <c r="D3140" i="1"/>
  <c r="D3124" i="1"/>
  <c r="D3108" i="1"/>
  <c r="D3088" i="1"/>
  <c r="D3060" i="1"/>
  <c r="D3036" i="1"/>
  <c r="D3020" i="1"/>
  <c r="D2996" i="1"/>
  <c r="D2972" i="1"/>
  <c r="D2956" i="1"/>
  <c r="D2920" i="1"/>
  <c r="D2900" i="1"/>
  <c r="D2860" i="1"/>
  <c r="D2840" i="1"/>
  <c r="D2824" i="1"/>
  <c r="D2804" i="1"/>
  <c r="D2784" i="1"/>
  <c r="D2752" i="1"/>
  <c r="D2732" i="1"/>
  <c r="D2712" i="1"/>
  <c r="D2684" i="1"/>
  <c r="D2648" i="1"/>
  <c r="D2628" i="1"/>
  <c r="D2608" i="1"/>
  <c r="D2584" i="1"/>
  <c r="D2556" i="1"/>
  <c r="D2540" i="1"/>
  <c r="D2520" i="1"/>
  <c r="D2492" i="1"/>
  <c r="D2472" i="1"/>
  <c r="D2448" i="1"/>
  <c r="D2428" i="1"/>
  <c r="D2412" i="1"/>
  <c r="D2392" i="1"/>
  <c r="D2360" i="1"/>
  <c r="D2332" i="1"/>
  <c r="D2308" i="1"/>
  <c r="D2280" i="1"/>
  <c r="D2252" i="1"/>
  <c r="D2232" i="1"/>
  <c r="D2212" i="1"/>
  <c r="D2172" i="1"/>
  <c r="D2144" i="1"/>
  <c r="D2690" i="1"/>
  <c r="D2658" i="1"/>
  <c r="D2630" i="1"/>
  <c r="D2582" i="1"/>
  <c r="D2554" i="1"/>
  <c r="D2534" i="1"/>
  <c r="D2510" i="1"/>
  <c r="D2486" i="1"/>
  <c r="D2466" i="1"/>
  <c r="D2426" i="1"/>
  <c r="D2378" i="1"/>
  <c r="D2342" i="1"/>
  <c r="D2306" i="1"/>
  <c r="D2282" i="1"/>
  <c r="D2250" i="1"/>
  <c r="D2222" i="1"/>
  <c r="D2202" i="1"/>
  <c r="D2186" i="1"/>
  <c r="D2134" i="1"/>
  <c r="D2102" i="1"/>
  <c r="D2078" i="1"/>
  <c r="D2128" i="1"/>
  <c r="D2104" i="1"/>
  <c r="D2080" i="1"/>
  <c r="D2052" i="1"/>
  <c r="D2024" i="1"/>
  <c r="D1984" i="1"/>
  <c r="D1952" i="1"/>
  <c r="D1928" i="1"/>
  <c r="D1892" i="1"/>
  <c r="D1868" i="1"/>
  <c r="D1832" i="1"/>
  <c r="D1796" i="1"/>
  <c r="D1772" i="1"/>
  <c r="D1748" i="1"/>
  <c r="D1708" i="1"/>
  <c r="D1684" i="1"/>
  <c r="D1660" i="1"/>
  <c r="D1640" i="1"/>
  <c r="D1600" i="1"/>
  <c r="D1576" i="1"/>
  <c r="D1540" i="1"/>
  <c r="D1520" i="1"/>
  <c r="D1496" i="1"/>
  <c r="D1468" i="1"/>
  <c r="D1452" i="1"/>
  <c r="D1428" i="1"/>
  <c r="D1408" i="1"/>
  <c r="D1340" i="1"/>
  <c r="D1308" i="1"/>
  <c r="D1288" i="1"/>
  <c r="D1256" i="1"/>
  <c r="D1232" i="1"/>
  <c r="D1212" i="1"/>
  <c r="D1172" i="1"/>
  <c r="D1144" i="1"/>
  <c r="D1116" i="1"/>
  <c r="D1080" i="1"/>
  <c r="D1064" i="1"/>
  <c r="D1032" i="1"/>
  <c r="D996" i="1"/>
  <c r="D972" i="1"/>
  <c r="D948" i="1"/>
  <c r="D920" i="1"/>
  <c r="D896" i="1"/>
  <c r="D860" i="1"/>
  <c r="D840" i="1"/>
  <c r="D804" i="1"/>
  <c r="D768" i="1"/>
  <c r="D736" i="1"/>
  <c r="D704" i="1"/>
  <c r="D676" i="1"/>
  <c r="D652" i="1"/>
  <c r="D616" i="1"/>
  <c r="D596" i="1"/>
  <c r="D3569" i="1"/>
  <c r="D3485" i="1"/>
  <c r="D3285" i="1"/>
  <c r="D2129" i="1"/>
  <c r="D1570" i="1"/>
  <c r="D1985" i="1"/>
  <c r="D1385" i="1"/>
  <c r="D16" i="1"/>
  <c r="D4089" i="1"/>
  <c r="D3929" i="1"/>
  <c r="D1000" i="1"/>
  <c r="D2270" i="1"/>
  <c r="D1421" i="1"/>
  <c r="D255" i="1"/>
  <c r="D391" i="1"/>
  <c r="D3597" i="1"/>
  <c r="D1158" i="1"/>
  <c r="D2111" i="1"/>
  <c r="D1045" i="1"/>
  <c r="D967" i="1"/>
  <c r="D3816" i="1"/>
  <c r="D2088" i="1"/>
  <c r="D220" i="1"/>
  <c r="D2218" i="1"/>
  <c r="D1631" i="1"/>
  <c r="D1042" i="1"/>
  <c r="D2952" i="1"/>
  <c r="D1848" i="1"/>
  <c r="D1462" i="1"/>
  <c r="D1567" i="1"/>
  <c r="D790" i="1"/>
  <c r="D2178" i="1"/>
  <c r="D1946" i="1"/>
  <c r="D2872" i="1"/>
  <c r="D161" i="1"/>
  <c r="D3118" i="1"/>
  <c r="D296" i="1"/>
  <c r="D1935" i="1"/>
  <c r="D268" i="1"/>
  <c r="D525" i="1"/>
  <c r="D1486" i="1"/>
  <c r="D162" i="1"/>
  <c r="D3250" i="1"/>
  <c r="D3187" i="1"/>
  <c r="D1895" i="1"/>
  <c r="D1905" i="1"/>
  <c r="D3672" i="1"/>
  <c r="D2853" i="1"/>
  <c r="D1445" i="1"/>
  <c r="D1015" i="1"/>
  <c r="D3560" i="1"/>
  <c r="D3712" i="1"/>
  <c r="D2672" i="1"/>
  <c r="D958" i="1"/>
  <c r="D396" i="1"/>
  <c r="D2069" i="1"/>
  <c r="D3810" i="1"/>
  <c r="D2185" i="1"/>
  <c r="D452" i="1"/>
  <c r="D3793" i="1"/>
  <c r="D2233" i="1"/>
  <c r="D66" i="1"/>
  <c r="D486" i="1"/>
  <c r="D2818" i="1"/>
  <c r="D1677" i="1"/>
  <c r="D951" i="1"/>
  <c r="D3605" i="1"/>
  <c r="D960" i="1"/>
  <c r="D1758" i="1"/>
  <c r="D950" i="1"/>
  <c r="D375" i="1"/>
  <c r="D2691" i="1"/>
  <c r="D884" i="1"/>
  <c r="D1406" i="1"/>
  <c r="D1100" i="1"/>
  <c r="D3640" i="1"/>
  <c r="D318" i="1"/>
  <c r="D1119" i="1"/>
  <c r="D2313" i="1"/>
  <c r="D2369" i="1"/>
  <c r="D3578" i="1"/>
  <c r="D4171" i="1"/>
  <c r="D4027" i="1"/>
  <c r="D3899" i="1"/>
  <c r="D3799" i="1"/>
  <c r="D3707" i="1"/>
  <c r="D3627" i="1"/>
  <c r="D3535" i="1"/>
  <c r="D3443" i="1"/>
  <c r="D3215" i="1"/>
  <c r="D4099" i="1"/>
  <c r="D3955" i="1"/>
  <c r="D3839" i="1"/>
  <c r="D3743" i="1"/>
  <c r="D3655" i="1"/>
  <c r="D3567" i="1"/>
  <c r="D3471" i="1"/>
  <c r="D3383" i="1"/>
  <c r="D4183" i="1"/>
  <c r="D4075" i="1"/>
  <c r="D3959" i="1"/>
  <c r="D3747" i="1"/>
  <c r="D4190" i="1"/>
  <c r="D4138" i="1"/>
  <c r="D4082" i="1"/>
  <c r="D3534" i="1"/>
  <c r="D4002" i="1"/>
  <c r="D3954" i="1"/>
  <c r="D3910" i="1"/>
  <c r="D3858" i="1"/>
  <c r="D3814" i="1"/>
  <c r="D3758" i="1"/>
  <c r="D3706" i="1"/>
  <c r="D3662" i="1"/>
  <c r="D3598" i="1"/>
  <c r="D3550" i="1"/>
  <c r="D3510" i="1"/>
  <c r="D3478" i="1"/>
  <c r="D3442" i="1"/>
  <c r="D3410" i="1"/>
  <c r="D3378" i="1"/>
  <c r="D3342" i="1"/>
  <c r="D3306" i="1"/>
  <c r="D3058" i="1"/>
  <c r="D3343" i="1"/>
  <c r="D3299" i="1"/>
  <c r="D3255" i="1"/>
  <c r="D3199" i="1"/>
  <c r="D3155" i="1"/>
  <c r="D3111" i="1"/>
  <c r="D3071" i="1"/>
  <c r="D3027" i="1"/>
  <c r="D2995" i="1"/>
  <c r="D2955" i="1"/>
  <c r="D2911" i="1"/>
  <c r="D2875" i="1"/>
  <c r="D2823" i="1"/>
  <c r="D2783" i="1"/>
  <c r="D2747" i="1"/>
  <c r="D2707" i="1"/>
  <c r="D2659" i="1"/>
  <c r="D2607" i="1"/>
  <c r="D2571" i="1"/>
  <c r="D2531" i="1"/>
  <c r="D2487" i="1"/>
  <c r="D2455" i="1"/>
  <c r="D2419" i="1"/>
  <c r="D2379" i="1"/>
  <c r="D2343" i="1"/>
  <c r="D2307" i="1"/>
  <c r="D2271" i="1"/>
  <c r="D2239" i="1"/>
  <c r="D2203" i="1"/>
  <c r="D2147" i="1"/>
  <c r="D2107" i="1"/>
  <c r="D2067" i="1"/>
  <c r="D2027" i="1"/>
  <c r="D1991" i="1"/>
  <c r="D1959" i="1"/>
  <c r="D1915" i="1"/>
  <c r="D1871" i="1"/>
  <c r="D1831" i="1"/>
  <c r="D1795" i="1"/>
  <c r="D1727" i="1"/>
  <c r="D1687" i="1"/>
  <c r="D1615" i="1"/>
  <c r="D4224" i="1"/>
  <c r="D4192" i="1"/>
  <c r="D4160" i="1"/>
  <c r="D4124" i="1"/>
  <c r="D4092" i="1"/>
  <c r="D4060" i="1"/>
  <c r="D4020" i="1"/>
  <c r="D3988" i="1"/>
  <c r="D3948" i="1"/>
  <c r="D1587" i="1"/>
  <c r="D1547" i="1"/>
  <c r="D1499" i="1"/>
  <c r="D1459" i="1"/>
  <c r="D1403" i="1"/>
  <c r="D1347" i="1"/>
  <c r="D1311" i="1"/>
  <c r="D1275" i="1"/>
  <c r="D1227" i="1"/>
  <c r="D1167" i="1"/>
  <c r="D1115" i="1"/>
  <c r="D1063" i="1"/>
  <c r="D1019" i="1"/>
  <c r="D955" i="1"/>
  <c r="D895" i="1"/>
  <c r="D843" i="1"/>
  <c r="D803" i="1"/>
  <c r="D771" i="1"/>
  <c r="D723" i="1"/>
  <c r="D667" i="1"/>
  <c r="D619" i="1"/>
  <c r="D3928" i="1"/>
  <c r="D3872" i="1"/>
  <c r="D3840" i="1"/>
  <c r="D3784" i="1"/>
  <c r="D3740" i="1"/>
  <c r="D3696" i="1"/>
  <c r="D3660" i="1"/>
  <c r="D3612" i="1"/>
  <c r="D3564" i="1"/>
  <c r="D3528" i="1"/>
  <c r="D3484" i="1"/>
  <c r="D3452" i="1"/>
  <c r="D3416" i="1"/>
  <c r="D3372" i="1"/>
  <c r="D3340" i="1"/>
  <c r="D3192" i="1"/>
  <c r="D559" i="1"/>
  <c r="D523" i="1"/>
  <c r="D475" i="1"/>
  <c r="D423" i="1"/>
  <c r="D371" i="1"/>
  <c r="D323" i="1"/>
  <c r="D279" i="1"/>
  <c r="D203" i="1"/>
  <c r="D147" i="1"/>
  <c r="D103" i="1"/>
  <c r="D63" i="1"/>
  <c r="D3290" i="1"/>
  <c r="D3246" i="1"/>
  <c r="D3194" i="1"/>
  <c r="D3130" i="1"/>
  <c r="D3094" i="1"/>
  <c r="D3034" i="1"/>
  <c r="D2994" i="1"/>
  <c r="D2966" i="1"/>
  <c r="D2942" i="1"/>
  <c r="D2918" i="1"/>
  <c r="D2886" i="1"/>
  <c r="D2858" i="1"/>
  <c r="D2834" i="1"/>
  <c r="D2798" i="1"/>
  <c r="D2762" i="1"/>
  <c r="D2734" i="1"/>
  <c r="D3276" i="1"/>
  <c r="D3256" i="1"/>
  <c r="D3236" i="1"/>
  <c r="D3196" i="1"/>
  <c r="D3164" i="1"/>
  <c r="D3144" i="1"/>
  <c r="D3120" i="1"/>
  <c r="D3100" i="1"/>
  <c r="D3068" i="1"/>
  <c r="D3032" i="1"/>
  <c r="D3008" i="1"/>
  <c r="D2980" i="1"/>
  <c r="D2940" i="1"/>
  <c r="D2908" i="1"/>
  <c r="D2876" i="1"/>
  <c r="D2836" i="1"/>
  <c r="D2812" i="1"/>
  <c r="D2788" i="1"/>
  <c r="D2748" i="1"/>
  <c r="D2724" i="1"/>
  <c r="D2696" i="1"/>
  <c r="D2644" i="1"/>
  <c r="D2616" i="1"/>
  <c r="D2588" i="1"/>
  <c r="D2552" i="1"/>
  <c r="D2528" i="1"/>
  <c r="D2496" i="1"/>
  <c r="D2464" i="1"/>
  <c r="D2440" i="1"/>
  <c r="D2416" i="1"/>
  <c r="D2376" i="1"/>
  <c r="D2352" i="1"/>
  <c r="D2320" i="1"/>
  <c r="D2276" i="1"/>
  <c r="D2244" i="1"/>
  <c r="D2220" i="1"/>
  <c r="D2164" i="1"/>
  <c r="D2710" i="1"/>
  <c r="D2670" i="1"/>
  <c r="D2626" i="1"/>
  <c r="D2562" i="1"/>
  <c r="D2538" i="1"/>
  <c r="D2506" i="1"/>
  <c r="D2474" i="1"/>
  <c r="D2438" i="1"/>
  <c r="D2366" i="1"/>
  <c r="D2318" i="1"/>
  <c r="D2290" i="1"/>
  <c r="D2238" i="1"/>
  <c r="D2210" i="1"/>
  <c r="D2190" i="1"/>
  <c r="D2130" i="1"/>
  <c r="D2090" i="1"/>
  <c r="D2140" i="1"/>
  <c r="D2096" i="1"/>
  <c r="D2064" i="1"/>
  <c r="D2032" i="1"/>
  <c r="D1980" i="1"/>
  <c r="D1940" i="1"/>
  <c r="D1908" i="1"/>
  <c r="D1864" i="1"/>
  <c r="D1812" i="1"/>
  <c r="D1776" i="1"/>
  <c r="D1736" i="1"/>
  <c r="D1692" i="1"/>
  <c r="D1664" i="1"/>
  <c r="D1632" i="1"/>
  <c r="D1584" i="1"/>
  <c r="D1544" i="1"/>
  <c r="D1512" i="1"/>
  <c r="D1488" i="1"/>
  <c r="D1456" i="1"/>
  <c r="D1420" i="1"/>
  <c r="D1352" i="1"/>
  <c r="D1320" i="1"/>
  <c r="D1284" i="1"/>
  <c r="D1240" i="1"/>
  <c r="D1216" i="1"/>
  <c r="D1164" i="1"/>
  <c r="D1128" i="1"/>
  <c r="D1088" i="1"/>
  <c r="D1060" i="1"/>
  <c r="D1016" i="1"/>
  <c r="D976" i="1"/>
  <c r="D944" i="1"/>
  <c r="D904" i="1"/>
  <c r="D864" i="1"/>
  <c r="D824" i="1"/>
  <c r="D788" i="1"/>
  <c r="D744" i="1"/>
  <c r="D700" i="1"/>
  <c r="D660" i="1"/>
  <c r="D632" i="1"/>
  <c r="D584" i="1"/>
  <c r="D2541" i="1"/>
  <c r="D2225" i="1"/>
  <c r="D1097" i="1"/>
  <c r="D360" i="1"/>
  <c r="D782" i="1"/>
  <c r="D328" i="1"/>
  <c r="D741" i="1"/>
  <c r="D418" i="1"/>
  <c r="D1526" i="1"/>
  <c r="D425" i="1"/>
  <c r="D845" i="1"/>
  <c r="D217" i="1"/>
  <c r="D215" i="1"/>
  <c r="D1517" i="1"/>
  <c r="D2624" i="1"/>
  <c r="D2774" i="1"/>
  <c r="D1801" i="1"/>
  <c r="D2507" i="1"/>
  <c r="D465" i="1"/>
  <c r="D212" i="1"/>
  <c r="D3138" i="1"/>
  <c r="D1870" i="1"/>
  <c r="D4177" i="1"/>
  <c r="D886" i="1"/>
  <c r="D27" i="1"/>
  <c r="D437" i="1"/>
  <c r="D2699" i="1"/>
  <c r="D428" i="1"/>
  <c r="D812" i="1"/>
  <c r="D1759" i="1"/>
  <c r="D167" i="1"/>
  <c r="D2215" i="1"/>
  <c r="D2450" i="1"/>
  <c r="D1944" i="1"/>
  <c r="D1557" i="1"/>
  <c r="D1771" i="1"/>
  <c r="D789" i="1"/>
  <c r="D1495" i="1"/>
  <c r="D1673" i="1"/>
  <c r="D209" i="1"/>
  <c r="D662" i="1"/>
  <c r="D1768" i="1"/>
  <c r="D2947" i="1"/>
  <c r="D1222" i="1"/>
  <c r="D684" i="1"/>
  <c r="D2967" i="1"/>
  <c r="D586" i="1"/>
  <c r="D3728" i="1"/>
  <c r="D1007" i="1"/>
  <c r="D2946" i="1"/>
  <c r="D70" i="1"/>
  <c r="D878" i="1"/>
  <c r="D2333" i="1"/>
  <c r="D2398" i="1"/>
  <c r="D3889" i="1"/>
  <c r="D2334" i="1"/>
  <c r="D339" i="1"/>
  <c r="D524" i="1"/>
  <c r="D1044" i="1"/>
  <c r="D2662" i="1"/>
  <c r="D3223" i="1"/>
  <c r="D1429" i="1"/>
  <c r="D1383" i="1"/>
  <c r="D191" i="1"/>
  <c r="D747" i="1"/>
  <c r="D3181" i="1"/>
  <c r="D2132" i="1"/>
  <c r="D730" i="1"/>
  <c r="D128" i="1"/>
  <c r="D993" i="1"/>
  <c r="D2619" i="1"/>
  <c r="D1889" i="1"/>
  <c r="D4001" i="1"/>
  <c r="D3986" i="1"/>
  <c r="D745" i="1"/>
  <c r="D245" i="1"/>
  <c r="D500" i="1"/>
  <c r="D1626" i="1"/>
  <c r="D2473" i="1"/>
  <c r="D1430" i="1"/>
  <c r="D102" i="1"/>
  <c r="D4159" i="1"/>
  <c r="D4015" i="1"/>
  <c r="D3883" i="1"/>
  <c r="D3791" i="1"/>
  <c r="D3699" i="1"/>
  <c r="D3611" i="1"/>
  <c r="D3527" i="1"/>
  <c r="D3435" i="1"/>
  <c r="D4223" i="1"/>
  <c r="D4087" i="1"/>
  <c r="D3939" i="1"/>
  <c r="D3819" i="1"/>
  <c r="D3735" i="1"/>
  <c r="D3639" i="1"/>
  <c r="D3547" i="1"/>
  <c r="D3463" i="1"/>
  <c r="D3375" i="1"/>
  <c r="D4163" i="1"/>
  <c r="D4063" i="1"/>
  <c r="D3951" i="1"/>
  <c r="D4210" i="1"/>
  <c r="D4186" i="1"/>
  <c r="D4134" i="1"/>
  <c r="D4066" i="1"/>
  <c r="D3530" i="1"/>
  <c r="D3998" i="1"/>
  <c r="D3946" i="1"/>
  <c r="D3898" i="1"/>
  <c r="D3854" i="1"/>
  <c r="D3798" i="1"/>
  <c r="D3754" i="1"/>
  <c r="D3702" i="1"/>
  <c r="D3654" i="1"/>
  <c r="D3594" i="1"/>
  <c r="D3546" i="1"/>
  <c r="D3506" i="1"/>
  <c r="D3474" i="1"/>
  <c r="D3438" i="1"/>
  <c r="D3406" i="1"/>
  <c r="D3374" i="1"/>
  <c r="D3338" i="1"/>
  <c r="D3302" i="1"/>
  <c r="D3026" i="1"/>
  <c r="D3339" i="1"/>
  <c r="D3295" i="1"/>
  <c r="D3251" i="1"/>
  <c r="D3191" i="1"/>
  <c r="D3151" i="1"/>
  <c r="D3107" i="1"/>
  <c r="D3067" i="1"/>
  <c r="D3023" i="1"/>
  <c r="D2991" i="1"/>
  <c r="D2951" i="1"/>
  <c r="D2903" i="1"/>
  <c r="D2871" i="1"/>
  <c r="D2819" i="1"/>
  <c r="D2779" i="1"/>
  <c r="D2743" i="1"/>
  <c r="D2703" i="1"/>
  <c r="D2655" i="1"/>
  <c r="D2603" i="1"/>
  <c r="D2567" i="1"/>
  <c r="D2527" i="1"/>
  <c r="D2483" i="1"/>
  <c r="D2451" i="1"/>
  <c r="D2411" i="1"/>
  <c r="D2375" i="1"/>
  <c r="D2339" i="1"/>
  <c r="D2299" i="1"/>
  <c r="D2267" i="1"/>
  <c r="D2235" i="1"/>
  <c r="D2195" i="1"/>
  <c r="D2143" i="1"/>
  <c r="D2103" i="1"/>
  <c r="D2063" i="1"/>
  <c r="D2023" i="1"/>
  <c r="D1987" i="1"/>
  <c r="D1955" i="1"/>
  <c r="D1911" i="1"/>
  <c r="D1867" i="1"/>
  <c r="D1827" i="1"/>
  <c r="D1791" i="1"/>
  <c r="D1723" i="1"/>
  <c r="D1675" i="1"/>
  <c r="D1591" i="1"/>
  <c r="D4220" i="1"/>
  <c r="D4188" i="1"/>
  <c r="D4152" i="1"/>
  <c r="D4120" i="1"/>
  <c r="D4088" i="1"/>
  <c r="D4056" i="1"/>
  <c r="D4016" i="1"/>
  <c r="D3984" i="1"/>
  <c r="D3944" i="1"/>
  <c r="D1579" i="1"/>
  <c r="D1543" i="1"/>
  <c r="D1491" i="1"/>
  <c r="D1447" i="1"/>
  <c r="D1395" i="1"/>
  <c r="D1343" i="1"/>
  <c r="D1307" i="1"/>
  <c r="D1271" i="1"/>
  <c r="D1219" i="1"/>
  <c r="D1163" i="1"/>
  <c r="D1111" i="1"/>
  <c r="D1059" i="1"/>
  <c r="D1011" i="1"/>
  <c r="D947" i="1"/>
  <c r="D891" i="1"/>
  <c r="D839" i="1"/>
  <c r="D799" i="1"/>
  <c r="D763" i="1"/>
  <c r="D719" i="1"/>
  <c r="D663" i="1"/>
  <c r="D615" i="1"/>
  <c r="D3920" i="1"/>
  <c r="D3868" i="1"/>
  <c r="D3832" i="1"/>
  <c r="D3780" i="1"/>
  <c r="D3736" i="1"/>
  <c r="D3692" i="1"/>
  <c r="D3656" i="1"/>
  <c r="D3608" i="1"/>
  <c r="D3556" i="1"/>
  <c r="D3524" i="1"/>
  <c r="D3480" i="1"/>
  <c r="D3448" i="1"/>
  <c r="D3404" i="1"/>
  <c r="D3368" i="1"/>
  <c r="D3336" i="1"/>
  <c r="D3188" i="1"/>
  <c r="D555" i="1"/>
  <c r="D515" i="1"/>
  <c r="D467" i="1"/>
  <c r="D419" i="1"/>
  <c r="D367" i="1"/>
  <c r="D319" i="1"/>
  <c r="D271" i="1"/>
  <c r="D199" i="1"/>
  <c r="D143" i="1"/>
  <c r="D99" i="1"/>
  <c r="D59" i="1"/>
  <c r="D3286" i="1"/>
  <c r="D3242" i="1"/>
  <c r="D3182" i="1"/>
  <c r="D3126" i="1"/>
  <c r="D3082" i="1"/>
  <c r="D3022" i="1"/>
  <c r="D2986" i="1"/>
  <c r="D2962" i="1"/>
  <c r="D2938" i="1"/>
  <c r="D2910" i="1"/>
  <c r="D2878" i="1"/>
  <c r="D2854" i="1"/>
  <c r="D2826" i="1"/>
  <c r="D2794" i="1"/>
  <c r="D2758" i="1"/>
  <c r="D2722" i="1"/>
  <c r="D3272" i="1"/>
  <c r="D3252" i="1"/>
  <c r="D3224" i="1"/>
  <c r="D3184" i="1"/>
  <c r="D3160" i="1"/>
  <c r="D3136" i="1"/>
  <c r="D3116" i="1"/>
  <c r="D3092" i="1"/>
  <c r="D3052" i="1"/>
  <c r="D3028" i="1"/>
  <c r="D3004" i="1"/>
  <c r="D2968" i="1"/>
  <c r="D2936" i="1"/>
  <c r="D2904" i="1"/>
  <c r="D2852" i="1"/>
  <c r="D2832" i="1"/>
  <c r="D2808" i="1"/>
  <c r="D2772" i="1"/>
  <c r="D2740" i="1"/>
  <c r="D2720" i="1"/>
  <c r="D2668" i="1"/>
  <c r="D2640" i="1"/>
  <c r="D2612" i="1"/>
  <c r="D2580" i="1"/>
  <c r="D2548" i="1"/>
  <c r="D2524" i="1"/>
  <c r="D2484" i="1"/>
  <c r="D2456" i="1"/>
  <c r="D2436" i="1"/>
  <c r="D2408" i="1"/>
  <c r="D2372" i="1"/>
  <c r="D2340" i="1"/>
  <c r="D2296" i="1"/>
  <c r="D2268" i="1"/>
  <c r="D2236" i="1"/>
  <c r="D2196" i="1"/>
  <c r="D2160" i="1"/>
  <c r="D2694" i="1"/>
  <c r="D2654" i="1"/>
  <c r="D2618" i="1"/>
  <c r="D2558" i="1"/>
  <c r="D2530" i="1"/>
  <c r="D2498" i="1"/>
  <c r="D2470" i="1"/>
  <c r="D2414" i="1"/>
  <c r="D2362" i="1"/>
  <c r="D2310" i="1"/>
  <c r="D2266" i="1"/>
  <c r="D2234" i="1"/>
  <c r="D2206" i="1"/>
  <c r="D2174" i="1"/>
  <c r="D2118" i="1"/>
  <c r="D2086" i="1"/>
  <c r="D2124" i="1"/>
  <c r="D2092" i="1"/>
  <c r="D2056" i="1"/>
  <c r="D2000" i="1"/>
  <c r="D1972" i="1"/>
  <c r="D1936" i="1"/>
  <c r="D1888" i="1"/>
  <c r="D1852" i="1"/>
  <c r="D1804" i="1"/>
  <c r="D1764" i="1"/>
  <c r="D1724" i="1"/>
  <c r="D1688" i="1"/>
  <c r="D1652" i="1"/>
  <c r="D1620" i="1"/>
  <c r="D1580" i="1"/>
  <c r="D1536" i="1"/>
  <c r="D1508" i="1"/>
  <c r="D1480" i="1"/>
  <c r="D1448" i="1"/>
  <c r="D1416" i="1"/>
  <c r="D1348" i="1"/>
  <c r="D1304" i="1"/>
  <c r="D1280" i="1"/>
  <c r="D1236" i="1"/>
  <c r="D1208" i="1"/>
  <c r="D1160" i="1"/>
  <c r="D1124" i="1"/>
  <c r="D1076" i="1"/>
  <c r="D1056" i="1"/>
  <c r="D1004" i="1"/>
  <c r="D968" i="1"/>
  <c r="D936" i="1"/>
  <c r="D900" i="1"/>
  <c r="D856" i="1"/>
  <c r="D820" i="1"/>
  <c r="D772" i="1"/>
  <c r="D732" i="1"/>
  <c r="D696" i="1"/>
  <c r="D656" i="1"/>
  <c r="D608" i="1"/>
  <c r="D288" i="1"/>
  <c r="D2026" i="1"/>
  <c r="D1574" i="1"/>
  <c r="D841" i="1"/>
  <c r="D1198" i="1"/>
  <c r="D1233" i="1"/>
  <c r="D1009" i="1"/>
  <c r="D1919" i="1"/>
  <c r="D695" i="1"/>
  <c r="D407" i="1"/>
  <c r="D329" i="1"/>
  <c r="D2162" i="1"/>
  <c r="D3129" i="1"/>
  <c r="D1008" i="1"/>
  <c r="D2791" i="1"/>
  <c r="D2240" i="1"/>
  <c r="D720" i="1"/>
  <c r="D567" i="1"/>
  <c r="D946" i="1"/>
  <c r="D1914" i="1"/>
  <c r="D157" i="1"/>
  <c r="D3203" i="1"/>
  <c r="D2831" i="1"/>
  <c r="D2811" i="1"/>
  <c r="D2650" i="1"/>
  <c r="D76" i="1"/>
  <c r="D2199" i="1"/>
  <c r="D2458" i="1"/>
  <c r="D3095" i="1"/>
  <c r="D1186" i="1"/>
  <c r="D1102" i="1"/>
  <c r="D3906" i="1"/>
  <c r="D844" i="1"/>
  <c r="D3195" i="1"/>
  <c r="D256" i="1"/>
  <c r="D836" i="1"/>
  <c r="D75" i="1"/>
  <c r="D2016" i="1"/>
  <c r="D1608" i="1"/>
  <c r="D2708" i="1"/>
  <c r="D550" i="1"/>
  <c r="D1762" i="1"/>
  <c r="D2629" i="1"/>
  <c r="D4205" i="1"/>
  <c r="D1809" i="1"/>
  <c r="D1745" i="1"/>
  <c r="D2602" i="1"/>
  <c r="D1071" i="1"/>
  <c r="D776" i="1"/>
  <c r="D2880" i="1"/>
  <c r="D1114" i="1"/>
  <c r="D259" i="1"/>
  <c r="D2322" i="1"/>
  <c r="D379" i="1"/>
  <c r="D1305" i="1"/>
  <c r="D832" i="1"/>
  <c r="D2529" i="1"/>
  <c r="D3178" i="1"/>
  <c r="D3235" i="1"/>
  <c r="D2182" i="1"/>
  <c r="D2780" i="1"/>
  <c r="D868" i="1"/>
  <c r="D1836" i="1"/>
  <c r="D1858" i="1"/>
  <c r="D713" i="1"/>
  <c r="D361" i="1"/>
  <c r="D2680" i="1"/>
  <c r="D487" i="1"/>
  <c r="D1840" i="1"/>
  <c r="D2885" i="1"/>
  <c r="D1180" i="1"/>
  <c r="D882" i="1"/>
  <c r="D4050" i="1"/>
  <c r="D1614" i="1"/>
  <c r="D2893" i="1"/>
  <c r="D4122" i="1"/>
  <c r="D625" i="1"/>
  <c r="D3417" i="1"/>
  <c r="D2314" i="1"/>
  <c r="D3972" i="1"/>
  <c r="D4107" i="1"/>
  <c r="D3843" i="1"/>
  <c r="D3667" i="1"/>
  <c r="D3491" i="1"/>
  <c r="D4167" i="1"/>
  <c r="D3891" i="1"/>
  <c r="D3703" i="1"/>
  <c r="D3511" i="1"/>
  <c r="D2735" i="1"/>
  <c r="D4023" i="1"/>
  <c r="D4214" i="1"/>
  <c r="D4114" i="1"/>
  <c r="D4030" i="1"/>
  <c r="D3930" i="1"/>
  <c r="D3838" i="1"/>
  <c r="D3734" i="1"/>
  <c r="D3634" i="1"/>
  <c r="D3526" i="1"/>
  <c r="D3462" i="1"/>
  <c r="D3394" i="1"/>
  <c r="D3322" i="1"/>
  <c r="D3359" i="1"/>
  <c r="D3279" i="1"/>
  <c r="D3175" i="1"/>
  <c r="D3091" i="1"/>
  <c r="D3011" i="1"/>
  <c r="D2931" i="1"/>
  <c r="D2851" i="1"/>
  <c r="D2763" i="1"/>
  <c r="D2675" i="1"/>
  <c r="D2591" i="1"/>
  <c r="D2515" i="1"/>
  <c r="D2435" i="1"/>
  <c r="D2363" i="1"/>
  <c r="D2287" i="1"/>
  <c r="D2223" i="1"/>
  <c r="D2131" i="1"/>
  <c r="D2047" i="1"/>
  <c r="D1975" i="1"/>
  <c r="D1899" i="1"/>
  <c r="D1815" i="1"/>
  <c r="D1711" i="1"/>
  <c r="D1415" i="1"/>
  <c r="D4176" i="1"/>
  <c r="D4108" i="1"/>
  <c r="D4040" i="1"/>
  <c r="D3964" i="1"/>
  <c r="D1563" i="1"/>
  <c r="D1475" i="1"/>
  <c r="D1371" i="1"/>
  <c r="D1291" i="1"/>
  <c r="D1199" i="1"/>
  <c r="D1095" i="1"/>
  <c r="D975" i="1"/>
  <c r="D867" i="1"/>
  <c r="D787" i="1"/>
  <c r="D691" i="1"/>
  <c r="D603" i="1"/>
  <c r="D3856" i="1"/>
  <c r="D3756" i="1"/>
  <c r="D3680" i="1"/>
  <c r="D3596" i="1"/>
  <c r="D3512" i="1"/>
  <c r="D3436" i="1"/>
  <c r="D3356" i="1"/>
  <c r="D583" i="1"/>
  <c r="D495" i="1"/>
  <c r="D403" i="1"/>
  <c r="D295" i="1"/>
  <c r="D175" i="1"/>
  <c r="D83" i="1"/>
  <c r="D3274" i="1"/>
  <c r="D3158" i="1"/>
  <c r="D3066" i="1"/>
  <c r="D2982" i="1"/>
  <c r="D2926" i="1"/>
  <c r="D2874" i="1"/>
  <c r="D2822" i="1"/>
  <c r="D2750" i="1"/>
  <c r="D3268" i="1"/>
  <c r="D3216" i="1"/>
  <c r="D3152" i="1"/>
  <c r="D3112" i="1"/>
  <c r="D3048" i="1"/>
  <c r="D2992" i="1"/>
  <c r="D2924" i="1"/>
  <c r="D2848" i="1"/>
  <c r="D2796" i="1"/>
  <c r="D2736" i="1"/>
  <c r="D2664" i="1"/>
  <c r="D2604" i="1"/>
  <c r="D2544" i="1"/>
  <c r="D2480" i="1"/>
  <c r="D2424" i="1"/>
  <c r="D2368" i="1"/>
  <c r="D2292" i="1"/>
  <c r="D2228" i="1"/>
  <c r="D2156" i="1"/>
  <c r="D2646" i="1"/>
  <c r="D2546" i="1"/>
  <c r="D2494" i="1"/>
  <c r="D2402" i="1"/>
  <c r="D2302" i="1"/>
  <c r="D2230" i="1"/>
  <c r="D2170" i="1"/>
  <c r="D2074" i="1"/>
  <c r="D2084" i="1"/>
  <c r="D1992" i="1"/>
  <c r="D1916" i="1"/>
  <c r="D1844" i="1"/>
  <c r="D1760" i="1"/>
  <c r="D1672" i="1"/>
  <c r="D1616" i="1"/>
  <c r="D1532" i="1"/>
  <c r="D1464" i="1"/>
  <c r="D1412" i="1"/>
  <c r="D1300" i="1"/>
  <c r="D1228" i="1"/>
  <c r="D1156" i="1"/>
  <c r="D1072" i="1"/>
  <c r="D984" i="1"/>
  <c r="D928" i="1"/>
  <c r="D852" i="1"/>
  <c r="D752" i="1"/>
  <c r="D680" i="1"/>
  <c r="D604" i="1"/>
  <c r="D440" i="1"/>
  <c r="D2753" i="1"/>
  <c r="D1394" i="1"/>
  <c r="D474" i="1"/>
  <c r="D565" i="1"/>
  <c r="D234" i="1"/>
  <c r="D1458" i="1"/>
  <c r="D2623" i="1"/>
  <c r="D2152" i="1"/>
  <c r="D610" i="1"/>
  <c r="D3074" i="1"/>
  <c r="D4009" i="1"/>
  <c r="D44" i="1"/>
  <c r="D579" i="1"/>
  <c r="D2948" i="1"/>
  <c r="D1457" i="1"/>
  <c r="D1527" i="1"/>
  <c r="D2042" i="1"/>
  <c r="D802" i="1"/>
  <c r="D1893" i="1"/>
  <c r="D3555" i="1"/>
  <c r="D3947" i="1"/>
  <c r="D3659" i="1"/>
  <c r="D3403" i="1"/>
  <c r="D4003" i="1"/>
  <c r="D3687" i="1"/>
  <c r="D3431" i="1"/>
  <c r="D4111" i="1"/>
  <c r="D4206" i="1"/>
  <c r="D3822" i="1"/>
  <c r="D3970" i="1"/>
  <c r="D3834" i="1"/>
  <c r="D3686" i="1"/>
  <c r="D3562" i="1"/>
  <c r="D3458" i="1"/>
  <c r="D3362" i="1"/>
  <c r="D3150" i="1"/>
  <c r="D3271" i="1"/>
  <c r="D3139" i="1"/>
  <c r="D3047" i="1"/>
  <c r="D2927" i="1"/>
  <c r="D2803" i="1"/>
  <c r="D2723" i="1"/>
  <c r="D2587" i="1"/>
  <c r="D2471" i="1"/>
  <c r="D2391" i="1"/>
  <c r="D2283" i="1"/>
  <c r="D2167" i="1"/>
  <c r="D2083" i="1"/>
  <c r="D1971" i="1"/>
  <c r="D1851" i="1"/>
  <c r="D1747" i="1"/>
  <c r="D1359" i="1"/>
  <c r="D4140" i="1"/>
  <c r="D4072" i="1"/>
  <c r="D3960" i="1"/>
  <c r="D1531" i="1"/>
  <c r="D1427" i="1"/>
  <c r="D1287" i="1"/>
  <c r="D1147" i="1"/>
  <c r="D1035" i="1"/>
  <c r="D863" i="1"/>
  <c r="D743" i="1"/>
  <c r="D639" i="1"/>
  <c r="D3852" i="1"/>
  <c r="D3716" i="1"/>
  <c r="D3628" i="1"/>
  <c r="D3500" i="1"/>
  <c r="D3392" i="1"/>
  <c r="D3312" i="1"/>
  <c r="D491" i="1"/>
  <c r="D355" i="1"/>
  <c r="D231" i="1"/>
  <c r="D79" i="1"/>
  <c r="D3222" i="1"/>
  <c r="D3106" i="1"/>
  <c r="D2974" i="1"/>
  <c r="D2898" i="1"/>
  <c r="D2838" i="1"/>
  <c r="D2742" i="1"/>
  <c r="D3244" i="1"/>
  <c r="D3172" i="1"/>
  <c r="D3104" i="1"/>
  <c r="D3024" i="1"/>
  <c r="D2960" i="1"/>
  <c r="D2844" i="1"/>
  <c r="D2768" i="1"/>
  <c r="D2700" i="1"/>
  <c r="D2600" i="1"/>
  <c r="D2508" i="1"/>
  <c r="D2444" i="1"/>
  <c r="D2356" i="1"/>
  <c r="D2256" i="1"/>
  <c r="D2188" i="1"/>
  <c r="D2642" i="1"/>
  <c r="D2522" i="1"/>
  <c r="D2442" i="1"/>
  <c r="D2294" i="1"/>
  <c r="D2198" i="1"/>
  <c r="D2094" i="1"/>
  <c r="D2068" i="1"/>
  <c r="D1956" i="1"/>
  <c r="D1876" i="1"/>
  <c r="D1756" i="1"/>
  <c r="D1648" i="1"/>
  <c r="D1556" i="1"/>
  <c r="D1460" i="1"/>
  <c r="D1336" i="1"/>
  <c r="D1248" i="1"/>
  <c r="D1132" i="1"/>
  <c r="D1048" i="1"/>
  <c r="D952" i="1"/>
  <c r="D848" i="1"/>
  <c r="D712" i="1"/>
  <c r="D636" i="1"/>
  <c r="D36" i="1"/>
  <c r="D2046" i="1"/>
  <c r="D3000" i="1"/>
  <c r="D1474" i="1"/>
  <c r="D1117" i="1"/>
  <c r="D2933" i="1"/>
  <c r="D1847" i="1"/>
  <c r="D3617" i="1"/>
  <c r="D281" i="1"/>
  <c r="D1234" i="1"/>
  <c r="D1123" i="1"/>
  <c r="D850" i="1"/>
  <c r="D1424" i="1"/>
  <c r="D1090" i="1"/>
  <c r="D1382" i="1"/>
  <c r="D1346" i="1"/>
  <c r="D163" i="1"/>
  <c r="D1638" i="1"/>
  <c r="D4156" i="1"/>
  <c r="D1639" i="1"/>
  <c r="D4083" i="1"/>
  <c r="D3759" i="1"/>
  <c r="D3571" i="1"/>
  <c r="D4155" i="1"/>
  <c r="D3787" i="1"/>
  <c r="D3599" i="1"/>
  <c r="D4227" i="1"/>
  <c r="D3907" i="1"/>
  <c r="D4154" i="1"/>
  <c r="D4018" i="1"/>
  <c r="D3882" i="1"/>
  <c r="D3774" i="1"/>
  <c r="D3630" i="1"/>
  <c r="D3494" i="1"/>
  <c r="D3422" i="1"/>
  <c r="D3318" i="1"/>
  <c r="D3323" i="1"/>
  <c r="D3219" i="1"/>
  <c r="D3087" i="1"/>
  <c r="D2975" i="1"/>
  <c r="D2887" i="1"/>
  <c r="D2759" i="1"/>
  <c r="D2635" i="1"/>
  <c r="D2543" i="1"/>
  <c r="D2431" i="1"/>
  <c r="D2327" i="1"/>
  <c r="D2251" i="1"/>
  <c r="D2123" i="1"/>
  <c r="D2011" i="1"/>
  <c r="D1939" i="1"/>
  <c r="D1807" i="1"/>
  <c r="D1663" i="1"/>
  <c r="D4204" i="1"/>
  <c r="D4104" i="1"/>
  <c r="D4004" i="1"/>
  <c r="D1603" i="1"/>
  <c r="D1471" i="1"/>
  <c r="D1327" i="1"/>
  <c r="D1243" i="1"/>
  <c r="D1091" i="1"/>
  <c r="D927" i="1"/>
  <c r="D823" i="1"/>
  <c r="D687" i="1"/>
  <c r="D3900" i="1"/>
  <c r="D3800" i="1"/>
  <c r="D3676" i="1"/>
  <c r="D3544" i="1"/>
  <c r="D3464" i="1"/>
  <c r="D3352" i="1"/>
  <c r="D543" i="1"/>
  <c r="D443" i="1"/>
  <c r="D291" i="1"/>
  <c r="D131" i="1"/>
  <c r="D43" i="1"/>
  <c r="D3154" i="1"/>
  <c r="D3002" i="1"/>
  <c r="D2950" i="1"/>
  <c r="D2862" i="1"/>
  <c r="D2790" i="1"/>
  <c r="D3288" i="1"/>
  <c r="D3208" i="1"/>
  <c r="D3132" i="1"/>
  <c r="D3076" i="1"/>
  <c r="D2988" i="1"/>
  <c r="D2896" i="1"/>
  <c r="D2816" i="1"/>
  <c r="D2728" i="1"/>
  <c r="D2632" i="1"/>
  <c r="D2572" i="1"/>
  <c r="D2476" i="1"/>
  <c r="D2400" i="1"/>
  <c r="D2324" i="1"/>
  <c r="D2224" i="1"/>
  <c r="D2686" i="1"/>
  <c r="D2570" i="1"/>
  <c r="D2482" i="1"/>
  <c r="D2346" i="1"/>
  <c r="D2258" i="1"/>
  <c r="D2158" i="1"/>
  <c r="D2120" i="1"/>
  <c r="D2040" i="1"/>
  <c r="D1912" i="1"/>
  <c r="D1788" i="1"/>
  <c r="D1704" i="1"/>
  <c r="D1592" i="1"/>
  <c r="D1504" i="1"/>
  <c r="D1440" i="1"/>
  <c r="D1296" i="1"/>
  <c r="D1192" i="1"/>
  <c r="D1108" i="1"/>
  <c r="D980" i="1"/>
  <c r="D892" i="1"/>
  <c r="D792" i="1"/>
  <c r="D668" i="1"/>
  <c r="D1466" i="1"/>
  <c r="D2065" i="1"/>
  <c r="D441" i="1"/>
  <c r="D3127" i="1"/>
  <c r="D2706" i="1"/>
  <c r="D983" i="1"/>
  <c r="D211" i="1"/>
  <c r="D3243" i="1"/>
  <c r="D3043" i="1"/>
  <c r="D1276" i="1"/>
  <c r="D4219" i="1"/>
  <c r="D3579" i="1"/>
  <c r="D3879" i="1"/>
  <c r="D3415" i="1"/>
  <c r="D4162" i="1"/>
  <c r="D3926" i="1"/>
  <c r="D3682" i="1"/>
  <c r="D3426" i="1"/>
  <c r="D3355" i="1"/>
  <c r="D3123" i="1"/>
  <c r="D2891" i="1"/>
  <c r="D2671" i="1"/>
  <c r="D2467" i="1"/>
  <c r="D2255" i="1"/>
  <c r="D2043" i="1"/>
  <c r="D1843" i="1"/>
  <c r="D4208" i="1"/>
  <c r="D4036" i="1"/>
  <c r="D1523" i="1"/>
  <c r="D1247" i="1"/>
  <c r="D971" i="1"/>
  <c r="D739" i="1"/>
  <c r="D3804" i="1"/>
  <c r="D3588" i="1"/>
  <c r="D3388" i="1"/>
  <c r="D447" i="1"/>
  <c r="D171" i="1"/>
  <c r="D3214" i="1"/>
  <c r="D2958" i="1"/>
  <c r="D2810" i="1"/>
  <c r="D3240" i="1"/>
  <c r="D3080" i="1"/>
  <c r="D2916" i="1"/>
  <c r="D2760" i="1"/>
  <c r="D2576" i="1"/>
  <c r="D2420" i="1"/>
  <c r="D2248" i="1"/>
  <c r="D2586" i="1"/>
  <c r="D2394" i="1"/>
  <c r="D2194" i="1"/>
  <c r="D2048" i="1"/>
  <c r="D1820" i="1"/>
  <c r="D1644" i="1"/>
  <c r="D1444" i="1"/>
  <c r="D1220" i="1"/>
  <c r="D1028" i="1"/>
  <c r="D808" i="1"/>
  <c r="D600" i="1"/>
  <c r="D941" i="1"/>
  <c r="D785" i="1"/>
  <c r="D4125" i="1"/>
  <c r="D488" i="1"/>
  <c r="D2615" i="1"/>
  <c r="D874" i="1"/>
  <c r="D3876" i="1"/>
  <c r="D1476" i="1"/>
  <c r="D2590" i="1"/>
  <c r="D3924" i="1"/>
  <c r="D3835" i="1"/>
  <c r="D3395" i="1"/>
  <c r="D3607" i="1"/>
  <c r="D4007" i="1"/>
  <c r="D3646" i="1"/>
  <c r="D3778" i="1"/>
  <c r="D3522" i="1"/>
  <c r="D3354" i="1"/>
  <c r="D3231" i="1"/>
  <c r="D3007" i="1"/>
  <c r="D2799" i="1"/>
  <c r="D2547" i="1"/>
  <c r="D2359" i="1"/>
  <c r="D2163" i="1"/>
  <c r="D1943" i="1"/>
  <c r="D1707" i="1"/>
  <c r="D4136" i="1"/>
  <c r="D1607" i="1"/>
  <c r="D1367" i="1"/>
  <c r="D1139" i="1"/>
  <c r="D827" i="1"/>
  <c r="D595" i="1"/>
  <c r="D3708" i="1"/>
  <c r="D3468" i="1"/>
  <c r="D575" i="1"/>
  <c r="D351" i="1"/>
  <c r="D47" i="1"/>
  <c r="D3054" i="1"/>
  <c r="D2894" i="1"/>
  <c r="D3292" i="1"/>
  <c r="D3148" i="1"/>
  <c r="D3016" i="1"/>
  <c r="D2828" i="1"/>
  <c r="D2660" i="1"/>
  <c r="D2500" i="1"/>
  <c r="D2328" i="1"/>
  <c r="D2076" i="1"/>
  <c r="D2518" i="1"/>
  <c r="D2262" i="1"/>
  <c r="D2070" i="1"/>
  <c r="D1948" i="1"/>
  <c r="D1712" i="1"/>
  <c r="D1528" i="1"/>
  <c r="D1332" i="1"/>
  <c r="D1112" i="1"/>
  <c r="D916" i="1"/>
  <c r="D708" i="1"/>
  <c r="D484" i="1"/>
  <c r="D309" i="1"/>
  <c r="D3488" i="1"/>
  <c r="D1538" i="1"/>
  <c r="D3577" i="1"/>
  <c r="D3963" i="1"/>
  <c r="D3779" i="1"/>
  <c r="D4110" i="1"/>
  <c r="D3566" i="1"/>
  <c r="D3319" i="1"/>
  <c r="D2847" i="1"/>
  <c r="D2395" i="1"/>
  <c r="D2007" i="1"/>
  <c r="D4172" i="1"/>
  <c r="D1431" i="1"/>
  <c r="D923" i="1"/>
  <c r="D3752" i="1"/>
  <c r="D3316" i="1"/>
  <c r="D123" i="1"/>
  <c r="D2922" i="1"/>
  <c r="D3180" i="1"/>
  <c r="D2888" i="1"/>
  <c r="D2536" i="1"/>
  <c r="D2192" i="1"/>
  <c r="D2326" i="1"/>
  <c r="D1988" i="1"/>
  <c r="D1568" i="1"/>
  <c r="D1176" i="1"/>
  <c r="D748" i="1"/>
  <c r="D1553" i="1"/>
  <c r="D592" i="1"/>
  <c r="D1485" i="1"/>
  <c r="D693" i="1"/>
  <c r="D1029" i="1"/>
  <c r="D3739" i="1"/>
  <c r="D3503" i="1"/>
  <c r="D3974" i="1"/>
  <c r="D3490" i="1"/>
  <c r="D3171" i="1"/>
  <c r="D2727" i="1"/>
  <c r="D2323" i="1"/>
  <c r="D1891" i="1"/>
  <c r="D4076" i="1"/>
  <c r="D1323" i="1"/>
  <c r="D783" i="1"/>
  <c r="D3632" i="1"/>
  <c r="D539" i="1"/>
  <c r="D3270" i="1"/>
  <c r="D2842" i="1"/>
  <c r="D3128" i="1"/>
  <c r="D2792" i="1"/>
  <c r="D2452" i="1"/>
  <c r="D2674" i="1"/>
  <c r="D2214" i="1"/>
  <c r="D1884" i="1"/>
  <c r="D1492" i="1"/>
  <c r="D1068" i="1"/>
  <c r="D640" i="1"/>
  <c r="D2380" i="1"/>
  <c r="D2656" i="1"/>
  <c r="D1714" i="1"/>
  <c r="D4119" i="1"/>
  <c r="D3390" i="1"/>
  <c r="D2631" i="1"/>
  <c r="D1767" i="1"/>
  <c r="D1183" i="1"/>
  <c r="D3540" i="1"/>
  <c r="D3110" i="1"/>
  <c r="D3044" i="1"/>
  <c r="D2396" i="1"/>
  <c r="D2106" i="1"/>
  <c r="D1364" i="1"/>
  <c r="D3776" i="1"/>
  <c r="D1390" i="1"/>
  <c r="D899" i="1"/>
  <c r="D3895" i="1"/>
  <c r="D3174" i="1"/>
  <c r="D2511" i="1"/>
  <c r="D1659" i="1"/>
  <c r="D1039" i="1"/>
  <c r="D3432" i="1"/>
  <c r="D2998" i="1"/>
  <c r="D2964" i="1"/>
  <c r="D2288" i="1"/>
  <c r="D2112" i="1"/>
  <c r="D1272" i="1"/>
  <c r="D912" i="1"/>
  <c r="D3475" i="1"/>
  <c r="D3055" i="1"/>
  <c r="D4000" i="1"/>
  <c r="D399" i="1"/>
  <c r="D2704" i="1"/>
  <c r="D1780" i="1"/>
  <c r="D3726" i="1"/>
  <c r="D3892" i="1"/>
  <c r="D2454" i="1"/>
  <c r="D2180" i="1"/>
  <c r="D4031" i="1"/>
  <c r="D2971" i="1"/>
  <c r="D1559" i="1"/>
  <c r="D247" i="1"/>
  <c r="D2620" i="1"/>
  <c r="D1668" i="1"/>
  <c r="D538" i="1"/>
  <c r="D3874" i="1"/>
  <c r="D2219" i="1"/>
  <c r="D647" i="1"/>
  <c r="D2770" i="1"/>
  <c r="D2542" i="1"/>
  <c r="D956" i="1"/>
  <c r="D807" i="1"/>
  <c r="D2091" i="1"/>
  <c r="D3260" i="1"/>
  <c r="D888" i="1"/>
  <c r="E15" i="1" l="1"/>
  <c r="F15" i="1" l="1"/>
  <c r="G15" i="1"/>
  <c r="E16" i="1"/>
  <c r="G14" i="1"/>
  <c r="E17" i="1" l="1"/>
  <c r="F16" i="1"/>
  <c r="G16" i="1"/>
  <c r="F17" i="1" l="1"/>
  <c r="G17" i="1"/>
  <c r="E18" i="1"/>
  <c r="F18" i="1" l="1"/>
  <c r="G18" i="1"/>
  <c r="E19" i="1"/>
  <c r="F19" i="1" l="1"/>
  <c r="G19" i="1"/>
  <c r="E20" i="1"/>
  <c r="F20" i="1" l="1"/>
  <c r="G20" i="1"/>
  <c r="E21" i="1"/>
  <c r="F21" i="1" l="1"/>
  <c r="G21" i="1"/>
  <c r="E22" i="1"/>
  <c r="F22" i="1" l="1"/>
  <c r="G22" i="1"/>
  <c r="E23" i="1"/>
  <c r="F23" i="1" l="1"/>
  <c r="G23" i="1"/>
  <c r="E24" i="1"/>
  <c r="F24" i="1" l="1"/>
  <c r="G24" i="1"/>
  <c r="E25" i="1"/>
  <c r="F25" i="1" l="1"/>
  <c r="G25" i="1"/>
  <c r="E26" i="1"/>
  <c r="F26" i="1" l="1"/>
  <c r="G26" i="1"/>
  <c r="E27" i="1"/>
  <c r="F27" i="1" l="1"/>
  <c r="G27" i="1"/>
  <c r="E28" i="1"/>
  <c r="F28" i="1" l="1"/>
  <c r="G28" i="1"/>
  <c r="E29" i="1"/>
  <c r="F29" i="1" l="1"/>
  <c r="G29" i="1"/>
  <c r="E30" i="1"/>
  <c r="F30" i="1" l="1"/>
  <c r="G30" i="1"/>
  <c r="E31" i="1"/>
  <c r="F31" i="1" l="1"/>
  <c r="G31" i="1"/>
  <c r="E32" i="1"/>
  <c r="F32" i="1" l="1"/>
  <c r="G32" i="1"/>
  <c r="E33" i="1"/>
  <c r="F33" i="1" l="1"/>
  <c r="G33" i="1"/>
  <c r="E34" i="1"/>
  <c r="F34" i="1" l="1"/>
  <c r="G34" i="1"/>
  <c r="E35" i="1"/>
  <c r="F35" i="1" l="1"/>
  <c r="G35" i="1"/>
  <c r="E36" i="1"/>
  <c r="F36" i="1" l="1"/>
  <c r="G36" i="1"/>
  <c r="E37" i="1"/>
  <c r="F37" i="1" l="1"/>
  <c r="G37" i="1"/>
  <c r="E38" i="1"/>
  <c r="F38" i="1" l="1"/>
  <c r="G38" i="1"/>
  <c r="E39" i="1"/>
  <c r="F39" i="1" l="1"/>
  <c r="G39" i="1"/>
  <c r="E40" i="1"/>
  <c r="F40" i="1" l="1"/>
  <c r="G40" i="1"/>
  <c r="E41" i="1"/>
  <c r="F41" i="1" l="1"/>
  <c r="G41" i="1"/>
  <c r="E42" i="1"/>
  <c r="F42" i="1" l="1"/>
  <c r="G42" i="1"/>
  <c r="E43" i="1"/>
  <c r="F43" i="1" l="1"/>
  <c r="G43" i="1"/>
  <c r="E44" i="1"/>
  <c r="F44" i="1" l="1"/>
  <c r="G44" i="1"/>
  <c r="E45" i="1"/>
  <c r="F45" i="1" l="1"/>
  <c r="G45" i="1"/>
  <c r="E46" i="1"/>
  <c r="F46" i="1" l="1"/>
  <c r="G46" i="1"/>
  <c r="E47" i="1"/>
  <c r="F47" i="1" l="1"/>
  <c r="G47" i="1"/>
  <c r="E48" i="1"/>
  <c r="F48" i="1" l="1"/>
  <c r="G48" i="1"/>
  <c r="E49" i="1"/>
  <c r="F49" i="1" l="1"/>
  <c r="G49" i="1"/>
  <c r="E50" i="1"/>
  <c r="F50" i="1" l="1"/>
  <c r="G50" i="1"/>
  <c r="E51" i="1"/>
  <c r="F51" i="1" l="1"/>
  <c r="G51" i="1"/>
  <c r="E52" i="1"/>
  <c r="F52" i="1" l="1"/>
  <c r="G52" i="1"/>
  <c r="E53" i="1"/>
  <c r="F53" i="1" l="1"/>
  <c r="G53" i="1"/>
  <c r="E54" i="1"/>
  <c r="F54" i="1" l="1"/>
  <c r="G54" i="1"/>
  <c r="E55" i="1"/>
  <c r="F55" i="1" l="1"/>
  <c r="G55" i="1"/>
  <c r="E56" i="1"/>
  <c r="F56" i="1" l="1"/>
  <c r="G56" i="1"/>
  <c r="E57" i="1"/>
  <c r="F57" i="1" l="1"/>
  <c r="G57" i="1"/>
  <c r="E58" i="1"/>
  <c r="F58" i="1" l="1"/>
  <c r="G58" i="1"/>
  <c r="E59" i="1"/>
  <c r="F59" i="1" l="1"/>
  <c r="G59" i="1"/>
  <c r="E60" i="1"/>
  <c r="F60" i="1" l="1"/>
  <c r="G60" i="1"/>
  <c r="E61" i="1"/>
  <c r="F61" i="1" l="1"/>
  <c r="G61" i="1"/>
  <c r="E62" i="1"/>
  <c r="F62" i="1" l="1"/>
  <c r="G62" i="1"/>
  <c r="E63" i="1"/>
  <c r="F63" i="1" l="1"/>
  <c r="G63" i="1"/>
  <c r="E64" i="1"/>
  <c r="F64" i="1" l="1"/>
  <c r="G64" i="1"/>
  <c r="E65" i="1"/>
  <c r="F65" i="1" l="1"/>
  <c r="G65" i="1"/>
  <c r="E66" i="1"/>
  <c r="F66" i="1" l="1"/>
  <c r="G66" i="1"/>
  <c r="E67" i="1"/>
  <c r="F67" i="1" l="1"/>
  <c r="G67" i="1"/>
  <c r="E68" i="1"/>
  <c r="F68" i="1" l="1"/>
  <c r="G68" i="1"/>
  <c r="E69" i="1"/>
  <c r="F69" i="1" l="1"/>
  <c r="G69" i="1"/>
  <c r="E70" i="1"/>
  <c r="F70" i="1" l="1"/>
  <c r="G70" i="1"/>
  <c r="E71" i="1"/>
  <c r="F71" i="1" l="1"/>
  <c r="G71" i="1"/>
  <c r="E72" i="1"/>
  <c r="F72" i="1" l="1"/>
  <c r="G72" i="1"/>
  <c r="E73" i="1"/>
  <c r="F73" i="1" l="1"/>
  <c r="G73" i="1"/>
  <c r="E74" i="1"/>
  <c r="F74" i="1" l="1"/>
  <c r="G74" i="1"/>
  <c r="E75" i="1"/>
  <c r="F75" i="1" l="1"/>
  <c r="G75" i="1"/>
  <c r="E76" i="1"/>
  <c r="F76" i="1" l="1"/>
  <c r="G76" i="1"/>
  <c r="E77" i="1"/>
  <c r="F77" i="1" l="1"/>
  <c r="G77" i="1"/>
  <c r="E78" i="1"/>
  <c r="F78" i="1" l="1"/>
  <c r="G78" i="1"/>
  <c r="E79" i="1"/>
  <c r="F79" i="1" l="1"/>
  <c r="G79" i="1"/>
  <c r="E80" i="1"/>
  <c r="F80" i="1" l="1"/>
  <c r="G80" i="1"/>
  <c r="E81" i="1"/>
  <c r="F81" i="1" l="1"/>
  <c r="G81" i="1"/>
  <c r="E82" i="1"/>
  <c r="F82" i="1" l="1"/>
  <c r="G82" i="1"/>
  <c r="E83" i="1"/>
  <c r="F83" i="1" l="1"/>
  <c r="G83" i="1"/>
  <c r="E84" i="1"/>
  <c r="F84" i="1" l="1"/>
  <c r="G84" i="1"/>
  <c r="E85" i="1"/>
  <c r="F85" i="1" l="1"/>
  <c r="G85" i="1"/>
  <c r="E86" i="1"/>
  <c r="F86" i="1" l="1"/>
  <c r="G86" i="1"/>
  <c r="E87" i="1"/>
  <c r="F87" i="1" l="1"/>
  <c r="G87" i="1"/>
  <c r="E88" i="1"/>
  <c r="F88" i="1" l="1"/>
  <c r="G88" i="1"/>
  <c r="E89" i="1"/>
  <c r="F89" i="1" l="1"/>
  <c r="G89" i="1"/>
  <c r="E90" i="1"/>
  <c r="F90" i="1" l="1"/>
  <c r="G90" i="1"/>
  <c r="E91" i="1"/>
  <c r="F91" i="1" l="1"/>
  <c r="G91" i="1"/>
  <c r="E92" i="1"/>
  <c r="F92" i="1" l="1"/>
  <c r="G92" i="1"/>
  <c r="E93" i="1"/>
  <c r="F93" i="1" l="1"/>
  <c r="G93" i="1"/>
  <c r="E94" i="1"/>
  <c r="F94" i="1" l="1"/>
  <c r="G94" i="1"/>
  <c r="E95" i="1"/>
  <c r="F95" i="1" l="1"/>
  <c r="G95" i="1"/>
  <c r="E96" i="1"/>
  <c r="F96" i="1" l="1"/>
  <c r="G96" i="1"/>
  <c r="E97" i="1"/>
  <c r="F97" i="1" l="1"/>
  <c r="G97" i="1"/>
  <c r="E98" i="1"/>
  <c r="F98" i="1" l="1"/>
  <c r="G98" i="1"/>
  <c r="E99" i="1"/>
  <c r="F99" i="1" l="1"/>
  <c r="G99" i="1"/>
  <c r="E100" i="1"/>
  <c r="F100" i="1" l="1"/>
  <c r="G100" i="1"/>
  <c r="E101" i="1"/>
  <c r="F101" i="1" l="1"/>
  <c r="G101" i="1"/>
  <c r="E102" i="1"/>
  <c r="F102" i="1" l="1"/>
  <c r="G102" i="1"/>
  <c r="E103" i="1"/>
  <c r="F103" i="1" l="1"/>
  <c r="G103" i="1"/>
  <c r="E104" i="1"/>
  <c r="F104" i="1" l="1"/>
  <c r="G104" i="1"/>
  <c r="E105" i="1"/>
  <c r="F105" i="1" l="1"/>
  <c r="G105" i="1"/>
  <c r="E106" i="1"/>
  <c r="F106" i="1" l="1"/>
  <c r="G106" i="1"/>
  <c r="E107" i="1"/>
  <c r="F107" i="1" l="1"/>
  <c r="G107" i="1"/>
  <c r="E108" i="1"/>
  <c r="F108" i="1" l="1"/>
  <c r="G108" i="1"/>
  <c r="E109" i="1"/>
  <c r="F109" i="1" l="1"/>
  <c r="G109" i="1"/>
  <c r="E110" i="1"/>
  <c r="F110" i="1" l="1"/>
  <c r="G110" i="1"/>
  <c r="E111" i="1"/>
  <c r="F111" i="1" l="1"/>
  <c r="G111" i="1"/>
  <c r="E112" i="1"/>
  <c r="F112" i="1" l="1"/>
  <c r="G112" i="1"/>
  <c r="E113" i="1"/>
  <c r="F113" i="1" l="1"/>
  <c r="G113" i="1"/>
  <c r="E114" i="1"/>
  <c r="F114" i="1" l="1"/>
  <c r="G114" i="1"/>
  <c r="E115" i="1"/>
  <c r="F115" i="1" l="1"/>
  <c r="G115" i="1"/>
  <c r="E116" i="1"/>
  <c r="F116" i="1" l="1"/>
  <c r="G116" i="1"/>
  <c r="E117" i="1"/>
  <c r="F117" i="1" l="1"/>
  <c r="G117" i="1"/>
  <c r="E118" i="1"/>
  <c r="F118" i="1" l="1"/>
  <c r="G118" i="1"/>
  <c r="E119" i="1"/>
  <c r="F119" i="1" l="1"/>
  <c r="G119" i="1"/>
  <c r="E120" i="1"/>
  <c r="F120" i="1" l="1"/>
  <c r="G120" i="1"/>
  <c r="E121" i="1"/>
  <c r="F121" i="1" l="1"/>
  <c r="G121" i="1"/>
  <c r="E122" i="1"/>
  <c r="F122" i="1" l="1"/>
  <c r="G122" i="1"/>
  <c r="E123" i="1"/>
  <c r="F123" i="1" l="1"/>
  <c r="G123" i="1"/>
  <c r="E124" i="1"/>
  <c r="F124" i="1" l="1"/>
  <c r="G124" i="1"/>
  <c r="E125" i="1"/>
  <c r="F125" i="1" l="1"/>
  <c r="G125" i="1"/>
  <c r="E126" i="1"/>
  <c r="F126" i="1" l="1"/>
  <c r="G126" i="1"/>
  <c r="E127" i="1"/>
  <c r="F127" i="1" l="1"/>
  <c r="G127" i="1"/>
  <c r="E128" i="1"/>
  <c r="F128" i="1" l="1"/>
  <c r="G128" i="1"/>
  <c r="E129" i="1"/>
  <c r="F129" i="1" l="1"/>
  <c r="G129" i="1"/>
  <c r="E130" i="1"/>
  <c r="F130" i="1" l="1"/>
  <c r="G130" i="1"/>
  <c r="E131" i="1"/>
  <c r="F131" i="1" l="1"/>
  <c r="G131" i="1"/>
  <c r="E132" i="1"/>
  <c r="F132" i="1" l="1"/>
  <c r="G132" i="1"/>
  <c r="E133" i="1"/>
  <c r="F133" i="1" l="1"/>
  <c r="G133" i="1"/>
  <c r="E134" i="1"/>
  <c r="F134" i="1" l="1"/>
  <c r="G134" i="1"/>
  <c r="E135" i="1"/>
  <c r="F135" i="1" l="1"/>
  <c r="G135" i="1"/>
  <c r="E136" i="1"/>
  <c r="F136" i="1" l="1"/>
  <c r="G136" i="1"/>
  <c r="E137" i="1"/>
  <c r="F137" i="1" l="1"/>
  <c r="G137" i="1"/>
  <c r="E138" i="1"/>
  <c r="F138" i="1" l="1"/>
  <c r="G138" i="1"/>
  <c r="E139" i="1"/>
  <c r="F139" i="1" l="1"/>
  <c r="G139" i="1"/>
  <c r="E140" i="1"/>
  <c r="F140" i="1" l="1"/>
  <c r="G140" i="1"/>
  <c r="E141" i="1"/>
  <c r="F141" i="1" l="1"/>
  <c r="G141" i="1"/>
  <c r="E142" i="1"/>
  <c r="F142" i="1" l="1"/>
  <c r="G142" i="1"/>
  <c r="E143" i="1"/>
  <c r="F143" i="1" l="1"/>
  <c r="G143" i="1"/>
  <c r="E144" i="1"/>
  <c r="F144" i="1" l="1"/>
  <c r="G144" i="1"/>
  <c r="E145" i="1"/>
  <c r="F145" i="1" l="1"/>
  <c r="G145" i="1"/>
  <c r="E146" i="1"/>
  <c r="F146" i="1" l="1"/>
  <c r="G146" i="1"/>
  <c r="E147" i="1"/>
  <c r="F147" i="1" l="1"/>
  <c r="G147" i="1"/>
  <c r="E148" i="1"/>
  <c r="F148" i="1" l="1"/>
  <c r="G148" i="1"/>
  <c r="E149" i="1"/>
  <c r="F149" i="1" l="1"/>
  <c r="G149" i="1"/>
  <c r="E150" i="1"/>
  <c r="F150" i="1" l="1"/>
  <c r="G150" i="1"/>
  <c r="E151" i="1"/>
  <c r="F151" i="1" l="1"/>
  <c r="G151" i="1"/>
  <c r="E152" i="1"/>
  <c r="F152" i="1" l="1"/>
  <c r="G152" i="1"/>
  <c r="E153" i="1"/>
  <c r="F153" i="1" l="1"/>
  <c r="G153" i="1"/>
  <c r="E154" i="1"/>
  <c r="F154" i="1" l="1"/>
  <c r="G154" i="1"/>
  <c r="E155" i="1"/>
  <c r="F155" i="1" l="1"/>
  <c r="G155" i="1"/>
  <c r="E156" i="1"/>
  <c r="F156" i="1" l="1"/>
  <c r="G156" i="1"/>
  <c r="E157" i="1"/>
  <c r="F157" i="1" l="1"/>
  <c r="G157" i="1"/>
  <c r="E158" i="1"/>
  <c r="F158" i="1" l="1"/>
  <c r="G158" i="1"/>
  <c r="E159" i="1"/>
  <c r="F159" i="1" l="1"/>
  <c r="G159" i="1"/>
  <c r="E160" i="1"/>
  <c r="F160" i="1" l="1"/>
  <c r="G160" i="1"/>
  <c r="E161" i="1"/>
  <c r="F161" i="1" l="1"/>
  <c r="G161" i="1"/>
  <c r="E162" i="1"/>
  <c r="F162" i="1" l="1"/>
  <c r="G162" i="1"/>
  <c r="E163" i="1"/>
  <c r="F163" i="1" l="1"/>
  <c r="G163" i="1"/>
  <c r="E164" i="1"/>
  <c r="F164" i="1" l="1"/>
  <c r="G164" i="1"/>
  <c r="E165" i="1"/>
  <c r="F165" i="1" l="1"/>
  <c r="G165" i="1"/>
  <c r="E166" i="1"/>
  <c r="F166" i="1" l="1"/>
  <c r="G166" i="1"/>
  <c r="E167" i="1"/>
  <c r="F167" i="1" l="1"/>
  <c r="G167" i="1"/>
  <c r="E168" i="1"/>
  <c r="F168" i="1" l="1"/>
  <c r="G168" i="1"/>
  <c r="E169" i="1"/>
  <c r="F169" i="1" l="1"/>
  <c r="G169" i="1"/>
  <c r="E170" i="1"/>
  <c r="F170" i="1" l="1"/>
  <c r="G170" i="1"/>
  <c r="E171" i="1"/>
  <c r="F171" i="1" l="1"/>
  <c r="G171" i="1"/>
  <c r="E172" i="1"/>
  <c r="F172" i="1" l="1"/>
  <c r="G172" i="1"/>
  <c r="E173" i="1"/>
  <c r="F173" i="1" l="1"/>
  <c r="G173" i="1"/>
  <c r="E174" i="1"/>
  <c r="F174" i="1" l="1"/>
  <c r="G174" i="1"/>
  <c r="E175" i="1"/>
  <c r="F175" i="1" l="1"/>
  <c r="G175" i="1"/>
  <c r="E176" i="1"/>
  <c r="F176" i="1" l="1"/>
  <c r="G176" i="1"/>
  <c r="E177" i="1"/>
  <c r="F177" i="1" l="1"/>
  <c r="G177" i="1"/>
  <c r="E178" i="1"/>
  <c r="F178" i="1" l="1"/>
  <c r="G178" i="1"/>
  <c r="E179" i="1"/>
  <c r="F179" i="1" l="1"/>
  <c r="G179" i="1"/>
  <c r="E180" i="1"/>
  <c r="F180" i="1" l="1"/>
  <c r="G180" i="1"/>
  <c r="E181" i="1"/>
  <c r="F181" i="1" l="1"/>
  <c r="G181" i="1"/>
  <c r="E182" i="1"/>
  <c r="F182" i="1" l="1"/>
  <c r="G182" i="1"/>
  <c r="E183" i="1"/>
  <c r="F183" i="1" l="1"/>
  <c r="G183" i="1"/>
  <c r="E184" i="1"/>
  <c r="F184" i="1" l="1"/>
  <c r="G184" i="1"/>
  <c r="E185" i="1"/>
  <c r="F185" i="1" l="1"/>
  <c r="G185" i="1"/>
  <c r="E186" i="1"/>
  <c r="F186" i="1" l="1"/>
  <c r="G186" i="1"/>
  <c r="E187" i="1"/>
  <c r="F187" i="1" l="1"/>
  <c r="G187" i="1"/>
  <c r="E188" i="1"/>
  <c r="F188" i="1" l="1"/>
  <c r="G188" i="1"/>
  <c r="E189" i="1"/>
  <c r="F189" i="1" l="1"/>
  <c r="G189" i="1"/>
  <c r="E190" i="1"/>
  <c r="F190" i="1" l="1"/>
  <c r="G190" i="1"/>
  <c r="E191" i="1"/>
  <c r="F191" i="1" l="1"/>
  <c r="G191" i="1"/>
  <c r="E192" i="1"/>
  <c r="F192" i="1" l="1"/>
  <c r="G192" i="1"/>
  <c r="E193" i="1"/>
  <c r="F193" i="1" l="1"/>
  <c r="G193" i="1"/>
  <c r="E194" i="1"/>
  <c r="F194" i="1" l="1"/>
  <c r="G194" i="1"/>
  <c r="E195" i="1"/>
  <c r="F195" i="1" l="1"/>
  <c r="G195" i="1"/>
  <c r="E196" i="1"/>
  <c r="F196" i="1" l="1"/>
  <c r="G196" i="1"/>
  <c r="E197" i="1"/>
  <c r="F197" i="1" l="1"/>
  <c r="G197" i="1"/>
  <c r="E198" i="1"/>
  <c r="F198" i="1" l="1"/>
  <c r="G198" i="1"/>
  <c r="E199" i="1"/>
  <c r="F199" i="1" l="1"/>
  <c r="G199" i="1"/>
  <c r="E200" i="1"/>
  <c r="F200" i="1" l="1"/>
  <c r="G200" i="1"/>
  <c r="E201" i="1"/>
  <c r="F201" i="1" l="1"/>
  <c r="G201" i="1"/>
  <c r="E202" i="1"/>
  <c r="F202" i="1" l="1"/>
  <c r="G202" i="1"/>
  <c r="E203" i="1"/>
  <c r="F203" i="1" l="1"/>
  <c r="G203" i="1"/>
  <c r="E204" i="1"/>
  <c r="F204" i="1" l="1"/>
  <c r="G204" i="1"/>
  <c r="E205" i="1"/>
  <c r="F205" i="1" l="1"/>
  <c r="G205" i="1"/>
  <c r="E206" i="1"/>
  <c r="F206" i="1" l="1"/>
  <c r="G206" i="1"/>
  <c r="E207" i="1"/>
  <c r="F207" i="1" l="1"/>
  <c r="G207" i="1"/>
  <c r="E208" i="1"/>
  <c r="F208" i="1" l="1"/>
  <c r="G208" i="1"/>
  <c r="E209" i="1"/>
  <c r="F209" i="1" l="1"/>
  <c r="G209" i="1"/>
  <c r="E210" i="1"/>
  <c r="F210" i="1" l="1"/>
  <c r="G210" i="1"/>
  <c r="E211" i="1"/>
  <c r="F211" i="1" l="1"/>
  <c r="G211" i="1"/>
  <c r="E212" i="1"/>
  <c r="F212" i="1" l="1"/>
  <c r="G212" i="1"/>
  <c r="E213" i="1"/>
  <c r="F213" i="1" l="1"/>
  <c r="G213" i="1"/>
  <c r="E214" i="1"/>
  <c r="F214" i="1" l="1"/>
  <c r="G214" i="1"/>
  <c r="E215" i="1"/>
  <c r="F215" i="1" l="1"/>
  <c r="G215" i="1"/>
  <c r="E216" i="1"/>
  <c r="F216" i="1" l="1"/>
  <c r="G216" i="1"/>
  <c r="E217" i="1"/>
  <c r="F217" i="1" l="1"/>
  <c r="G217" i="1"/>
  <c r="E218" i="1"/>
  <c r="F218" i="1" l="1"/>
  <c r="G218" i="1"/>
  <c r="E219" i="1"/>
  <c r="F219" i="1" l="1"/>
  <c r="G219" i="1"/>
  <c r="E220" i="1"/>
  <c r="F220" i="1" l="1"/>
  <c r="G220" i="1"/>
  <c r="E221" i="1"/>
  <c r="F221" i="1" l="1"/>
  <c r="G221" i="1"/>
  <c r="E222" i="1"/>
  <c r="F222" i="1" l="1"/>
  <c r="G222" i="1"/>
  <c r="E223" i="1"/>
  <c r="F223" i="1" l="1"/>
  <c r="G223" i="1"/>
  <c r="E224" i="1"/>
  <c r="F224" i="1" l="1"/>
  <c r="G224" i="1"/>
  <c r="E225" i="1"/>
  <c r="F225" i="1" l="1"/>
  <c r="G225" i="1"/>
  <c r="E226" i="1"/>
  <c r="F226" i="1" l="1"/>
  <c r="G226" i="1"/>
  <c r="E227" i="1"/>
  <c r="F227" i="1" l="1"/>
  <c r="G227" i="1"/>
  <c r="E228" i="1"/>
  <c r="F228" i="1" l="1"/>
  <c r="G228" i="1"/>
  <c r="E229" i="1"/>
  <c r="F229" i="1" l="1"/>
  <c r="G229" i="1"/>
  <c r="E230" i="1"/>
  <c r="F230" i="1" l="1"/>
  <c r="G230" i="1"/>
  <c r="E231" i="1"/>
  <c r="F231" i="1" l="1"/>
  <c r="G231" i="1"/>
  <c r="E232" i="1"/>
  <c r="F232" i="1" l="1"/>
  <c r="G232" i="1"/>
  <c r="E233" i="1"/>
  <c r="F233" i="1" l="1"/>
  <c r="G233" i="1"/>
  <c r="E234" i="1"/>
  <c r="F234" i="1" l="1"/>
  <c r="G234" i="1"/>
  <c r="E235" i="1"/>
  <c r="F235" i="1" l="1"/>
  <c r="G235" i="1"/>
  <c r="E236" i="1"/>
  <c r="F236" i="1" l="1"/>
  <c r="G236" i="1"/>
  <c r="E237" i="1"/>
  <c r="F237" i="1" l="1"/>
  <c r="G237" i="1"/>
  <c r="E238" i="1"/>
  <c r="F238" i="1" l="1"/>
  <c r="G238" i="1"/>
  <c r="E239" i="1"/>
  <c r="F239" i="1" l="1"/>
  <c r="G239" i="1"/>
  <c r="E240" i="1"/>
  <c r="F240" i="1" l="1"/>
  <c r="G240" i="1"/>
  <c r="E241" i="1"/>
  <c r="F241" i="1" l="1"/>
  <c r="G241" i="1"/>
  <c r="E242" i="1"/>
  <c r="F242" i="1" l="1"/>
  <c r="G242" i="1"/>
  <c r="E243" i="1"/>
  <c r="F243" i="1" l="1"/>
  <c r="G243" i="1"/>
  <c r="E244" i="1"/>
  <c r="F244" i="1" l="1"/>
  <c r="G244" i="1"/>
  <c r="E245" i="1"/>
  <c r="F245" i="1" l="1"/>
  <c r="G245" i="1"/>
  <c r="E246" i="1"/>
  <c r="F246" i="1" l="1"/>
  <c r="G246" i="1"/>
  <c r="E247" i="1"/>
  <c r="F247" i="1" l="1"/>
  <c r="G247" i="1"/>
  <c r="E248" i="1"/>
  <c r="F248" i="1" l="1"/>
  <c r="G248" i="1"/>
  <c r="E249" i="1"/>
  <c r="F249" i="1" l="1"/>
  <c r="G249" i="1"/>
  <c r="E250" i="1"/>
  <c r="F250" i="1" l="1"/>
  <c r="G250" i="1"/>
  <c r="E251" i="1"/>
  <c r="F251" i="1" l="1"/>
  <c r="G251" i="1"/>
  <c r="E252" i="1"/>
  <c r="F252" i="1" l="1"/>
  <c r="G252" i="1"/>
  <c r="E253" i="1"/>
  <c r="F253" i="1" l="1"/>
  <c r="G253" i="1"/>
  <c r="E254" i="1"/>
  <c r="F254" i="1" l="1"/>
  <c r="G254" i="1"/>
  <c r="E255" i="1"/>
  <c r="F255" i="1" l="1"/>
  <c r="G255" i="1"/>
  <c r="E256" i="1"/>
  <c r="F256" i="1" l="1"/>
  <c r="G256" i="1"/>
  <c r="E257" i="1"/>
  <c r="F257" i="1" l="1"/>
  <c r="G257" i="1"/>
  <c r="E258" i="1"/>
  <c r="F258" i="1" l="1"/>
  <c r="G258" i="1"/>
  <c r="E259" i="1"/>
  <c r="F259" i="1" l="1"/>
  <c r="G259" i="1"/>
  <c r="E260" i="1"/>
  <c r="F260" i="1" l="1"/>
  <c r="G260" i="1"/>
  <c r="E261" i="1"/>
  <c r="F261" i="1" l="1"/>
  <c r="G261" i="1"/>
  <c r="E262" i="1"/>
  <c r="F262" i="1" l="1"/>
  <c r="G262" i="1"/>
  <c r="E263" i="1"/>
  <c r="F263" i="1" l="1"/>
  <c r="G263" i="1"/>
  <c r="E264" i="1"/>
  <c r="F264" i="1" l="1"/>
  <c r="G264" i="1"/>
  <c r="E265" i="1"/>
  <c r="F265" i="1" l="1"/>
  <c r="G265" i="1"/>
  <c r="E266" i="1"/>
  <c r="F266" i="1" l="1"/>
  <c r="G266" i="1"/>
  <c r="E267" i="1"/>
  <c r="F267" i="1" l="1"/>
  <c r="G267" i="1"/>
  <c r="E268" i="1"/>
  <c r="F268" i="1" l="1"/>
  <c r="G268" i="1"/>
  <c r="E269" i="1"/>
  <c r="F269" i="1" l="1"/>
  <c r="G269" i="1"/>
  <c r="E270" i="1"/>
  <c r="F270" i="1" l="1"/>
  <c r="G270" i="1"/>
  <c r="E271" i="1"/>
  <c r="F271" i="1" l="1"/>
  <c r="G271" i="1"/>
  <c r="E272" i="1"/>
  <c r="F272" i="1" l="1"/>
  <c r="G272" i="1"/>
  <c r="E273" i="1"/>
  <c r="F273" i="1" l="1"/>
  <c r="G273" i="1"/>
  <c r="E274" i="1"/>
  <c r="F274" i="1" l="1"/>
  <c r="G274" i="1"/>
  <c r="E275" i="1"/>
  <c r="F275" i="1" l="1"/>
  <c r="G275" i="1"/>
  <c r="E276" i="1"/>
  <c r="F276" i="1" l="1"/>
  <c r="G276" i="1"/>
  <c r="E277" i="1"/>
  <c r="F277" i="1" l="1"/>
  <c r="G277" i="1"/>
  <c r="E278" i="1"/>
  <c r="F278" i="1" l="1"/>
  <c r="G278" i="1"/>
  <c r="E279" i="1"/>
  <c r="F279" i="1" l="1"/>
  <c r="G279" i="1"/>
  <c r="E280" i="1"/>
  <c r="F280" i="1" l="1"/>
  <c r="G280" i="1"/>
  <c r="E281" i="1"/>
  <c r="F281" i="1" l="1"/>
  <c r="G281" i="1"/>
  <c r="E282" i="1"/>
  <c r="F282" i="1" l="1"/>
  <c r="G282" i="1"/>
  <c r="E283" i="1"/>
  <c r="F283" i="1" l="1"/>
  <c r="G283" i="1"/>
  <c r="E284" i="1"/>
  <c r="F284" i="1" l="1"/>
  <c r="G284" i="1"/>
  <c r="E285" i="1"/>
  <c r="F285" i="1" l="1"/>
  <c r="G285" i="1"/>
  <c r="E286" i="1"/>
  <c r="F286" i="1" l="1"/>
  <c r="G286" i="1"/>
  <c r="E287" i="1"/>
  <c r="F287" i="1" l="1"/>
  <c r="G287" i="1"/>
  <c r="E288" i="1"/>
  <c r="F288" i="1" l="1"/>
  <c r="G288" i="1"/>
  <c r="E289" i="1"/>
  <c r="F289" i="1" l="1"/>
  <c r="G289" i="1"/>
  <c r="E290" i="1"/>
  <c r="F290" i="1" l="1"/>
  <c r="G290" i="1"/>
  <c r="E291" i="1"/>
  <c r="F291" i="1" l="1"/>
  <c r="G291" i="1"/>
  <c r="E292" i="1"/>
  <c r="F292" i="1" l="1"/>
  <c r="G292" i="1"/>
  <c r="E293" i="1"/>
  <c r="F293" i="1" l="1"/>
  <c r="G293" i="1"/>
  <c r="E294" i="1"/>
  <c r="F294" i="1" l="1"/>
  <c r="G294" i="1"/>
  <c r="E295" i="1"/>
  <c r="F295" i="1" l="1"/>
  <c r="G295" i="1"/>
  <c r="E296" i="1"/>
  <c r="F296" i="1" l="1"/>
  <c r="G296" i="1"/>
  <c r="E297" i="1"/>
  <c r="F297" i="1" l="1"/>
  <c r="G297" i="1"/>
  <c r="E298" i="1"/>
  <c r="F298" i="1" l="1"/>
  <c r="G298" i="1"/>
  <c r="E299" i="1"/>
  <c r="F299" i="1" l="1"/>
  <c r="G299" i="1"/>
  <c r="E300" i="1"/>
  <c r="F300" i="1" l="1"/>
  <c r="G300" i="1"/>
  <c r="E301" i="1"/>
  <c r="F301" i="1" l="1"/>
  <c r="G301" i="1"/>
  <c r="E302" i="1"/>
  <c r="F302" i="1" l="1"/>
  <c r="G302" i="1"/>
  <c r="E303" i="1"/>
  <c r="F303" i="1" l="1"/>
  <c r="G303" i="1"/>
  <c r="E304" i="1"/>
  <c r="F304" i="1" l="1"/>
  <c r="G304" i="1"/>
  <c r="E305" i="1"/>
  <c r="F305" i="1" l="1"/>
  <c r="G305" i="1"/>
  <c r="E306" i="1"/>
  <c r="F306" i="1" l="1"/>
  <c r="G306" i="1"/>
  <c r="E307" i="1"/>
  <c r="F307" i="1" l="1"/>
  <c r="G307" i="1"/>
  <c r="E308" i="1"/>
  <c r="F308" i="1" l="1"/>
  <c r="G308" i="1"/>
  <c r="E309" i="1"/>
  <c r="F309" i="1" l="1"/>
  <c r="G309" i="1"/>
  <c r="E310" i="1"/>
  <c r="F310" i="1" l="1"/>
  <c r="G310" i="1"/>
  <c r="E311" i="1"/>
  <c r="F311" i="1" l="1"/>
  <c r="G311" i="1"/>
  <c r="E312" i="1"/>
  <c r="F312" i="1" l="1"/>
  <c r="G312" i="1"/>
  <c r="E313" i="1"/>
  <c r="F313" i="1" l="1"/>
  <c r="G313" i="1"/>
  <c r="E314" i="1"/>
  <c r="F314" i="1" l="1"/>
  <c r="G314" i="1"/>
  <c r="E315" i="1"/>
  <c r="F315" i="1" l="1"/>
  <c r="G315" i="1"/>
  <c r="E316" i="1"/>
  <c r="F316" i="1" l="1"/>
  <c r="G316" i="1"/>
  <c r="E317" i="1"/>
  <c r="F317" i="1" l="1"/>
  <c r="G317" i="1"/>
  <c r="E318" i="1"/>
  <c r="F318" i="1" l="1"/>
  <c r="G318" i="1"/>
  <c r="E319" i="1"/>
  <c r="F319" i="1" l="1"/>
  <c r="G319" i="1"/>
  <c r="E320" i="1"/>
  <c r="F320" i="1" l="1"/>
  <c r="G320" i="1"/>
  <c r="E321" i="1"/>
  <c r="F321" i="1" l="1"/>
  <c r="G321" i="1"/>
  <c r="E322" i="1"/>
  <c r="F322" i="1" l="1"/>
  <c r="G322" i="1"/>
  <c r="E323" i="1"/>
  <c r="F323" i="1" l="1"/>
  <c r="G323" i="1"/>
  <c r="E324" i="1"/>
  <c r="F324" i="1" l="1"/>
  <c r="G324" i="1"/>
  <c r="E325" i="1"/>
  <c r="F325" i="1" l="1"/>
  <c r="G325" i="1"/>
  <c r="E326" i="1"/>
  <c r="F326" i="1" l="1"/>
  <c r="G326" i="1"/>
  <c r="E327" i="1"/>
  <c r="F327" i="1" l="1"/>
  <c r="G327" i="1"/>
  <c r="E328" i="1"/>
  <c r="F328" i="1" l="1"/>
  <c r="G328" i="1"/>
  <c r="E329" i="1"/>
  <c r="F329" i="1" l="1"/>
  <c r="G329" i="1"/>
  <c r="E330" i="1"/>
  <c r="F330" i="1" l="1"/>
  <c r="G330" i="1"/>
  <c r="E331" i="1"/>
  <c r="F331" i="1" l="1"/>
  <c r="G331" i="1"/>
  <c r="E332" i="1"/>
  <c r="F332" i="1" l="1"/>
  <c r="G332" i="1"/>
  <c r="E333" i="1"/>
  <c r="F333" i="1" l="1"/>
  <c r="G333" i="1"/>
  <c r="E334" i="1"/>
  <c r="F334" i="1" l="1"/>
  <c r="G334" i="1"/>
  <c r="E335" i="1"/>
  <c r="F335" i="1" l="1"/>
  <c r="G335" i="1"/>
  <c r="E336" i="1"/>
  <c r="F336" i="1" l="1"/>
  <c r="G336" i="1"/>
  <c r="E337" i="1"/>
  <c r="F337" i="1" l="1"/>
  <c r="G337" i="1"/>
  <c r="E338" i="1"/>
  <c r="F338" i="1" l="1"/>
  <c r="G338" i="1"/>
  <c r="E339" i="1"/>
  <c r="F339" i="1" l="1"/>
  <c r="G339" i="1"/>
  <c r="E340" i="1"/>
  <c r="F340" i="1" l="1"/>
  <c r="G340" i="1"/>
  <c r="E341" i="1"/>
  <c r="F341" i="1" l="1"/>
  <c r="G341" i="1"/>
  <c r="E342" i="1"/>
  <c r="F342" i="1" l="1"/>
  <c r="G342" i="1"/>
  <c r="E343" i="1"/>
  <c r="F343" i="1" l="1"/>
  <c r="G343" i="1"/>
  <c r="E344" i="1"/>
  <c r="F344" i="1" l="1"/>
  <c r="G344" i="1"/>
  <c r="E345" i="1"/>
  <c r="F345" i="1" l="1"/>
  <c r="G345" i="1"/>
  <c r="E346" i="1"/>
  <c r="F346" i="1" l="1"/>
  <c r="G346" i="1"/>
  <c r="E347" i="1"/>
  <c r="F347" i="1" l="1"/>
  <c r="G347" i="1"/>
  <c r="E348" i="1"/>
  <c r="F348" i="1" l="1"/>
  <c r="G348" i="1"/>
  <c r="E349" i="1"/>
  <c r="F349" i="1" l="1"/>
  <c r="G349" i="1"/>
  <c r="E350" i="1"/>
  <c r="F350" i="1" l="1"/>
  <c r="G350" i="1"/>
  <c r="E351" i="1"/>
  <c r="F351" i="1" l="1"/>
  <c r="G351" i="1"/>
  <c r="E352" i="1"/>
  <c r="F352" i="1" l="1"/>
  <c r="G352" i="1"/>
  <c r="E353" i="1"/>
  <c r="F353" i="1" l="1"/>
  <c r="G353" i="1"/>
  <c r="E354" i="1"/>
  <c r="F354" i="1" l="1"/>
  <c r="G354" i="1"/>
  <c r="E355" i="1"/>
  <c r="F355" i="1" l="1"/>
  <c r="G355" i="1"/>
  <c r="E356" i="1"/>
  <c r="F356" i="1" l="1"/>
  <c r="G356" i="1"/>
  <c r="E357" i="1"/>
  <c r="F357" i="1" l="1"/>
  <c r="G357" i="1"/>
  <c r="E358" i="1"/>
  <c r="F358" i="1" l="1"/>
  <c r="G358" i="1"/>
  <c r="E359" i="1"/>
  <c r="F359" i="1" l="1"/>
  <c r="G359" i="1"/>
  <c r="E360" i="1"/>
  <c r="F360" i="1" l="1"/>
  <c r="G360" i="1"/>
  <c r="E361" i="1"/>
  <c r="F361" i="1" l="1"/>
  <c r="G361" i="1"/>
  <c r="E362" i="1"/>
  <c r="F362" i="1" l="1"/>
  <c r="G362" i="1"/>
  <c r="E363" i="1"/>
  <c r="F363" i="1" l="1"/>
  <c r="G363" i="1"/>
  <c r="E364" i="1"/>
  <c r="F364" i="1" l="1"/>
  <c r="G364" i="1"/>
  <c r="E365" i="1"/>
  <c r="F365" i="1" l="1"/>
  <c r="G365" i="1"/>
  <c r="E366" i="1"/>
  <c r="F366" i="1" l="1"/>
  <c r="G366" i="1"/>
  <c r="E367" i="1"/>
  <c r="F367" i="1" l="1"/>
  <c r="G367" i="1"/>
  <c r="E368" i="1"/>
  <c r="F368" i="1" l="1"/>
  <c r="G368" i="1"/>
  <c r="E369" i="1"/>
  <c r="F369" i="1" l="1"/>
  <c r="G369" i="1"/>
  <c r="E370" i="1"/>
  <c r="F370" i="1" l="1"/>
  <c r="G370" i="1"/>
  <c r="E371" i="1"/>
  <c r="F371" i="1" l="1"/>
  <c r="G371" i="1"/>
  <c r="E372" i="1"/>
  <c r="F372" i="1" l="1"/>
  <c r="G372" i="1"/>
  <c r="E373" i="1"/>
  <c r="F373" i="1" l="1"/>
  <c r="G373" i="1"/>
  <c r="E374" i="1"/>
  <c r="F374" i="1" l="1"/>
  <c r="G374" i="1"/>
  <c r="E375" i="1"/>
  <c r="F375" i="1" l="1"/>
  <c r="G375" i="1"/>
  <c r="E376" i="1"/>
  <c r="F376" i="1" l="1"/>
  <c r="G376" i="1"/>
  <c r="E377" i="1"/>
  <c r="F377" i="1" l="1"/>
  <c r="G377" i="1"/>
  <c r="E378" i="1"/>
  <c r="F378" i="1" l="1"/>
  <c r="G378" i="1"/>
  <c r="E379" i="1"/>
  <c r="F379" i="1" l="1"/>
  <c r="G379" i="1"/>
  <c r="E380" i="1"/>
  <c r="F380" i="1" l="1"/>
  <c r="G380" i="1"/>
  <c r="E381" i="1"/>
  <c r="F381" i="1" l="1"/>
  <c r="G381" i="1"/>
  <c r="E382" i="1"/>
  <c r="F382" i="1" l="1"/>
  <c r="G382" i="1"/>
  <c r="E383" i="1"/>
  <c r="F383" i="1" l="1"/>
  <c r="G383" i="1"/>
  <c r="E384" i="1"/>
  <c r="F384" i="1" l="1"/>
  <c r="G384" i="1"/>
  <c r="E385" i="1"/>
  <c r="F385" i="1" l="1"/>
  <c r="G385" i="1"/>
  <c r="E386" i="1"/>
  <c r="F386" i="1" l="1"/>
  <c r="G386" i="1"/>
  <c r="E387" i="1"/>
  <c r="F387" i="1" l="1"/>
  <c r="G387" i="1"/>
  <c r="E388" i="1"/>
  <c r="F388" i="1" l="1"/>
  <c r="G388" i="1"/>
  <c r="E389" i="1"/>
  <c r="F389" i="1" l="1"/>
  <c r="G389" i="1"/>
  <c r="E390" i="1"/>
  <c r="F390" i="1" l="1"/>
  <c r="G390" i="1"/>
  <c r="E391" i="1"/>
  <c r="F391" i="1" l="1"/>
  <c r="G391" i="1"/>
  <c r="E392" i="1"/>
  <c r="F392" i="1" l="1"/>
  <c r="G392" i="1"/>
  <c r="E393" i="1"/>
  <c r="F393" i="1" l="1"/>
  <c r="G393" i="1"/>
  <c r="E394" i="1"/>
  <c r="F394" i="1" l="1"/>
  <c r="G394" i="1"/>
  <c r="E395" i="1"/>
  <c r="F395" i="1" l="1"/>
  <c r="G395" i="1"/>
  <c r="E396" i="1"/>
  <c r="F396" i="1" l="1"/>
  <c r="G396" i="1"/>
  <c r="E397" i="1"/>
  <c r="F397" i="1" l="1"/>
  <c r="G397" i="1"/>
  <c r="E398" i="1"/>
  <c r="F398" i="1" l="1"/>
  <c r="G398" i="1"/>
  <c r="E399" i="1"/>
  <c r="F399" i="1" l="1"/>
  <c r="G399" i="1"/>
  <c r="E400" i="1"/>
  <c r="F400" i="1" l="1"/>
  <c r="G400" i="1"/>
  <c r="E401" i="1"/>
  <c r="F401" i="1" l="1"/>
  <c r="G401" i="1"/>
  <c r="E402" i="1"/>
  <c r="F402" i="1" l="1"/>
  <c r="G402" i="1"/>
  <c r="E403" i="1"/>
  <c r="F403" i="1" l="1"/>
  <c r="G403" i="1"/>
  <c r="E404" i="1"/>
  <c r="F404" i="1" l="1"/>
  <c r="G404" i="1"/>
  <c r="E405" i="1"/>
  <c r="F405" i="1" l="1"/>
  <c r="G405" i="1"/>
  <c r="E406" i="1"/>
  <c r="F406" i="1" l="1"/>
  <c r="G406" i="1"/>
  <c r="E407" i="1"/>
  <c r="F407" i="1" l="1"/>
  <c r="G407" i="1"/>
  <c r="E408" i="1"/>
  <c r="F408" i="1" l="1"/>
  <c r="G408" i="1"/>
  <c r="E409" i="1"/>
  <c r="F409" i="1" l="1"/>
  <c r="G409" i="1"/>
  <c r="E410" i="1"/>
  <c r="F410" i="1" l="1"/>
  <c r="G410" i="1"/>
  <c r="E411" i="1"/>
  <c r="F411" i="1" l="1"/>
  <c r="G411" i="1"/>
  <c r="E412" i="1"/>
  <c r="F412" i="1" l="1"/>
  <c r="G412" i="1"/>
  <c r="E413" i="1"/>
  <c r="F413" i="1" l="1"/>
  <c r="G413" i="1"/>
  <c r="E414" i="1"/>
  <c r="F414" i="1" l="1"/>
  <c r="G414" i="1"/>
  <c r="E415" i="1"/>
  <c r="F415" i="1" l="1"/>
  <c r="G415" i="1"/>
  <c r="E416" i="1"/>
  <c r="F416" i="1" l="1"/>
  <c r="G416" i="1"/>
  <c r="E417" i="1"/>
  <c r="F417" i="1" l="1"/>
  <c r="G417" i="1"/>
  <c r="E418" i="1"/>
  <c r="F418" i="1" l="1"/>
  <c r="G418" i="1"/>
  <c r="E419" i="1"/>
  <c r="F419" i="1" l="1"/>
  <c r="G419" i="1"/>
  <c r="E420" i="1"/>
  <c r="F420" i="1" l="1"/>
  <c r="G420" i="1"/>
  <c r="E421" i="1"/>
  <c r="F421" i="1" l="1"/>
  <c r="G421" i="1"/>
  <c r="E422" i="1"/>
  <c r="F422" i="1" l="1"/>
  <c r="G422" i="1"/>
  <c r="E423" i="1"/>
  <c r="F423" i="1" l="1"/>
  <c r="G423" i="1"/>
  <c r="E424" i="1"/>
  <c r="F424" i="1" l="1"/>
  <c r="G424" i="1"/>
  <c r="E425" i="1"/>
  <c r="F425" i="1" l="1"/>
  <c r="G425" i="1"/>
  <c r="E426" i="1"/>
  <c r="F426" i="1" l="1"/>
  <c r="G426" i="1"/>
  <c r="E427" i="1"/>
  <c r="F427" i="1" l="1"/>
  <c r="G427" i="1"/>
  <c r="E428" i="1"/>
  <c r="F428" i="1" l="1"/>
  <c r="G428" i="1"/>
  <c r="E429" i="1"/>
  <c r="F429" i="1" l="1"/>
  <c r="G429" i="1"/>
  <c r="E430" i="1"/>
  <c r="F430" i="1" l="1"/>
  <c r="G430" i="1"/>
  <c r="E431" i="1"/>
  <c r="F431" i="1" l="1"/>
  <c r="G431" i="1"/>
  <c r="E432" i="1"/>
  <c r="F432" i="1" l="1"/>
  <c r="G432" i="1"/>
  <c r="E433" i="1"/>
  <c r="F433" i="1" l="1"/>
  <c r="G433" i="1"/>
  <c r="E434" i="1"/>
  <c r="F434" i="1" l="1"/>
  <c r="G434" i="1"/>
  <c r="E435" i="1"/>
  <c r="F435" i="1" l="1"/>
  <c r="G435" i="1"/>
  <c r="E436" i="1"/>
  <c r="F436" i="1" l="1"/>
  <c r="G436" i="1"/>
  <c r="E437" i="1"/>
  <c r="F437" i="1" l="1"/>
  <c r="G437" i="1"/>
  <c r="E438" i="1"/>
  <c r="F438" i="1" l="1"/>
  <c r="G438" i="1"/>
  <c r="E439" i="1"/>
  <c r="F439" i="1" l="1"/>
  <c r="G439" i="1"/>
  <c r="E440" i="1"/>
  <c r="F440" i="1" l="1"/>
  <c r="G440" i="1"/>
  <c r="E441" i="1"/>
  <c r="F441" i="1" l="1"/>
  <c r="G441" i="1"/>
  <c r="E442" i="1"/>
  <c r="F442" i="1" l="1"/>
  <c r="G442" i="1"/>
  <c r="E443" i="1"/>
  <c r="F443" i="1" l="1"/>
  <c r="G443" i="1"/>
  <c r="E444" i="1"/>
  <c r="F444" i="1" l="1"/>
  <c r="G444" i="1"/>
  <c r="E445" i="1"/>
  <c r="F445" i="1" l="1"/>
  <c r="G445" i="1"/>
  <c r="E446" i="1"/>
  <c r="F446" i="1" l="1"/>
  <c r="G446" i="1"/>
  <c r="E447" i="1"/>
  <c r="F447" i="1" l="1"/>
  <c r="G447" i="1"/>
  <c r="E448" i="1"/>
  <c r="F448" i="1" l="1"/>
  <c r="G448" i="1"/>
  <c r="E449" i="1"/>
  <c r="F449" i="1" l="1"/>
  <c r="G449" i="1"/>
  <c r="E450" i="1"/>
  <c r="F450" i="1" l="1"/>
  <c r="G450" i="1"/>
  <c r="E451" i="1"/>
  <c r="F451" i="1" l="1"/>
  <c r="G451" i="1"/>
  <c r="E452" i="1"/>
  <c r="F452" i="1" l="1"/>
  <c r="G452" i="1"/>
  <c r="E453" i="1"/>
  <c r="F453" i="1" l="1"/>
  <c r="G453" i="1"/>
  <c r="E454" i="1"/>
  <c r="F454" i="1" l="1"/>
  <c r="G454" i="1"/>
  <c r="E455" i="1"/>
  <c r="F455" i="1" l="1"/>
  <c r="G455" i="1"/>
  <c r="E456" i="1"/>
  <c r="F456" i="1" l="1"/>
  <c r="G456" i="1"/>
  <c r="E457" i="1"/>
  <c r="F457" i="1" l="1"/>
  <c r="G457" i="1"/>
  <c r="E458" i="1"/>
  <c r="F458" i="1" l="1"/>
  <c r="G458" i="1"/>
  <c r="E459" i="1"/>
  <c r="F459" i="1" l="1"/>
  <c r="G459" i="1"/>
  <c r="E460" i="1"/>
  <c r="F460" i="1" l="1"/>
  <c r="G460" i="1"/>
  <c r="E461" i="1"/>
  <c r="F461" i="1" l="1"/>
  <c r="G461" i="1"/>
  <c r="E462" i="1"/>
  <c r="F462" i="1" l="1"/>
  <c r="G462" i="1"/>
  <c r="E463" i="1"/>
  <c r="F463" i="1" l="1"/>
  <c r="G463" i="1"/>
  <c r="E464" i="1"/>
  <c r="F464" i="1" l="1"/>
  <c r="G464" i="1"/>
  <c r="E465" i="1"/>
  <c r="F465" i="1" l="1"/>
  <c r="G465" i="1"/>
  <c r="E466" i="1"/>
  <c r="F466" i="1" l="1"/>
  <c r="G466" i="1"/>
  <c r="E467" i="1"/>
  <c r="F467" i="1" l="1"/>
  <c r="G467" i="1"/>
  <c r="E468" i="1"/>
  <c r="F468" i="1" l="1"/>
  <c r="G468" i="1"/>
  <c r="E469" i="1"/>
  <c r="F469" i="1" l="1"/>
  <c r="G469" i="1"/>
  <c r="E470" i="1"/>
  <c r="F470" i="1" l="1"/>
  <c r="G470" i="1"/>
  <c r="E471" i="1"/>
  <c r="F471" i="1" l="1"/>
  <c r="G471" i="1"/>
  <c r="E472" i="1"/>
  <c r="F472" i="1" l="1"/>
  <c r="G472" i="1"/>
  <c r="E473" i="1"/>
  <c r="F473" i="1" l="1"/>
  <c r="G473" i="1"/>
  <c r="E474" i="1"/>
  <c r="F474" i="1" l="1"/>
  <c r="G474" i="1"/>
  <c r="E475" i="1"/>
  <c r="F475" i="1" l="1"/>
  <c r="G475" i="1"/>
  <c r="E476" i="1"/>
  <c r="F476" i="1" l="1"/>
  <c r="G476" i="1"/>
  <c r="E477" i="1"/>
  <c r="F477" i="1" l="1"/>
  <c r="G477" i="1"/>
  <c r="E478" i="1"/>
  <c r="F478" i="1" l="1"/>
  <c r="G478" i="1"/>
  <c r="E479" i="1"/>
  <c r="F479" i="1" l="1"/>
  <c r="G479" i="1"/>
  <c r="E480" i="1"/>
  <c r="F480" i="1" l="1"/>
  <c r="G480" i="1"/>
  <c r="E481" i="1"/>
  <c r="F481" i="1" l="1"/>
  <c r="G481" i="1"/>
  <c r="E482" i="1"/>
  <c r="F482" i="1" l="1"/>
  <c r="G482" i="1"/>
  <c r="E483" i="1"/>
  <c r="F483" i="1" l="1"/>
  <c r="G483" i="1"/>
  <c r="E484" i="1"/>
  <c r="F484" i="1" l="1"/>
  <c r="G484" i="1"/>
  <c r="E485" i="1"/>
  <c r="F485" i="1" l="1"/>
  <c r="G485" i="1"/>
  <c r="E486" i="1"/>
  <c r="F486" i="1" l="1"/>
  <c r="G486" i="1"/>
  <c r="E487" i="1"/>
  <c r="F487" i="1" l="1"/>
  <c r="G487" i="1"/>
  <c r="E488" i="1"/>
  <c r="F488" i="1" l="1"/>
  <c r="G488" i="1"/>
  <c r="E489" i="1"/>
  <c r="F489" i="1" l="1"/>
  <c r="G489" i="1"/>
  <c r="E490" i="1"/>
  <c r="F490" i="1" l="1"/>
  <c r="G490" i="1"/>
  <c r="E491" i="1"/>
  <c r="F491" i="1" l="1"/>
  <c r="G491" i="1"/>
  <c r="E492" i="1"/>
  <c r="F492" i="1" l="1"/>
  <c r="G492" i="1"/>
  <c r="E493" i="1"/>
  <c r="F493" i="1" l="1"/>
  <c r="G493" i="1"/>
  <c r="E494" i="1"/>
  <c r="F494" i="1" l="1"/>
  <c r="G494" i="1"/>
  <c r="E495" i="1"/>
  <c r="F495" i="1" l="1"/>
  <c r="G495" i="1"/>
  <c r="E496" i="1"/>
  <c r="F496" i="1" l="1"/>
  <c r="G496" i="1"/>
  <c r="E497" i="1"/>
  <c r="F497" i="1" l="1"/>
  <c r="G497" i="1"/>
  <c r="E498" i="1"/>
  <c r="F498" i="1" l="1"/>
  <c r="G498" i="1"/>
  <c r="E499" i="1"/>
  <c r="F499" i="1" l="1"/>
  <c r="G499" i="1"/>
  <c r="E500" i="1"/>
  <c r="F500" i="1" l="1"/>
  <c r="G500" i="1"/>
  <c r="E501" i="1"/>
  <c r="F501" i="1" l="1"/>
  <c r="G501" i="1"/>
  <c r="E502" i="1"/>
  <c r="F502" i="1" l="1"/>
  <c r="G502" i="1"/>
  <c r="E503" i="1"/>
  <c r="F503" i="1" l="1"/>
  <c r="G503" i="1"/>
  <c r="E504" i="1"/>
  <c r="F504" i="1" l="1"/>
  <c r="G504" i="1"/>
  <c r="E505" i="1"/>
  <c r="F505" i="1" l="1"/>
  <c r="G505" i="1"/>
  <c r="E506" i="1"/>
  <c r="F506" i="1" l="1"/>
  <c r="G506" i="1"/>
  <c r="E507" i="1"/>
  <c r="F507" i="1" l="1"/>
  <c r="G507" i="1"/>
  <c r="E508" i="1"/>
  <c r="F508" i="1" l="1"/>
  <c r="G508" i="1"/>
  <c r="E509" i="1"/>
  <c r="F509" i="1" l="1"/>
  <c r="G509" i="1"/>
  <c r="E510" i="1"/>
  <c r="F510" i="1" l="1"/>
  <c r="G510" i="1"/>
  <c r="E511" i="1"/>
  <c r="F511" i="1" l="1"/>
  <c r="G511" i="1"/>
  <c r="E512" i="1"/>
  <c r="F512" i="1" l="1"/>
  <c r="G512" i="1"/>
  <c r="E513" i="1"/>
  <c r="F513" i="1" l="1"/>
  <c r="G513" i="1"/>
  <c r="E514" i="1"/>
  <c r="F514" i="1" l="1"/>
  <c r="G514" i="1"/>
  <c r="E515" i="1"/>
  <c r="F515" i="1" l="1"/>
  <c r="G515" i="1"/>
  <c r="E516" i="1"/>
  <c r="F516" i="1" l="1"/>
  <c r="G516" i="1"/>
  <c r="E517" i="1"/>
  <c r="F517" i="1" l="1"/>
  <c r="G517" i="1"/>
  <c r="E518" i="1"/>
  <c r="F518" i="1" l="1"/>
  <c r="G518" i="1"/>
  <c r="E519" i="1"/>
  <c r="F519" i="1" l="1"/>
  <c r="G519" i="1"/>
  <c r="E520" i="1"/>
  <c r="F520" i="1" l="1"/>
  <c r="G520" i="1"/>
  <c r="E521" i="1"/>
  <c r="F521" i="1" l="1"/>
  <c r="G521" i="1"/>
  <c r="E522" i="1"/>
  <c r="F522" i="1" l="1"/>
  <c r="G522" i="1"/>
  <c r="E523" i="1"/>
  <c r="F523" i="1" l="1"/>
  <c r="G523" i="1"/>
  <c r="E524" i="1"/>
  <c r="F524" i="1" l="1"/>
  <c r="G524" i="1"/>
  <c r="E525" i="1"/>
  <c r="F525" i="1" l="1"/>
  <c r="G525" i="1"/>
  <c r="E526" i="1"/>
  <c r="F526" i="1" l="1"/>
  <c r="G526" i="1"/>
  <c r="E527" i="1"/>
  <c r="F527" i="1" l="1"/>
  <c r="G527" i="1"/>
  <c r="E528" i="1"/>
  <c r="F528" i="1" l="1"/>
  <c r="G528" i="1"/>
  <c r="E529" i="1"/>
  <c r="F529" i="1" l="1"/>
  <c r="G529" i="1"/>
  <c r="E530" i="1"/>
  <c r="F530" i="1" l="1"/>
  <c r="G530" i="1"/>
  <c r="E531" i="1"/>
  <c r="F531" i="1" l="1"/>
  <c r="G531" i="1"/>
  <c r="E532" i="1"/>
  <c r="F532" i="1" l="1"/>
  <c r="G532" i="1"/>
  <c r="E533" i="1"/>
  <c r="F533" i="1" l="1"/>
  <c r="G533" i="1"/>
  <c r="E534" i="1"/>
  <c r="F534" i="1" l="1"/>
  <c r="G534" i="1"/>
  <c r="E535" i="1"/>
  <c r="F535" i="1" l="1"/>
  <c r="G535" i="1"/>
  <c r="E536" i="1"/>
  <c r="F536" i="1" l="1"/>
  <c r="G536" i="1"/>
  <c r="E537" i="1"/>
  <c r="F537" i="1" l="1"/>
  <c r="G537" i="1"/>
  <c r="E538" i="1"/>
  <c r="F538" i="1" l="1"/>
  <c r="G538" i="1"/>
  <c r="E539" i="1"/>
  <c r="F539" i="1" l="1"/>
  <c r="G539" i="1"/>
  <c r="E540" i="1"/>
  <c r="F540" i="1" l="1"/>
  <c r="G540" i="1"/>
  <c r="E541" i="1"/>
  <c r="F541" i="1" l="1"/>
  <c r="G541" i="1"/>
  <c r="E542" i="1"/>
  <c r="F542" i="1" l="1"/>
  <c r="G542" i="1"/>
  <c r="E543" i="1"/>
  <c r="F543" i="1" l="1"/>
  <c r="G543" i="1"/>
  <c r="E544" i="1"/>
  <c r="F544" i="1" l="1"/>
  <c r="G544" i="1"/>
  <c r="E545" i="1"/>
  <c r="F545" i="1" l="1"/>
  <c r="G545" i="1"/>
  <c r="E546" i="1"/>
  <c r="F546" i="1" l="1"/>
  <c r="G546" i="1"/>
  <c r="E547" i="1"/>
  <c r="F547" i="1" l="1"/>
  <c r="G547" i="1"/>
  <c r="E548" i="1"/>
  <c r="F548" i="1" l="1"/>
  <c r="G548" i="1"/>
  <c r="E549" i="1"/>
  <c r="F549" i="1" l="1"/>
  <c r="G549" i="1"/>
  <c r="E550" i="1"/>
  <c r="F550" i="1" l="1"/>
  <c r="G550" i="1"/>
  <c r="E551" i="1"/>
  <c r="F551" i="1" l="1"/>
  <c r="G551" i="1"/>
  <c r="E552" i="1"/>
  <c r="F552" i="1" l="1"/>
  <c r="G552" i="1"/>
  <c r="E553" i="1"/>
  <c r="F553" i="1" l="1"/>
  <c r="G553" i="1"/>
  <c r="E554" i="1"/>
  <c r="F554" i="1" l="1"/>
  <c r="G554" i="1"/>
  <c r="E555" i="1"/>
  <c r="F555" i="1" l="1"/>
  <c r="G555" i="1"/>
  <c r="E556" i="1"/>
  <c r="F556" i="1" l="1"/>
  <c r="G556" i="1"/>
  <c r="E557" i="1"/>
  <c r="F557" i="1" l="1"/>
  <c r="G557" i="1"/>
  <c r="E558" i="1"/>
  <c r="F558" i="1" l="1"/>
  <c r="G558" i="1"/>
  <c r="E559" i="1"/>
  <c r="F559" i="1" l="1"/>
  <c r="G559" i="1"/>
  <c r="E560" i="1"/>
  <c r="F560" i="1" l="1"/>
  <c r="G560" i="1"/>
  <c r="E561" i="1"/>
  <c r="F561" i="1" l="1"/>
  <c r="G561" i="1"/>
  <c r="E562" i="1"/>
  <c r="F562" i="1" l="1"/>
  <c r="G562" i="1"/>
  <c r="E563" i="1"/>
  <c r="F563" i="1" l="1"/>
  <c r="G563" i="1"/>
  <c r="E564" i="1"/>
  <c r="F564" i="1" l="1"/>
  <c r="G564" i="1"/>
  <c r="E565" i="1"/>
  <c r="F565" i="1" l="1"/>
  <c r="G565" i="1"/>
  <c r="E566" i="1"/>
  <c r="F566" i="1" l="1"/>
  <c r="G566" i="1"/>
  <c r="E567" i="1"/>
  <c r="F567" i="1" l="1"/>
  <c r="G567" i="1"/>
  <c r="E568" i="1"/>
  <c r="F568" i="1" l="1"/>
  <c r="G568" i="1"/>
  <c r="E569" i="1"/>
  <c r="F569" i="1" l="1"/>
  <c r="G569" i="1"/>
  <c r="E570" i="1"/>
  <c r="F570" i="1" l="1"/>
  <c r="G570" i="1"/>
  <c r="E571" i="1"/>
  <c r="F571" i="1" l="1"/>
  <c r="G571" i="1"/>
  <c r="E572" i="1"/>
  <c r="F572" i="1" l="1"/>
  <c r="G572" i="1"/>
  <c r="E573" i="1"/>
  <c r="F573" i="1" l="1"/>
  <c r="G573" i="1"/>
  <c r="E574" i="1"/>
  <c r="F574" i="1" l="1"/>
  <c r="G574" i="1"/>
  <c r="E575" i="1"/>
  <c r="F575" i="1" l="1"/>
  <c r="G575" i="1"/>
  <c r="E576" i="1"/>
  <c r="F576" i="1" l="1"/>
  <c r="G576" i="1"/>
  <c r="E577" i="1"/>
  <c r="F577" i="1" l="1"/>
  <c r="G577" i="1"/>
  <c r="E578" i="1"/>
  <c r="F578" i="1" l="1"/>
  <c r="G578" i="1"/>
  <c r="E579" i="1"/>
  <c r="F579" i="1" l="1"/>
  <c r="G579" i="1"/>
  <c r="E580" i="1"/>
  <c r="F580" i="1" l="1"/>
  <c r="G580" i="1"/>
  <c r="E581" i="1"/>
  <c r="F581" i="1" l="1"/>
  <c r="G581" i="1"/>
  <c r="E582" i="1"/>
  <c r="F582" i="1" l="1"/>
  <c r="G582" i="1"/>
  <c r="E583" i="1"/>
  <c r="F583" i="1" l="1"/>
  <c r="G583" i="1"/>
  <c r="E584" i="1"/>
  <c r="F584" i="1" l="1"/>
  <c r="G584" i="1"/>
  <c r="E585" i="1"/>
  <c r="F585" i="1" l="1"/>
  <c r="G585" i="1"/>
  <c r="E586" i="1"/>
  <c r="F586" i="1" l="1"/>
  <c r="G586" i="1"/>
  <c r="E587" i="1"/>
  <c r="F587" i="1" l="1"/>
  <c r="G587" i="1"/>
  <c r="E588" i="1"/>
  <c r="F588" i="1" l="1"/>
  <c r="G588" i="1"/>
  <c r="E589" i="1"/>
  <c r="F589" i="1" l="1"/>
  <c r="G589" i="1"/>
  <c r="E590" i="1"/>
  <c r="F590" i="1" l="1"/>
  <c r="G590" i="1"/>
  <c r="E591" i="1"/>
  <c r="F591" i="1" l="1"/>
  <c r="G591" i="1"/>
  <c r="E592" i="1"/>
  <c r="F592" i="1" l="1"/>
  <c r="G592" i="1"/>
  <c r="E593" i="1"/>
  <c r="F593" i="1" l="1"/>
  <c r="G593" i="1"/>
  <c r="E594" i="1"/>
  <c r="F594" i="1" l="1"/>
  <c r="G594" i="1"/>
  <c r="E595" i="1"/>
  <c r="F595" i="1" l="1"/>
  <c r="G595" i="1"/>
  <c r="E596" i="1"/>
  <c r="F596" i="1" l="1"/>
  <c r="G596" i="1"/>
  <c r="E597" i="1"/>
  <c r="F597" i="1" l="1"/>
  <c r="G597" i="1"/>
  <c r="E598" i="1"/>
  <c r="F598" i="1" l="1"/>
  <c r="G598" i="1"/>
  <c r="E599" i="1"/>
  <c r="F599" i="1" l="1"/>
  <c r="G599" i="1"/>
  <c r="E600" i="1"/>
  <c r="F600" i="1" l="1"/>
  <c r="G600" i="1"/>
  <c r="E601" i="1"/>
  <c r="F601" i="1" l="1"/>
  <c r="G601" i="1"/>
  <c r="E602" i="1"/>
  <c r="F602" i="1" l="1"/>
  <c r="G602" i="1"/>
  <c r="E603" i="1"/>
  <c r="F603" i="1" l="1"/>
  <c r="G603" i="1"/>
  <c r="E604" i="1"/>
  <c r="F604" i="1" l="1"/>
  <c r="G604" i="1"/>
  <c r="E605" i="1"/>
  <c r="F605" i="1" l="1"/>
  <c r="G605" i="1"/>
  <c r="E606" i="1"/>
  <c r="F606" i="1" l="1"/>
  <c r="G606" i="1"/>
  <c r="E607" i="1"/>
  <c r="F607" i="1" l="1"/>
  <c r="G607" i="1"/>
  <c r="E608" i="1"/>
  <c r="F608" i="1" l="1"/>
  <c r="G608" i="1"/>
  <c r="E609" i="1"/>
  <c r="F609" i="1" l="1"/>
  <c r="G609" i="1"/>
  <c r="E610" i="1"/>
  <c r="F610" i="1" l="1"/>
  <c r="G610" i="1"/>
  <c r="E611" i="1"/>
  <c r="F611" i="1" l="1"/>
  <c r="G611" i="1"/>
  <c r="E612" i="1"/>
  <c r="F612" i="1" l="1"/>
  <c r="G612" i="1"/>
  <c r="E613" i="1"/>
  <c r="F613" i="1" l="1"/>
  <c r="G613" i="1"/>
  <c r="E614" i="1"/>
  <c r="F614" i="1" l="1"/>
  <c r="G614" i="1"/>
  <c r="E615" i="1"/>
  <c r="F615" i="1" l="1"/>
  <c r="G615" i="1"/>
  <c r="E616" i="1"/>
  <c r="F616" i="1" l="1"/>
  <c r="G616" i="1"/>
  <c r="E617" i="1"/>
  <c r="F617" i="1" l="1"/>
  <c r="G617" i="1"/>
  <c r="E618" i="1"/>
  <c r="F618" i="1" l="1"/>
  <c r="G618" i="1"/>
  <c r="E619" i="1"/>
  <c r="F619" i="1" l="1"/>
  <c r="G619" i="1"/>
  <c r="E620" i="1"/>
  <c r="F620" i="1" l="1"/>
  <c r="G620" i="1"/>
  <c r="E621" i="1"/>
  <c r="F621" i="1" l="1"/>
  <c r="G621" i="1"/>
  <c r="E622" i="1"/>
  <c r="F622" i="1" l="1"/>
  <c r="G622" i="1"/>
  <c r="E623" i="1"/>
  <c r="F623" i="1" l="1"/>
  <c r="G623" i="1"/>
  <c r="E624" i="1"/>
  <c r="F624" i="1" l="1"/>
  <c r="G624" i="1"/>
  <c r="E625" i="1"/>
  <c r="F625" i="1" l="1"/>
  <c r="G625" i="1"/>
  <c r="E626" i="1"/>
  <c r="F626" i="1" l="1"/>
  <c r="G626" i="1"/>
  <c r="E627" i="1"/>
  <c r="F627" i="1" l="1"/>
  <c r="G627" i="1"/>
  <c r="E628" i="1"/>
  <c r="F628" i="1" l="1"/>
  <c r="G628" i="1"/>
  <c r="E629" i="1"/>
  <c r="F629" i="1" l="1"/>
  <c r="G629" i="1"/>
  <c r="E630" i="1"/>
  <c r="F630" i="1" l="1"/>
  <c r="G630" i="1"/>
  <c r="E631" i="1"/>
  <c r="F631" i="1" l="1"/>
  <c r="G631" i="1"/>
  <c r="E632" i="1"/>
  <c r="F632" i="1" l="1"/>
  <c r="G632" i="1"/>
  <c r="E633" i="1"/>
  <c r="F633" i="1" l="1"/>
  <c r="G633" i="1"/>
  <c r="E634" i="1"/>
  <c r="F634" i="1" l="1"/>
  <c r="G634" i="1"/>
  <c r="E635" i="1"/>
  <c r="F635" i="1" l="1"/>
  <c r="G635" i="1"/>
  <c r="E636" i="1"/>
  <c r="F636" i="1" l="1"/>
  <c r="G636" i="1"/>
  <c r="E637" i="1"/>
  <c r="F637" i="1" l="1"/>
  <c r="G637" i="1"/>
  <c r="E638" i="1"/>
  <c r="F638" i="1" l="1"/>
  <c r="G638" i="1"/>
  <c r="E639" i="1"/>
  <c r="F639" i="1" l="1"/>
  <c r="G639" i="1"/>
  <c r="E640" i="1"/>
  <c r="F640" i="1" l="1"/>
  <c r="G640" i="1"/>
  <c r="E641" i="1"/>
  <c r="F641" i="1" l="1"/>
  <c r="G641" i="1"/>
  <c r="E642" i="1"/>
  <c r="F642" i="1" l="1"/>
  <c r="G642" i="1"/>
  <c r="E643" i="1"/>
  <c r="F643" i="1" l="1"/>
  <c r="G643" i="1"/>
  <c r="E644" i="1"/>
  <c r="F644" i="1" l="1"/>
  <c r="G644" i="1"/>
  <c r="E645" i="1"/>
  <c r="F645" i="1" l="1"/>
  <c r="G645" i="1"/>
  <c r="E646" i="1"/>
  <c r="F646" i="1" l="1"/>
  <c r="G646" i="1"/>
  <c r="E647" i="1"/>
  <c r="F647" i="1" l="1"/>
  <c r="G647" i="1"/>
  <c r="E648" i="1"/>
  <c r="F648" i="1" l="1"/>
  <c r="G648" i="1"/>
  <c r="E649" i="1"/>
  <c r="F649" i="1" l="1"/>
  <c r="G649" i="1"/>
  <c r="E650" i="1"/>
  <c r="F650" i="1" l="1"/>
  <c r="G650" i="1"/>
  <c r="E651" i="1"/>
  <c r="F651" i="1" l="1"/>
  <c r="G651" i="1"/>
  <c r="E652" i="1"/>
  <c r="F652" i="1" l="1"/>
  <c r="G652" i="1"/>
  <c r="E653" i="1"/>
  <c r="F653" i="1" l="1"/>
  <c r="G653" i="1"/>
  <c r="E654" i="1"/>
  <c r="F654" i="1" l="1"/>
  <c r="G654" i="1"/>
  <c r="E655" i="1"/>
  <c r="F655" i="1" l="1"/>
  <c r="G655" i="1"/>
  <c r="E656" i="1"/>
  <c r="F656" i="1" l="1"/>
  <c r="G656" i="1"/>
  <c r="E657" i="1"/>
  <c r="F657" i="1" l="1"/>
  <c r="G657" i="1"/>
  <c r="E658" i="1"/>
  <c r="F658" i="1" l="1"/>
  <c r="G658" i="1"/>
  <c r="E659" i="1"/>
  <c r="F659" i="1" l="1"/>
  <c r="G659" i="1"/>
  <c r="E660" i="1"/>
  <c r="F660" i="1" l="1"/>
  <c r="G660" i="1"/>
  <c r="E661" i="1"/>
  <c r="F661" i="1" l="1"/>
  <c r="G661" i="1"/>
  <c r="E662" i="1"/>
  <c r="F662" i="1" l="1"/>
  <c r="G662" i="1"/>
  <c r="E663" i="1"/>
  <c r="F663" i="1" l="1"/>
  <c r="G663" i="1"/>
  <c r="E664" i="1"/>
  <c r="F664" i="1" l="1"/>
  <c r="G664" i="1"/>
  <c r="E665" i="1"/>
  <c r="F665" i="1" l="1"/>
  <c r="G665" i="1"/>
  <c r="E666" i="1"/>
  <c r="F666" i="1" l="1"/>
  <c r="G666" i="1"/>
  <c r="E667" i="1"/>
  <c r="F667" i="1" l="1"/>
  <c r="G667" i="1"/>
  <c r="E668" i="1"/>
  <c r="F668" i="1" l="1"/>
  <c r="G668" i="1"/>
  <c r="E669" i="1"/>
  <c r="F669" i="1" l="1"/>
  <c r="G669" i="1"/>
  <c r="E670" i="1"/>
  <c r="F670" i="1" l="1"/>
  <c r="G670" i="1"/>
  <c r="E671" i="1"/>
  <c r="F671" i="1" l="1"/>
  <c r="G671" i="1"/>
  <c r="E672" i="1"/>
  <c r="F672" i="1" l="1"/>
  <c r="G672" i="1"/>
  <c r="E673" i="1"/>
  <c r="F673" i="1" l="1"/>
  <c r="G673" i="1"/>
  <c r="E674" i="1"/>
  <c r="F674" i="1" l="1"/>
  <c r="G674" i="1"/>
  <c r="E675" i="1"/>
  <c r="F675" i="1" l="1"/>
  <c r="G675" i="1"/>
  <c r="E676" i="1"/>
  <c r="F676" i="1" l="1"/>
  <c r="G676" i="1"/>
  <c r="E677" i="1"/>
  <c r="F677" i="1" l="1"/>
  <c r="G677" i="1"/>
  <c r="E678" i="1"/>
  <c r="F678" i="1" l="1"/>
  <c r="G678" i="1"/>
  <c r="E679" i="1"/>
  <c r="F679" i="1" l="1"/>
  <c r="G679" i="1"/>
  <c r="E680" i="1"/>
  <c r="F680" i="1" l="1"/>
  <c r="G680" i="1"/>
  <c r="E681" i="1"/>
  <c r="F681" i="1" l="1"/>
  <c r="G681" i="1"/>
  <c r="E682" i="1"/>
  <c r="F682" i="1" l="1"/>
  <c r="G682" i="1"/>
  <c r="E683" i="1"/>
  <c r="F683" i="1" l="1"/>
  <c r="G683" i="1"/>
  <c r="E684" i="1"/>
  <c r="F684" i="1" l="1"/>
  <c r="G684" i="1"/>
  <c r="E685" i="1"/>
  <c r="F685" i="1" l="1"/>
  <c r="G685" i="1"/>
  <c r="E686" i="1"/>
  <c r="F686" i="1" l="1"/>
  <c r="G686" i="1"/>
  <c r="E687" i="1"/>
  <c r="F687" i="1" l="1"/>
  <c r="G687" i="1"/>
  <c r="E688" i="1"/>
  <c r="F688" i="1" l="1"/>
  <c r="G688" i="1"/>
  <c r="E689" i="1"/>
  <c r="F689" i="1" l="1"/>
  <c r="G689" i="1"/>
  <c r="E690" i="1"/>
  <c r="F690" i="1" l="1"/>
  <c r="G690" i="1"/>
  <c r="E691" i="1"/>
  <c r="F691" i="1" l="1"/>
  <c r="G691" i="1"/>
  <c r="E692" i="1"/>
  <c r="F692" i="1" l="1"/>
  <c r="G692" i="1"/>
  <c r="E693" i="1"/>
  <c r="F693" i="1" l="1"/>
  <c r="G693" i="1"/>
  <c r="E694" i="1"/>
  <c r="F694" i="1" l="1"/>
  <c r="G694" i="1"/>
  <c r="E695" i="1"/>
  <c r="F695" i="1" l="1"/>
  <c r="G695" i="1"/>
  <c r="E696" i="1"/>
  <c r="F696" i="1" l="1"/>
  <c r="G696" i="1"/>
  <c r="E697" i="1"/>
  <c r="F697" i="1" l="1"/>
  <c r="G697" i="1"/>
  <c r="E698" i="1"/>
  <c r="F698" i="1" l="1"/>
  <c r="G698" i="1"/>
  <c r="E699" i="1"/>
  <c r="F699" i="1" l="1"/>
  <c r="G699" i="1"/>
  <c r="E700" i="1"/>
  <c r="F700" i="1" l="1"/>
  <c r="G700" i="1"/>
  <c r="E701" i="1"/>
  <c r="F701" i="1" l="1"/>
  <c r="G701" i="1"/>
  <c r="E702" i="1"/>
  <c r="F702" i="1" l="1"/>
  <c r="G702" i="1"/>
  <c r="E703" i="1"/>
  <c r="F703" i="1" l="1"/>
  <c r="G703" i="1"/>
  <c r="E704" i="1"/>
  <c r="F704" i="1" l="1"/>
  <c r="G704" i="1"/>
  <c r="E705" i="1"/>
  <c r="F705" i="1" l="1"/>
  <c r="G705" i="1"/>
  <c r="E706" i="1"/>
  <c r="F706" i="1" l="1"/>
  <c r="G706" i="1"/>
  <c r="E707" i="1"/>
  <c r="F707" i="1" l="1"/>
  <c r="G707" i="1"/>
  <c r="E708" i="1"/>
  <c r="F708" i="1" l="1"/>
  <c r="G708" i="1"/>
  <c r="E709" i="1"/>
  <c r="F709" i="1" l="1"/>
  <c r="G709" i="1"/>
  <c r="E710" i="1"/>
  <c r="F710" i="1" l="1"/>
  <c r="G710" i="1"/>
  <c r="E711" i="1"/>
  <c r="F711" i="1" l="1"/>
  <c r="G711" i="1"/>
  <c r="E712" i="1"/>
  <c r="F712" i="1" l="1"/>
  <c r="G712" i="1"/>
  <c r="E713" i="1"/>
  <c r="F713" i="1" l="1"/>
  <c r="G713" i="1"/>
  <c r="E714" i="1"/>
  <c r="F714" i="1" l="1"/>
  <c r="G714" i="1"/>
  <c r="E715" i="1"/>
  <c r="F715" i="1" l="1"/>
  <c r="G715" i="1"/>
  <c r="E716" i="1"/>
  <c r="F716" i="1" l="1"/>
  <c r="G716" i="1"/>
  <c r="E717" i="1"/>
  <c r="F717" i="1" l="1"/>
  <c r="G717" i="1"/>
  <c r="E718" i="1"/>
  <c r="F718" i="1" l="1"/>
  <c r="G718" i="1"/>
  <c r="E719" i="1"/>
  <c r="F719" i="1" l="1"/>
  <c r="G719" i="1"/>
  <c r="E720" i="1"/>
  <c r="F720" i="1" l="1"/>
  <c r="G720" i="1"/>
  <c r="E721" i="1"/>
  <c r="F721" i="1" l="1"/>
  <c r="G721" i="1"/>
  <c r="E722" i="1"/>
  <c r="F722" i="1" l="1"/>
  <c r="G722" i="1"/>
  <c r="E723" i="1"/>
  <c r="F723" i="1" l="1"/>
  <c r="G723" i="1"/>
  <c r="E724" i="1"/>
  <c r="F724" i="1" l="1"/>
  <c r="G724" i="1"/>
  <c r="E725" i="1"/>
  <c r="F725" i="1" l="1"/>
  <c r="G725" i="1"/>
  <c r="E726" i="1"/>
  <c r="F726" i="1" l="1"/>
  <c r="G726" i="1"/>
  <c r="E727" i="1"/>
  <c r="F727" i="1" l="1"/>
  <c r="G727" i="1"/>
  <c r="E728" i="1"/>
  <c r="F728" i="1" l="1"/>
  <c r="G728" i="1"/>
  <c r="E729" i="1"/>
  <c r="F729" i="1" l="1"/>
  <c r="G729" i="1"/>
  <c r="E730" i="1"/>
  <c r="F730" i="1" l="1"/>
  <c r="G730" i="1"/>
  <c r="E731" i="1"/>
  <c r="F731" i="1" l="1"/>
  <c r="G731" i="1"/>
  <c r="E732" i="1"/>
  <c r="F732" i="1" l="1"/>
  <c r="G732" i="1"/>
  <c r="E733" i="1"/>
  <c r="F733" i="1" l="1"/>
  <c r="G733" i="1"/>
  <c r="E734" i="1"/>
  <c r="F734" i="1" l="1"/>
  <c r="G734" i="1"/>
  <c r="E735" i="1"/>
  <c r="F735" i="1" l="1"/>
  <c r="G735" i="1"/>
  <c r="E736" i="1"/>
  <c r="F736" i="1" l="1"/>
  <c r="G736" i="1"/>
  <c r="E737" i="1"/>
  <c r="F737" i="1" l="1"/>
  <c r="G737" i="1"/>
  <c r="E738" i="1"/>
  <c r="F738" i="1" l="1"/>
  <c r="G738" i="1"/>
  <c r="E739" i="1"/>
  <c r="F739" i="1" l="1"/>
  <c r="G739" i="1"/>
  <c r="E740" i="1"/>
  <c r="F740" i="1" l="1"/>
  <c r="G740" i="1"/>
  <c r="E741" i="1"/>
  <c r="F741" i="1" l="1"/>
  <c r="G741" i="1"/>
  <c r="E742" i="1"/>
  <c r="F742" i="1" l="1"/>
  <c r="G742" i="1"/>
  <c r="E743" i="1"/>
  <c r="F743" i="1" l="1"/>
  <c r="G743" i="1"/>
  <c r="E744" i="1"/>
  <c r="F744" i="1" l="1"/>
  <c r="G744" i="1"/>
  <c r="E745" i="1"/>
  <c r="F745" i="1" l="1"/>
  <c r="G745" i="1"/>
  <c r="E746" i="1"/>
  <c r="F746" i="1" l="1"/>
  <c r="G746" i="1"/>
  <c r="E747" i="1"/>
  <c r="F747" i="1" l="1"/>
  <c r="G747" i="1"/>
  <c r="E748" i="1"/>
  <c r="F748" i="1" l="1"/>
  <c r="G748" i="1"/>
  <c r="E749" i="1"/>
  <c r="F749" i="1" l="1"/>
  <c r="G749" i="1"/>
  <c r="E750" i="1"/>
  <c r="F750" i="1" l="1"/>
  <c r="G750" i="1"/>
  <c r="E751" i="1"/>
  <c r="F751" i="1" l="1"/>
  <c r="G751" i="1"/>
  <c r="E752" i="1"/>
  <c r="F752" i="1" l="1"/>
  <c r="G752" i="1"/>
  <c r="E753" i="1"/>
  <c r="F753" i="1" l="1"/>
  <c r="G753" i="1"/>
  <c r="E754" i="1"/>
  <c r="F754" i="1" l="1"/>
  <c r="G754" i="1"/>
  <c r="E755" i="1"/>
  <c r="F755" i="1" l="1"/>
  <c r="G755" i="1"/>
  <c r="E756" i="1"/>
  <c r="F756" i="1" l="1"/>
  <c r="G756" i="1"/>
  <c r="E757" i="1"/>
  <c r="F757" i="1" l="1"/>
  <c r="G757" i="1"/>
  <c r="E758" i="1"/>
  <c r="F758" i="1" l="1"/>
  <c r="G758" i="1"/>
  <c r="E759" i="1"/>
  <c r="F759" i="1" l="1"/>
  <c r="G759" i="1"/>
  <c r="E760" i="1"/>
  <c r="F760" i="1" l="1"/>
  <c r="G760" i="1"/>
  <c r="E761" i="1"/>
  <c r="F761" i="1" l="1"/>
  <c r="G761" i="1"/>
  <c r="E762" i="1"/>
  <c r="F762" i="1" l="1"/>
  <c r="G762" i="1"/>
  <c r="E763" i="1"/>
  <c r="F763" i="1" l="1"/>
  <c r="G763" i="1"/>
  <c r="E764" i="1"/>
  <c r="F764" i="1" l="1"/>
  <c r="G764" i="1"/>
  <c r="E765" i="1"/>
  <c r="F765" i="1" l="1"/>
  <c r="G765" i="1"/>
  <c r="E766" i="1"/>
  <c r="F766" i="1" l="1"/>
  <c r="G766" i="1"/>
  <c r="E767" i="1"/>
  <c r="F767" i="1" l="1"/>
  <c r="G767" i="1"/>
  <c r="E768" i="1"/>
  <c r="F768" i="1" l="1"/>
  <c r="G768" i="1"/>
  <c r="E769" i="1"/>
  <c r="F769" i="1" l="1"/>
  <c r="G769" i="1"/>
  <c r="E770" i="1"/>
  <c r="F770" i="1" l="1"/>
  <c r="G770" i="1"/>
  <c r="E771" i="1"/>
  <c r="F771" i="1" l="1"/>
  <c r="G771" i="1"/>
  <c r="E772" i="1"/>
  <c r="F772" i="1" l="1"/>
  <c r="G772" i="1"/>
  <c r="E773" i="1"/>
  <c r="F773" i="1" l="1"/>
  <c r="G773" i="1"/>
  <c r="E774" i="1"/>
  <c r="F774" i="1" l="1"/>
  <c r="G774" i="1"/>
  <c r="E775" i="1"/>
  <c r="F775" i="1" l="1"/>
  <c r="G775" i="1"/>
  <c r="E776" i="1"/>
  <c r="F776" i="1" l="1"/>
  <c r="G776" i="1"/>
  <c r="E777" i="1"/>
  <c r="F777" i="1" l="1"/>
  <c r="G777" i="1"/>
  <c r="E778" i="1"/>
  <c r="F778" i="1" l="1"/>
  <c r="G778" i="1"/>
  <c r="E779" i="1"/>
  <c r="F779" i="1" l="1"/>
  <c r="G779" i="1"/>
  <c r="E780" i="1"/>
  <c r="F780" i="1" l="1"/>
  <c r="G780" i="1"/>
  <c r="E781" i="1"/>
  <c r="F781" i="1" l="1"/>
  <c r="G781" i="1"/>
  <c r="E782" i="1"/>
  <c r="F782" i="1" l="1"/>
  <c r="G782" i="1"/>
  <c r="E783" i="1"/>
  <c r="F783" i="1" l="1"/>
  <c r="G783" i="1"/>
  <c r="E784" i="1"/>
  <c r="F784" i="1" l="1"/>
  <c r="G784" i="1"/>
  <c r="E785" i="1"/>
  <c r="F785" i="1" l="1"/>
  <c r="G785" i="1"/>
  <c r="E786" i="1"/>
  <c r="F786" i="1" l="1"/>
  <c r="G786" i="1"/>
  <c r="E787" i="1"/>
  <c r="F787" i="1" l="1"/>
  <c r="G787" i="1"/>
  <c r="E788" i="1"/>
  <c r="F788" i="1" l="1"/>
  <c r="G788" i="1"/>
  <c r="E789" i="1"/>
  <c r="F789" i="1" l="1"/>
  <c r="G789" i="1"/>
  <c r="E790" i="1"/>
  <c r="F790" i="1" l="1"/>
  <c r="G790" i="1"/>
  <c r="E791" i="1"/>
  <c r="F791" i="1" l="1"/>
  <c r="G791" i="1"/>
  <c r="E792" i="1"/>
  <c r="F792" i="1" l="1"/>
  <c r="G792" i="1"/>
  <c r="E793" i="1"/>
  <c r="F793" i="1" l="1"/>
  <c r="G793" i="1"/>
  <c r="E794" i="1"/>
  <c r="F794" i="1" l="1"/>
  <c r="G794" i="1"/>
  <c r="E795" i="1"/>
  <c r="F795" i="1" l="1"/>
  <c r="G795" i="1"/>
  <c r="E796" i="1"/>
  <c r="F796" i="1" l="1"/>
  <c r="G796" i="1"/>
  <c r="E797" i="1"/>
  <c r="F797" i="1" l="1"/>
  <c r="G797" i="1"/>
  <c r="E798" i="1"/>
  <c r="F798" i="1" l="1"/>
  <c r="G798" i="1"/>
  <c r="E799" i="1"/>
  <c r="F799" i="1" l="1"/>
  <c r="G799" i="1"/>
  <c r="E800" i="1"/>
  <c r="F800" i="1" l="1"/>
  <c r="G800" i="1"/>
  <c r="E801" i="1"/>
  <c r="F801" i="1" l="1"/>
  <c r="G801" i="1"/>
  <c r="E802" i="1"/>
  <c r="F802" i="1" l="1"/>
  <c r="G802" i="1"/>
  <c r="E803" i="1"/>
  <c r="F803" i="1" l="1"/>
  <c r="G803" i="1"/>
  <c r="E804" i="1"/>
  <c r="F804" i="1" l="1"/>
  <c r="G804" i="1"/>
  <c r="E805" i="1"/>
  <c r="F805" i="1" l="1"/>
  <c r="G805" i="1"/>
  <c r="E806" i="1"/>
  <c r="F806" i="1" l="1"/>
  <c r="G806" i="1"/>
  <c r="E807" i="1"/>
  <c r="F807" i="1" l="1"/>
  <c r="G807" i="1"/>
  <c r="E808" i="1"/>
  <c r="F808" i="1" l="1"/>
  <c r="G808" i="1"/>
  <c r="E809" i="1"/>
  <c r="F809" i="1" l="1"/>
  <c r="G809" i="1"/>
  <c r="E810" i="1"/>
  <c r="F810" i="1" l="1"/>
  <c r="G810" i="1"/>
  <c r="E811" i="1"/>
  <c r="F811" i="1" l="1"/>
  <c r="G811" i="1"/>
  <c r="E812" i="1"/>
  <c r="F812" i="1" l="1"/>
  <c r="G812" i="1"/>
  <c r="E813" i="1"/>
  <c r="F813" i="1" l="1"/>
  <c r="G813" i="1"/>
  <c r="E814" i="1"/>
  <c r="F814" i="1" l="1"/>
  <c r="G814" i="1"/>
  <c r="E815" i="1"/>
  <c r="F815" i="1" l="1"/>
  <c r="G815" i="1"/>
  <c r="E816" i="1"/>
  <c r="F816" i="1" l="1"/>
  <c r="G816" i="1"/>
  <c r="E817" i="1"/>
  <c r="F817" i="1" l="1"/>
  <c r="G817" i="1"/>
  <c r="E818" i="1"/>
  <c r="F818" i="1" l="1"/>
  <c r="G818" i="1"/>
  <c r="E819" i="1"/>
  <c r="F819" i="1" l="1"/>
  <c r="G819" i="1"/>
  <c r="E820" i="1"/>
  <c r="F820" i="1" l="1"/>
  <c r="G820" i="1"/>
  <c r="E821" i="1"/>
  <c r="F821" i="1" l="1"/>
  <c r="G821" i="1"/>
  <c r="E822" i="1"/>
  <c r="F822" i="1" l="1"/>
  <c r="G822" i="1"/>
  <c r="E823" i="1"/>
  <c r="F823" i="1" l="1"/>
  <c r="G823" i="1"/>
  <c r="E824" i="1"/>
  <c r="F824" i="1" l="1"/>
  <c r="G824" i="1"/>
  <c r="E825" i="1"/>
  <c r="F825" i="1" l="1"/>
  <c r="G825" i="1"/>
  <c r="E826" i="1"/>
  <c r="F826" i="1" l="1"/>
  <c r="G826" i="1"/>
  <c r="E827" i="1"/>
  <c r="F827" i="1" l="1"/>
  <c r="G827" i="1"/>
  <c r="E828" i="1"/>
  <c r="F828" i="1" l="1"/>
  <c r="G828" i="1"/>
  <c r="E829" i="1"/>
  <c r="F829" i="1" l="1"/>
  <c r="G829" i="1"/>
  <c r="E830" i="1"/>
  <c r="F830" i="1" l="1"/>
  <c r="G830" i="1"/>
  <c r="E831" i="1"/>
  <c r="F831" i="1" l="1"/>
  <c r="G831" i="1"/>
  <c r="E832" i="1"/>
  <c r="F832" i="1" l="1"/>
  <c r="G832" i="1"/>
  <c r="E833" i="1"/>
  <c r="F833" i="1" l="1"/>
  <c r="G833" i="1"/>
  <c r="E834" i="1"/>
  <c r="F834" i="1" l="1"/>
  <c r="G834" i="1"/>
  <c r="E835" i="1"/>
  <c r="F835" i="1" l="1"/>
  <c r="G835" i="1"/>
  <c r="E836" i="1"/>
  <c r="F836" i="1" l="1"/>
  <c r="G836" i="1"/>
  <c r="E837" i="1"/>
  <c r="F837" i="1" l="1"/>
  <c r="G837" i="1"/>
  <c r="E838" i="1"/>
  <c r="F838" i="1" l="1"/>
  <c r="G838" i="1"/>
  <c r="E839" i="1"/>
  <c r="F839" i="1" l="1"/>
  <c r="G839" i="1"/>
  <c r="E840" i="1"/>
  <c r="F840" i="1" l="1"/>
  <c r="G840" i="1"/>
  <c r="E841" i="1"/>
  <c r="F841" i="1" l="1"/>
  <c r="G841" i="1"/>
  <c r="E842" i="1"/>
  <c r="F842" i="1" l="1"/>
  <c r="G842" i="1"/>
  <c r="E843" i="1"/>
  <c r="F843" i="1" l="1"/>
  <c r="G843" i="1"/>
  <c r="E844" i="1"/>
  <c r="F844" i="1" l="1"/>
  <c r="G844" i="1"/>
  <c r="E845" i="1"/>
  <c r="F845" i="1" l="1"/>
  <c r="G845" i="1"/>
  <c r="E846" i="1"/>
  <c r="F846" i="1" l="1"/>
  <c r="G846" i="1"/>
  <c r="E847" i="1"/>
  <c r="F847" i="1" l="1"/>
  <c r="G847" i="1"/>
  <c r="E848" i="1"/>
  <c r="F848" i="1" l="1"/>
  <c r="G848" i="1"/>
  <c r="E849" i="1"/>
  <c r="F849" i="1" l="1"/>
  <c r="G849" i="1"/>
  <c r="E850" i="1"/>
  <c r="F850" i="1" l="1"/>
  <c r="G850" i="1"/>
  <c r="E851" i="1"/>
  <c r="F851" i="1" l="1"/>
  <c r="G851" i="1"/>
  <c r="E852" i="1"/>
  <c r="F852" i="1" l="1"/>
  <c r="G852" i="1"/>
  <c r="E853" i="1"/>
  <c r="F853" i="1" l="1"/>
  <c r="G853" i="1"/>
  <c r="E854" i="1"/>
  <c r="F854" i="1" l="1"/>
  <c r="G854" i="1"/>
  <c r="E855" i="1"/>
  <c r="F855" i="1" l="1"/>
  <c r="G855" i="1"/>
  <c r="E856" i="1"/>
  <c r="F856" i="1" l="1"/>
  <c r="G856" i="1"/>
  <c r="E857" i="1"/>
  <c r="F857" i="1" l="1"/>
  <c r="G857" i="1"/>
  <c r="E858" i="1"/>
  <c r="F858" i="1" l="1"/>
  <c r="G858" i="1"/>
  <c r="E859" i="1"/>
  <c r="F859" i="1" l="1"/>
  <c r="G859" i="1"/>
  <c r="E860" i="1"/>
  <c r="F860" i="1" l="1"/>
  <c r="G860" i="1"/>
  <c r="E861" i="1"/>
  <c r="F861" i="1" l="1"/>
  <c r="G861" i="1"/>
  <c r="E862" i="1"/>
  <c r="F862" i="1" l="1"/>
  <c r="G862" i="1"/>
  <c r="E863" i="1"/>
  <c r="F863" i="1" l="1"/>
  <c r="G863" i="1"/>
  <c r="E864" i="1"/>
  <c r="F864" i="1" l="1"/>
  <c r="G864" i="1"/>
  <c r="E865" i="1"/>
  <c r="F865" i="1" l="1"/>
  <c r="G865" i="1"/>
  <c r="E866" i="1"/>
  <c r="F866" i="1" l="1"/>
  <c r="G866" i="1"/>
  <c r="E867" i="1"/>
  <c r="F867" i="1" l="1"/>
  <c r="G867" i="1"/>
  <c r="E868" i="1"/>
  <c r="F868" i="1" l="1"/>
  <c r="G868" i="1"/>
  <c r="E869" i="1"/>
  <c r="F869" i="1" l="1"/>
  <c r="G869" i="1"/>
  <c r="E870" i="1"/>
  <c r="F870" i="1" l="1"/>
  <c r="G870" i="1"/>
  <c r="E871" i="1"/>
  <c r="F871" i="1" l="1"/>
  <c r="G871" i="1"/>
  <c r="E872" i="1"/>
  <c r="F872" i="1" l="1"/>
  <c r="G872" i="1"/>
  <c r="E873" i="1"/>
  <c r="F873" i="1" l="1"/>
  <c r="G873" i="1"/>
  <c r="E874" i="1"/>
  <c r="F874" i="1" l="1"/>
  <c r="G874" i="1"/>
  <c r="E875" i="1"/>
  <c r="F875" i="1" l="1"/>
  <c r="G875" i="1"/>
  <c r="E876" i="1"/>
  <c r="F876" i="1" l="1"/>
  <c r="G876" i="1"/>
  <c r="E877" i="1"/>
  <c r="F877" i="1" l="1"/>
  <c r="G877" i="1"/>
  <c r="E878" i="1"/>
  <c r="F878" i="1" l="1"/>
  <c r="G878" i="1"/>
  <c r="E879" i="1"/>
  <c r="F879" i="1" l="1"/>
  <c r="G879" i="1"/>
  <c r="E880" i="1"/>
  <c r="F880" i="1" l="1"/>
  <c r="G880" i="1"/>
  <c r="E881" i="1"/>
  <c r="F881" i="1" l="1"/>
  <c r="G881" i="1"/>
  <c r="E882" i="1"/>
  <c r="F882" i="1" l="1"/>
  <c r="G882" i="1"/>
  <c r="E883" i="1"/>
  <c r="F883" i="1" l="1"/>
  <c r="G883" i="1"/>
  <c r="E884" i="1"/>
  <c r="F884" i="1" l="1"/>
  <c r="G884" i="1"/>
  <c r="E885" i="1"/>
  <c r="F885" i="1" l="1"/>
  <c r="G885" i="1"/>
  <c r="E886" i="1"/>
  <c r="F886" i="1" l="1"/>
  <c r="G886" i="1"/>
  <c r="E887" i="1"/>
  <c r="F887" i="1" l="1"/>
  <c r="G887" i="1"/>
  <c r="E888" i="1"/>
  <c r="F888" i="1" l="1"/>
  <c r="G888" i="1"/>
  <c r="E889" i="1"/>
  <c r="F889" i="1" l="1"/>
  <c r="G889" i="1"/>
  <c r="E890" i="1"/>
  <c r="F890" i="1" l="1"/>
  <c r="G890" i="1"/>
  <c r="E891" i="1"/>
  <c r="F891" i="1" l="1"/>
  <c r="G891" i="1"/>
  <c r="E892" i="1"/>
  <c r="F892" i="1" l="1"/>
  <c r="G892" i="1"/>
  <c r="E893" i="1"/>
  <c r="F893" i="1" l="1"/>
  <c r="G893" i="1"/>
  <c r="E894" i="1"/>
  <c r="F894" i="1" l="1"/>
  <c r="G894" i="1"/>
  <c r="E895" i="1"/>
  <c r="F895" i="1" l="1"/>
  <c r="G895" i="1"/>
  <c r="E896" i="1"/>
  <c r="F896" i="1" l="1"/>
  <c r="G896" i="1"/>
  <c r="E897" i="1"/>
  <c r="F897" i="1" l="1"/>
  <c r="G897" i="1"/>
  <c r="E898" i="1"/>
  <c r="F898" i="1" l="1"/>
  <c r="G898" i="1"/>
  <c r="E899" i="1"/>
  <c r="F899" i="1" l="1"/>
  <c r="G899" i="1"/>
  <c r="E900" i="1"/>
  <c r="F900" i="1" l="1"/>
  <c r="G900" i="1"/>
  <c r="E901" i="1"/>
  <c r="F901" i="1" l="1"/>
  <c r="G901" i="1"/>
  <c r="E902" i="1"/>
  <c r="F902" i="1" l="1"/>
  <c r="G902" i="1"/>
  <c r="E903" i="1"/>
  <c r="F903" i="1" l="1"/>
  <c r="G903" i="1"/>
  <c r="E904" i="1"/>
  <c r="F904" i="1" l="1"/>
  <c r="G904" i="1"/>
  <c r="E905" i="1"/>
  <c r="F905" i="1" l="1"/>
  <c r="G905" i="1"/>
  <c r="E906" i="1"/>
  <c r="F906" i="1" l="1"/>
  <c r="G906" i="1"/>
  <c r="E907" i="1"/>
  <c r="F907" i="1" l="1"/>
  <c r="G907" i="1"/>
  <c r="E908" i="1"/>
  <c r="F908" i="1" l="1"/>
  <c r="G908" i="1"/>
  <c r="E909" i="1"/>
  <c r="F909" i="1" l="1"/>
  <c r="G909" i="1"/>
  <c r="E910" i="1"/>
  <c r="F910" i="1" l="1"/>
  <c r="G910" i="1"/>
  <c r="E911" i="1"/>
  <c r="F911" i="1" l="1"/>
  <c r="G911" i="1"/>
  <c r="E912" i="1"/>
  <c r="F912" i="1" l="1"/>
  <c r="G912" i="1"/>
  <c r="E913" i="1"/>
  <c r="F913" i="1" l="1"/>
  <c r="G913" i="1"/>
  <c r="E914" i="1"/>
  <c r="F914" i="1" l="1"/>
  <c r="G914" i="1"/>
  <c r="E915" i="1"/>
  <c r="F915" i="1" l="1"/>
  <c r="G915" i="1"/>
  <c r="E916" i="1"/>
  <c r="F916" i="1" l="1"/>
  <c r="G916" i="1"/>
  <c r="E917" i="1"/>
  <c r="F917" i="1" l="1"/>
  <c r="G917" i="1"/>
  <c r="E918" i="1"/>
  <c r="F918" i="1" l="1"/>
  <c r="G918" i="1"/>
  <c r="E919" i="1"/>
  <c r="F919" i="1" l="1"/>
  <c r="G919" i="1"/>
  <c r="E920" i="1"/>
  <c r="F920" i="1" l="1"/>
  <c r="G920" i="1"/>
  <c r="E921" i="1"/>
  <c r="F921" i="1" l="1"/>
  <c r="G921" i="1"/>
  <c r="E922" i="1"/>
  <c r="F922" i="1" l="1"/>
  <c r="G922" i="1"/>
  <c r="E923" i="1"/>
  <c r="F923" i="1" l="1"/>
  <c r="G923" i="1"/>
  <c r="E924" i="1"/>
  <c r="F924" i="1" l="1"/>
  <c r="G924" i="1"/>
  <c r="E925" i="1"/>
  <c r="F925" i="1" l="1"/>
  <c r="G925" i="1"/>
  <c r="E926" i="1"/>
  <c r="F926" i="1" l="1"/>
  <c r="G926" i="1"/>
  <c r="E927" i="1"/>
  <c r="F927" i="1" l="1"/>
  <c r="G927" i="1"/>
  <c r="E928" i="1"/>
  <c r="F928" i="1" l="1"/>
  <c r="G928" i="1"/>
  <c r="E929" i="1"/>
  <c r="F929" i="1" l="1"/>
  <c r="G929" i="1"/>
  <c r="E930" i="1"/>
  <c r="F930" i="1" l="1"/>
  <c r="G930" i="1"/>
  <c r="E931" i="1"/>
  <c r="F931" i="1" l="1"/>
  <c r="G931" i="1"/>
  <c r="E932" i="1"/>
  <c r="F932" i="1" l="1"/>
  <c r="G932" i="1"/>
  <c r="E933" i="1"/>
  <c r="F933" i="1" l="1"/>
  <c r="G933" i="1"/>
  <c r="E934" i="1"/>
  <c r="F934" i="1" l="1"/>
  <c r="G934" i="1"/>
  <c r="E935" i="1"/>
  <c r="F935" i="1" l="1"/>
  <c r="G935" i="1"/>
  <c r="E936" i="1"/>
  <c r="F936" i="1" l="1"/>
  <c r="G936" i="1"/>
  <c r="E937" i="1"/>
  <c r="F937" i="1" l="1"/>
  <c r="G937" i="1"/>
  <c r="E938" i="1"/>
  <c r="F938" i="1" l="1"/>
  <c r="G938" i="1"/>
  <c r="E939" i="1"/>
  <c r="F939" i="1" l="1"/>
  <c r="G939" i="1"/>
  <c r="E940" i="1"/>
  <c r="F940" i="1" l="1"/>
  <c r="G940" i="1"/>
  <c r="E941" i="1"/>
  <c r="F941" i="1" l="1"/>
  <c r="G941" i="1"/>
  <c r="E942" i="1"/>
  <c r="F942" i="1" l="1"/>
  <c r="G942" i="1"/>
  <c r="E943" i="1"/>
  <c r="F943" i="1" l="1"/>
  <c r="G943" i="1"/>
  <c r="E944" i="1"/>
  <c r="F944" i="1" l="1"/>
  <c r="G944" i="1"/>
  <c r="E945" i="1"/>
  <c r="F945" i="1" l="1"/>
  <c r="G945" i="1"/>
  <c r="E946" i="1"/>
  <c r="F946" i="1" l="1"/>
  <c r="G946" i="1"/>
  <c r="E947" i="1"/>
  <c r="F947" i="1" l="1"/>
  <c r="G947" i="1"/>
  <c r="E948" i="1"/>
  <c r="F948" i="1" l="1"/>
  <c r="G948" i="1"/>
  <c r="E949" i="1"/>
  <c r="F949" i="1" l="1"/>
  <c r="G949" i="1"/>
  <c r="E950" i="1"/>
  <c r="F950" i="1" l="1"/>
  <c r="G950" i="1"/>
  <c r="E951" i="1"/>
  <c r="F951" i="1" l="1"/>
  <c r="G951" i="1"/>
  <c r="E952" i="1"/>
  <c r="F952" i="1" l="1"/>
  <c r="G952" i="1"/>
  <c r="E953" i="1"/>
  <c r="F953" i="1" l="1"/>
  <c r="G953" i="1"/>
  <c r="E954" i="1"/>
  <c r="F954" i="1" l="1"/>
  <c r="G954" i="1"/>
  <c r="E955" i="1"/>
  <c r="F955" i="1" l="1"/>
  <c r="G955" i="1"/>
  <c r="E956" i="1"/>
  <c r="F956" i="1" l="1"/>
  <c r="G956" i="1"/>
  <c r="E957" i="1"/>
  <c r="F957" i="1" l="1"/>
  <c r="G957" i="1"/>
  <c r="E958" i="1"/>
  <c r="F958" i="1" l="1"/>
  <c r="G958" i="1"/>
  <c r="E959" i="1"/>
  <c r="F959" i="1" l="1"/>
  <c r="G959" i="1"/>
  <c r="E960" i="1"/>
  <c r="F960" i="1" l="1"/>
  <c r="G960" i="1"/>
  <c r="E961" i="1"/>
  <c r="F961" i="1" l="1"/>
  <c r="G961" i="1"/>
  <c r="E962" i="1"/>
  <c r="F962" i="1" l="1"/>
  <c r="G962" i="1"/>
  <c r="E963" i="1"/>
  <c r="F963" i="1" l="1"/>
  <c r="G963" i="1"/>
  <c r="E964" i="1"/>
  <c r="F964" i="1" l="1"/>
  <c r="G964" i="1"/>
  <c r="E965" i="1"/>
  <c r="F965" i="1" l="1"/>
  <c r="G965" i="1"/>
  <c r="E966" i="1"/>
  <c r="F966" i="1" l="1"/>
  <c r="G966" i="1"/>
  <c r="E967" i="1"/>
  <c r="F967" i="1" l="1"/>
  <c r="G967" i="1"/>
  <c r="E968" i="1"/>
  <c r="F968" i="1" l="1"/>
  <c r="G968" i="1"/>
  <c r="E969" i="1"/>
  <c r="F969" i="1" l="1"/>
  <c r="G969" i="1"/>
  <c r="E970" i="1"/>
  <c r="F970" i="1" l="1"/>
  <c r="G970" i="1"/>
  <c r="E971" i="1"/>
  <c r="F971" i="1" l="1"/>
  <c r="G971" i="1"/>
  <c r="E972" i="1"/>
  <c r="F972" i="1" l="1"/>
  <c r="G972" i="1"/>
  <c r="E973" i="1"/>
  <c r="F973" i="1" l="1"/>
  <c r="G973" i="1"/>
  <c r="E974" i="1"/>
  <c r="F974" i="1" l="1"/>
  <c r="G974" i="1"/>
  <c r="E975" i="1"/>
  <c r="F975" i="1" l="1"/>
  <c r="G975" i="1"/>
  <c r="E976" i="1"/>
  <c r="F976" i="1" l="1"/>
  <c r="G976" i="1"/>
  <c r="E977" i="1"/>
  <c r="F977" i="1" l="1"/>
  <c r="G977" i="1"/>
  <c r="E978" i="1"/>
  <c r="F978" i="1" l="1"/>
  <c r="G978" i="1"/>
  <c r="E979" i="1"/>
  <c r="F979" i="1" l="1"/>
  <c r="G979" i="1"/>
  <c r="E980" i="1"/>
  <c r="F980" i="1" l="1"/>
  <c r="G980" i="1"/>
  <c r="E981" i="1"/>
  <c r="F981" i="1" l="1"/>
  <c r="G981" i="1"/>
  <c r="E982" i="1"/>
  <c r="F982" i="1" l="1"/>
  <c r="G982" i="1"/>
  <c r="E983" i="1"/>
  <c r="F983" i="1" l="1"/>
  <c r="G983" i="1"/>
  <c r="E984" i="1"/>
  <c r="F984" i="1" l="1"/>
  <c r="G984" i="1"/>
  <c r="E985" i="1"/>
  <c r="F985" i="1" l="1"/>
  <c r="G985" i="1"/>
  <c r="E986" i="1"/>
  <c r="F986" i="1" l="1"/>
  <c r="G986" i="1"/>
  <c r="E987" i="1"/>
  <c r="F987" i="1" l="1"/>
  <c r="G987" i="1"/>
  <c r="E988" i="1"/>
  <c r="F988" i="1" l="1"/>
  <c r="G988" i="1"/>
  <c r="E989" i="1"/>
  <c r="F989" i="1" l="1"/>
  <c r="G989" i="1"/>
  <c r="E990" i="1"/>
  <c r="F990" i="1" l="1"/>
  <c r="G990" i="1"/>
  <c r="E991" i="1"/>
  <c r="F991" i="1" l="1"/>
  <c r="G991" i="1"/>
  <c r="E992" i="1"/>
  <c r="F992" i="1" l="1"/>
  <c r="G992" i="1"/>
  <c r="E993" i="1"/>
  <c r="F993" i="1" l="1"/>
  <c r="G993" i="1"/>
  <c r="E994" i="1"/>
  <c r="F994" i="1" l="1"/>
  <c r="G994" i="1"/>
  <c r="E995" i="1"/>
  <c r="F995" i="1" l="1"/>
  <c r="G995" i="1"/>
  <c r="E996" i="1"/>
  <c r="F996" i="1" l="1"/>
  <c r="G996" i="1"/>
  <c r="E997" i="1"/>
  <c r="F997" i="1" l="1"/>
  <c r="G997" i="1"/>
  <c r="E998" i="1"/>
  <c r="F998" i="1" l="1"/>
  <c r="G998" i="1"/>
  <c r="E999" i="1"/>
  <c r="F999" i="1" l="1"/>
  <c r="G999" i="1"/>
  <c r="E1000" i="1"/>
  <c r="F1000" i="1" l="1"/>
  <c r="G1000" i="1"/>
  <c r="E1001" i="1"/>
  <c r="F1001" i="1" l="1"/>
  <c r="G1001" i="1"/>
  <c r="E1002" i="1"/>
  <c r="F1002" i="1" l="1"/>
  <c r="G1002" i="1"/>
  <c r="E1003" i="1"/>
  <c r="F1003" i="1" l="1"/>
  <c r="G1003" i="1"/>
  <c r="E1004" i="1"/>
  <c r="F1004" i="1" l="1"/>
  <c r="G1004" i="1"/>
  <c r="E1005" i="1"/>
  <c r="F1005" i="1" l="1"/>
  <c r="G1005" i="1"/>
  <c r="E1006" i="1"/>
  <c r="F1006" i="1" l="1"/>
  <c r="G1006" i="1"/>
  <c r="E1007" i="1"/>
  <c r="F1007" i="1" l="1"/>
  <c r="G1007" i="1"/>
  <c r="E1008" i="1"/>
  <c r="F1008" i="1" l="1"/>
  <c r="G1008" i="1"/>
  <c r="E1009" i="1"/>
  <c r="F1009" i="1" l="1"/>
  <c r="G1009" i="1"/>
  <c r="E1010" i="1"/>
  <c r="F1010" i="1" l="1"/>
  <c r="G1010" i="1"/>
  <c r="E1011" i="1"/>
  <c r="F1011" i="1" l="1"/>
  <c r="G1011" i="1"/>
  <c r="E1012" i="1"/>
  <c r="F10" i="1"/>
  <c r="F1012" i="1" l="1"/>
  <c r="G1012" i="1"/>
  <c r="E1013" i="1"/>
  <c r="F1013" i="1" l="1"/>
  <c r="G1013" i="1"/>
  <c r="E1014" i="1"/>
  <c r="F1014" i="1" l="1"/>
  <c r="G1014" i="1"/>
  <c r="E1015" i="1"/>
  <c r="F1015" i="1" l="1"/>
  <c r="G1015" i="1"/>
  <c r="E1016" i="1"/>
  <c r="F1016" i="1" l="1"/>
  <c r="G1016" i="1"/>
  <c r="E1017" i="1"/>
  <c r="F1017" i="1" l="1"/>
  <c r="G1017" i="1"/>
  <c r="E1018" i="1"/>
  <c r="F1018" i="1" l="1"/>
  <c r="G1018" i="1"/>
  <c r="E1019" i="1"/>
  <c r="F1019" i="1" l="1"/>
  <c r="G1019" i="1"/>
  <c r="E1020" i="1"/>
  <c r="F1020" i="1" l="1"/>
  <c r="G1020" i="1"/>
  <c r="E1021" i="1"/>
  <c r="F1021" i="1" l="1"/>
  <c r="G1021" i="1"/>
  <c r="E1022" i="1"/>
  <c r="F1022" i="1" l="1"/>
  <c r="G1022" i="1"/>
  <c r="E1023" i="1"/>
  <c r="F1023" i="1" l="1"/>
  <c r="G1023" i="1"/>
  <c r="E1024" i="1"/>
  <c r="F1024" i="1" l="1"/>
  <c r="G1024" i="1"/>
  <c r="E1025" i="1"/>
  <c r="F1025" i="1" l="1"/>
  <c r="G1025" i="1"/>
  <c r="E1026" i="1"/>
  <c r="F1026" i="1" l="1"/>
  <c r="G1026" i="1"/>
  <c r="E1027" i="1"/>
  <c r="F1027" i="1" l="1"/>
  <c r="G1027" i="1"/>
  <c r="E1028" i="1"/>
  <c r="F1028" i="1" l="1"/>
  <c r="G1028" i="1"/>
  <c r="E1029" i="1"/>
  <c r="F1029" i="1" l="1"/>
  <c r="G1029" i="1"/>
  <c r="E1030" i="1"/>
  <c r="F1030" i="1" l="1"/>
  <c r="G1030" i="1"/>
  <c r="E1031" i="1"/>
  <c r="F1031" i="1" l="1"/>
  <c r="G1031" i="1"/>
  <c r="E1032" i="1"/>
  <c r="F1032" i="1" l="1"/>
  <c r="G1032" i="1"/>
  <c r="E1033" i="1"/>
  <c r="F1033" i="1" l="1"/>
  <c r="G1033" i="1"/>
  <c r="E1034" i="1"/>
  <c r="F1034" i="1" l="1"/>
  <c r="G1034" i="1"/>
  <c r="E1035" i="1"/>
  <c r="F1035" i="1" l="1"/>
  <c r="G1035" i="1"/>
  <c r="E1036" i="1"/>
  <c r="F1036" i="1" l="1"/>
  <c r="G1036" i="1"/>
  <c r="E1037" i="1"/>
  <c r="F1037" i="1" l="1"/>
  <c r="G1037" i="1"/>
  <c r="E1038" i="1"/>
  <c r="F1038" i="1" l="1"/>
  <c r="G1038" i="1"/>
  <c r="E1039" i="1"/>
  <c r="F1039" i="1" l="1"/>
  <c r="G1039" i="1"/>
  <c r="E1040" i="1"/>
  <c r="F1040" i="1" l="1"/>
  <c r="G1040" i="1"/>
  <c r="E1041" i="1"/>
  <c r="F1041" i="1" l="1"/>
  <c r="G1041" i="1"/>
  <c r="E1042" i="1"/>
  <c r="F1042" i="1" l="1"/>
  <c r="G1042" i="1"/>
  <c r="E1043" i="1"/>
  <c r="F1043" i="1" l="1"/>
  <c r="G1043" i="1"/>
  <c r="E1044" i="1"/>
  <c r="F1044" i="1" l="1"/>
  <c r="G1044" i="1"/>
  <c r="E1045" i="1"/>
  <c r="F1045" i="1" l="1"/>
  <c r="G1045" i="1"/>
  <c r="E1046" i="1"/>
  <c r="F1046" i="1" l="1"/>
  <c r="G1046" i="1"/>
  <c r="E1047" i="1"/>
  <c r="F1047" i="1" l="1"/>
  <c r="G1047" i="1"/>
  <c r="E1048" i="1"/>
  <c r="F1048" i="1" l="1"/>
  <c r="G1048" i="1"/>
  <c r="E1049" i="1"/>
  <c r="F1049" i="1" l="1"/>
  <c r="G1049" i="1"/>
  <c r="E1050" i="1"/>
  <c r="F1050" i="1" l="1"/>
  <c r="G1050" i="1"/>
  <c r="E1051" i="1"/>
  <c r="F1051" i="1" l="1"/>
  <c r="G1051" i="1"/>
  <c r="E1052" i="1"/>
  <c r="F1052" i="1" l="1"/>
  <c r="G1052" i="1"/>
  <c r="E1053" i="1"/>
  <c r="F1053" i="1" l="1"/>
  <c r="G1053" i="1"/>
  <c r="E1054" i="1"/>
  <c r="F1054" i="1" l="1"/>
  <c r="G1054" i="1"/>
  <c r="E1055" i="1"/>
  <c r="F1055" i="1" l="1"/>
  <c r="G1055" i="1"/>
  <c r="E1056" i="1"/>
  <c r="F1056" i="1" l="1"/>
  <c r="G1056" i="1"/>
  <c r="E1057" i="1"/>
  <c r="F1057" i="1" l="1"/>
  <c r="G1057" i="1"/>
  <c r="E1058" i="1"/>
  <c r="F1058" i="1" l="1"/>
  <c r="G1058" i="1"/>
  <c r="E1059" i="1"/>
  <c r="F1059" i="1" l="1"/>
  <c r="G1059" i="1"/>
  <c r="E1060" i="1"/>
  <c r="F1060" i="1" l="1"/>
  <c r="G1060" i="1"/>
  <c r="E1061" i="1"/>
  <c r="F1061" i="1" l="1"/>
  <c r="G1061" i="1"/>
  <c r="E1062" i="1"/>
  <c r="F1062" i="1" l="1"/>
  <c r="G1062" i="1"/>
  <c r="E1063" i="1"/>
  <c r="F1063" i="1" l="1"/>
  <c r="G1063" i="1"/>
  <c r="E1064" i="1"/>
  <c r="F1064" i="1" l="1"/>
  <c r="G1064" i="1"/>
  <c r="E1065" i="1"/>
  <c r="F1065" i="1" l="1"/>
  <c r="G1065" i="1"/>
  <c r="E1066" i="1"/>
  <c r="F1066" i="1" l="1"/>
  <c r="G1066" i="1"/>
  <c r="E1067" i="1"/>
  <c r="F1067" i="1" l="1"/>
  <c r="G1067" i="1"/>
  <c r="E1068" i="1"/>
  <c r="F1068" i="1" l="1"/>
  <c r="G1068" i="1"/>
  <c r="E1069" i="1"/>
  <c r="F1069" i="1" l="1"/>
  <c r="G1069" i="1"/>
  <c r="E1070" i="1"/>
  <c r="F1070" i="1" l="1"/>
  <c r="G1070" i="1"/>
  <c r="E1071" i="1"/>
  <c r="F1071" i="1" l="1"/>
  <c r="G1071" i="1"/>
  <c r="E1072" i="1"/>
  <c r="F1072" i="1" l="1"/>
  <c r="G1072" i="1"/>
  <c r="E1073" i="1"/>
  <c r="F1073" i="1" l="1"/>
  <c r="G1073" i="1"/>
  <c r="E1074" i="1"/>
  <c r="F1074" i="1" l="1"/>
  <c r="G1074" i="1"/>
  <c r="E1075" i="1"/>
  <c r="F1075" i="1" l="1"/>
  <c r="G1075" i="1"/>
  <c r="E1076" i="1"/>
  <c r="F1076" i="1" l="1"/>
  <c r="G1076" i="1"/>
  <c r="E1077" i="1"/>
  <c r="F1077" i="1" l="1"/>
  <c r="G1077" i="1"/>
  <c r="E1078" i="1"/>
  <c r="F1078" i="1" l="1"/>
  <c r="G1078" i="1"/>
  <c r="E1079" i="1"/>
  <c r="F1079" i="1" l="1"/>
  <c r="G1079" i="1"/>
  <c r="E1080" i="1"/>
  <c r="F1080" i="1" l="1"/>
  <c r="G1080" i="1"/>
  <c r="E1081" i="1"/>
  <c r="F1081" i="1" l="1"/>
  <c r="G1081" i="1"/>
  <c r="E1082" i="1"/>
  <c r="F1082" i="1" l="1"/>
  <c r="G1082" i="1"/>
  <c r="E1083" i="1"/>
  <c r="F1083" i="1" l="1"/>
  <c r="G1083" i="1"/>
  <c r="E1084" i="1"/>
  <c r="F1084" i="1" l="1"/>
  <c r="G1084" i="1"/>
  <c r="E1085" i="1"/>
  <c r="F1085" i="1" l="1"/>
  <c r="G1085" i="1"/>
  <c r="E1086" i="1"/>
  <c r="F1086" i="1" l="1"/>
  <c r="G1086" i="1"/>
  <c r="E1087" i="1"/>
  <c r="F1087" i="1" l="1"/>
  <c r="G1087" i="1"/>
  <c r="E1088" i="1"/>
  <c r="F1088" i="1" l="1"/>
  <c r="G1088" i="1"/>
  <c r="E1089" i="1"/>
  <c r="F1089" i="1" l="1"/>
  <c r="G1089" i="1"/>
  <c r="E1090" i="1"/>
  <c r="F1090" i="1" l="1"/>
  <c r="G1090" i="1"/>
  <c r="E1091" i="1"/>
  <c r="F1091" i="1" l="1"/>
  <c r="G1091" i="1"/>
  <c r="E1092" i="1"/>
  <c r="F1092" i="1" l="1"/>
  <c r="G1092" i="1"/>
  <c r="E1093" i="1"/>
  <c r="F1093" i="1" l="1"/>
  <c r="G1093" i="1"/>
  <c r="E1094" i="1"/>
  <c r="F1094" i="1" l="1"/>
  <c r="G1094" i="1"/>
  <c r="E1095" i="1"/>
  <c r="F1095" i="1" l="1"/>
  <c r="G1095" i="1"/>
  <c r="E1096" i="1"/>
  <c r="F1096" i="1" l="1"/>
  <c r="G1096" i="1"/>
  <c r="E1097" i="1"/>
  <c r="F1097" i="1" l="1"/>
  <c r="G1097" i="1"/>
  <c r="E1098" i="1"/>
  <c r="F1098" i="1" l="1"/>
  <c r="G1098" i="1"/>
  <c r="E1099" i="1"/>
  <c r="F1099" i="1" l="1"/>
  <c r="G1099" i="1"/>
  <c r="E1100" i="1"/>
  <c r="F1100" i="1" l="1"/>
  <c r="G1100" i="1"/>
  <c r="E1101" i="1"/>
  <c r="F1101" i="1" l="1"/>
  <c r="G1101" i="1"/>
  <c r="E1102" i="1"/>
  <c r="F1102" i="1" l="1"/>
  <c r="G1102" i="1"/>
  <c r="E1103" i="1"/>
  <c r="F1103" i="1" l="1"/>
  <c r="G1103" i="1"/>
  <c r="E1104" i="1"/>
  <c r="F1104" i="1" l="1"/>
  <c r="G1104" i="1"/>
  <c r="E1105" i="1"/>
  <c r="F1105" i="1" l="1"/>
  <c r="G1105" i="1"/>
  <c r="E1106" i="1"/>
  <c r="F1106" i="1" l="1"/>
  <c r="G1106" i="1"/>
  <c r="E1107" i="1"/>
  <c r="F1107" i="1" l="1"/>
  <c r="G1107" i="1"/>
  <c r="E1108" i="1"/>
  <c r="F1108" i="1" l="1"/>
  <c r="G1108" i="1"/>
  <c r="E1109" i="1"/>
  <c r="F1109" i="1" l="1"/>
  <c r="G1109" i="1"/>
  <c r="E1110" i="1"/>
  <c r="F1110" i="1" l="1"/>
  <c r="G1110" i="1"/>
  <c r="E1111" i="1"/>
  <c r="F1111" i="1" l="1"/>
  <c r="G1111" i="1"/>
  <c r="E1112" i="1"/>
  <c r="F1112" i="1" l="1"/>
  <c r="G1112" i="1"/>
  <c r="E1113" i="1"/>
  <c r="F1113" i="1" l="1"/>
  <c r="G1113" i="1"/>
  <c r="E1114" i="1"/>
  <c r="F1114" i="1" l="1"/>
  <c r="G1114" i="1"/>
  <c r="E1115" i="1"/>
  <c r="F1115" i="1" l="1"/>
  <c r="G1115" i="1"/>
  <c r="E1116" i="1"/>
  <c r="F1116" i="1" l="1"/>
  <c r="G1116" i="1"/>
  <c r="E1117" i="1"/>
  <c r="F1117" i="1" l="1"/>
  <c r="G1117" i="1"/>
  <c r="E1118" i="1"/>
  <c r="F1118" i="1" l="1"/>
  <c r="G1118" i="1"/>
  <c r="E1119" i="1"/>
  <c r="F1119" i="1" l="1"/>
  <c r="G1119" i="1"/>
  <c r="E1120" i="1"/>
  <c r="F1120" i="1" l="1"/>
  <c r="G1120" i="1"/>
  <c r="E1121" i="1"/>
  <c r="F1121" i="1" l="1"/>
  <c r="G1121" i="1"/>
  <c r="E1122" i="1"/>
  <c r="F1122" i="1" l="1"/>
  <c r="G1122" i="1"/>
  <c r="E1123" i="1"/>
  <c r="F1123" i="1" l="1"/>
  <c r="G1123" i="1"/>
  <c r="E1124" i="1"/>
  <c r="F1124" i="1" l="1"/>
  <c r="G1124" i="1"/>
  <c r="E1125" i="1"/>
  <c r="F1125" i="1" l="1"/>
  <c r="G1125" i="1"/>
  <c r="E1126" i="1"/>
  <c r="F1126" i="1" l="1"/>
  <c r="G1126" i="1"/>
  <c r="E1127" i="1"/>
  <c r="F1127" i="1" l="1"/>
  <c r="G1127" i="1"/>
  <c r="E1128" i="1"/>
  <c r="F1128" i="1" l="1"/>
  <c r="G1128" i="1"/>
  <c r="E1129" i="1"/>
  <c r="F1129" i="1" l="1"/>
  <c r="G1129" i="1"/>
  <c r="E1130" i="1"/>
  <c r="F1130" i="1" l="1"/>
  <c r="G1130" i="1"/>
  <c r="E1131" i="1"/>
  <c r="F1131" i="1" l="1"/>
  <c r="G1131" i="1"/>
  <c r="E1132" i="1"/>
  <c r="F1132" i="1" l="1"/>
  <c r="G1132" i="1"/>
  <c r="E1133" i="1"/>
  <c r="F1133" i="1" l="1"/>
  <c r="G1133" i="1"/>
  <c r="E1134" i="1"/>
  <c r="F1134" i="1" l="1"/>
  <c r="G1134" i="1"/>
  <c r="E1135" i="1"/>
  <c r="F1135" i="1" l="1"/>
  <c r="G1135" i="1"/>
  <c r="E1136" i="1"/>
  <c r="F1136" i="1" l="1"/>
  <c r="G1136" i="1"/>
  <c r="E1137" i="1"/>
  <c r="F1137" i="1" l="1"/>
  <c r="G1137" i="1"/>
  <c r="E1138" i="1"/>
  <c r="F1138" i="1" l="1"/>
  <c r="G1138" i="1"/>
  <c r="E1139" i="1"/>
  <c r="F1139" i="1" l="1"/>
  <c r="G1139" i="1"/>
  <c r="E1140" i="1"/>
  <c r="F1140" i="1" l="1"/>
  <c r="G1140" i="1"/>
  <c r="E1141" i="1"/>
  <c r="F1141" i="1" l="1"/>
  <c r="G1141" i="1"/>
  <c r="E1142" i="1"/>
  <c r="F1142" i="1" l="1"/>
  <c r="G1142" i="1"/>
  <c r="E1143" i="1"/>
  <c r="F1143" i="1" l="1"/>
  <c r="G1143" i="1"/>
  <c r="E1144" i="1"/>
  <c r="F1144" i="1" l="1"/>
  <c r="G1144" i="1"/>
  <c r="E1145" i="1"/>
  <c r="F1145" i="1" l="1"/>
  <c r="G1145" i="1"/>
  <c r="E1146" i="1"/>
  <c r="F1146" i="1" l="1"/>
  <c r="G1146" i="1"/>
  <c r="E1147" i="1"/>
  <c r="F1147" i="1" l="1"/>
  <c r="G1147" i="1"/>
  <c r="E1148" i="1"/>
  <c r="F1148" i="1" l="1"/>
  <c r="G1148" i="1"/>
  <c r="E1149" i="1"/>
  <c r="F1149" i="1" l="1"/>
  <c r="G1149" i="1"/>
  <c r="E1150" i="1"/>
  <c r="F1150" i="1" l="1"/>
  <c r="G1150" i="1"/>
  <c r="E1151" i="1"/>
  <c r="F1151" i="1" l="1"/>
  <c r="G1151" i="1"/>
  <c r="E1152" i="1"/>
  <c r="F1152" i="1" l="1"/>
  <c r="G1152" i="1"/>
  <c r="E1153" i="1"/>
  <c r="F1153" i="1" l="1"/>
  <c r="G1153" i="1"/>
  <c r="E1154" i="1"/>
  <c r="F1154" i="1" l="1"/>
  <c r="G1154" i="1"/>
  <c r="E1155" i="1"/>
  <c r="F1155" i="1" l="1"/>
  <c r="G1155" i="1"/>
  <c r="E1156" i="1"/>
  <c r="F1156" i="1" l="1"/>
  <c r="G1156" i="1"/>
  <c r="E1157" i="1"/>
  <c r="F1157" i="1" l="1"/>
  <c r="G1157" i="1"/>
  <c r="E1158" i="1"/>
  <c r="F1158" i="1" l="1"/>
  <c r="G1158" i="1"/>
  <c r="E1159" i="1"/>
  <c r="F1159" i="1" l="1"/>
  <c r="G1159" i="1"/>
  <c r="E1160" i="1"/>
  <c r="F1160" i="1" l="1"/>
  <c r="G1160" i="1"/>
  <c r="E1161" i="1"/>
  <c r="F1161" i="1" l="1"/>
  <c r="G1161" i="1"/>
  <c r="E1162" i="1"/>
  <c r="F1162" i="1" l="1"/>
  <c r="G1162" i="1"/>
  <c r="E1163" i="1"/>
  <c r="F1163" i="1" l="1"/>
  <c r="G1163" i="1"/>
  <c r="E1164" i="1"/>
  <c r="F1164" i="1" l="1"/>
  <c r="G1164" i="1"/>
  <c r="E1165" i="1"/>
  <c r="F1165" i="1" l="1"/>
  <c r="G1165" i="1"/>
  <c r="E1166" i="1"/>
  <c r="F1166" i="1" l="1"/>
  <c r="G1166" i="1"/>
  <c r="E1167" i="1"/>
  <c r="F1167" i="1" l="1"/>
  <c r="G1167" i="1"/>
  <c r="E1168" i="1"/>
  <c r="F1168" i="1" l="1"/>
  <c r="G1168" i="1"/>
  <c r="E1169" i="1"/>
  <c r="F1169" i="1" l="1"/>
  <c r="G1169" i="1"/>
  <c r="E1170" i="1"/>
  <c r="F1170" i="1" l="1"/>
  <c r="G1170" i="1"/>
  <c r="E1171" i="1"/>
  <c r="F1171" i="1" l="1"/>
  <c r="G1171" i="1"/>
  <c r="E1172" i="1"/>
  <c r="F1172" i="1" l="1"/>
  <c r="G1172" i="1"/>
  <c r="E1173" i="1"/>
  <c r="F1173" i="1" l="1"/>
  <c r="G1173" i="1"/>
  <c r="E1174" i="1"/>
  <c r="F1174" i="1" l="1"/>
  <c r="G1174" i="1"/>
  <c r="E1175" i="1"/>
  <c r="F1175" i="1" l="1"/>
  <c r="G1175" i="1"/>
  <c r="E1176" i="1"/>
  <c r="F1176" i="1" l="1"/>
  <c r="G1176" i="1"/>
  <c r="E1177" i="1"/>
  <c r="F1177" i="1" l="1"/>
  <c r="G1177" i="1"/>
  <c r="E1178" i="1"/>
  <c r="F1178" i="1" l="1"/>
  <c r="G1178" i="1"/>
  <c r="E1179" i="1"/>
  <c r="F1179" i="1" l="1"/>
  <c r="G1179" i="1"/>
  <c r="E1180" i="1"/>
  <c r="F1180" i="1" l="1"/>
  <c r="G1180" i="1"/>
  <c r="E1181" i="1"/>
  <c r="F1181" i="1" l="1"/>
  <c r="G1181" i="1"/>
  <c r="E1182" i="1"/>
  <c r="F1182" i="1" l="1"/>
  <c r="G1182" i="1"/>
  <c r="E1183" i="1"/>
  <c r="F1183" i="1" l="1"/>
  <c r="G1183" i="1"/>
  <c r="E1184" i="1"/>
  <c r="F1184" i="1" l="1"/>
  <c r="G1184" i="1"/>
  <c r="E1185" i="1"/>
  <c r="F1185" i="1" l="1"/>
  <c r="G1185" i="1"/>
  <c r="E1186" i="1"/>
  <c r="F1186" i="1" l="1"/>
  <c r="G1186" i="1"/>
  <c r="E1187" i="1"/>
  <c r="F1187" i="1" l="1"/>
  <c r="G1187" i="1"/>
  <c r="E1188" i="1"/>
  <c r="F1188" i="1" l="1"/>
  <c r="G1188" i="1"/>
  <c r="E1189" i="1"/>
  <c r="F1189" i="1" l="1"/>
  <c r="G1189" i="1"/>
  <c r="E1190" i="1"/>
  <c r="F1190" i="1" l="1"/>
  <c r="G1190" i="1"/>
  <c r="E1191" i="1"/>
  <c r="F1191" i="1" l="1"/>
  <c r="G1191" i="1"/>
  <c r="E1192" i="1"/>
  <c r="F1192" i="1" l="1"/>
  <c r="G1192" i="1"/>
  <c r="E1193" i="1"/>
  <c r="F1193" i="1" l="1"/>
  <c r="G1193" i="1"/>
  <c r="E1194" i="1"/>
  <c r="F1194" i="1" l="1"/>
  <c r="G1194" i="1"/>
  <c r="E1195" i="1"/>
  <c r="F1195" i="1" l="1"/>
  <c r="G1195" i="1"/>
  <c r="E1196" i="1"/>
  <c r="F1196" i="1" l="1"/>
  <c r="G1196" i="1"/>
  <c r="E1197" i="1"/>
  <c r="F1197" i="1" l="1"/>
  <c r="G1197" i="1"/>
  <c r="E1198" i="1"/>
  <c r="F1198" i="1" l="1"/>
  <c r="G1198" i="1"/>
  <c r="E1199" i="1"/>
  <c r="F1199" i="1" l="1"/>
  <c r="G1199" i="1"/>
  <c r="E1200" i="1"/>
  <c r="F1200" i="1" l="1"/>
  <c r="G1200" i="1"/>
  <c r="E1201" i="1"/>
  <c r="F1201" i="1" l="1"/>
  <c r="G1201" i="1"/>
  <c r="E1202" i="1"/>
  <c r="F1202" i="1" l="1"/>
  <c r="G1202" i="1"/>
  <c r="E1203" i="1"/>
  <c r="F1203" i="1" l="1"/>
  <c r="G1203" i="1"/>
  <c r="E1204" i="1"/>
  <c r="F1204" i="1" l="1"/>
  <c r="G1204" i="1"/>
  <c r="E1205" i="1"/>
  <c r="F1205" i="1" l="1"/>
  <c r="G1205" i="1"/>
  <c r="E1206" i="1"/>
  <c r="F1206" i="1" l="1"/>
  <c r="G1206" i="1"/>
  <c r="E1207" i="1"/>
  <c r="F1207" i="1" l="1"/>
  <c r="G1207" i="1"/>
  <c r="E1208" i="1"/>
  <c r="F1208" i="1" l="1"/>
  <c r="G1208" i="1"/>
  <c r="E1209" i="1"/>
  <c r="F1209" i="1" l="1"/>
  <c r="G1209" i="1"/>
  <c r="E1210" i="1"/>
  <c r="F1210" i="1" l="1"/>
  <c r="G1210" i="1"/>
  <c r="E1211" i="1"/>
  <c r="F1211" i="1" l="1"/>
  <c r="G1211" i="1"/>
  <c r="E1212" i="1"/>
  <c r="F1212" i="1" l="1"/>
  <c r="G1212" i="1"/>
  <c r="E1213" i="1"/>
  <c r="F1213" i="1" l="1"/>
  <c r="G1213" i="1"/>
  <c r="E1214" i="1"/>
  <c r="F1214" i="1" l="1"/>
  <c r="G1214" i="1"/>
  <c r="E1215" i="1"/>
  <c r="F1215" i="1" l="1"/>
  <c r="G1215" i="1"/>
  <c r="E1216" i="1"/>
  <c r="F1216" i="1" l="1"/>
  <c r="G1216" i="1"/>
  <c r="E1217" i="1"/>
  <c r="F1217" i="1" l="1"/>
  <c r="G1217" i="1"/>
  <c r="E1218" i="1"/>
  <c r="F1218" i="1" l="1"/>
  <c r="G1218" i="1"/>
  <c r="E1219" i="1"/>
  <c r="F1219" i="1" l="1"/>
  <c r="G1219" i="1"/>
  <c r="E1220" i="1"/>
  <c r="F1220" i="1" l="1"/>
  <c r="G1220" i="1"/>
  <c r="E1221" i="1"/>
  <c r="F1221" i="1" l="1"/>
  <c r="G1221" i="1"/>
  <c r="E1222" i="1"/>
  <c r="F1222" i="1" l="1"/>
  <c r="G1222" i="1"/>
  <c r="E1223" i="1"/>
  <c r="F1223" i="1" l="1"/>
  <c r="G1223" i="1"/>
  <c r="E1224" i="1"/>
  <c r="F1224" i="1" l="1"/>
  <c r="G1224" i="1"/>
  <c r="E1225" i="1"/>
  <c r="F1225" i="1" l="1"/>
  <c r="G1225" i="1"/>
  <c r="E1226" i="1"/>
  <c r="F1226" i="1" l="1"/>
  <c r="G1226" i="1"/>
  <c r="E1227" i="1"/>
  <c r="F1227" i="1" l="1"/>
  <c r="G1227" i="1"/>
  <c r="E1228" i="1"/>
  <c r="F1228" i="1" l="1"/>
  <c r="G1228" i="1"/>
  <c r="E1229" i="1"/>
  <c r="F1229" i="1" l="1"/>
  <c r="G1229" i="1"/>
  <c r="E1230" i="1"/>
  <c r="F1230" i="1" l="1"/>
  <c r="G1230" i="1"/>
  <c r="E1231" i="1"/>
  <c r="F1231" i="1" l="1"/>
  <c r="G1231" i="1"/>
  <c r="E1232" i="1"/>
  <c r="F1232" i="1" l="1"/>
  <c r="G1232" i="1"/>
  <c r="E1233" i="1"/>
  <c r="F1233" i="1" l="1"/>
  <c r="G1233" i="1"/>
  <c r="E1234" i="1"/>
  <c r="F1234" i="1" l="1"/>
  <c r="G1234" i="1"/>
  <c r="E1235" i="1"/>
  <c r="F1235" i="1" l="1"/>
  <c r="G1235" i="1"/>
  <c r="E1236" i="1"/>
  <c r="F1236" i="1" l="1"/>
  <c r="G1236" i="1"/>
  <c r="E1237" i="1"/>
  <c r="F1237" i="1" l="1"/>
  <c r="G1237" i="1"/>
  <c r="E1238" i="1"/>
  <c r="F1238" i="1" l="1"/>
  <c r="G1238" i="1"/>
  <c r="E1239" i="1"/>
  <c r="F1239" i="1" l="1"/>
  <c r="G1239" i="1"/>
  <c r="E1240" i="1"/>
  <c r="F1240" i="1" l="1"/>
  <c r="G1240" i="1"/>
  <c r="E1241" i="1"/>
  <c r="F1241" i="1" l="1"/>
  <c r="G1241" i="1"/>
  <c r="E1242" i="1"/>
  <c r="F1242" i="1" l="1"/>
  <c r="G1242" i="1"/>
  <c r="E1243" i="1"/>
  <c r="F1243" i="1" l="1"/>
  <c r="G1243" i="1"/>
  <c r="E1244" i="1"/>
  <c r="F1244" i="1" l="1"/>
  <c r="G1244" i="1"/>
  <c r="E1245" i="1"/>
  <c r="F1245" i="1" l="1"/>
  <c r="G1245" i="1"/>
  <c r="E1246" i="1"/>
  <c r="F1246" i="1" l="1"/>
  <c r="G1246" i="1"/>
  <c r="E1247" i="1"/>
  <c r="F1247" i="1" l="1"/>
  <c r="G1247" i="1"/>
  <c r="E1248" i="1"/>
  <c r="F1248" i="1" l="1"/>
  <c r="G1248" i="1"/>
  <c r="E1249" i="1"/>
  <c r="F1249" i="1" l="1"/>
  <c r="G1249" i="1"/>
  <c r="E1250" i="1"/>
  <c r="F1250" i="1" l="1"/>
  <c r="G1250" i="1"/>
  <c r="E1251" i="1"/>
  <c r="F1251" i="1" l="1"/>
  <c r="G1251" i="1"/>
  <c r="E1252" i="1"/>
  <c r="F1252" i="1" l="1"/>
  <c r="G1252" i="1"/>
  <c r="E1253" i="1"/>
  <c r="F1253" i="1" l="1"/>
  <c r="G1253" i="1"/>
  <c r="E1254" i="1"/>
  <c r="F1254" i="1" l="1"/>
  <c r="G1254" i="1"/>
  <c r="E1255" i="1"/>
  <c r="F1255" i="1" l="1"/>
  <c r="G1255" i="1"/>
  <c r="E1256" i="1"/>
  <c r="F1256" i="1" l="1"/>
  <c r="G1256" i="1"/>
  <c r="E1257" i="1"/>
  <c r="F1257" i="1" l="1"/>
  <c r="G1257" i="1"/>
  <c r="E1258" i="1"/>
  <c r="F1258" i="1" l="1"/>
  <c r="G1258" i="1"/>
  <c r="E1259" i="1"/>
  <c r="F1259" i="1" l="1"/>
  <c r="G1259" i="1"/>
  <c r="E1260" i="1"/>
  <c r="F1260" i="1" l="1"/>
  <c r="G1260" i="1"/>
  <c r="E1261" i="1"/>
  <c r="F1261" i="1" l="1"/>
  <c r="G1261" i="1"/>
  <c r="E1262" i="1"/>
  <c r="F1262" i="1" l="1"/>
  <c r="G1262" i="1"/>
  <c r="E1263" i="1"/>
  <c r="F1263" i="1" l="1"/>
  <c r="G1263" i="1"/>
  <c r="E1264" i="1"/>
  <c r="F1264" i="1" l="1"/>
  <c r="G1264" i="1"/>
  <c r="E1265" i="1"/>
  <c r="F1265" i="1" l="1"/>
  <c r="G1265" i="1"/>
  <c r="E1266" i="1"/>
  <c r="F1266" i="1" l="1"/>
  <c r="G1266" i="1"/>
  <c r="E1267" i="1"/>
  <c r="F1267" i="1" l="1"/>
  <c r="G1267" i="1"/>
  <c r="E1268" i="1"/>
  <c r="F1268" i="1" l="1"/>
  <c r="G1268" i="1"/>
  <c r="E1269" i="1"/>
  <c r="F1269" i="1" l="1"/>
  <c r="G1269" i="1"/>
  <c r="E1270" i="1"/>
  <c r="F1270" i="1" l="1"/>
  <c r="G1270" i="1"/>
  <c r="E1271" i="1"/>
  <c r="F1271" i="1" l="1"/>
  <c r="G1271" i="1"/>
  <c r="E1272" i="1"/>
  <c r="F1272" i="1" l="1"/>
  <c r="G1272" i="1"/>
  <c r="E1273" i="1"/>
  <c r="F1273" i="1" l="1"/>
  <c r="G1273" i="1"/>
  <c r="E1274" i="1"/>
  <c r="F1274" i="1" l="1"/>
  <c r="G1274" i="1"/>
  <c r="E1275" i="1"/>
  <c r="F1275" i="1" l="1"/>
  <c r="G1275" i="1"/>
  <c r="E1276" i="1"/>
  <c r="F1276" i="1" l="1"/>
  <c r="G1276" i="1"/>
  <c r="E1277" i="1"/>
  <c r="F1277" i="1" l="1"/>
  <c r="G1277" i="1"/>
  <c r="E1278" i="1"/>
  <c r="F1278" i="1" l="1"/>
  <c r="G1278" i="1"/>
  <c r="E1279" i="1"/>
  <c r="F1279" i="1" l="1"/>
  <c r="G1279" i="1"/>
  <c r="E1280" i="1"/>
  <c r="F1280" i="1" l="1"/>
  <c r="G1280" i="1"/>
  <c r="E1281" i="1"/>
  <c r="F1281" i="1" l="1"/>
  <c r="G1281" i="1"/>
  <c r="E1282" i="1"/>
  <c r="F1282" i="1" l="1"/>
  <c r="G1282" i="1"/>
  <c r="E1283" i="1"/>
  <c r="F1283" i="1" l="1"/>
  <c r="G1283" i="1"/>
  <c r="E1284" i="1"/>
  <c r="F1284" i="1" l="1"/>
  <c r="G1284" i="1"/>
  <c r="E1285" i="1"/>
  <c r="F1285" i="1" l="1"/>
  <c r="G1285" i="1"/>
  <c r="E1286" i="1"/>
  <c r="F1286" i="1" l="1"/>
  <c r="G1286" i="1"/>
  <c r="E1287" i="1"/>
  <c r="F1287" i="1" l="1"/>
  <c r="G1287" i="1"/>
  <c r="E1288" i="1"/>
  <c r="F1288" i="1" l="1"/>
  <c r="G1288" i="1"/>
  <c r="E1289" i="1"/>
  <c r="F1289" i="1" l="1"/>
  <c r="G1289" i="1"/>
  <c r="E1290" i="1"/>
  <c r="F1290" i="1" l="1"/>
  <c r="G1290" i="1"/>
  <c r="E1291" i="1"/>
  <c r="F1291" i="1" l="1"/>
  <c r="G1291" i="1"/>
  <c r="E1292" i="1"/>
  <c r="F1292" i="1" l="1"/>
  <c r="G1292" i="1"/>
  <c r="E1293" i="1"/>
  <c r="F1293" i="1" l="1"/>
  <c r="G1293" i="1"/>
  <c r="E1294" i="1"/>
  <c r="F1294" i="1" l="1"/>
  <c r="G1294" i="1"/>
  <c r="E1295" i="1"/>
  <c r="F1295" i="1" l="1"/>
  <c r="G1295" i="1"/>
  <c r="E1296" i="1"/>
  <c r="F1296" i="1" l="1"/>
  <c r="G1296" i="1"/>
  <c r="E1297" i="1"/>
  <c r="F1297" i="1" l="1"/>
  <c r="G1297" i="1"/>
  <c r="E1298" i="1"/>
  <c r="F1298" i="1" l="1"/>
  <c r="G1298" i="1"/>
  <c r="E1299" i="1"/>
  <c r="F1299" i="1" l="1"/>
  <c r="G1299" i="1"/>
  <c r="E1300" i="1"/>
  <c r="F1300" i="1" l="1"/>
  <c r="G1300" i="1"/>
  <c r="E1301" i="1"/>
  <c r="F1301" i="1" l="1"/>
  <c r="G1301" i="1"/>
  <c r="E1302" i="1"/>
  <c r="F1302" i="1" l="1"/>
  <c r="G1302" i="1"/>
  <c r="E1303" i="1"/>
  <c r="F1303" i="1" l="1"/>
  <c r="G1303" i="1"/>
  <c r="E1304" i="1"/>
  <c r="F1304" i="1" l="1"/>
  <c r="G1304" i="1"/>
  <c r="E1305" i="1"/>
  <c r="F1305" i="1" l="1"/>
  <c r="G1305" i="1"/>
  <c r="E1306" i="1"/>
  <c r="F1306" i="1" l="1"/>
  <c r="G1306" i="1"/>
  <c r="E1307" i="1"/>
  <c r="F1307" i="1" l="1"/>
  <c r="G1307" i="1"/>
  <c r="E1308" i="1"/>
  <c r="F1308" i="1" l="1"/>
  <c r="G1308" i="1"/>
  <c r="E1309" i="1"/>
  <c r="F1309" i="1" l="1"/>
  <c r="G1309" i="1"/>
  <c r="E1310" i="1"/>
  <c r="F1310" i="1" l="1"/>
  <c r="G1310" i="1"/>
  <c r="E1311" i="1"/>
  <c r="F1311" i="1" l="1"/>
  <c r="G1311" i="1"/>
  <c r="E1312" i="1"/>
  <c r="F1312" i="1" l="1"/>
  <c r="G1312" i="1"/>
  <c r="E1313" i="1"/>
  <c r="F1313" i="1" l="1"/>
  <c r="G1313" i="1"/>
  <c r="E1314" i="1"/>
  <c r="F1314" i="1" l="1"/>
  <c r="G1314" i="1"/>
  <c r="E1315" i="1"/>
  <c r="F1315" i="1" l="1"/>
  <c r="G1315" i="1"/>
  <c r="E1316" i="1"/>
  <c r="F1316" i="1" l="1"/>
  <c r="G1316" i="1"/>
  <c r="E1317" i="1"/>
  <c r="F1317" i="1" l="1"/>
  <c r="G1317" i="1"/>
  <c r="E1318" i="1"/>
  <c r="F1318" i="1" l="1"/>
  <c r="G1318" i="1"/>
  <c r="E1319" i="1"/>
  <c r="F1319" i="1" l="1"/>
  <c r="G1319" i="1"/>
  <c r="E1320" i="1"/>
  <c r="F1320" i="1" l="1"/>
  <c r="G1320" i="1"/>
  <c r="E1321" i="1"/>
  <c r="F1321" i="1" l="1"/>
  <c r="G1321" i="1"/>
  <c r="E1322" i="1"/>
  <c r="F1322" i="1" l="1"/>
  <c r="G1322" i="1"/>
  <c r="E1323" i="1"/>
  <c r="F1323" i="1" l="1"/>
  <c r="G1323" i="1"/>
  <c r="E1324" i="1"/>
  <c r="F1324" i="1" l="1"/>
  <c r="G1324" i="1"/>
  <c r="E1325" i="1"/>
  <c r="F1325" i="1" l="1"/>
  <c r="G1325" i="1"/>
  <c r="E1326" i="1"/>
  <c r="F1326" i="1" l="1"/>
  <c r="G1326" i="1"/>
  <c r="E1327" i="1"/>
  <c r="F1327" i="1" l="1"/>
  <c r="G1327" i="1"/>
  <c r="E1328" i="1"/>
  <c r="F1328" i="1" l="1"/>
  <c r="G1328" i="1"/>
  <c r="E1329" i="1"/>
  <c r="F1329" i="1" l="1"/>
  <c r="G1329" i="1"/>
  <c r="E1330" i="1"/>
  <c r="F1330" i="1" l="1"/>
  <c r="G1330" i="1"/>
  <c r="E1331" i="1"/>
  <c r="F1331" i="1" l="1"/>
  <c r="G1331" i="1"/>
  <c r="E1332" i="1"/>
  <c r="F1332" i="1" l="1"/>
  <c r="G1332" i="1"/>
  <c r="E1333" i="1"/>
  <c r="F1333" i="1" l="1"/>
  <c r="G1333" i="1"/>
  <c r="E1334" i="1"/>
  <c r="F1334" i="1" l="1"/>
  <c r="G1334" i="1"/>
  <c r="E1335" i="1"/>
  <c r="F1335" i="1" l="1"/>
  <c r="G1335" i="1"/>
  <c r="E1336" i="1"/>
  <c r="F1336" i="1" l="1"/>
  <c r="G1336" i="1"/>
  <c r="E1337" i="1"/>
  <c r="F1337" i="1" l="1"/>
  <c r="G1337" i="1"/>
  <c r="E1338" i="1"/>
  <c r="F1338" i="1" l="1"/>
  <c r="G1338" i="1"/>
  <c r="E1339" i="1"/>
  <c r="F1339" i="1" l="1"/>
  <c r="G1339" i="1"/>
  <c r="E1340" i="1"/>
  <c r="F1340" i="1" l="1"/>
  <c r="G1340" i="1"/>
  <c r="E1341" i="1"/>
  <c r="F1341" i="1" l="1"/>
  <c r="G1341" i="1"/>
  <c r="E1342" i="1"/>
  <c r="F1342" i="1" l="1"/>
  <c r="G1342" i="1"/>
  <c r="E1343" i="1"/>
  <c r="F1343" i="1" l="1"/>
  <c r="G1343" i="1"/>
  <c r="E1344" i="1"/>
  <c r="F1344" i="1" l="1"/>
  <c r="G1344" i="1"/>
  <c r="E1345" i="1"/>
  <c r="F1345" i="1" l="1"/>
  <c r="G1345" i="1"/>
  <c r="E1346" i="1"/>
  <c r="F1346" i="1" l="1"/>
  <c r="G1346" i="1"/>
  <c r="E1347" i="1"/>
  <c r="F1347" i="1" l="1"/>
  <c r="G1347" i="1"/>
  <c r="E1348" i="1"/>
  <c r="F1348" i="1" l="1"/>
  <c r="G1348" i="1"/>
  <c r="E1349" i="1"/>
  <c r="F1349" i="1" l="1"/>
  <c r="G1349" i="1"/>
  <c r="E1350" i="1"/>
  <c r="F1350" i="1" l="1"/>
  <c r="G1350" i="1"/>
  <c r="E1351" i="1"/>
  <c r="F1351" i="1" l="1"/>
  <c r="G1351" i="1"/>
  <c r="E1352" i="1"/>
  <c r="F1352" i="1" l="1"/>
  <c r="G1352" i="1"/>
  <c r="E1353" i="1"/>
  <c r="F1353" i="1" l="1"/>
  <c r="G1353" i="1"/>
  <c r="E1354" i="1"/>
  <c r="F1354" i="1" l="1"/>
  <c r="G1354" i="1"/>
  <c r="E1355" i="1"/>
  <c r="F1355" i="1" l="1"/>
  <c r="G1355" i="1"/>
  <c r="E1356" i="1"/>
  <c r="F1356" i="1" l="1"/>
  <c r="G1356" i="1"/>
  <c r="E1357" i="1"/>
  <c r="F1357" i="1" l="1"/>
  <c r="G1357" i="1"/>
  <c r="E1358" i="1"/>
  <c r="F1358" i="1" l="1"/>
  <c r="G1358" i="1"/>
  <c r="E1359" i="1"/>
  <c r="F1359" i="1" l="1"/>
  <c r="G1359" i="1"/>
  <c r="E1360" i="1"/>
  <c r="F1360" i="1" l="1"/>
  <c r="G1360" i="1"/>
  <c r="E1361" i="1"/>
  <c r="F1361" i="1" l="1"/>
  <c r="G1361" i="1"/>
  <c r="E1362" i="1"/>
  <c r="F1362" i="1" l="1"/>
  <c r="G1362" i="1"/>
  <c r="E1363" i="1"/>
  <c r="F1363" i="1" l="1"/>
  <c r="G1363" i="1"/>
  <c r="E1364" i="1"/>
  <c r="F1364" i="1" l="1"/>
  <c r="G1364" i="1"/>
  <c r="E1365" i="1"/>
  <c r="F1365" i="1" l="1"/>
  <c r="G1365" i="1"/>
  <c r="E1366" i="1"/>
  <c r="F1366" i="1" l="1"/>
  <c r="G1366" i="1"/>
  <c r="E1367" i="1"/>
  <c r="F1367" i="1" l="1"/>
  <c r="G1367" i="1"/>
  <c r="E1368" i="1"/>
  <c r="F1368" i="1" l="1"/>
  <c r="G1368" i="1"/>
  <c r="E1369" i="1"/>
  <c r="F1369" i="1" l="1"/>
  <c r="G1369" i="1"/>
  <c r="E1370" i="1"/>
  <c r="F1370" i="1" l="1"/>
  <c r="G1370" i="1"/>
  <c r="E1371" i="1"/>
  <c r="F1371" i="1" l="1"/>
  <c r="G1371" i="1"/>
  <c r="E1372" i="1"/>
  <c r="F1372" i="1" l="1"/>
  <c r="G1372" i="1"/>
  <c r="E1373" i="1"/>
  <c r="F1373" i="1" l="1"/>
  <c r="G1373" i="1"/>
  <c r="E1374" i="1"/>
  <c r="F1374" i="1" l="1"/>
  <c r="G1374" i="1"/>
  <c r="E1375" i="1"/>
  <c r="F1375" i="1" l="1"/>
  <c r="G1375" i="1"/>
  <c r="E1376" i="1"/>
  <c r="F1376" i="1" l="1"/>
  <c r="G1376" i="1"/>
  <c r="E1377" i="1"/>
  <c r="F1377" i="1" l="1"/>
  <c r="G1377" i="1"/>
  <c r="E1378" i="1"/>
  <c r="F1378" i="1" l="1"/>
  <c r="G1378" i="1"/>
  <c r="E1379" i="1"/>
  <c r="F1379" i="1" l="1"/>
  <c r="G1379" i="1"/>
  <c r="E1380" i="1"/>
  <c r="F1380" i="1" l="1"/>
  <c r="G1380" i="1"/>
  <c r="E1381" i="1"/>
  <c r="F1381" i="1" l="1"/>
  <c r="G1381" i="1"/>
  <c r="E1382" i="1"/>
  <c r="F1382" i="1" l="1"/>
  <c r="G1382" i="1"/>
  <c r="E1383" i="1"/>
  <c r="F1383" i="1" l="1"/>
  <c r="G1383" i="1"/>
  <c r="E1384" i="1"/>
  <c r="F1384" i="1" l="1"/>
  <c r="G1384" i="1"/>
  <c r="E1385" i="1"/>
  <c r="F1385" i="1" l="1"/>
  <c r="G1385" i="1"/>
  <c r="E1386" i="1"/>
  <c r="F1386" i="1" l="1"/>
  <c r="G1386" i="1"/>
  <c r="E1387" i="1"/>
  <c r="F1387" i="1" l="1"/>
  <c r="G1387" i="1"/>
  <c r="E1388" i="1"/>
  <c r="F1388" i="1" l="1"/>
  <c r="G1388" i="1"/>
  <c r="E1389" i="1"/>
  <c r="F1389" i="1" l="1"/>
  <c r="G1389" i="1"/>
  <c r="E1390" i="1"/>
  <c r="F1390" i="1" l="1"/>
  <c r="G1390" i="1"/>
  <c r="E1391" i="1"/>
  <c r="F1391" i="1" l="1"/>
  <c r="G1391" i="1"/>
  <c r="E1392" i="1"/>
  <c r="F1392" i="1" l="1"/>
  <c r="G1392" i="1"/>
  <c r="E1393" i="1"/>
  <c r="F1393" i="1" l="1"/>
  <c r="G1393" i="1"/>
  <c r="E1394" i="1"/>
  <c r="F1394" i="1" l="1"/>
  <c r="G1394" i="1"/>
  <c r="E1395" i="1"/>
  <c r="F1395" i="1" l="1"/>
  <c r="G1395" i="1"/>
  <c r="E1396" i="1"/>
  <c r="F1396" i="1" l="1"/>
  <c r="G1396" i="1"/>
  <c r="E1397" i="1"/>
  <c r="F1397" i="1" l="1"/>
  <c r="G1397" i="1"/>
  <c r="E1398" i="1"/>
  <c r="F1398" i="1" l="1"/>
  <c r="G1398" i="1"/>
  <c r="E1399" i="1"/>
  <c r="F1399" i="1" l="1"/>
  <c r="G1399" i="1"/>
  <c r="E1400" i="1"/>
  <c r="F1400" i="1" l="1"/>
  <c r="G1400" i="1"/>
  <c r="E1401" i="1"/>
  <c r="F1401" i="1" l="1"/>
  <c r="G1401" i="1"/>
  <c r="E1402" i="1"/>
  <c r="F1402" i="1" l="1"/>
  <c r="G1402" i="1"/>
  <c r="E1403" i="1"/>
  <c r="F1403" i="1" l="1"/>
  <c r="G1403" i="1"/>
  <c r="E1404" i="1"/>
  <c r="F1404" i="1" l="1"/>
  <c r="G1404" i="1"/>
  <c r="E1405" i="1"/>
  <c r="F1405" i="1" l="1"/>
  <c r="G1405" i="1"/>
  <c r="E1406" i="1"/>
  <c r="F1406" i="1" l="1"/>
  <c r="G1406" i="1"/>
  <c r="E1407" i="1"/>
  <c r="F1407" i="1" l="1"/>
  <c r="G1407" i="1"/>
  <c r="E1408" i="1"/>
  <c r="F1408" i="1" l="1"/>
  <c r="G1408" i="1"/>
  <c r="E1409" i="1"/>
  <c r="F1409" i="1" l="1"/>
  <c r="G1409" i="1"/>
  <c r="E1410" i="1"/>
  <c r="F1410" i="1" l="1"/>
  <c r="G1410" i="1"/>
  <c r="E1411" i="1"/>
  <c r="F1411" i="1" l="1"/>
  <c r="G1411" i="1"/>
  <c r="E1412" i="1"/>
  <c r="F1412" i="1" l="1"/>
  <c r="G1412" i="1"/>
  <c r="E1413" i="1"/>
  <c r="F1413" i="1" l="1"/>
  <c r="G1413" i="1"/>
  <c r="E1414" i="1"/>
  <c r="F1414" i="1" l="1"/>
  <c r="G1414" i="1"/>
  <c r="E1415" i="1"/>
  <c r="F1415" i="1" l="1"/>
  <c r="G1415" i="1"/>
  <c r="E1416" i="1"/>
  <c r="F1416" i="1" l="1"/>
  <c r="G1416" i="1"/>
  <c r="E1417" i="1"/>
  <c r="F1417" i="1" l="1"/>
  <c r="G1417" i="1"/>
  <c r="E1418" i="1"/>
  <c r="F1418" i="1" l="1"/>
  <c r="G1418" i="1"/>
  <c r="E1419" i="1"/>
  <c r="F1419" i="1" l="1"/>
  <c r="G1419" i="1"/>
  <c r="E1420" i="1"/>
  <c r="F1420" i="1" l="1"/>
  <c r="G1420" i="1"/>
  <c r="E1421" i="1"/>
  <c r="F1421" i="1" l="1"/>
  <c r="G1421" i="1"/>
  <c r="E1422" i="1"/>
  <c r="F1422" i="1" l="1"/>
  <c r="G1422" i="1"/>
  <c r="E1423" i="1"/>
  <c r="F1423" i="1" l="1"/>
  <c r="G1423" i="1"/>
  <c r="E1424" i="1"/>
  <c r="F1424" i="1" l="1"/>
  <c r="G1424" i="1"/>
  <c r="E1425" i="1"/>
  <c r="F1425" i="1" l="1"/>
  <c r="G1425" i="1"/>
  <c r="E1426" i="1"/>
  <c r="F1426" i="1" l="1"/>
  <c r="G1426" i="1"/>
  <c r="E1427" i="1"/>
  <c r="F1427" i="1" l="1"/>
  <c r="G1427" i="1"/>
  <c r="E1428" i="1"/>
  <c r="F1428" i="1" l="1"/>
  <c r="G1428" i="1"/>
  <c r="E1429" i="1"/>
  <c r="F1429" i="1" l="1"/>
  <c r="G1429" i="1"/>
  <c r="E1430" i="1"/>
  <c r="F1430" i="1" l="1"/>
  <c r="G1430" i="1"/>
  <c r="E1431" i="1"/>
  <c r="F1431" i="1" l="1"/>
  <c r="G1431" i="1"/>
  <c r="E1432" i="1"/>
  <c r="F1432" i="1" l="1"/>
  <c r="G1432" i="1"/>
  <c r="E1433" i="1"/>
  <c r="F1433" i="1" l="1"/>
  <c r="G1433" i="1"/>
  <c r="E1434" i="1"/>
  <c r="F1434" i="1" l="1"/>
  <c r="G1434" i="1"/>
  <c r="E1435" i="1"/>
  <c r="F1435" i="1" l="1"/>
  <c r="G1435" i="1"/>
  <c r="E1436" i="1"/>
  <c r="F1436" i="1" l="1"/>
  <c r="G1436" i="1"/>
  <c r="E1437" i="1"/>
  <c r="F1437" i="1" l="1"/>
  <c r="G1437" i="1"/>
  <c r="E1438" i="1"/>
  <c r="F1438" i="1" l="1"/>
  <c r="G1438" i="1"/>
  <c r="E1439" i="1"/>
  <c r="F1439" i="1" l="1"/>
  <c r="G1439" i="1"/>
  <c r="E1440" i="1"/>
  <c r="F1440" i="1" l="1"/>
  <c r="G1440" i="1"/>
  <c r="E1441" i="1"/>
  <c r="F1441" i="1" l="1"/>
  <c r="G1441" i="1"/>
  <c r="E1442" i="1"/>
  <c r="F1442" i="1" l="1"/>
  <c r="G1442" i="1"/>
  <c r="E1443" i="1"/>
  <c r="F1443" i="1" l="1"/>
  <c r="G1443" i="1"/>
  <c r="E1444" i="1"/>
  <c r="F1444" i="1" l="1"/>
  <c r="G1444" i="1"/>
  <c r="E1445" i="1"/>
  <c r="F1445" i="1" l="1"/>
  <c r="G1445" i="1"/>
  <c r="E1446" i="1"/>
  <c r="F1446" i="1" l="1"/>
  <c r="G1446" i="1"/>
  <c r="E1447" i="1"/>
  <c r="F1447" i="1" l="1"/>
  <c r="G1447" i="1"/>
  <c r="E1448" i="1"/>
  <c r="F1448" i="1" l="1"/>
  <c r="G1448" i="1"/>
  <c r="E1449" i="1"/>
  <c r="F1449" i="1" l="1"/>
  <c r="G1449" i="1"/>
  <c r="E1450" i="1"/>
  <c r="F1450" i="1" l="1"/>
  <c r="G1450" i="1"/>
  <c r="E1451" i="1"/>
  <c r="F1451" i="1" l="1"/>
  <c r="G1451" i="1"/>
  <c r="E1452" i="1"/>
  <c r="F1452" i="1" l="1"/>
  <c r="G1452" i="1"/>
  <c r="E1453" i="1"/>
  <c r="F1453" i="1" l="1"/>
  <c r="G1453" i="1"/>
  <c r="E1454" i="1"/>
  <c r="F1454" i="1" l="1"/>
  <c r="G1454" i="1"/>
  <c r="E1455" i="1"/>
  <c r="F1455" i="1" l="1"/>
  <c r="G1455" i="1"/>
  <c r="E1456" i="1"/>
  <c r="F1456" i="1" l="1"/>
  <c r="G1456" i="1"/>
  <c r="E1457" i="1"/>
  <c r="F1457" i="1" l="1"/>
  <c r="G1457" i="1"/>
  <c r="E1458" i="1"/>
  <c r="F1458" i="1" l="1"/>
  <c r="G1458" i="1"/>
  <c r="E1459" i="1"/>
  <c r="F1459" i="1" l="1"/>
  <c r="G1459" i="1"/>
  <c r="E1460" i="1"/>
  <c r="F1460" i="1" l="1"/>
  <c r="G1460" i="1"/>
  <c r="E1461" i="1"/>
  <c r="F1461" i="1" l="1"/>
  <c r="G1461" i="1"/>
  <c r="E1462" i="1"/>
  <c r="F1462" i="1" l="1"/>
  <c r="G1462" i="1"/>
  <c r="E1463" i="1"/>
  <c r="F1463" i="1" l="1"/>
  <c r="G1463" i="1"/>
  <c r="E1464" i="1"/>
  <c r="F1464" i="1" l="1"/>
  <c r="G1464" i="1"/>
  <c r="E1465" i="1"/>
  <c r="F1465" i="1" l="1"/>
  <c r="G1465" i="1"/>
  <c r="E1466" i="1"/>
  <c r="F1466" i="1" l="1"/>
  <c r="G1466" i="1"/>
  <c r="E1467" i="1"/>
  <c r="F1467" i="1" l="1"/>
  <c r="G1467" i="1"/>
  <c r="E1468" i="1"/>
  <c r="F1468" i="1" l="1"/>
  <c r="G1468" i="1"/>
  <c r="E1469" i="1"/>
  <c r="F1469" i="1" l="1"/>
  <c r="G1469" i="1"/>
  <c r="E1470" i="1"/>
  <c r="F1470" i="1" l="1"/>
  <c r="G1470" i="1"/>
  <c r="E1471" i="1"/>
  <c r="F1471" i="1" l="1"/>
  <c r="G1471" i="1"/>
  <c r="E1472" i="1"/>
  <c r="F1472" i="1" l="1"/>
  <c r="G1472" i="1"/>
  <c r="E1473" i="1"/>
  <c r="F1473" i="1" l="1"/>
  <c r="G1473" i="1"/>
  <c r="E1474" i="1"/>
  <c r="F1474" i="1" l="1"/>
  <c r="G1474" i="1"/>
  <c r="E1475" i="1"/>
  <c r="F1475" i="1" l="1"/>
  <c r="G1475" i="1"/>
  <c r="E1476" i="1"/>
  <c r="F1476" i="1" l="1"/>
  <c r="G1476" i="1"/>
  <c r="E1477" i="1"/>
  <c r="F1477" i="1" l="1"/>
  <c r="G1477" i="1"/>
  <c r="E1478" i="1"/>
  <c r="F1478" i="1" l="1"/>
  <c r="G1478" i="1"/>
  <c r="E1479" i="1"/>
  <c r="F1479" i="1" l="1"/>
  <c r="G1479" i="1"/>
  <c r="E1480" i="1"/>
  <c r="F1480" i="1" l="1"/>
  <c r="G1480" i="1"/>
  <c r="E1481" i="1"/>
  <c r="F1481" i="1" l="1"/>
  <c r="G1481" i="1"/>
  <c r="E1482" i="1"/>
  <c r="F1482" i="1" l="1"/>
  <c r="G1482" i="1"/>
  <c r="E1483" i="1"/>
  <c r="F1483" i="1" l="1"/>
  <c r="G1483" i="1"/>
  <c r="E1484" i="1"/>
  <c r="F1484" i="1" l="1"/>
  <c r="G1484" i="1"/>
  <c r="E1485" i="1"/>
  <c r="F1485" i="1" l="1"/>
  <c r="G1485" i="1"/>
  <c r="E1486" i="1"/>
  <c r="F1486" i="1" l="1"/>
  <c r="G1486" i="1"/>
  <c r="E1487" i="1"/>
  <c r="F1487" i="1" l="1"/>
  <c r="G1487" i="1"/>
  <c r="E1488" i="1"/>
  <c r="F1488" i="1" l="1"/>
  <c r="G1488" i="1"/>
  <c r="E1489" i="1"/>
  <c r="F1489" i="1" l="1"/>
  <c r="G1489" i="1"/>
  <c r="E1490" i="1"/>
  <c r="F1490" i="1" l="1"/>
  <c r="G1490" i="1"/>
  <c r="E1491" i="1"/>
  <c r="F1491" i="1" l="1"/>
  <c r="G1491" i="1"/>
  <c r="E1492" i="1"/>
  <c r="F1492" i="1" l="1"/>
  <c r="G1492" i="1"/>
  <c r="E1493" i="1"/>
  <c r="F1493" i="1" l="1"/>
  <c r="G1493" i="1"/>
  <c r="E1494" i="1"/>
  <c r="F1494" i="1" l="1"/>
  <c r="G1494" i="1"/>
  <c r="E1495" i="1"/>
  <c r="F1495" i="1" l="1"/>
  <c r="G1495" i="1"/>
  <c r="E1496" i="1"/>
  <c r="F1496" i="1" l="1"/>
  <c r="G1496" i="1"/>
  <c r="E1497" i="1"/>
  <c r="F1497" i="1" l="1"/>
  <c r="G1497" i="1"/>
  <c r="E1498" i="1"/>
  <c r="F1498" i="1" l="1"/>
  <c r="G1498" i="1"/>
  <c r="E1499" i="1"/>
  <c r="F1499" i="1" l="1"/>
  <c r="G1499" i="1"/>
  <c r="E1500" i="1"/>
  <c r="F1500" i="1" l="1"/>
  <c r="G1500" i="1"/>
  <c r="E1501" i="1"/>
  <c r="F1501" i="1" l="1"/>
  <c r="G1501" i="1"/>
  <c r="E1502" i="1"/>
  <c r="F1502" i="1" l="1"/>
  <c r="G1502" i="1"/>
  <c r="E1503" i="1"/>
  <c r="F1503" i="1" l="1"/>
  <c r="G1503" i="1"/>
  <c r="E1504" i="1"/>
  <c r="F1504" i="1" l="1"/>
  <c r="G1504" i="1"/>
  <c r="E1505" i="1"/>
  <c r="F1505" i="1" l="1"/>
  <c r="G1505" i="1"/>
  <c r="E1506" i="1"/>
  <c r="F1506" i="1" l="1"/>
  <c r="G1506" i="1"/>
  <c r="E1507" i="1"/>
  <c r="F1507" i="1" l="1"/>
  <c r="G1507" i="1"/>
  <c r="E1508" i="1"/>
  <c r="F1508" i="1" l="1"/>
  <c r="G1508" i="1"/>
  <c r="E1509" i="1"/>
  <c r="F1509" i="1" l="1"/>
  <c r="G1509" i="1"/>
  <c r="E1510" i="1"/>
  <c r="F1510" i="1" l="1"/>
  <c r="G1510" i="1"/>
  <c r="E1511" i="1"/>
  <c r="F1511" i="1" l="1"/>
  <c r="G1511" i="1"/>
  <c r="E1512" i="1"/>
  <c r="F1512" i="1" l="1"/>
  <c r="G1512" i="1"/>
  <c r="E1513" i="1"/>
  <c r="F1513" i="1" l="1"/>
  <c r="G1513" i="1"/>
  <c r="E1514" i="1"/>
  <c r="F1514" i="1" l="1"/>
  <c r="G1514" i="1"/>
  <c r="E1515" i="1"/>
  <c r="F1515" i="1" l="1"/>
  <c r="G1515" i="1"/>
  <c r="E1516" i="1"/>
  <c r="F1516" i="1" l="1"/>
  <c r="G1516" i="1"/>
  <c r="E1517" i="1"/>
  <c r="F1517" i="1" l="1"/>
  <c r="G1517" i="1"/>
  <c r="E1518" i="1"/>
  <c r="F1518" i="1" l="1"/>
  <c r="G1518" i="1"/>
  <c r="E1519" i="1"/>
  <c r="F1519" i="1" l="1"/>
  <c r="G1519" i="1"/>
  <c r="E1520" i="1"/>
  <c r="F1520" i="1" l="1"/>
  <c r="G1520" i="1"/>
  <c r="E1521" i="1"/>
  <c r="F1521" i="1" l="1"/>
  <c r="G1521" i="1"/>
  <c r="E1522" i="1"/>
  <c r="F1522" i="1" l="1"/>
  <c r="G1522" i="1"/>
  <c r="E1523" i="1"/>
  <c r="F1523" i="1" l="1"/>
  <c r="G1523" i="1"/>
  <c r="E1524" i="1"/>
  <c r="F1524" i="1" l="1"/>
  <c r="G1524" i="1"/>
  <c r="E1525" i="1"/>
  <c r="F1525" i="1" l="1"/>
  <c r="G1525" i="1"/>
  <c r="E1526" i="1"/>
  <c r="F1526" i="1" l="1"/>
  <c r="G1526" i="1"/>
  <c r="E1527" i="1"/>
  <c r="F1527" i="1" l="1"/>
  <c r="G1527" i="1"/>
  <c r="E1528" i="1"/>
  <c r="F1528" i="1" l="1"/>
  <c r="G1528" i="1"/>
  <c r="E1529" i="1"/>
  <c r="F1529" i="1" l="1"/>
  <c r="G1529" i="1"/>
  <c r="E1530" i="1"/>
  <c r="F1530" i="1" l="1"/>
  <c r="G1530" i="1"/>
  <c r="E1531" i="1"/>
  <c r="F1531" i="1" l="1"/>
  <c r="G1531" i="1"/>
  <c r="E1532" i="1"/>
  <c r="F1532" i="1" l="1"/>
  <c r="G1532" i="1"/>
  <c r="E1533" i="1"/>
  <c r="F1533" i="1" l="1"/>
  <c r="G1533" i="1"/>
  <c r="E1534" i="1"/>
  <c r="F1534" i="1" l="1"/>
  <c r="G1534" i="1"/>
  <c r="E1535" i="1"/>
  <c r="F1535" i="1" l="1"/>
  <c r="G1535" i="1"/>
  <c r="E1536" i="1"/>
  <c r="F1536" i="1" l="1"/>
  <c r="G1536" i="1"/>
  <c r="E1537" i="1"/>
  <c r="F1537" i="1" l="1"/>
  <c r="G1537" i="1"/>
  <c r="E1538" i="1"/>
  <c r="F1538" i="1" l="1"/>
  <c r="G1538" i="1"/>
  <c r="E1539" i="1"/>
  <c r="F1539" i="1" l="1"/>
  <c r="G1539" i="1"/>
  <c r="E1540" i="1"/>
  <c r="F1540" i="1" l="1"/>
  <c r="G1540" i="1"/>
  <c r="E1541" i="1"/>
  <c r="F1541" i="1" l="1"/>
  <c r="G1541" i="1"/>
  <c r="E1542" i="1"/>
  <c r="F1542" i="1" l="1"/>
  <c r="G1542" i="1"/>
  <c r="E1543" i="1"/>
  <c r="F1543" i="1" l="1"/>
  <c r="G1543" i="1"/>
  <c r="E1544" i="1"/>
  <c r="F1544" i="1" l="1"/>
  <c r="G1544" i="1"/>
  <c r="E1545" i="1"/>
  <c r="F1545" i="1" l="1"/>
  <c r="G1545" i="1"/>
  <c r="E1546" i="1"/>
  <c r="F1546" i="1" l="1"/>
  <c r="G1546" i="1"/>
  <c r="E1547" i="1"/>
  <c r="F1547" i="1" l="1"/>
  <c r="G1547" i="1"/>
  <c r="E1548" i="1"/>
  <c r="F1548" i="1" l="1"/>
  <c r="G1548" i="1"/>
  <c r="E1549" i="1"/>
  <c r="F1549" i="1" l="1"/>
  <c r="G1549" i="1"/>
  <c r="E1550" i="1"/>
  <c r="F1550" i="1" l="1"/>
  <c r="G1550" i="1"/>
  <c r="E1551" i="1"/>
  <c r="F1551" i="1" l="1"/>
  <c r="G1551" i="1"/>
  <c r="E1552" i="1"/>
  <c r="F1552" i="1" l="1"/>
  <c r="G1552" i="1"/>
  <c r="E1553" i="1"/>
  <c r="F1553" i="1" l="1"/>
  <c r="G1553" i="1"/>
  <c r="E1554" i="1"/>
  <c r="F1554" i="1" l="1"/>
  <c r="G1554" i="1"/>
  <c r="E1555" i="1"/>
  <c r="F1555" i="1" l="1"/>
  <c r="G1555" i="1"/>
  <c r="E1556" i="1"/>
  <c r="F1556" i="1" l="1"/>
  <c r="G1556" i="1"/>
  <c r="E1557" i="1"/>
  <c r="F1557" i="1" l="1"/>
  <c r="G1557" i="1"/>
  <c r="E1558" i="1"/>
  <c r="F1558" i="1" l="1"/>
  <c r="G1558" i="1"/>
  <c r="E1559" i="1"/>
  <c r="F1559" i="1" l="1"/>
  <c r="G1559" i="1"/>
  <c r="E1560" i="1"/>
  <c r="F1560" i="1" l="1"/>
  <c r="G1560" i="1"/>
  <c r="E1561" i="1"/>
  <c r="F1561" i="1" l="1"/>
  <c r="G1561" i="1"/>
  <c r="E1562" i="1"/>
  <c r="F1562" i="1" l="1"/>
  <c r="G1562" i="1"/>
  <c r="E1563" i="1"/>
  <c r="F1563" i="1" l="1"/>
  <c r="G1563" i="1"/>
  <c r="E1564" i="1"/>
  <c r="F1564" i="1" l="1"/>
  <c r="G1564" i="1"/>
  <c r="E1565" i="1"/>
  <c r="F1565" i="1" l="1"/>
  <c r="G1565" i="1"/>
  <c r="E1566" i="1"/>
  <c r="F1566" i="1" l="1"/>
  <c r="G1566" i="1"/>
  <c r="E1567" i="1"/>
  <c r="F1567" i="1" l="1"/>
  <c r="G1567" i="1"/>
  <c r="E1568" i="1"/>
  <c r="F1568" i="1" l="1"/>
  <c r="G1568" i="1"/>
  <c r="E1569" i="1"/>
  <c r="F1569" i="1" l="1"/>
  <c r="G1569" i="1"/>
  <c r="E1570" i="1"/>
  <c r="F1570" i="1" l="1"/>
  <c r="G1570" i="1"/>
  <c r="E1571" i="1"/>
  <c r="F1571" i="1" l="1"/>
  <c r="G1571" i="1"/>
  <c r="E1572" i="1"/>
  <c r="F1572" i="1" l="1"/>
  <c r="G1572" i="1"/>
  <c r="E1573" i="1"/>
  <c r="F1573" i="1" l="1"/>
  <c r="G1573" i="1"/>
  <c r="E1574" i="1"/>
  <c r="F1574" i="1" l="1"/>
  <c r="G1574" i="1"/>
  <c r="E1575" i="1"/>
  <c r="F1575" i="1" l="1"/>
  <c r="G1575" i="1"/>
  <c r="E1576" i="1"/>
  <c r="F1576" i="1" l="1"/>
  <c r="G1576" i="1"/>
  <c r="E1577" i="1"/>
  <c r="F1577" i="1" l="1"/>
  <c r="G1577" i="1"/>
  <c r="E1578" i="1"/>
  <c r="F1578" i="1" l="1"/>
  <c r="G1578" i="1"/>
  <c r="E1579" i="1"/>
  <c r="F1579" i="1" l="1"/>
  <c r="G1579" i="1"/>
  <c r="E1580" i="1"/>
  <c r="F1580" i="1" l="1"/>
  <c r="G1580" i="1"/>
  <c r="E1581" i="1"/>
  <c r="F1581" i="1" l="1"/>
  <c r="G1581" i="1"/>
  <c r="E1582" i="1"/>
  <c r="F1582" i="1" l="1"/>
  <c r="G1582" i="1"/>
  <c r="E1583" i="1"/>
  <c r="F1583" i="1" l="1"/>
  <c r="G1583" i="1"/>
  <c r="E1584" i="1"/>
  <c r="F1584" i="1" l="1"/>
  <c r="G1584" i="1"/>
  <c r="E1585" i="1"/>
  <c r="F1585" i="1" l="1"/>
  <c r="G1585" i="1"/>
  <c r="E1586" i="1"/>
  <c r="F1586" i="1" l="1"/>
  <c r="G1586" i="1"/>
  <c r="E1587" i="1"/>
  <c r="F1587" i="1" l="1"/>
  <c r="G1587" i="1"/>
  <c r="E1588" i="1"/>
  <c r="F1588" i="1" l="1"/>
  <c r="G1588" i="1"/>
  <c r="E1589" i="1"/>
  <c r="F1589" i="1" l="1"/>
  <c r="G1589" i="1"/>
  <c r="E1590" i="1"/>
  <c r="F1590" i="1" l="1"/>
  <c r="G1590" i="1"/>
  <c r="E1591" i="1"/>
  <c r="F1591" i="1" l="1"/>
  <c r="G1591" i="1"/>
  <c r="E1592" i="1"/>
  <c r="F1592" i="1" l="1"/>
  <c r="G1592" i="1"/>
  <c r="E1593" i="1"/>
  <c r="F1593" i="1" l="1"/>
  <c r="G1593" i="1"/>
  <c r="E1594" i="1"/>
  <c r="F1594" i="1" l="1"/>
  <c r="G1594" i="1"/>
  <c r="E1595" i="1"/>
  <c r="F1595" i="1" l="1"/>
  <c r="G1595" i="1"/>
  <c r="E1596" i="1"/>
  <c r="F1596" i="1" l="1"/>
  <c r="G1596" i="1"/>
  <c r="E1597" i="1"/>
  <c r="F1597" i="1" l="1"/>
  <c r="G1597" i="1"/>
  <c r="E1598" i="1"/>
  <c r="F1598" i="1" l="1"/>
  <c r="G1598" i="1"/>
  <c r="E1599" i="1"/>
  <c r="F1599" i="1" l="1"/>
  <c r="G1599" i="1"/>
  <c r="E1600" i="1"/>
  <c r="F1600" i="1" l="1"/>
  <c r="G1600" i="1"/>
  <c r="E1601" i="1"/>
  <c r="F1601" i="1" l="1"/>
  <c r="G1601" i="1"/>
  <c r="E1602" i="1"/>
  <c r="F1602" i="1" l="1"/>
  <c r="G1602" i="1"/>
  <c r="E1603" i="1"/>
  <c r="F1603" i="1" l="1"/>
  <c r="G1603" i="1"/>
  <c r="E1604" i="1"/>
  <c r="F1604" i="1" l="1"/>
  <c r="G1604" i="1"/>
  <c r="E1605" i="1"/>
  <c r="F1605" i="1" l="1"/>
  <c r="G1605" i="1"/>
  <c r="E1606" i="1"/>
  <c r="F1606" i="1" l="1"/>
  <c r="G1606" i="1"/>
  <c r="E1607" i="1"/>
  <c r="F1607" i="1" l="1"/>
  <c r="G1607" i="1"/>
  <c r="E1608" i="1"/>
  <c r="F1608" i="1" l="1"/>
  <c r="G1608" i="1"/>
  <c r="E1609" i="1"/>
  <c r="F1609" i="1" l="1"/>
  <c r="G1609" i="1"/>
  <c r="E1610" i="1"/>
  <c r="F1610" i="1" l="1"/>
  <c r="G1610" i="1"/>
  <c r="E1611" i="1"/>
  <c r="F1611" i="1" l="1"/>
  <c r="G1611" i="1"/>
  <c r="E1612" i="1"/>
  <c r="F1612" i="1" l="1"/>
  <c r="G1612" i="1"/>
  <c r="E1613" i="1"/>
  <c r="F1613" i="1" l="1"/>
  <c r="G1613" i="1"/>
  <c r="E1614" i="1"/>
  <c r="F1614" i="1" l="1"/>
  <c r="G1614" i="1"/>
  <c r="E1615" i="1"/>
  <c r="F1615" i="1" l="1"/>
  <c r="G1615" i="1"/>
  <c r="E1616" i="1"/>
  <c r="F1616" i="1" l="1"/>
  <c r="G1616" i="1"/>
  <c r="E1617" i="1"/>
  <c r="F1617" i="1" l="1"/>
  <c r="G1617" i="1"/>
  <c r="E1618" i="1"/>
  <c r="F1618" i="1" l="1"/>
  <c r="G1618" i="1"/>
  <c r="E1619" i="1"/>
  <c r="F1619" i="1" l="1"/>
  <c r="G1619" i="1"/>
  <c r="E1620" i="1"/>
  <c r="F1620" i="1" l="1"/>
  <c r="G1620" i="1"/>
  <c r="E1621" i="1"/>
  <c r="F1621" i="1" l="1"/>
  <c r="G1621" i="1"/>
  <c r="E1622" i="1"/>
  <c r="F1622" i="1" l="1"/>
  <c r="G1622" i="1"/>
  <c r="E1623" i="1"/>
  <c r="F1623" i="1" l="1"/>
  <c r="G1623" i="1"/>
  <c r="E1624" i="1"/>
  <c r="F1624" i="1" l="1"/>
  <c r="G1624" i="1"/>
  <c r="E1625" i="1"/>
  <c r="F1625" i="1" l="1"/>
  <c r="G1625" i="1"/>
  <c r="E1626" i="1"/>
  <c r="F1626" i="1" l="1"/>
  <c r="G1626" i="1"/>
  <c r="E1627" i="1"/>
  <c r="F1627" i="1" l="1"/>
  <c r="G1627" i="1"/>
  <c r="E1628" i="1"/>
  <c r="F1628" i="1" l="1"/>
  <c r="G1628" i="1"/>
  <c r="E1629" i="1"/>
  <c r="F1629" i="1" l="1"/>
  <c r="G1629" i="1"/>
  <c r="E1630" i="1"/>
  <c r="F1630" i="1" l="1"/>
  <c r="G1630" i="1"/>
  <c r="E1631" i="1"/>
  <c r="F1631" i="1" l="1"/>
  <c r="G1631" i="1"/>
  <c r="E1632" i="1"/>
  <c r="F1632" i="1" l="1"/>
  <c r="G1632" i="1"/>
  <c r="E1633" i="1"/>
  <c r="F1633" i="1" l="1"/>
  <c r="G1633" i="1"/>
  <c r="E1634" i="1"/>
  <c r="F1634" i="1" l="1"/>
  <c r="G1634" i="1"/>
  <c r="E1635" i="1"/>
  <c r="F1635" i="1" l="1"/>
  <c r="G1635" i="1"/>
  <c r="E1636" i="1"/>
  <c r="F1636" i="1" l="1"/>
  <c r="G1636" i="1"/>
  <c r="E1637" i="1"/>
  <c r="F1637" i="1" l="1"/>
  <c r="G1637" i="1"/>
  <c r="E1638" i="1"/>
  <c r="F1638" i="1" l="1"/>
  <c r="G1638" i="1"/>
  <c r="E1639" i="1"/>
  <c r="F1639" i="1" l="1"/>
  <c r="G1639" i="1"/>
  <c r="E1640" i="1"/>
  <c r="F1640" i="1" l="1"/>
  <c r="G1640" i="1"/>
  <c r="E1641" i="1"/>
  <c r="F1641" i="1" l="1"/>
  <c r="G1641" i="1"/>
  <c r="E1642" i="1"/>
  <c r="F1642" i="1" l="1"/>
  <c r="G1642" i="1"/>
  <c r="E1643" i="1"/>
  <c r="F1643" i="1" l="1"/>
  <c r="G1643" i="1"/>
  <c r="E1644" i="1"/>
  <c r="F1644" i="1" l="1"/>
  <c r="G1644" i="1"/>
  <c r="E1645" i="1"/>
  <c r="F1645" i="1" l="1"/>
  <c r="G1645" i="1"/>
  <c r="E1646" i="1"/>
  <c r="F1646" i="1" l="1"/>
  <c r="G1646" i="1"/>
  <c r="E1647" i="1"/>
  <c r="F1647" i="1" l="1"/>
  <c r="G1647" i="1"/>
  <c r="E1648" i="1"/>
  <c r="F1648" i="1" l="1"/>
  <c r="G1648" i="1"/>
  <c r="E1649" i="1"/>
  <c r="F1649" i="1" l="1"/>
  <c r="G1649" i="1"/>
  <c r="E1650" i="1"/>
  <c r="F1650" i="1" l="1"/>
  <c r="G1650" i="1"/>
  <c r="E1651" i="1"/>
  <c r="F1651" i="1" l="1"/>
  <c r="G1651" i="1"/>
  <c r="E1652" i="1"/>
  <c r="F1652" i="1" l="1"/>
  <c r="G1652" i="1"/>
  <c r="E1653" i="1"/>
  <c r="F1653" i="1" l="1"/>
  <c r="G1653" i="1"/>
  <c r="E1654" i="1"/>
  <c r="F1654" i="1" l="1"/>
  <c r="G1654" i="1"/>
  <c r="E1655" i="1"/>
  <c r="F1655" i="1" l="1"/>
  <c r="G1655" i="1"/>
  <c r="E1656" i="1"/>
  <c r="F1656" i="1" l="1"/>
  <c r="G1656" i="1"/>
  <c r="E1657" i="1"/>
  <c r="F1657" i="1" l="1"/>
  <c r="G1657" i="1"/>
  <c r="E1658" i="1"/>
  <c r="F1658" i="1" l="1"/>
  <c r="G1658" i="1"/>
  <c r="E1659" i="1"/>
  <c r="F1659" i="1" l="1"/>
  <c r="G1659" i="1"/>
  <c r="E1660" i="1"/>
  <c r="F1660" i="1" l="1"/>
  <c r="G1660" i="1"/>
  <c r="E1661" i="1"/>
  <c r="F1661" i="1" l="1"/>
  <c r="G1661" i="1"/>
  <c r="E1662" i="1"/>
  <c r="F1662" i="1" l="1"/>
  <c r="G1662" i="1"/>
  <c r="E1663" i="1"/>
  <c r="F1663" i="1" l="1"/>
  <c r="G1663" i="1"/>
  <c r="E1664" i="1"/>
  <c r="F1664" i="1" l="1"/>
  <c r="G1664" i="1"/>
  <c r="E1665" i="1"/>
  <c r="F1665" i="1" l="1"/>
  <c r="G1665" i="1"/>
  <c r="E1666" i="1"/>
  <c r="F1666" i="1" l="1"/>
  <c r="G1666" i="1"/>
  <c r="E1667" i="1"/>
  <c r="F1667" i="1" l="1"/>
  <c r="G1667" i="1"/>
  <c r="E1668" i="1"/>
  <c r="F1668" i="1" l="1"/>
  <c r="G1668" i="1"/>
  <c r="E1669" i="1"/>
  <c r="F1669" i="1" l="1"/>
  <c r="G1669" i="1"/>
  <c r="E1670" i="1"/>
  <c r="F1670" i="1" l="1"/>
  <c r="G1670" i="1"/>
  <c r="E1671" i="1"/>
  <c r="F1671" i="1" l="1"/>
  <c r="G1671" i="1"/>
  <c r="E1672" i="1"/>
  <c r="F1672" i="1" l="1"/>
  <c r="G1672" i="1"/>
  <c r="E1673" i="1"/>
  <c r="F1673" i="1" l="1"/>
  <c r="G1673" i="1"/>
  <c r="E1674" i="1"/>
  <c r="F1674" i="1" l="1"/>
  <c r="G1674" i="1"/>
  <c r="E1675" i="1"/>
  <c r="F1675" i="1" l="1"/>
  <c r="G1675" i="1"/>
  <c r="E1676" i="1"/>
  <c r="F1676" i="1" l="1"/>
  <c r="G1676" i="1"/>
  <c r="E1677" i="1"/>
  <c r="F1677" i="1" l="1"/>
  <c r="G1677" i="1"/>
  <c r="E1678" i="1"/>
  <c r="F1678" i="1" l="1"/>
  <c r="G1678" i="1"/>
  <c r="E1679" i="1"/>
  <c r="F1679" i="1" l="1"/>
  <c r="G1679" i="1"/>
  <c r="E1680" i="1"/>
  <c r="F1680" i="1" l="1"/>
  <c r="G1680" i="1"/>
  <c r="E1681" i="1"/>
  <c r="F1681" i="1" l="1"/>
  <c r="G1681" i="1"/>
  <c r="E1682" i="1"/>
  <c r="F1682" i="1" l="1"/>
  <c r="G1682" i="1"/>
  <c r="E1683" i="1"/>
  <c r="F1683" i="1" l="1"/>
  <c r="G1683" i="1"/>
  <c r="E1684" i="1"/>
  <c r="F1684" i="1" l="1"/>
  <c r="G1684" i="1"/>
  <c r="E1685" i="1"/>
  <c r="F1685" i="1" l="1"/>
  <c r="G1685" i="1"/>
  <c r="E1686" i="1"/>
  <c r="F1686" i="1" l="1"/>
  <c r="G1686" i="1"/>
  <c r="E1687" i="1"/>
  <c r="F1687" i="1" l="1"/>
  <c r="G1687" i="1"/>
  <c r="E1688" i="1"/>
  <c r="F1688" i="1" l="1"/>
  <c r="G1688" i="1"/>
  <c r="E1689" i="1"/>
  <c r="F1689" i="1" l="1"/>
  <c r="G1689" i="1"/>
  <c r="E1690" i="1"/>
  <c r="F1690" i="1" l="1"/>
  <c r="G1690" i="1"/>
  <c r="E1691" i="1"/>
  <c r="F1691" i="1" l="1"/>
  <c r="G1691" i="1"/>
  <c r="E1692" i="1"/>
  <c r="F1692" i="1" l="1"/>
  <c r="G1692" i="1"/>
  <c r="E1693" i="1"/>
  <c r="F1693" i="1" l="1"/>
  <c r="G1693" i="1"/>
  <c r="E1694" i="1"/>
  <c r="F1694" i="1" l="1"/>
  <c r="G1694" i="1"/>
  <c r="E1695" i="1"/>
  <c r="F1695" i="1" l="1"/>
  <c r="G1695" i="1"/>
  <c r="E1696" i="1"/>
  <c r="F1696" i="1" l="1"/>
  <c r="G1696" i="1"/>
  <c r="E1697" i="1"/>
  <c r="F1697" i="1" l="1"/>
  <c r="G1697" i="1"/>
  <c r="E1698" i="1"/>
  <c r="F1698" i="1" l="1"/>
  <c r="G1698" i="1"/>
  <c r="E1699" i="1"/>
  <c r="F1699" i="1" l="1"/>
  <c r="G1699" i="1"/>
  <c r="E1700" i="1"/>
  <c r="F1700" i="1" l="1"/>
  <c r="G1700" i="1"/>
  <c r="E1701" i="1"/>
  <c r="F1701" i="1" l="1"/>
  <c r="G1701" i="1"/>
  <c r="E1702" i="1"/>
  <c r="F1702" i="1" l="1"/>
  <c r="G1702" i="1"/>
  <c r="E1703" i="1"/>
  <c r="F1703" i="1" l="1"/>
  <c r="G1703" i="1"/>
  <c r="E1704" i="1"/>
  <c r="F1704" i="1" l="1"/>
  <c r="G1704" i="1"/>
  <c r="E1705" i="1"/>
  <c r="F1705" i="1" l="1"/>
  <c r="G1705" i="1"/>
  <c r="E1706" i="1"/>
  <c r="F1706" i="1" l="1"/>
  <c r="G1706" i="1"/>
  <c r="E1707" i="1"/>
  <c r="F1707" i="1" l="1"/>
  <c r="G1707" i="1"/>
  <c r="E1708" i="1"/>
  <c r="F1708" i="1" l="1"/>
  <c r="G1708" i="1"/>
  <c r="E1709" i="1"/>
  <c r="F1709" i="1" l="1"/>
  <c r="G1709" i="1"/>
  <c r="E1710" i="1"/>
  <c r="F1710" i="1" l="1"/>
  <c r="G1710" i="1"/>
  <c r="E1711" i="1"/>
  <c r="F1711" i="1" l="1"/>
  <c r="G1711" i="1"/>
  <c r="E1712" i="1"/>
  <c r="F1712" i="1" l="1"/>
  <c r="G1712" i="1"/>
  <c r="E1713" i="1"/>
  <c r="F1713" i="1" l="1"/>
  <c r="G1713" i="1"/>
  <c r="E1714" i="1"/>
  <c r="F1714" i="1" l="1"/>
  <c r="G1714" i="1"/>
  <c r="E1715" i="1"/>
  <c r="F1715" i="1" l="1"/>
  <c r="G1715" i="1"/>
  <c r="E1716" i="1"/>
  <c r="F1716" i="1" l="1"/>
  <c r="G1716" i="1"/>
  <c r="E1717" i="1"/>
  <c r="F1717" i="1" l="1"/>
  <c r="G1717" i="1"/>
  <c r="E1718" i="1"/>
  <c r="F1718" i="1" l="1"/>
  <c r="G1718" i="1"/>
  <c r="E1719" i="1"/>
  <c r="F1719" i="1" l="1"/>
  <c r="G1719" i="1"/>
  <c r="E1720" i="1"/>
  <c r="F1720" i="1" l="1"/>
  <c r="G1720" i="1"/>
  <c r="E1721" i="1"/>
  <c r="F1721" i="1" l="1"/>
  <c r="G1721" i="1"/>
  <c r="E1722" i="1"/>
  <c r="F1722" i="1" l="1"/>
  <c r="G1722" i="1"/>
  <c r="E1723" i="1"/>
  <c r="F1723" i="1" l="1"/>
  <c r="G1723" i="1"/>
  <c r="E1724" i="1"/>
  <c r="F1724" i="1" l="1"/>
  <c r="G1724" i="1"/>
  <c r="E1725" i="1"/>
  <c r="F1725" i="1" l="1"/>
  <c r="G1725" i="1"/>
  <c r="E1726" i="1"/>
  <c r="F1726" i="1" l="1"/>
  <c r="G1726" i="1"/>
  <c r="E1727" i="1"/>
  <c r="F1727" i="1" l="1"/>
  <c r="G1727" i="1"/>
  <c r="E1728" i="1"/>
  <c r="F1728" i="1" l="1"/>
  <c r="G1728" i="1"/>
  <c r="E1729" i="1"/>
  <c r="F1729" i="1" l="1"/>
  <c r="G1729" i="1"/>
  <c r="E1730" i="1"/>
  <c r="F1730" i="1" l="1"/>
  <c r="G1730" i="1"/>
  <c r="E1731" i="1"/>
  <c r="F1731" i="1" l="1"/>
  <c r="G1731" i="1"/>
  <c r="E1732" i="1"/>
  <c r="F1732" i="1" l="1"/>
  <c r="G1732" i="1"/>
  <c r="E1733" i="1"/>
  <c r="F1733" i="1" l="1"/>
  <c r="G1733" i="1"/>
  <c r="E1734" i="1"/>
  <c r="F1734" i="1" l="1"/>
  <c r="G1734" i="1"/>
  <c r="E1735" i="1"/>
  <c r="F1735" i="1" l="1"/>
  <c r="G1735" i="1"/>
  <c r="E1736" i="1"/>
  <c r="F1736" i="1" l="1"/>
  <c r="G1736" i="1"/>
  <c r="E1737" i="1"/>
  <c r="F1737" i="1" l="1"/>
  <c r="G1737" i="1"/>
  <c r="E1738" i="1"/>
  <c r="F1738" i="1" l="1"/>
  <c r="G1738" i="1"/>
  <c r="E1739" i="1"/>
  <c r="F1739" i="1" l="1"/>
  <c r="G1739" i="1"/>
  <c r="E1740" i="1"/>
  <c r="F1740" i="1" l="1"/>
  <c r="G1740" i="1"/>
  <c r="E1741" i="1"/>
  <c r="F1741" i="1" l="1"/>
  <c r="G1741" i="1"/>
  <c r="E1742" i="1"/>
  <c r="F1742" i="1" l="1"/>
  <c r="G1742" i="1"/>
  <c r="E1743" i="1"/>
  <c r="F1743" i="1" l="1"/>
  <c r="G1743" i="1"/>
  <c r="E1744" i="1"/>
  <c r="F1744" i="1" l="1"/>
  <c r="G1744" i="1"/>
  <c r="E1745" i="1"/>
  <c r="F1745" i="1" l="1"/>
  <c r="G1745" i="1"/>
  <c r="E1746" i="1"/>
  <c r="F1746" i="1" l="1"/>
  <c r="G1746" i="1"/>
  <c r="E1747" i="1"/>
  <c r="F1747" i="1" l="1"/>
  <c r="G1747" i="1"/>
  <c r="E1748" i="1"/>
  <c r="F1748" i="1" l="1"/>
  <c r="G1748" i="1"/>
  <c r="E1749" i="1"/>
  <c r="F1749" i="1" l="1"/>
  <c r="G1749" i="1"/>
  <c r="E1750" i="1"/>
  <c r="F1750" i="1" l="1"/>
  <c r="G1750" i="1"/>
  <c r="E1751" i="1"/>
  <c r="F1751" i="1" l="1"/>
  <c r="G1751" i="1"/>
  <c r="E1752" i="1"/>
  <c r="F1752" i="1" l="1"/>
  <c r="G1752" i="1"/>
  <c r="E1753" i="1"/>
  <c r="F1753" i="1" l="1"/>
  <c r="G1753" i="1"/>
  <c r="E1754" i="1"/>
  <c r="F1754" i="1" l="1"/>
  <c r="G1754" i="1"/>
  <c r="E1755" i="1"/>
  <c r="F1755" i="1" l="1"/>
  <c r="G1755" i="1"/>
  <c r="E1756" i="1"/>
  <c r="F1756" i="1" l="1"/>
  <c r="G1756" i="1"/>
  <c r="E1757" i="1"/>
  <c r="F1757" i="1" l="1"/>
  <c r="G1757" i="1"/>
  <c r="E1758" i="1"/>
  <c r="F1758" i="1" l="1"/>
  <c r="G1758" i="1"/>
  <c r="E1759" i="1"/>
  <c r="F1759" i="1" l="1"/>
  <c r="G1759" i="1"/>
  <c r="E1760" i="1"/>
  <c r="F1760" i="1" l="1"/>
  <c r="G1760" i="1"/>
  <c r="E1761" i="1"/>
  <c r="F1761" i="1" l="1"/>
  <c r="G1761" i="1"/>
  <c r="E1762" i="1"/>
  <c r="F1762" i="1" l="1"/>
  <c r="G1762" i="1"/>
  <c r="E1763" i="1"/>
  <c r="F1763" i="1" l="1"/>
  <c r="G1763" i="1"/>
  <c r="E1764" i="1"/>
  <c r="F1764" i="1" l="1"/>
  <c r="G1764" i="1"/>
  <c r="E1765" i="1"/>
  <c r="F1765" i="1" l="1"/>
  <c r="G1765" i="1"/>
  <c r="E1766" i="1"/>
  <c r="F1766" i="1" l="1"/>
  <c r="G1766" i="1"/>
  <c r="E1767" i="1"/>
  <c r="F1767" i="1" l="1"/>
  <c r="G1767" i="1"/>
  <c r="E1768" i="1"/>
  <c r="F1768" i="1" l="1"/>
  <c r="G1768" i="1"/>
  <c r="E1769" i="1"/>
  <c r="F1769" i="1" l="1"/>
  <c r="G1769" i="1"/>
  <c r="E1770" i="1"/>
  <c r="F1770" i="1" l="1"/>
  <c r="G1770" i="1"/>
  <c r="E1771" i="1"/>
  <c r="F1771" i="1" l="1"/>
  <c r="G1771" i="1"/>
  <c r="E1772" i="1"/>
  <c r="F1772" i="1" l="1"/>
  <c r="G1772" i="1"/>
  <c r="E1773" i="1"/>
  <c r="F1773" i="1" l="1"/>
  <c r="G1773" i="1"/>
  <c r="E1774" i="1"/>
  <c r="F1774" i="1" l="1"/>
  <c r="G1774" i="1"/>
  <c r="E1775" i="1"/>
  <c r="F1775" i="1" l="1"/>
  <c r="G1775" i="1"/>
  <c r="E1776" i="1"/>
  <c r="F1776" i="1" l="1"/>
  <c r="G1776" i="1"/>
  <c r="E1777" i="1"/>
  <c r="F1777" i="1" l="1"/>
  <c r="G1777" i="1"/>
  <c r="E1778" i="1"/>
  <c r="F1778" i="1" l="1"/>
  <c r="G1778" i="1"/>
  <c r="E1779" i="1"/>
  <c r="F1779" i="1" l="1"/>
  <c r="G1779" i="1"/>
  <c r="E1780" i="1"/>
  <c r="F1780" i="1" l="1"/>
  <c r="G1780" i="1"/>
  <c r="E1781" i="1"/>
  <c r="F1781" i="1" l="1"/>
  <c r="G1781" i="1"/>
  <c r="E1782" i="1"/>
  <c r="F1782" i="1" l="1"/>
  <c r="G1782" i="1"/>
  <c r="E1783" i="1"/>
  <c r="F1783" i="1" l="1"/>
  <c r="G1783" i="1"/>
  <c r="E1784" i="1"/>
  <c r="F1784" i="1" l="1"/>
  <c r="G1784" i="1"/>
  <c r="E1785" i="1"/>
  <c r="F1785" i="1" l="1"/>
  <c r="G1785" i="1"/>
  <c r="E1786" i="1"/>
  <c r="F1786" i="1" l="1"/>
  <c r="G1786" i="1"/>
  <c r="E1787" i="1"/>
  <c r="F1787" i="1" l="1"/>
  <c r="G1787" i="1"/>
  <c r="E1788" i="1"/>
  <c r="F1788" i="1" l="1"/>
  <c r="G1788" i="1"/>
  <c r="E1789" i="1"/>
  <c r="F1789" i="1" l="1"/>
  <c r="G1789" i="1"/>
  <c r="E1790" i="1"/>
  <c r="F1790" i="1" l="1"/>
  <c r="G1790" i="1"/>
  <c r="E1791" i="1"/>
  <c r="F1791" i="1" l="1"/>
  <c r="G1791" i="1"/>
  <c r="E1792" i="1"/>
  <c r="F1792" i="1" l="1"/>
  <c r="G1792" i="1"/>
  <c r="E1793" i="1"/>
  <c r="F1793" i="1" l="1"/>
  <c r="G1793" i="1"/>
  <c r="E1794" i="1"/>
  <c r="F1794" i="1" l="1"/>
  <c r="G1794" i="1"/>
  <c r="E1795" i="1"/>
  <c r="F1795" i="1" l="1"/>
  <c r="G1795" i="1"/>
  <c r="E1796" i="1"/>
  <c r="F1796" i="1" l="1"/>
  <c r="G1796" i="1"/>
  <c r="E1797" i="1"/>
  <c r="F1797" i="1" l="1"/>
  <c r="G1797" i="1"/>
  <c r="E1798" i="1"/>
  <c r="F1798" i="1" l="1"/>
  <c r="G1798" i="1"/>
  <c r="E1799" i="1"/>
  <c r="F1799" i="1" l="1"/>
  <c r="G1799" i="1"/>
  <c r="E1800" i="1"/>
  <c r="F1800" i="1" l="1"/>
  <c r="G1800" i="1"/>
  <c r="E1801" i="1"/>
  <c r="F1801" i="1" l="1"/>
  <c r="G1801" i="1"/>
  <c r="E1802" i="1"/>
  <c r="F1802" i="1" l="1"/>
  <c r="G1802" i="1"/>
  <c r="E1803" i="1"/>
  <c r="F1803" i="1" l="1"/>
  <c r="G1803" i="1"/>
  <c r="E1804" i="1"/>
  <c r="F1804" i="1" l="1"/>
  <c r="G1804" i="1"/>
  <c r="E1805" i="1"/>
  <c r="F1805" i="1" l="1"/>
  <c r="G1805" i="1"/>
  <c r="E1806" i="1"/>
  <c r="F1806" i="1" l="1"/>
  <c r="G1806" i="1"/>
  <c r="E1807" i="1"/>
  <c r="F1807" i="1" l="1"/>
  <c r="G1807" i="1"/>
  <c r="E1808" i="1"/>
  <c r="F1808" i="1" l="1"/>
  <c r="G1808" i="1"/>
  <c r="E1809" i="1"/>
  <c r="F1809" i="1" l="1"/>
  <c r="G1809" i="1"/>
  <c r="E1810" i="1"/>
  <c r="F1810" i="1" l="1"/>
  <c r="G1810" i="1"/>
  <c r="E1811" i="1"/>
  <c r="F1811" i="1" l="1"/>
  <c r="G1811" i="1"/>
  <c r="E1812" i="1"/>
  <c r="F1812" i="1" l="1"/>
  <c r="G1812" i="1"/>
  <c r="E1813" i="1"/>
  <c r="F1813" i="1" l="1"/>
  <c r="G1813" i="1"/>
  <c r="E1814" i="1"/>
  <c r="F1814" i="1" l="1"/>
  <c r="G1814" i="1"/>
  <c r="E1815" i="1"/>
  <c r="F1815" i="1" l="1"/>
  <c r="G1815" i="1"/>
  <c r="E1816" i="1"/>
  <c r="F1816" i="1" l="1"/>
  <c r="G1816" i="1"/>
  <c r="E1817" i="1"/>
  <c r="F1817" i="1" l="1"/>
  <c r="G1817" i="1"/>
  <c r="E1818" i="1"/>
  <c r="F1818" i="1" l="1"/>
  <c r="G1818" i="1"/>
  <c r="E1819" i="1"/>
  <c r="F1819" i="1" l="1"/>
  <c r="G1819" i="1"/>
  <c r="E1820" i="1"/>
  <c r="F1820" i="1" l="1"/>
  <c r="G1820" i="1"/>
  <c r="E1821" i="1"/>
  <c r="F1821" i="1" l="1"/>
  <c r="G1821" i="1"/>
  <c r="E1822" i="1"/>
  <c r="F1822" i="1" l="1"/>
  <c r="G1822" i="1"/>
  <c r="E1823" i="1"/>
  <c r="F1823" i="1" l="1"/>
  <c r="G1823" i="1"/>
  <c r="E1824" i="1"/>
  <c r="F1824" i="1" l="1"/>
  <c r="G1824" i="1"/>
  <c r="E1825" i="1"/>
  <c r="F1825" i="1" l="1"/>
  <c r="G1825" i="1"/>
  <c r="E1826" i="1"/>
  <c r="F1826" i="1" l="1"/>
  <c r="G1826" i="1"/>
  <c r="E1827" i="1"/>
  <c r="F1827" i="1" l="1"/>
  <c r="G1827" i="1"/>
  <c r="E1828" i="1"/>
  <c r="F1828" i="1" l="1"/>
  <c r="G1828" i="1"/>
  <c r="E1829" i="1"/>
  <c r="F1829" i="1" l="1"/>
  <c r="G1829" i="1"/>
  <c r="E1830" i="1"/>
  <c r="F1830" i="1" l="1"/>
  <c r="G1830" i="1"/>
  <c r="E1831" i="1"/>
  <c r="F1831" i="1" l="1"/>
  <c r="G1831" i="1"/>
  <c r="E1832" i="1"/>
  <c r="F1832" i="1" l="1"/>
  <c r="G1832" i="1"/>
  <c r="E1833" i="1"/>
  <c r="F1833" i="1" l="1"/>
  <c r="G1833" i="1"/>
  <c r="E1834" i="1"/>
  <c r="F1834" i="1" l="1"/>
  <c r="G1834" i="1"/>
  <c r="E1835" i="1"/>
  <c r="F1835" i="1" l="1"/>
  <c r="G1835" i="1"/>
  <c r="E1836" i="1"/>
  <c r="F1836" i="1" l="1"/>
  <c r="G1836" i="1"/>
  <c r="E1837" i="1"/>
  <c r="F1837" i="1" l="1"/>
  <c r="G1837" i="1"/>
  <c r="E1838" i="1"/>
  <c r="F1838" i="1" l="1"/>
  <c r="G1838" i="1"/>
  <c r="E1839" i="1"/>
  <c r="F1839" i="1" l="1"/>
  <c r="G1839" i="1"/>
  <c r="E1840" i="1"/>
  <c r="F1840" i="1" l="1"/>
  <c r="G1840" i="1"/>
  <c r="E1841" i="1"/>
  <c r="F1841" i="1" l="1"/>
  <c r="G1841" i="1"/>
  <c r="E1842" i="1"/>
  <c r="F1842" i="1" l="1"/>
  <c r="G1842" i="1"/>
  <c r="E1843" i="1"/>
  <c r="F1843" i="1" l="1"/>
  <c r="G1843" i="1"/>
  <c r="E1844" i="1"/>
  <c r="F1844" i="1" l="1"/>
  <c r="G1844" i="1"/>
  <c r="E1845" i="1"/>
  <c r="F1845" i="1" l="1"/>
  <c r="G1845" i="1"/>
  <c r="E1846" i="1"/>
  <c r="F1846" i="1" l="1"/>
  <c r="G1846" i="1"/>
  <c r="E1847" i="1"/>
  <c r="F1847" i="1" l="1"/>
  <c r="G1847" i="1"/>
  <c r="E1848" i="1"/>
  <c r="F1848" i="1" l="1"/>
  <c r="G1848" i="1"/>
  <c r="E1849" i="1"/>
  <c r="F1849" i="1" l="1"/>
  <c r="G1849" i="1"/>
  <c r="E1850" i="1"/>
  <c r="F1850" i="1" l="1"/>
  <c r="G1850" i="1"/>
  <c r="E1851" i="1"/>
  <c r="F1851" i="1" l="1"/>
  <c r="G1851" i="1"/>
  <c r="E1852" i="1"/>
  <c r="F1852" i="1" l="1"/>
  <c r="G1852" i="1"/>
  <c r="E1853" i="1"/>
  <c r="F1853" i="1" l="1"/>
  <c r="G1853" i="1"/>
  <c r="E1854" i="1"/>
  <c r="F1854" i="1" l="1"/>
  <c r="G1854" i="1"/>
  <c r="E1855" i="1"/>
  <c r="F1855" i="1" l="1"/>
  <c r="G1855" i="1"/>
  <c r="E1856" i="1"/>
  <c r="F1856" i="1" l="1"/>
  <c r="G1856" i="1"/>
  <c r="E1857" i="1"/>
  <c r="F1857" i="1" l="1"/>
  <c r="G1857" i="1"/>
  <c r="E1858" i="1"/>
  <c r="F1858" i="1" l="1"/>
  <c r="G1858" i="1"/>
  <c r="E1859" i="1"/>
  <c r="F1859" i="1" l="1"/>
  <c r="G1859" i="1"/>
  <c r="E1860" i="1"/>
  <c r="F1860" i="1" l="1"/>
  <c r="G1860" i="1"/>
  <c r="E1861" i="1"/>
  <c r="F1861" i="1" l="1"/>
  <c r="G1861" i="1"/>
  <c r="E1862" i="1"/>
  <c r="F1862" i="1" l="1"/>
  <c r="G1862" i="1"/>
  <c r="E1863" i="1"/>
  <c r="F1863" i="1" l="1"/>
  <c r="G1863" i="1"/>
  <c r="E1864" i="1"/>
  <c r="F1864" i="1" l="1"/>
  <c r="G1864" i="1"/>
  <c r="E1865" i="1"/>
  <c r="F1865" i="1" l="1"/>
  <c r="G1865" i="1"/>
  <c r="E1866" i="1"/>
  <c r="F1866" i="1" l="1"/>
  <c r="G1866" i="1"/>
  <c r="E1867" i="1"/>
  <c r="F1867" i="1" l="1"/>
  <c r="G1867" i="1"/>
  <c r="E1868" i="1"/>
  <c r="F1868" i="1" l="1"/>
  <c r="G1868" i="1"/>
  <c r="E1869" i="1"/>
  <c r="F1869" i="1" l="1"/>
  <c r="G1869" i="1"/>
  <c r="E1870" i="1"/>
  <c r="F1870" i="1" l="1"/>
  <c r="G1870" i="1"/>
  <c r="E1871" i="1"/>
  <c r="F1871" i="1" l="1"/>
  <c r="G1871" i="1"/>
  <c r="E1872" i="1"/>
  <c r="F1872" i="1" l="1"/>
  <c r="G1872" i="1"/>
  <c r="E1873" i="1"/>
  <c r="F1873" i="1" l="1"/>
  <c r="G1873" i="1"/>
  <c r="E1874" i="1"/>
  <c r="F1874" i="1" l="1"/>
  <c r="G1874" i="1"/>
  <c r="E1875" i="1"/>
  <c r="F1875" i="1" l="1"/>
  <c r="G1875" i="1"/>
  <c r="E1876" i="1"/>
  <c r="F1876" i="1" l="1"/>
  <c r="G1876" i="1"/>
  <c r="E1877" i="1"/>
  <c r="F1877" i="1" l="1"/>
  <c r="G1877" i="1"/>
  <c r="E1878" i="1"/>
  <c r="F1878" i="1" l="1"/>
  <c r="G1878" i="1"/>
  <c r="E1879" i="1"/>
  <c r="F1879" i="1" l="1"/>
  <c r="G1879" i="1"/>
  <c r="E1880" i="1"/>
  <c r="F1880" i="1" l="1"/>
  <c r="G1880" i="1"/>
  <c r="E1881" i="1"/>
  <c r="F1881" i="1" l="1"/>
  <c r="G1881" i="1"/>
  <c r="E1882" i="1"/>
  <c r="F1882" i="1" l="1"/>
  <c r="G1882" i="1"/>
  <c r="E1883" i="1"/>
  <c r="F1883" i="1" l="1"/>
  <c r="G1883" i="1"/>
  <c r="E1884" i="1"/>
  <c r="F1884" i="1" l="1"/>
  <c r="G1884" i="1"/>
  <c r="E1885" i="1"/>
  <c r="F1885" i="1" l="1"/>
  <c r="G1885" i="1"/>
  <c r="E1886" i="1"/>
  <c r="F1886" i="1" l="1"/>
  <c r="G1886" i="1"/>
  <c r="E1887" i="1"/>
  <c r="F1887" i="1" l="1"/>
  <c r="G1887" i="1"/>
  <c r="E1888" i="1"/>
  <c r="F1888" i="1" l="1"/>
  <c r="G1888" i="1"/>
  <c r="E1889" i="1"/>
  <c r="F1889" i="1" l="1"/>
  <c r="G1889" i="1"/>
  <c r="E1890" i="1"/>
  <c r="F1890" i="1" l="1"/>
  <c r="G1890" i="1"/>
  <c r="E1891" i="1"/>
  <c r="F1891" i="1" l="1"/>
  <c r="G1891" i="1"/>
  <c r="E1892" i="1"/>
  <c r="F1892" i="1" l="1"/>
  <c r="G1892" i="1"/>
  <c r="E1893" i="1"/>
  <c r="F1893" i="1" l="1"/>
  <c r="G1893" i="1"/>
  <c r="E1894" i="1"/>
  <c r="F1894" i="1" l="1"/>
  <c r="G1894" i="1"/>
  <c r="E1895" i="1"/>
  <c r="F1895" i="1" l="1"/>
  <c r="G1895" i="1"/>
  <c r="E1896" i="1"/>
  <c r="F1896" i="1" l="1"/>
  <c r="G1896" i="1"/>
  <c r="E1897" i="1"/>
  <c r="F1897" i="1" l="1"/>
  <c r="G1897" i="1"/>
  <c r="E1898" i="1"/>
  <c r="F1898" i="1" l="1"/>
  <c r="G1898" i="1"/>
  <c r="E1899" i="1"/>
  <c r="F1899" i="1" l="1"/>
  <c r="G1899" i="1"/>
  <c r="E1900" i="1"/>
  <c r="F1900" i="1" l="1"/>
  <c r="G1900" i="1"/>
  <c r="E1901" i="1"/>
  <c r="F1901" i="1" l="1"/>
  <c r="G1901" i="1"/>
  <c r="E1902" i="1"/>
  <c r="F1902" i="1" l="1"/>
  <c r="G1902" i="1"/>
  <c r="E1903" i="1"/>
  <c r="F1903" i="1" l="1"/>
  <c r="G1903" i="1"/>
  <c r="E1904" i="1"/>
  <c r="F1904" i="1" l="1"/>
  <c r="G1904" i="1"/>
  <c r="E1905" i="1"/>
  <c r="F1905" i="1" l="1"/>
  <c r="G1905" i="1"/>
  <c r="E1906" i="1"/>
  <c r="F1906" i="1" l="1"/>
  <c r="G1906" i="1"/>
  <c r="E1907" i="1"/>
  <c r="F1907" i="1" l="1"/>
  <c r="G1907" i="1"/>
  <c r="E1908" i="1"/>
  <c r="F1908" i="1" l="1"/>
  <c r="G1908" i="1"/>
  <c r="E1909" i="1"/>
  <c r="F1909" i="1" l="1"/>
  <c r="G1909" i="1"/>
  <c r="E1910" i="1"/>
  <c r="F1910" i="1" l="1"/>
  <c r="G1910" i="1"/>
  <c r="E1911" i="1"/>
  <c r="F1911" i="1" l="1"/>
  <c r="G1911" i="1"/>
  <c r="E1912" i="1"/>
  <c r="F1912" i="1" l="1"/>
  <c r="G1912" i="1"/>
  <c r="E1913" i="1"/>
  <c r="F1913" i="1" l="1"/>
  <c r="G1913" i="1"/>
  <c r="E1914" i="1"/>
  <c r="F1914" i="1" l="1"/>
  <c r="G1914" i="1"/>
  <c r="E1915" i="1"/>
  <c r="F1915" i="1" l="1"/>
  <c r="G1915" i="1"/>
  <c r="E1916" i="1"/>
  <c r="F1916" i="1" l="1"/>
  <c r="G1916" i="1"/>
  <c r="E1917" i="1"/>
  <c r="F1917" i="1" l="1"/>
  <c r="G1917" i="1"/>
  <c r="E1918" i="1"/>
  <c r="F1918" i="1" l="1"/>
  <c r="G1918" i="1"/>
  <c r="E1919" i="1"/>
  <c r="F1919" i="1" l="1"/>
  <c r="G1919" i="1"/>
  <c r="E1920" i="1"/>
  <c r="F1920" i="1" l="1"/>
  <c r="G1920" i="1"/>
  <c r="E1921" i="1"/>
  <c r="F1921" i="1" l="1"/>
  <c r="G1921" i="1"/>
  <c r="E1922" i="1"/>
  <c r="F1922" i="1" l="1"/>
  <c r="G1922" i="1"/>
  <c r="E1923" i="1"/>
  <c r="F1923" i="1" l="1"/>
  <c r="G1923" i="1"/>
  <c r="E1924" i="1"/>
  <c r="F1924" i="1" l="1"/>
  <c r="G1924" i="1"/>
  <c r="E1925" i="1"/>
  <c r="F1925" i="1" l="1"/>
  <c r="G1925" i="1"/>
  <c r="E1926" i="1"/>
  <c r="F1926" i="1" l="1"/>
  <c r="G1926" i="1"/>
  <c r="E1927" i="1"/>
  <c r="F1927" i="1" l="1"/>
  <c r="G1927" i="1"/>
  <c r="E1928" i="1"/>
  <c r="F1928" i="1" l="1"/>
  <c r="G1928" i="1"/>
  <c r="E1929" i="1"/>
  <c r="F1929" i="1" l="1"/>
  <c r="G1929" i="1"/>
  <c r="E1930" i="1"/>
  <c r="F1930" i="1" l="1"/>
  <c r="G1930" i="1"/>
  <c r="E1931" i="1"/>
  <c r="F1931" i="1" l="1"/>
  <c r="G1931" i="1"/>
  <c r="E1932" i="1"/>
  <c r="F1932" i="1" l="1"/>
  <c r="G1932" i="1"/>
  <c r="E1933" i="1"/>
  <c r="F1933" i="1" l="1"/>
  <c r="G1933" i="1"/>
  <c r="E1934" i="1"/>
  <c r="F1934" i="1" l="1"/>
  <c r="G1934" i="1"/>
  <c r="E1935" i="1"/>
  <c r="F1935" i="1" l="1"/>
  <c r="G1935" i="1"/>
  <c r="E1936" i="1"/>
  <c r="F1936" i="1" l="1"/>
  <c r="G1936" i="1"/>
  <c r="E1937" i="1"/>
  <c r="F1937" i="1" l="1"/>
  <c r="G1937" i="1"/>
  <c r="E1938" i="1"/>
  <c r="F1938" i="1" l="1"/>
  <c r="G1938" i="1"/>
  <c r="E1939" i="1"/>
  <c r="F1939" i="1" l="1"/>
  <c r="G1939" i="1"/>
  <c r="E1940" i="1"/>
  <c r="F1940" i="1" l="1"/>
  <c r="G1940" i="1"/>
  <c r="E1941" i="1"/>
  <c r="F1941" i="1" l="1"/>
  <c r="G1941" i="1"/>
  <c r="E1942" i="1"/>
  <c r="F1942" i="1" l="1"/>
  <c r="G1942" i="1"/>
  <c r="E1943" i="1"/>
  <c r="F1943" i="1" l="1"/>
  <c r="G1943" i="1"/>
  <c r="E1944" i="1"/>
  <c r="F1944" i="1" l="1"/>
  <c r="G1944" i="1"/>
  <c r="E1945" i="1"/>
  <c r="F1945" i="1" l="1"/>
  <c r="G1945" i="1"/>
  <c r="E1946" i="1"/>
  <c r="F1946" i="1" l="1"/>
  <c r="G1946" i="1"/>
  <c r="E1947" i="1"/>
  <c r="F1947" i="1" l="1"/>
  <c r="G1947" i="1"/>
  <c r="E1948" i="1"/>
  <c r="F1948" i="1" l="1"/>
  <c r="G1948" i="1"/>
  <c r="E1949" i="1"/>
  <c r="F1949" i="1" l="1"/>
  <c r="G1949" i="1"/>
  <c r="E1950" i="1"/>
  <c r="F1950" i="1" l="1"/>
  <c r="G1950" i="1"/>
  <c r="E1951" i="1"/>
  <c r="F1951" i="1" l="1"/>
  <c r="G1951" i="1"/>
  <c r="E1952" i="1"/>
  <c r="F1952" i="1" l="1"/>
  <c r="G1952" i="1"/>
  <c r="E1953" i="1"/>
  <c r="F1953" i="1" l="1"/>
  <c r="G1953" i="1"/>
  <c r="E1954" i="1"/>
  <c r="F1954" i="1" l="1"/>
  <c r="G1954" i="1"/>
  <c r="E1955" i="1"/>
  <c r="F1955" i="1" l="1"/>
  <c r="G1955" i="1"/>
  <c r="E1956" i="1"/>
  <c r="F1956" i="1" l="1"/>
  <c r="G1956" i="1"/>
  <c r="E1957" i="1"/>
  <c r="F1957" i="1" l="1"/>
  <c r="G1957" i="1"/>
  <c r="E1958" i="1"/>
  <c r="F1958" i="1" l="1"/>
  <c r="G1958" i="1"/>
  <c r="E1959" i="1"/>
  <c r="F1959" i="1" l="1"/>
  <c r="G1959" i="1"/>
  <c r="E1960" i="1"/>
  <c r="F1960" i="1" l="1"/>
  <c r="G1960" i="1"/>
  <c r="E1961" i="1"/>
  <c r="F1961" i="1" l="1"/>
  <c r="G1961" i="1"/>
  <c r="E1962" i="1"/>
  <c r="F1962" i="1" l="1"/>
  <c r="G1962" i="1"/>
  <c r="E1963" i="1"/>
  <c r="F1963" i="1" l="1"/>
  <c r="G1963" i="1"/>
  <c r="E1964" i="1"/>
  <c r="F1964" i="1" l="1"/>
  <c r="G1964" i="1"/>
  <c r="E1965" i="1"/>
  <c r="F1965" i="1" l="1"/>
  <c r="G1965" i="1"/>
  <c r="E1966" i="1"/>
  <c r="F1966" i="1" l="1"/>
  <c r="G1966" i="1"/>
  <c r="E1967" i="1"/>
  <c r="F1967" i="1" l="1"/>
  <c r="G1967" i="1"/>
  <c r="E1968" i="1"/>
  <c r="F1968" i="1" l="1"/>
  <c r="G1968" i="1"/>
  <c r="E1969" i="1"/>
  <c r="F1969" i="1" l="1"/>
  <c r="G1969" i="1"/>
  <c r="E1970" i="1"/>
  <c r="F1970" i="1" l="1"/>
  <c r="G1970" i="1"/>
  <c r="E1971" i="1"/>
  <c r="F1971" i="1" l="1"/>
  <c r="G1971" i="1"/>
  <c r="E1972" i="1"/>
  <c r="F1972" i="1" l="1"/>
  <c r="G1972" i="1"/>
  <c r="E1973" i="1"/>
  <c r="F1973" i="1" l="1"/>
  <c r="G1973" i="1"/>
  <c r="E1974" i="1"/>
  <c r="F1974" i="1" l="1"/>
  <c r="G1974" i="1"/>
  <c r="E1975" i="1"/>
  <c r="F1975" i="1" l="1"/>
  <c r="G1975" i="1"/>
  <c r="E1976" i="1"/>
  <c r="F1976" i="1" l="1"/>
  <c r="G1976" i="1"/>
  <c r="E1977" i="1"/>
  <c r="F1977" i="1" l="1"/>
  <c r="G1977" i="1"/>
  <c r="E1978" i="1"/>
  <c r="F1978" i="1" l="1"/>
  <c r="G1978" i="1"/>
  <c r="E1979" i="1"/>
  <c r="F1979" i="1" l="1"/>
  <c r="G1979" i="1"/>
  <c r="E1980" i="1"/>
  <c r="F1980" i="1" l="1"/>
  <c r="G1980" i="1"/>
  <c r="E1981" i="1"/>
  <c r="F1981" i="1" l="1"/>
  <c r="G1981" i="1"/>
  <c r="E1982" i="1"/>
  <c r="F1982" i="1" l="1"/>
  <c r="G1982" i="1"/>
  <c r="E1983" i="1"/>
  <c r="F1983" i="1" l="1"/>
  <c r="G1983" i="1"/>
  <c r="E1984" i="1"/>
  <c r="F1984" i="1" l="1"/>
  <c r="G1984" i="1"/>
  <c r="E1985" i="1"/>
  <c r="F1985" i="1" l="1"/>
  <c r="G1985" i="1"/>
  <c r="E1986" i="1"/>
  <c r="F1986" i="1" l="1"/>
  <c r="G1986" i="1"/>
  <c r="E1987" i="1"/>
  <c r="F1987" i="1" l="1"/>
  <c r="G1987" i="1"/>
  <c r="E1988" i="1"/>
  <c r="F1988" i="1" l="1"/>
  <c r="G1988" i="1"/>
  <c r="E1989" i="1"/>
  <c r="F1989" i="1" l="1"/>
  <c r="G1989" i="1"/>
  <c r="E1990" i="1"/>
  <c r="F1990" i="1" l="1"/>
  <c r="G1990" i="1"/>
  <c r="E1991" i="1"/>
  <c r="F1991" i="1" l="1"/>
  <c r="G1991" i="1"/>
  <c r="E1992" i="1"/>
  <c r="F1992" i="1" l="1"/>
  <c r="G1992" i="1"/>
  <c r="E1993" i="1"/>
  <c r="F1993" i="1" l="1"/>
  <c r="G1993" i="1"/>
  <c r="E1994" i="1"/>
  <c r="F1994" i="1" l="1"/>
  <c r="G1994" i="1"/>
  <c r="E1995" i="1"/>
  <c r="F1995" i="1" l="1"/>
  <c r="G1995" i="1"/>
  <c r="E1996" i="1"/>
  <c r="F1996" i="1" l="1"/>
  <c r="G1996" i="1"/>
  <c r="E1997" i="1"/>
  <c r="F1997" i="1" l="1"/>
  <c r="G1997" i="1"/>
  <c r="E1998" i="1"/>
  <c r="F1998" i="1" l="1"/>
  <c r="G1998" i="1"/>
  <c r="E1999" i="1"/>
  <c r="F1999" i="1" l="1"/>
  <c r="G1999" i="1"/>
  <c r="E2000" i="1"/>
  <c r="F2000" i="1" l="1"/>
  <c r="G2000" i="1"/>
  <c r="E2001" i="1"/>
  <c r="F2001" i="1" l="1"/>
  <c r="G2001" i="1"/>
  <c r="E2002" i="1"/>
  <c r="F2002" i="1" l="1"/>
  <c r="G2002" i="1"/>
  <c r="E2003" i="1"/>
  <c r="F2003" i="1" l="1"/>
  <c r="G2003" i="1"/>
  <c r="E2004" i="1"/>
  <c r="F2004" i="1" l="1"/>
  <c r="G2004" i="1"/>
  <c r="E2005" i="1"/>
  <c r="F2005" i="1" l="1"/>
  <c r="G2005" i="1"/>
  <c r="E2006" i="1"/>
  <c r="F2006" i="1" l="1"/>
  <c r="G2006" i="1"/>
  <c r="E2007" i="1"/>
  <c r="F2007" i="1" l="1"/>
  <c r="G2007" i="1"/>
  <c r="E2008" i="1"/>
  <c r="F2008" i="1" l="1"/>
  <c r="G2008" i="1"/>
  <c r="E2009" i="1"/>
  <c r="F2009" i="1" l="1"/>
  <c r="G2009" i="1"/>
  <c r="E2010" i="1"/>
  <c r="F2010" i="1" l="1"/>
  <c r="G2010" i="1"/>
  <c r="E2011" i="1"/>
  <c r="F2011" i="1" l="1"/>
  <c r="G2011" i="1"/>
  <c r="E2012" i="1"/>
  <c r="F2012" i="1" l="1"/>
  <c r="G2012" i="1"/>
  <c r="E2013" i="1"/>
  <c r="F2013" i="1" l="1"/>
  <c r="G2013" i="1"/>
  <c r="E2014" i="1"/>
  <c r="F2014" i="1" l="1"/>
  <c r="G2014" i="1"/>
  <c r="E2015" i="1"/>
  <c r="F2015" i="1" l="1"/>
  <c r="G2015" i="1"/>
  <c r="E2016" i="1"/>
  <c r="F2016" i="1" l="1"/>
  <c r="G2016" i="1"/>
  <c r="E2017" i="1"/>
  <c r="F2017" i="1" l="1"/>
  <c r="G2017" i="1"/>
  <c r="E2018" i="1"/>
  <c r="F2018" i="1" l="1"/>
  <c r="G2018" i="1"/>
  <c r="E2019" i="1"/>
  <c r="F2019" i="1" l="1"/>
  <c r="G2019" i="1"/>
  <c r="E2020" i="1"/>
  <c r="F2020" i="1" l="1"/>
  <c r="G2020" i="1"/>
  <c r="E2021" i="1"/>
  <c r="F2021" i="1" l="1"/>
  <c r="G2021" i="1"/>
  <c r="E2022" i="1"/>
  <c r="F2022" i="1" l="1"/>
  <c r="G2022" i="1"/>
  <c r="E2023" i="1"/>
  <c r="F2023" i="1" l="1"/>
  <c r="G2023" i="1"/>
  <c r="E2024" i="1"/>
  <c r="F2024" i="1" l="1"/>
  <c r="G2024" i="1"/>
  <c r="E2025" i="1"/>
  <c r="F2025" i="1" l="1"/>
  <c r="G2025" i="1"/>
  <c r="E2026" i="1"/>
  <c r="F2026" i="1" l="1"/>
  <c r="G2026" i="1"/>
  <c r="E2027" i="1"/>
  <c r="F2027" i="1" l="1"/>
  <c r="G2027" i="1"/>
  <c r="E2028" i="1"/>
  <c r="F2028" i="1" l="1"/>
  <c r="G2028" i="1"/>
  <c r="E2029" i="1"/>
  <c r="F2029" i="1" l="1"/>
  <c r="G2029" i="1"/>
  <c r="E2030" i="1"/>
  <c r="F2030" i="1" l="1"/>
  <c r="G2030" i="1"/>
  <c r="E2031" i="1"/>
  <c r="F2031" i="1" l="1"/>
  <c r="G2031" i="1"/>
  <c r="E2032" i="1"/>
  <c r="F2032" i="1" l="1"/>
  <c r="G2032" i="1"/>
  <c r="E2033" i="1"/>
  <c r="F2033" i="1" l="1"/>
  <c r="G2033" i="1"/>
  <c r="E2034" i="1"/>
  <c r="F2034" i="1" l="1"/>
  <c r="G2034" i="1"/>
  <c r="E2035" i="1"/>
  <c r="F2035" i="1" l="1"/>
  <c r="G2035" i="1"/>
  <c r="E2036" i="1"/>
  <c r="F2036" i="1" l="1"/>
  <c r="G2036" i="1"/>
  <c r="E2037" i="1"/>
  <c r="F2037" i="1" l="1"/>
  <c r="G2037" i="1"/>
  <c r="E2038" i="1"/>
  <c r="F2038" i="1" l="1"/>
  <c r="G2038" i="1"/>
  <c r="E2039" i="1"/>
  <c r="F2039" i="1" l="1"/>
  <c r="G2039" i="1"/>
  <c r="E2040" i="1"/>
  <c r="F2040" i="1" l="1"/>
  <c r="G2040" i="1"/>
  <c r="E2041" i="1"/>
  <c r="F2041" i="1" l="1"/>
  <c r="G2041" i="1"/>
  <c r="E2042" i="1"/>
  <c r="F2042" i="1" l="1"/>
  <c r="G2042" i="1"/>
  <c r="E2043" i="1"/>
  <c r="F2043" i="1" l="1"/>
  <c r="G2043" i="1"/>
  <c r="E2044" i="1"/>
  <c r="F2044" i="1" l="1"/>
  <c r="G2044" i="1"/>
  <c r="E2045" i="1"/>
  <c r="F2045" i="1" l="1"/>
  <c r="G2045" i="1"/>
  <c r="E2046" i="1"/>
  <c r="F2046" i="1" l="1"/>
  <c r="G2046" i="1"/>
  <c r="E2047" i="1"/>
  <c r="F2047" i="1" l="1"/>
  <c r="G2047" i="1"/>
  <c r="E2048" i="1"/>
  <c r="F2048" i="1" l="1"/>
  <c r="G2048" i="1"/>
  <c r="E2049" i="1"/>
  <c r="F2049" i="1" l="1"/>
  <c r="G2049" i="1"/>
  <c r="E2050" i="1"/>
  <c r="F2050" i="1" l="1"/>
  <c r="G2050" i="1"/>
  <c r="E2051" i="1"/>
  <c r="F2051" i="1" l="1"/>
  <c r="G2051" i="1"/>
  <c r="E2052" i="1"/>
  <c r="F2052" i="1" l="1"/>
  <c r="G2052" i="1"/>
  <c r="E2053" i="1"/>
  <c r="F2053" i="1" l="1"/>
  <c r="G2053" i="1"/>
  <c r="E2054" i="1"/>
  <c r="F2054" i="1" l="1"/>
  <c r="G2054" i="1"/>
  <c r="E2055" i="1"/>
  <c r="F2055" i="1" l="1"/>
  <c r="G2055" i="1"/>
  <c r="E2056" i="1"/>
  <c r="F2056" i="1" l="1"/>
  <c r="G2056" i="1"/>
  <c r="E2057" i="1"/>
  <c r="F2057" i="1" l="1"/>
  <c r="G2057" i="1"/>
  <c r="E2058" i="1"/>
  <c r="F2058" i="1" l="1"/>
  <c r="G2058" i="1"/>
  <c r="E2059" i="1"/>
  <c r="F2059" i="1" l="1"/>
  <c r="G2059" i="1"/>
  <c r="E2060" i="1"/>
  <c r="F2060" i="1" l="1"/>
  <c r="G2060" i="1"/>
  <c r="E2061" i="1"/>
  <c r="F2061" i="1" l="1"/>
  <c r="G2061" i="1"/>
  <c r="E2062" i="1"/>
  <c r="F2062" i="1" l="1"/>
  <c r="G2062" i="1"/>
  <c r="E2063" i="1"/>
  <c r="F2063" i="1" l="1"/>
  <c r="G2063" i="1"/>
  <c r="E2064" i="1"/>
  <c r="F2064" i="1" l="1"/>
  <c r="G2064" i="1"/>
  <c r="E2065" i="1"/>
  <c r="F2065" i="1" l="1"/>
  <c r="G2065" i="1"/>
  <c r="E2066" i="1"/>
  <c r="F2066" i="1" l="1"/>
  <c r="G2066" i="1"/>
  <c r="E2067" i="1"/>
  <c r="F2067" i="1" l="1"/>
  <c r="G2067" i="1"/>
  <c r="E2068" i="1"/>
  <c r="F2068" i="1" l="1"/>
  <c r="G2068" i="1"/>
  <c r="E2069" i="1"/>
  <c r="F2069" i="1" l="1"/>
  <c r="G2069" i="1"/>
  <c r="E2070" i="1"/>
  <c r="F2070" i="1" l="1"/>
  <c r="G2070" i="1"/>
  <c r="E2071" i="1"/>
  <c r="F2071" i="1" l="1"/>
  <c r="G2071" i="1"/>
  <c r="E2072" i="1"/>
  <c r="F2072" i="1" l="1"/>
  <c r="G2072" i="1"/>
  <c r="E2073" i="1"/>
  <c r="F2073" i="1" l="1"/>
  <c r="G2073" i="1"/>
  <c r="E2074" i="1"/>
  <c r="F2074" i="1" l="1"/>
  <c r="G2074" i="1"/>
  <c r="E2075" i="1"/>
  <c r="F2075" i="1" l="1"/>
  <c r="G2075" i="1"/>
  <c r="E2076" i="1"/>
  <c r="F2076" i="1" l="1"/>
  <c r="G2076" i="1"/>
  <c r="E2077" i="1"/>
  <c r="F2077" i="1" l="1"/>
  <c r="G2077" i="1"/>
  <c r="E2078" i="1"/>
  <c r="F2078" i="1" l="1"/>
  <c r="G2078" i="1"/>
  <c r="E2079" i="1"/>
  <c r="F2079" i="1" l="1"/>
  <c r="G2079" i="1"/>
  <c r="E2080" i="1"/>
  <c r="F2080" i="1" l="1"/>
  <c r="G2080" i="1"/>
  <c r="E2081" i="1"/>
  <c r="F2081" i="1" l="1"/>
  <c r="G2081" i="1"/>
  <c r="E2082" i="1"/>
  <c r="F2082" i="1" l="1"/>
  <c r="G2082" i="1"/>
  <c r="E2083" i="1"/>
  <c r="F2083" i="1" l="1"/>
  <c r="G2083" i="1"/>
  <c r="E2084" i="1"/>
  <c r="F2084" i="1" l="1"/>
  <c r="G2084" i="1"/>
  <c r="E2085" i="1"/>
  <c r="F2085" i="1" l="1"/>
  <c r="G2085" i="1"/>
  <c r="E2086" i="1"/>
  <c r="F2086" i="1" l="1"/>
  <c r="G2086" i="1"/>
  <c r="E2087" i="1"/>
  <c r="F2087" i="1" l="1"/>
  <c r="G2087" i="1"/>
  <c r="E2088" i="1"/>
  <c r="F2088" i="1" l="1"/>
  <c r="G2088" i="1"/>
  <c r="E2089" i="1"/>
  <c r="F2089" i="1" l="1"/>
  <c r="G2089" i="1"/>
  <c r="E2090" i="1"/>
  <c r="F2090" i="1" l="1"/>
  <c r="G2090" i="1"/>
  <c r="E2091" i="1"/>
  <c r="F2091" i="1" l="1"/>
  <c r="G2091" i="1"/>
  <c r="E2092" i="1"/>
  <c r="F2092" i="1" l="1"/>
  <c r="G2092" i="1"/>
  <c r="E2093" i="1"/>
  <c r="F2093" i="1" l="1"/>
  <c r="G2093" i="1"/>
  <c r="E2094" i="1"/>
  <c r="F2094" i="1" l="1"/>
  <c r="G2094" i="1"/>
  <c r="E2095" i="1"/>
  <c r="F2095" i="1" l="1"/>
  <c r="G2095" i="1"/>
  <c r="E2096" i="1"/>
  <c r="F2096" i="1" l="1"/>
  <c r="G2096" i="1"/>
  <c r="E2097" i="1"/>
  <c r="F2097" i="1" l="1"/>
  <c r="G2097" i="1"/>
  <c r="E2098" i="1"/>
  <c r="F2098" i="1" l="1"/>
  <c r="G2098" i="1"/>
  <c r="E2099" i="1"/>
  <c r="F2099" i="1" l="1"/>
  <c r="G2099" i="1"/>
  <c r="E2100" i="1"/>
  <c r="F2100" i="1" l="1"/>
  <c r="G2100" i="1"/>
  <c r="E2101" i="1"/>
  <c r="F2101" i="1" l="1"/>
  <c r="G2101" i="1"/>
  <c r="E2102" i="1"/>
  <c r="F2102" i="1" l="1"/>
  <c r="G2102" i="1"/>
  <c r="E2103" i="1"/>
  <c r="F2103" i="1" l="1"/>
  <c r="G2103" i="1"/>
  <c r="E2104" i="1"/>
  <c r="F2104" i="1" l="1"/>
  <c r="G2104" i="1"/>
  <c r="E2105" i="1"/>
  <c r="F2105" i="1" l="1"/>
  <c r="G2105" i="1"/>
  <c r="E2106" i="1"/>
  <c r="F2106" i="1" l="1"/>
  <c r="G2106" i="1"/>
  <c r="E2107" i="1"/>
  <c r="F2107" i="1" l="1"/>
  <c r="G2107" i="1"/>
  <c r="E2108" i="1"/>
  <c r="F2108" i="1" l="1"/>
  <c r="G2108" i="1"/>
  <c r="E2109" i="1"/>
  <c r="F2109" i="1" l="1"/>
  <c r="G2109" i="1"/>
  <c r="E2110" i="1"/>
  <c r="F2110" i="1" l="1"/>
  <c r="G2110" i="1"/>
  <c r="E2111" i="1"/>
  <c r="F2111" i="1" l="1"/>
  <c r="G2111" i="1"/>
  <c r="E2112" i="1"/>
  <c r="F2112" i="1" l="1"/>
  <c r="G2112" i="1"/>
  <c r="E2113" i="1"/>
  <c r="F2113" i="1" l="1"/>
  <c r="G2113" i="1"/>
  <c r="E2114" i="1"/>
  <c r="F2114" i="1" l="1"/>
  <c r="G2114" i="1"/>
  <c r="E2115" i="1"/>
  <c r="F2115" i="1" l="1"/>
  <c r="G2115" i="1"/>
  <c r="E2116" i="1"/>
  <c r="F2116" i="1" l="1"/>
  <c r="G2116" i="1"/>
  <c r="E2117" i="1"/>
  <c r="F2117" i="1" l="1"/>
  <c r="G2117" i="1"/>
  <c r="E2118" i="1"/>
  <c r="F2118" i="1" l="1"/>
  <c r="G2118" i="1"/>
  <c r="E2119" i="1"/>
  <c r="F2119" i="1" l="1"/>
  <c r="G2119" i="1"/>
  <c r="E2120" i="1"/>
  <c r="F2120" i="1" l="1"/>
  <c r="G2120" i="1"/>
  <c r="E2121" i="1"/>
  <c r="F2121" i="1" l="1"/>
  <c r="G2121" i="1"/>
  <c r="E2122" i="1"/>
  <c r="F2122" i="1" l="1"/>
  <c r="G2122" i="1"/>
  <c r="E2123" i="1"/>
  <c r="F2123" i="1" l="1"/>
  <c r="G2123" i="1"/>
  <c r="E2124" i="1"/>
  <c r="F2124" i="1" l="1"/>
  <c r="G2124" i="1"/>
  <c r="E2125" i="1"/>
  <c r="F2125" i="1" l="1"/>
  <c r="G2125" i="1"/>
  <c r="E2126" i="1"/>
  <c r="F2126" i="1" l="1"/>
  <c r="G2126" i="1"/>
  <c r="E2127" i="1"/>
  <c r="F2127" i="1" l="1"/>
  <c r="G2127" i="1"/>
  <c r="E2128" i="1"/>
  <c r="F2128" i="1" l="1"/>
  <c r="G2128" i="1"/>
  <c r="E2129" i="1"/>
  <c r="F2129" i="1" l="1"/>
  <c r="G2129" i="1"/>
  <c r="E2130" i="1"/>
  <c r="F2130" i="1" l="1"/>
  <c r="G2130" i="1"/>
  <c r="E2131" i="1"/>
  <c r="F2131" i="1" l="1"/>
  <c r="G2131" i="1"/>
  <c r="E2132" i="1"/>
  <c r="F2132" i="1" l="1"/>
  <c r="G2132" i="1"/>
  <c r="E2133" i="1"/>
  <c r="F2133" i="1" l="1"/>
  <c r="G2133" i="1"/>
  <c r="E2134" i="1"/>
  <c r="F2134" i="1" l="1"/>
  <c r="G2134" i="1"/>
  <c r="E2135" i="1"/>
  <c r="F2135" i="1" l="1"/>
  <c r="G2135" i="1"/>
  <c r="E2136" i="1"/>
  <c r="F2136" i="1" l="1"/>
  <c r="G2136" i="1"/>
  <c r="E2137" i="1"/>
  <c r="F2137" i="1" l="1"/>
  <c r="G2137" i="1"/>
  <c r="E2138" i="1"/>
  <c r="F2138" i="1" l="1"/>
  <c r="G2138" i="1"/>
  <c r="E2139" i="1"/>
  <c r="F2139" i="1" l="1"/>
  <c r="G2139" i="1"/>
  <c r="E2140" i="1"/>
  <c r="F2140" i="1" l="1"/>
  <c r="G2140" i="1"/>
  <c r="E2141" i="1"/>
  <c r="F2141" i="1" l="1"/>
  <c r="G2141" i="1"/>
  <c r="E2142" i="1"/>
  <c r="F2142" i="1" l="1"/>
  <c r="G2142" i="1"/>
  <c r="E2143" i="1"/>
  <c r="F2143" i="1" l="1"/>
  <c r="G2143" i="1"/>
  <c r="E2144" i="1"/>
  <c r="F2144" i="1" l="1"/>
  <c r="G2144" i="1"/>
  <c r="E2145" i="1"/>
  <c r="F2145" i="1" l="1"/>
  <c r="G2145" i="1"/>
  <c r="E2146" i="1"/>
  <c r="F2146" i="1" l="1"/>
  <c r="G2146" i="1"/>
  <c r="E2147" i="1"/>
  <c r="F2147" i="1" l="1"/>
  <c r="G2147" i="1"/>
  <c r="E2148" i="1"/>
  <c r="F2148" i="1" l="1"/>
  <c r="G2148" i="1"/>
  <c r="E2149" i="1"/>
  <c r="F2149" i="1" l="1"/>
  <c r="G2149" i="1"/>
  <c r="E2150" i="1"/>
  <c r="F2150" i="1" l="1"/>
  <c r="G2150" i="1"/>
  <c r="E2151" i="1"/>
  <c r="F2151" i="1" l="1"/>
  <c r="G2151" i="1"/>
  <c r="E2152" i="1"/>
  <c r="F2152" i="1" l="1"/>
  <c r="G2152" i="1"/>
  <c r="E2153" i="1"/>
  <c r="F2153" i="1" l="1"/>
  <c r="G2153" i="1"/>
  <c r="E2154" i="1"/>
  <c r="F2154" i="1" l="1"/>
  <c r="G2154" i="1"/>
  <c r="E2155" i="1"/>
  <c r="F2155" i="1" l="1"/>
  <c r="G2155" i="1"/>
  <c r="E2156" i="1"/>
  <c r="F2156" i="1" l="1"/>
  <c r="G2156" i="1"/>
  <c r="E2157" i="1"/>
  <c r="F2157" i="1" l="1"/>
  <c r="G2157" i="1"/>
  <c r="E2158" i="1"/>
  <c r="F2158" i="1" l="1"/>
  <c r="G2158" i="1"/>
  <c r="E2159" i="1"/>
  <c r="F2159" i="1" l="1"/>
  <c r="G2159" i="1"/>
  <c r="E2160" i="1"/>
  <c r="F2160" i="1" l="1"/>
  <c r="G2160" i="1"/>
  <c r="E2161" i="1"/>
  <c r="F2161" i="1" l="1"/>
  <c r="G2161" i="1"/>
  <c r="E2162" i="1"/>
  <c r="F2162" i="1" l="1"/>
  <c r="G2162" i="1"/>
  <c r="E2163" i="1"/>
  <c r="F2163" i="1" l="1"/>
  <c r="G2163" i="1"/>
  <c r="E2164" i="1"/>
  <c r="F2164" i="1" l="1"/>
  <c r="G2164" i="1"/>
  <c r="E2165" i="1"/>
  <c r="F2165" i="1" l="1"/>
  <c r="G2165" i="1"/>
  <c r="E2166" i="1"/>
  <c r="F2166" i="1" l="1"/>
  <c r="G2166" i="1"/>
  <c r="E2167" i="1"/>
  <c r="F2167" i="1" l="1"/>
  <c r="G2167" i="1"/>
  <c r="E2168" i="1"/>
  <c r="F2168" i="1" l="1"/>
  <c r="G2168" i="1"/>
  <c r="E2169" i="1"/>
  <c r="F2169" i="1" l="1"/>
  <c r="G2169" i="1"/>
  <c r="E2170" i="1"/>
  <c r="F2170" i="1" l="1"/>
  <c r="G2170" i="1"/>
  <c r="E2171" i="1"/>
  <c r="F2171" i="1" l="1"/>
  <c r="G2171" i="1"/>
  <c r="E2172" i="1"/>
  <c r="F2172" i="1" l="1"/>
  <c r="G2172" i="1"/>
  <c r="E2173" i="1"/>
  <c r="F2173" i="1" l="1"/>
  <c r="G2173" i="1"/>
  <c r="E2174" i="1"/>
  <c r="F2174" i="1" l="1"/>
  <c r="G2174" i="1"/>
  <c r="E2175" i="1"/>
  <c r="F2175" i="1" l="1"/>
  <c r="G2175" i="1"/>
  <c r="E2176" i="1"/>
  <c r="F2176" i="1" l="1"/>
  <c r="G2176" i="1"/>
  <c r="E2177" i="1"/>
  <c r="F2177" i="1" l="1"/>
  <c r="G2177" i="1"/>
  <c r="E2178" i="1"/>
  <c r="F2178" i="1" l="1"/>
  <c r="G2178" i="1"/>
  <c r="E2179" i="1"/>
  <c r="F2179" i="1" l="1"/>
  <c r="G2179" i="1"/>
  <c r="E2180" i="1"/>
  <c r="F2180" i="1" l="1"/>
  <c r="G2180" i="1"/>
  <c r="E2181" i="1"/>
  <c r="F2181" i="1" l="1"/>
  <c r="G2181" i="1"/>
  <c r="E2182" i="1"/>
  <c r="F2182" i="1" l="1"/>
  <c r="G2182" i="1"/>
  <c r="E2183" i="1"/>
  <c r="F2183" i="1" l="1"/>
  <c r="G2183" i="1"/>
  <c r="E2184" i="1"/>
  <c r="F2184" i="1" l="1"/>
  <c r="G2184" i="1"/>
  <c r="E2185" i="1"/>
  <c r="F2185" i="1" l="1"/>
  <c r="G2185" i="1"/>
  <c r="E2186" i="1"/>
  <c r="F2186" i="1" l="1"/>
  <c r="G2186" i="1"/>
  <c r="E2187" i="1"/>
  <c r="F2187" i="1" l="1"/>
  <c r="G2187" i="1"/>
  <c r="E2188" i="1"/>
  <c r="F2188" i="1" l="1"/>
  <c r="G2188" i="1"/>
  <c r="E2189" i="1"/>
  <c r="F2189" i="1" l="1"/>
  <c r="G2189" i="1"/>
  <c r="E2190" i="1"/>
  <c r="F2190" i="1" l="1"/>
  <c r="G2190" i="1"/>
  <c r="E2191" i="1"/>
  <c r="F2191" i="1" l="1"/>
  <c r="G2191" i="1"/>
  <c r="E2192" i="1"/>
  <c r="F2192" i="1" l="1"/>
  <c r="G2192" i="1"/>
  <c r="E2193" i="1"/>
  <c r="F2193" i="1" l="1"/>
  <c r="G2193" i="1"/>
  <c r="E2194" i="1"/>
  <c r="F2194" i="1" l="1"/>
  <c r="G2194" i="1"/>
  <c r="E2195" i="1"/>
  <c r="F2195" i="1" l="1"/>
  <c r="G2195" i="1"/>
  <c r="E2196" i="1"/>
  <c r="F2196" i="1" l="1"/>
  <c r="G2196" i="1"/>
  <c r="E2197" i="1"/>
  <c r="F2197" i="1" l="1"/>
  <c r="G2197" i="1"/>
  <c r="E2198" i="1"/>
  <c r="F2198" i="1" l="1"/>
  <c r="G2198" i="1"/>
  <c r="E2199" i="1"/>
  <c r="F2199" i="1" l="1"/>
  <c r="G2199" i="1"/>
  <c r="E2200" i="1"/>
  <c r="F2200" i="1" l="1"/>
  <c r="G2200" i="1"/>
  <c r="E2201" i="1"/>
  <c r="F2201" i="1" l="1"/>
  <c r="G2201" i="1"/>
  <c r="E2202" i="1"/>
  <c r="F2202" i="1" l="1"/>
  <c r="G2202" i="1"/>
  <c r="E2203" i="1"/>
  <c r="F2203" i="1" l="1"/>
  <c r="G2203" i="1"/>
  <c r="E2204" i="1"/>
  <c r="F2204" i="1" l="1"/>
  <c r="G2204" i="1"/>
  <c r="E2205" i="1"/>
  <c r="F2205" i="1" l="1"/>
  <c r="G2205" i="1"/>
  <c r="E2206" i="1"/>
  <c r="F2206" i="1" l="1"/>
  <c r="G2206" i="1"/>
  <c r="E2207" i="1"/>
  <c r="F2207" i="1" l="1"/>
  <c r="G2207" i="1"/>
  <c r="E2208" i="1"/>
  <c r="F2208" i="1" l="1"/>
  <c r="G2208" i="1"/>
  <c r="E2209" i="1"/>
  <c r="F2209" i="1" l="1"/>
  <c r="G2209" i="1"/>
  <c r="E2210" i="1"/>
  <c r="F2210" i="1" l="1"/>
  <c r="G2210" i="1"/>
  <c r="E2211" i="1"/>
  <c r="F2211" i="1" l="1"/>
  <c r="G2211" i="1"/>
  <c r="E2212" i="1"/>
  <c r="F2212" i="1" l="1"/>
  <c r="G2212" i="1"/>
  <c r="E2213" i="1"/>
  <c r="F2213" i="1" l="1"/>
  <c r="G2213" i="1"/>
  <c r="E2214" i="1"/>
  <c r="F2214" i="1" l="1"/>
  <c r="G2214" i="1"/>
  <c r="E2215" i="1"/>
  <c r="F2215" i="1" l="1"/>
  <c r="G2215" i="1"/>
  <c r="E2216" i="1"/>
  <c r="F2216" i="1" l="1"/>
  <c r="G2216" i="1"/>
  <c r="E2217" i="1"/>
  <c r="F2217" i="1" l="1"/>
  <c r="G2217" i="1"/>
  <c r="E2218" i="1"/>
  <c r="F2218" i="1" l="1"/>
  <c r="G2218" i="1"/>
  <c r="E2219" i="1"/>
  <c r="F2219" i="1" l="1"/>
  <c r="G2219" i="1"/>
  <c r="E2220" i="1"/>
  <c r="F2220" i="1" l="1"/>
  <c r="G2220" i="1"/>
  <c r="E2221" i="1"/>
  <c r="F2221" i="1" l="1"/>
  <c r="G2221" i="1"/>
  <c r="E2222" i="1"/>
  <c r="F2222" i="1" l="1"/>
  <c r="G2222" i="1"/>
  <c r="E2223" i="1"/>
  <c r="F2223" i="1" l="1"/>
  <c r="G2223" i="1"/>
  <c r="E2224" i="1"/>
  <c r="F2224" i="1" l="1"/>
  <c r="G2224" i="1"/>
  <c r="E2225" i="1"/>
  <c r="F2225" i="1" l="1"/>
  <c r="G2225" i="1"/>
  <c r="E2226" i="1"/>
  <c r="F2226" i="1" l="1"/>
  <c r="G2226" i="1"/>
  <c r="E2227" i="1"/>
  <c r="F2227" i="1" l="1"/>
  <c r="G2227" i="1"/>
  <c r="E2228" i="1"/>
  <c r="F2228" i="1" l="1"/>
  <c r="G2228" i="1"/>
  <c r="E2229" i="1"/>
  <c r="F2229" i="1" l="1"/>
  <c r="G2229" i="1"/>
  <c r="E2230" i="1"/>
  <c r="F2230" i="1" l="1"/>
  <c r="G2230" i="1"/>
  <c r="E2231" i="1"/>
  <c r="F2231" i="1" l="1"/>
  <c r="G2231" i="1"/>
  <c r="E2232" i="1"/>
  <c r="F2232" i="1" l="1"/>
  <c r="G2232" i="1"/>
  <c r="E2233" i="1"/>
  <c r="F2233" i="1" l="1"/>
  <c r="G2233" i="1"/>
  <c r="E2234" i="1"/>
  <c r="F2234" i="1" l="1"/>
  <c r="G2234" i="1"/>
  <c r="E2235" i="1"/>
  <c r="F2235" i="1" l="1"/>
  <c r="G2235" i="1"/>
  <c r="E2236" i="1"/>
  <c r="F2236" i="1" l="1"/>
  <c r="G2236" i="1"/>
  <c r="E2237" i="1"/>
  <c r="F2237" i="1" l="1"/>
  <c r="G2237" i="1"/>
  <c r="E2238" i="1"/>
  <c r="F2238" i="1" l="1"/>
  <c r="G2238" i="1"/>
  <c r="E2239" i="1"/>
  <c r="F2239" i="1" l="1"/>
  <c r="G2239" i="1"/>
  <c r="E2240" i="1"/>
  <c r="F2240" i="1" l="1"/>
  <c r="G2240" i="1"/>
  <c r="E2241" i="1"/>
  <c r="F2241" i="1" l="1"/>
  <c r="G2241" i="1"/>
  <c r="E2242" i="1"/>
  <c r="F2242" i="1" l="1"/>
  <c r="G2242" i="1"/>
  <c r="E2243" i="1"/>
  <c r="F2243" i="1" l="1"/>
  <c r="G2243" i="1"/>
  <c r="E2244" i="1"/>
  <c r="F2244" i="1" l="1"/>
  <c r="G2244" i="1"/>
  <c r="E2245" i="1"/>
  <c r="F2245" i="1" l="1"/>
  <c r="G2245" i="1"/>
  <c r="E2246" i="1"/>
  <c r="F2246" i="1" l="1"/>
  <c r="G2246" i="1"/>
  <c r="E2247" i="1"/>
  <c r="F2247" i="1" l="1"/>
  <c r="G2247" i="1"/>
  <c r="E2248" i="1"/>
  <c r="F2248" i="1" l="1"/>
  <c r="G2248" i="1"/>
  <c r="E2249" i="1"/>
  <c r="F2249" i="1" l="1"/>
  <c r="G2249" i="1"/>
  <c r="E2250" i="1"/>
  <c r="F2250" i="1" l="1"/>
  <c r="G2250" i="1"/>
  <c r="E2251" i="1"/>
  <c r="F2251" i="1" l="1"/>
  <c r="G2251" i="1"/>
  <c r="E2252" i="1"/>
  <c r="F2252" i="1" l="1"/>
  <c r="G2252" i="1"/>
  <c r="E2253" i="1"/>
  <c r="F2253" i="1" l="1"/>
  <c r="G2253" i="1"/>
  <c r="E2254" i="1"/>
  <c r="F2254" i="1" l="1"/>
  <c r="G2254" i="1"/>
  <c r="E2255" i="1"/>
  <c r="F2255" i="1" l="1"/>
  <c r="G2255" i="1"/>
  <c r="E2256" i="1"/>
  <c r="F2256" i="1" l="1"/>
  <c r="G2256" i="1"/>
  <c r="E2257" i="1"/>
  <c r="F2257" i="1" l="1"/>
  <c r="G2257" i="1"/>
  <c r="E2258" i="1"/>
  <c r="F2258" i="1" l="1"/>
  <c r="G2258" i="1"/>
  <c r="E2259" i="1"/>
  <c r="F2259" i="1" l="1"/>
  <c r="G2259" i="1"/>
  <c r="E2260" i="1"/>
  <c r="F2260" i="1" l="1"/>
  <c r="G2260" i="1"/>
  <c r="E2261" i="1"/>
  <c r="F2261" i="1" l="1"/>
  <c r="G2261" i="1"/>
  <c r="E2262" i="1"/>
  <c r="F2262" i="1" l="1"/>
  <c r="G2262" i="1"/>
  <c r="E2263" i="1"/>
  <c r="F2263" i="1" l="1"/>
  <c r="G2263" i="1"/>
  <c r="E2264" i="1"/>
  <c r="F2264" i="1" l="1"/>
  <c r="G2264" i="1"/>
  <c r="E2265" i="1"/>
  <c r="F2265" i="1" l="1"/>
  <c r="G2265" i="1"/>
  <c r="E2266" i="1"/>
  <c r="F2266" i="1" l="1"/>
  <c r="G2266" i="1"/>
  <c r="E2267" i="1"/>
  <c r="F2267" i="1" l="1"/>
  <c r="G2267" i="1"/>
  <c r="E2268" i="1"/>
  <c r="F2268" i="1" l="1"/>
  <c r="G2268" i="1"/>
  <c r="E2269" i="1"/>
  <c r="F2269" i="1" l="1"/>
  <c r="G2269" i="1"/>
  <c r="E2270" i="1"/>
  <c r="F2270" i="1" l="1"/>
  <c r="G2270" i="1"/>
  <c r="E2271" i="1"/>
  <c r="F2271" i="1" l="1"/>
  <c r="G2271" i="1"/>
  <c r="E2272" i="1"/>
  <c r="F2272" i="1" l="1"/>
  <c r="G2272" i="1"/>
  <c r="E2273" i="1"/>
  <c r="F2273" i="1" l="1"/>
  <c r="G2273" i="1"/>
  <c r="E2274" i="1"/>
  <c r="F2274" i="1" l="1"/>
  <c r="G2274" i="1"/>
  <c r="E2275" i="1"/>
  <c r="F2275" i="1" l="1"/>
  <c r="G2275" i="1"/>
  <c r="E2276" i="1"/>
  <c r="F2276" i="1" l="1"/>
  <c r="G2276" i="1"/>
  <c r="E2277" i="1"/>
  <c r="F2277" i="1" l="1"/>
  <c r="G2277" i="1"/>
  <c r="E2278" i="1"/>
  <c r="F2278" i="1" l="1"/>
  <c r="G2278" i="1"/>
  <c r="E2279" i="1"/>
  <c r="F2279" i="1" l="1"/>
  <c r="G2279" i="1"/>
  <c r="E2280" i="1"/>
  <c r="F2280" i="1" l="1"/>
  <c r="G2280" i="1"/>
  <c r="E2281" i="1"/>
  <c r="F2281" i="1" l="1"/>
  <c r="G2281" i="1"/>
  <c r="E2282" i="1"/>
  <c r="F2282" i="1" l="1"/>
  <c r="G2282" i="1"/>
  <c r="E2283" i="1"/>
  <c r="F2283" i="1" l="1"/>
  <c r="G2283" i="1"/>
  <c r="E2284" i="1"/>
  <c r="F2284" i="1" l="1"/>
  <c r="G2284" i="1"/>
  <c r="E2285" i="1"/>
  <c r="F2285" i="1" l="1"/>
  <c r="G2285" i="1"/>
  <c r="E2286" i="1"/>
  <c r="F2286" i="1" l="1"/>
  <c r="G2286" i="1"/>
  <c r="E2287" i="1"/>
  <c r="F2287" i="1" l="1"/>
  <c r="G2287" i="1"/>
  <c r="E2288" i="1"/>
  <c r="F2288" i="1" l="1"/>
  <c r="G2288" i="1"/>
  <c r="E2289" i="1"/>
  <c r="F2289" i="1" l="1"/>
  <c r="G2289" i="1"/>
  <c r="E2290" i="1"/>
  <c r="F2290" i="1" l="1"/>
  <c r="G2290" i="1"/>
  <c r="E2291" i="1"/>
  <c r="F2291" i="1" l="1"/>
  <c r="G2291" i="1"/>
  <c r="E2292" i="1"/>
  <c r="F2292" i="1" l="1"/>
  <c r="G2292" i="1"/>
  <c r="E2293" i="1"/>
  <c r="F2293" i="1" l="1"/>
  <c r="G2293" i="1"/>
  <c r="E2294" i="1"/>
  <c r="F2294" i="1" l="1"/>
  <c r="G2294" i="1"/>
  <c r="E2295" i="1"/>
  <c r="F2295" i="1" l="1"/>
  <c r="G2295" i="1"/>
  <c r="E2296" i="1"/>
  <c r="F2296" i="1" l="1"/>
  <c r="G2296" i="1"/>
  <c r="E2297" i="1"/>
  <c r="F2297" i="1" l="1"/>
  <c r="G2297" i="1"/>
  <c r="E2298" i="1"/>
  <c r="F2298" i="1" l="1"/>
  <c r="G2298" i="1"/>
  <c r="E2299" i="1"/>
  <c r="F2299" i="1" l="1"/>
  <c r="G2299" i="1"/>
  <c r="E2300" i="1"/>
  <c r="F2300" i="1" l="1"/>
  <c r="G2300" i="1"/>
  <c r="E2301" i="1"/>
  <c r="F2301" i="1" l="1"/>
  <c r="G2301" i="1"/>
  <c r="E2302" i="1"/>
  <c r="F2302" i="1" l="1"/>
  <c r="G2302" i="1"/>
  <c r="E2303" i="1"/>
  <c r="F2303" i="1" l="1"/>
  <c r="G2303" i="1"/>
  <c r="E2304" i="1"/>
  <c r="F2304" i="1" l="1"/>
  <c r="G2304" i="1"/>
  <c r="E2305" i="1"/>
  <c r="F2305" i="1" l="1"/>
  <c r="G2305" i="1"/>
  <c r="E2306" i="1"/>
  <c r="F2306" i="1" l="1"/>
  <c r="G2306" i="1"/>
  <c r="E2307" i="1"/>
  <c r="F2307" i="1" l="1"/>
  <c r="G2307" i="1"/>
  <c r="E2308" i="1"/>
  <c r="F2308" i="1" l="1"/>
  <c r="G2308" i="1"/>
  <c r="E2309" i="1"/>
  <c r="F2309" i="1" l="1"/>
  <c r="G2309" i="1"/>
  <c r="E2310" i="1"/>
  <c r="F2310" i="1" l="1"/>
  <c r="G2310" i="1"/>
  <c r="E2311" i="1"/>
  <c r="F2311" i="1" l="1"/>
  <c r="G2311" i="1"/>
  <c r="E2312" i="1"/>
  <c r="F2312" i="1" l="1"/>
  <c r="G2312" i="1"/>
  <c r="E2313" i="1"/>
  <c r="F2313" i="1" l="1"/>
  <c r="G2313" i="1"/>
  <c r="E2314" i="1"/>
  <c r="F2314" i="1" l="1"/>
  <c r="G2314" i="1"/>
  <c r="E2315" i="1"/>
  <c r="F2315" i="1" l="1"/>
  <c r="G2315" i="1"/>
  <c r="E2316" i="1"/>
  <c r="F2316" i="1" l="1"/>
  <c r="G2316" i="1"/>
  <c r="E2317" i="1"/>
  <c r="F2317" i="1" l="1"/>
  <c r="G2317" i="1"/>
  <c r="E2318" i="1"/>
  <c r="F2318" i="1" l="1"/>
  <c r="G2318" i="1"/>
  <c r="E2319" i="1"/>
  <c r="F2319" i="1" l="1"/>
  <c r="G2319" i="1"/>
  <c r="E2320" i="1"/>
  <c r="F2320" i="1" l="1"/>
  <c r="G2320" i="1"/>
  <c r="E2321" i="1"/>
  <c r="F2321" i="1" l="1"/>
  <c r="G2321" i="1"/>
  <c r="E2322" i="1"/>
  <c r="F2322" i="1" l="1"/>
  <c r="G2322" i="1"/>
  <c r="E2323" i="1"/>
  <c r="F2323" i="1" l="1"/>
  <c r="G2323" i="1"/>
  <c r="E2324" i="1"/>
  <c r="F2324" i="1" l="1"/>
  <c r="G2324" i="1"/>
  <c r="E2325" i="1"/>
  <c r="F2325" i="1" l="1"/>
  <c r="G2325" i="1"/>
  <c r="E2326" i="1"/>
  <c r="F2326" i="1" l="1"/>
  <c r="G2326" i="1"/>
  <c r="E2327" i="1"/>
  <c r="F2327" i="1" l="1"/>
  <c r="G2327" i="1"/>
  <c r="E2328" i="1"/>
  <c r="F2328" i="1" l="1"/>
  <c r="G2328" i="1"/>
  <c r="E2329" i="1"/>
  <c r="F2329" i="1" l="1"/>
  <c r="G2329" i="1"/>
  <c r="E2330" i="1"/>
  <c r="F2330" i="1" l="1"/>
  <c r="G2330" i="1"/>
  <c r="E2331" i="1"/>
  <c r="F2331" i="1" l="1"/>
  <c r="G2331" i="1"/>
  <c r="E2332" i="1"/>
  <c r="F2332" i="1" l="1"/>
  <c r="G2332" i="1"/>
  <c r="E2333" i="1"/>
  <c r="F2333" i="1" l="1"/>
  <c r="G2333" i="1"/>
  <c r="E2334" i="1"/>
  <c r="F2334" i="1" l="1"/>
  <c r="G2334" i="1"/>
  <c r="E2335" i="1"/>
  <c r="F2335" i="1" l="1"/>
  <c r="G2335" i="1"/>
  <c r="E2336" i="1"/>
  <c r="F2336" i="1" l="1"/>
  <c r="G2336" i="1"/>
  <c r="E2337" i="1"/>
  <c r="F2337" i="1" l="1"/>
  <c r="G2337" i="1"/>
  <c r="E2338" i="1"/>
  <c r="F2338" i="1" l="1"/>
  <c r="G2338" i="1"/>
  <c r="E2339" i="1"/>
  <c r="F2339" i="1" l="1"/>
  <c r="G2339" i="1"/>
  <c r="E2340" i="1"/>
  <c r="F2340" i="1" l="1"/>
  <c r="G2340" i="1"/>
  <c r="E2341" i="1"/>
  <c r="F2341" i="1" l="1"/>
  <c r="G2341" i="1"/>
  <c r="E2342" i="1"/>
  <c r="F2342" i="1" l="1"/>
  <c r="G2342" i="1"/>
  <c r="E2343" i="1"/>
  <c r="F2343" i="1" l="1"/>
  <c r="G2343" i="1"/>
  <c r="E2344" i="1"/>
  <c r="F2344" i="1" l="1"/>
  <c r="G2344" i="1"/>
  <c r="E2345" i="1"/>
  <c r="F2345" i="1" l="1"/>
  <c r="G2345" i="1"/>
  <c r="E2346" i="1"/>
  <c r="F2346" i="1" l="1"/>
  <c r="G2346" i="1"/>
  <c r="E2347" i="1"/>
  <c r="F2347" i="1" l="1"/>
  <c r="G2347" i="1"/>
  <c r="E2348" i="1"/>
  <c r="F2348" i="1" l="1"/>
  <c r="G2348" i="1"/>
  <c r="E2349" i="1"/>
  <c r="F2349" i="1" l="1"/>
  <c r="G2349" i="1"/>
  <c r="E2350" i="1"/>
  <c r="F2350" i="1" l="1"/>
  <c r="G2350" i="1"/>
  <c r="E2351" i="1"/>
  <c r="F2351" i="1" l="1"/>
  <c r="G2351" i="1"/>
  <c r="E2352" i="1"/>
  <c r="F2352" i="1" l="1"/>
  <c r="G2352" i="1"/>
  <c r="E2353" i="1"/>
  <c r="F2353" i="1" l="1"/>
  <c r="G2353" i="1"/>
  <c r="E2354" i="1"/>
  <c r="F2354" i="1" l="1"/>
  <c r="G2354" i="1"/>
  <c r="E2355" i="1"/>
  <c r="F2355" i="1" l="1"/>
  <c r="G2355" i="1"/>
  <c r="E2356" i="1"/>
  <c r="F2356" i="1" l="1"/>
  <c r="G2356" i="1"/>
  <c r="E2357" i="1"/>
  <c r="F2357" i="1" l="1"/>
  <c r="G2357" i="1"/>
  <c r="E2358" i="1"/>
  <c r="F2358" i="1" l="1"/>
  <c r="G2358" i="1"/>
  <c r="E2359" i="1"/>
  <c r="F2359" i="1" l="1"/>
  <c r="G2359" i="1"/>
  <c r="E2360" i="1"/>
  <c r="F2360" i="1" l="1"/>
  <c r="G2360" i="1"/>
  <c r="E2361" i="1"/>
  <c r="F2361" i="1" l="1"/>
  <c r="G2361" i="1"/>
  <c r="E2362" i="1"/>
  <c r="F2362" i="1" l="1"/>
  <c r="G2362" i="1"/>
  <c r="E2363" i="1"/>
  <c r="F2363" i="1" l="1"/>
  <c r="G2363" i="1"/>
  <c r="E2364" i="1"/>
  <c r="F2364" i="1" l="1"/>
  <c r="G2364" i="1"/>
  <c r="E2365" i="1"/>
  <c r="F2365" i="1" l="1"/>
  <c r="G2365" i="1"/>
  <c r="E2366" i="1"/>
  <c r="F2366" i="1" l="1"/>
  <c r="G2366" i="1"/>
  <c r="E2367" i="1"/>
  <c r="F2367" i="1" l="1"/>
  <c r="G2367" i="1"/>
  <c r="E2368" i="1"/>
  <c r="F2368" i="1" l="1"/>
  <c r="G2368" i="1"/>
  <c r="E2369" i="1"/>
  <c r="F2369" i="1" l="1"/>
  <c r="G2369" i="1"/>
  <c r="E2370" i="1"/>
  <c r="F2370" i="1" l="1"/>
  <c r="G2370" i="1"/>
  <c r="E2371" i="1"/>
  <c r="F2371" i="1" l="1"/>
  <c r="G2371" i="1"/>
  <c r="E2372" i="1"/>
  <c r="F2372" i="1" l="1"/>
  <c r="G2372" i="1"/>
  <c r="E2373" i="1"/>
  <c r="F2373" i="1" l="1"/>
  <c r="G2373" i="1"/>
  <c r="E2374" i="1"/>
  <c r="F2374" i="1" l="1"/>
  <c r="G2374" i="1"/>
  <c r="E2375" i="1"/>
  <c r="F2375" i="1" l="1"/>
  <c r="G2375" i="1"/>
  <c r="E2376" i="1"/>
  <c r="F2376" i="1" l="1"/>
  <c r="G2376" i="1"/>
  <c r="E2377" i="1"/>
  <c r="F2377" i="1" l="1"/>
  <c r="G2377" i="1"/>
  <c r="E2378" i="1"/>
  <c r="F2378" i="1" l="1"/>
  <c r="G2378" i="1"/>
  <c r="E2379" i="1"/>
  <c r="F2379" i="1" l="1"/>
  <c r="G2379" i="1"/>
  <c r="E2380" i="1"/>
  <c r="F2380" i="1" l="1"/>
  <c r="G2380" i="1"/>
  <c r="E2381" i="1"/>
  <c r="F2381" i="1" l="1"/>
  <c r="G2381" i="1"/>
  <c r="E2382" i="1"/>
  <c r="F2382" i="1" l="1"/>
  <c r="G2382" i="1"/>
  <c r="E2383" i="1"/>
  <c r="F2383" i="1" l="1"/>
  <c r="G2383" i="1"/>
  <c r="E2384" i="1"/>
  <c r="F2384" i="1" l="1"/>
  <c r="G2384" i="1"/>
  <c r="E2385" i="1"/>
  <c r="F2385" i="1" l="1"/>
  <c r="G2385" i="1"/>
  <c r="E2386" i="1"/>
  <c r="F2386" i="1" l="1"/>
  <c r="G2386" i="1"/>
  <c r="E2387" i="1"/>
  <c r="F2387" i="1" l="1"/>
  <c r="G2387" i="1"/>
  <c r="E2388" i="1"/>
  <c r="F2388" i="1" l="1"/>
  <c r="G2388" i="1"/>
  <c r="E2389" i="1"/>
  <c r="F2389" i="1" l="1"/>
  <c r="G2389" i="1"/>
  <c r="E2390" i="1"/>
  <c r="F2390" i="1" l="1"/>
  <c r="G2390" i="1"/>
  <c r="E2391" i="1"/>
  <c r="F2391" i="1" l="1"/>
  <c r="G2391" i="1"/>
  <c r="E2392" i="1"/>
  <c r="F2392" i="1" l="1"/>
  <c r="G2392" i="1"/>
  <c r="E2393" i="1"/>
  <c r="F2393" i="1" l="1"/>
  <c r="G2393" i="1"/>
  <c r="E2394" i="1"/>
  <c r="F2394" i="1" l="1"/>
  <c r="G2394" i="1"/>
  <c r="E2395" i="1"/>
  <c r="F2395" i="1" l="1"/>
  <c r="G2395" i="1"/>
  <c r="E2396" i="1"/>
  <c r="F2396" i="1" l="1"/>
  <c r="G2396" i="1"/>
  <c r="E2397" i="1"/>
  <c r="F2397" i="1" l="1"/>
  <c r="G2397" i="1"/>
  <c r="E2398" i="1"/>
  <c r="F2398" i="1" l="1"/>
  <c r="G2398" i="1"/>
  <c r="E2399" i="1"/>
  <c r="F2399" i="1" l="1"/>
  <c r="G2399" i="1"/>
  <c r="E2400" i="1"/>
  <c r="F2400" i="1" l="1"/>
  <c r="G2400" i="1"/>
  <c r="E2401" i="1"/>
  <c r="F2401" i="1" l="1"/>
  <c r="G2401" i="1"/>
  <c r="E2402" i="1"/>
  <c r="F2402" i="1" l="1"/>
  <c r="G2402" i="1"/>
  <c r="E2403" i="1"/>
  <c r="F2403" i="1" l="1"/>
  <c r="G2403" i="1"/>
  <c r="E2404" i="1"/>
  <c r="F2404" i="1" l="1"/>
  <c r="G2404" i="1"/>
  <c r="E2405" i="1"/>
  <c r="F2405" i="1" l="1"/>
  <c r="G2405" i="1"/>
  <c r="E2406" i="1"/>
  <c r="F2406" i="1" l="1"/>
  <c r="G2406" i="1"/>
  <c r="E2407" i="1"/>
  <c r="F2407" i="1" l="1"/>
  <c r="G2407" i="1"/>
  <c r="E2408" i="1"/>
  <c r="F2408" i="1" l="1"/>
  <c r="G2408" i="1"/>
  <c r="E2409" i="1"/>
  <c r="F2409" i="1" l="1"/>
  <c r="G2409" i="1"/>
  <c r="E2410" i="1"/>
  <c r="F2410" i="1" l="1"/>
  <c r="G2410" i="1"/>
  <c r="E2411" i="1"/>
  <c r="F2411" i="1" l="1"/>
  <c r="G2411" i="1"/>
  <c r="E2412" i="1"/>
  <c r="F2412" i="1" l="1"/>
  <c r="G2412" i="1"/>
  <c r="E2413" i="1"/>
  <c r="F2413" i="1" l="1"/>
  <c r="G2413" i="1"/>
  <c r="E2414" i="1"/>
  <c r="F2414" i="1" l="1"/>
  <c r="G2414" i="1"/>
  <c r="E2415" i="1"/>
  <c r="F2415" i="1" l="1"/>
  <c r="G2415" i="1"/>
  <c r="E2416" i="1"/>
  <c r="F2416" i="1" l="1"/>
  <c r="G2416" i="1"/>
  <c r="E2417" i="1"/>
  <c r="F2417" i="1" l="1"/>
  <c r="G2417" i="1"/>
  <c r="E2418" i="1"/>
  <c r="F2418" i="1" l="1"/>
  <c r="G2418" i="1"/>
  <c r="E2419" i="1"/>
  <c r="F2419" i="1" l="1"/>
  <c r="G2419" i="1"/>
  <c r="E2420" i="1"/>
  <c r="F2420" i="1" l="1"/>
  <c r="G2420" i="1"/>
  <c r="E2421" i="1"/>
  <c r="F2421" i="1" l="1"/>
  <c r="G2421" i="1"/>
  <c r="E2422" i="1"/>
  <c r="F2422" i="1" l="1"/>
  <c r="G2422" i="1"/>
  <c r="E2423" i="1"/>
  <c r="F2423" i="1" l="1"/>
  <c r="G2423" i="1"/>
  <c r="E2424" i="1"/>
  <c r="F2424" i="1" l="1"/>
  <c r="G2424" i="1"/>
  <c r="E2425" i="1"/>
  <c r="F2425" i="1" l="1"/>
  <c r="G2425" i="1"/>
  <c r="E2426" i="1"/>
  <c r="F2426" i="1" l="1"/>
  <c r="G2426" i="1"/>
  <c r="E2427" i="1"/>
  <c r="F2427" i="1" l="1"/>
  <c r="G2427" i="1"/>
  <c r="E2428" i="1"/>
  <c r="F2428" i="1" l="1"/>
  <c r="G2428" i="1"/>
  <c r="E2429" i="1"/>
  <c r="F2429" i="1" l="1"/>
  <c r="G2429" i="1"/>
  <c r="E2430" i="1"/>
  <c r="F2430" i="1" l="1"/>
  <c r="G2430" i="1"/>
  <c r="E2431" i="1"/>
  <c r="F2431" i="1" l="1"/>
  <c r="G2431" i="1"/>
  <c r="E2432" i="1"/>
  <c r="F2432" i="1" l="1"/>
  <c r="G2432" i="1"/>
  <c r="E2433" i="1"/>
  <c r="F2433" i="1" l="1"/>
  <c r="G2433" i="1"/>
  <c r="E2434" i="1"/>
  <c r="F2434" i="1" l="1"/>
  <c r="G2434" i="1"/>
  <c r="E2435" i="1"/>
  <c r="F2435" i="1" l="1"/>
  <c r="G2435" i="1"/>
  <c r="E2436" i="1"/>
  <c r="F2436" i="1" l="1"/>
  <c r="G2436" i="1"/>
  <c r="E2437" i="1"/>
  <c r="F2437" i="1" l="1"/>
  <c r="G2437" i="1"/>
  <c r="E2438" i="1"/>
  <c r="F2438" i="1" l="1"/>
  <c r="G2438" i="1"/>
  <c r="E2439" i="1"/>
  <c r="F2439" i="1" l="1"/>
  <c r="G2439" i="1"/>
  <c r="E2440" i="1"/>
  <c r="F2440" i="1" l="1"/>
  <c r="G2440" i="1"/>
  <c r="E2441" i="1"/>
  <c r="F2441" i="1" l="1"/>
  <c r="G2441" i="1"/>
  <c r="E2442" i="1"/>
  <c r="F2442" i="1" l="1"/>
  <c r="G2442" i="1"/>
  <c r="E2443" i="1"/>
  <c r="F2443" i="1" l="1"/>
  <c r="G2443" i="1"/>
  <c r="E2444" i="1"/>
  <c r="F2444" i="1" l="1"/>
  <c r="G2444" i="1"/>
  <c r="E2445" i="1"/>
  <c r="F2445" i="1" l="1"/>
  <c r="G2445" i="1"/>
  <c r="E2446" i="1"/>
  <c r="F2446" i="1" l="1"/>
  <c r="G2446" i="1"/>
  <c r="E2447" i="1"/>
  <c r="F2447" i="1" l="1"/>
  <c r="G2447" i="1"/>
  <c r="E2448" i="1"/>
  <c r="F2448" i="1" l="1"/>
  <c r="G2448" i="1"/>
  <c r="E2449" i="1"/>
  <c r="F2449" i="1" l="1"/>
  <c r="G2449" i="1"/>
  <c r="E2450" i="1"/>
  <c r="F2450" i="1" l="1"/>
  <c r="G2450" i="1"/>
  <c r="E2451" i="1"/>
  <c r="F2451" i="1" l="1"/>
  <c r="G2451" i="1"/>
  <c r="E2452" i="1"/>
  <c r="F2452" i="1" l="1"/>
  <c r="G2452" i="1"/>
  <c r="E2453" i="1"/>
  <c r="F2453" i="1" l="1"/>
  <c r="G2453" i="1"/>
  <c r="E2454" i="1"/>
  <c r="F2454" i="1" l="1"/>
  <c r="G2454" i="1"/>
  <c r="E2455" i="1"/>
  <c r="F2455" i="1" l="1"/>
  <c r="G2455" i="1"/>
  <c r="E2456" i="1"/>
  <c r="F2456" i="1" l="1"/>
  <c r="G2456" i="1"/>
  <c r="E2457" i="1"/>
  <c r="F2457" i="1" l="1"/>
  <c r="G2457" i="1"/>
  <c r="E2458" i="1"/>
  <c r="F2458" i="1" l="1"/>
  <c r="G2458" i="1"/>
  <c r="E2459" i="1"/>
  <c r="F2459" i="1" l="1"/>
  <c r="G2459" i="1"/>
  <c r="E2460" i="1"/>
  <c r="F2460" i="1" l="1"/>
  <c r="G2460" i="1"/>
  <c r="E2461" i="1"/>
  <c r="F2461" i="1" l="1"/>
  <c r="G2461" i="1"/>
  <c r="E2462" i="1"/>
  <c r="F2462" i="1" l="1"/>
  <c r="G2462" i="1"/>
  <c r="E2463" i="1"/>
  <c r="F2463" i="1" l="1"/>
  <c r="G2463" i="1"/>
  <c r="E2464" i="1"/>
  <c r="F2464" i="1" l="1"/>
  <c r="G2464" i="1"/>
  <c r="E2465" i="1"/>
  <c r="F2465" i="1" l="1"/>
  <c r="G2465" i="1"/>
  <c r="E2466" i="1"/>
  <c r="F2466" i="1" l="1"/>
  <c r="G2466" i="1"/>
  <c r="E2467" i="1"/>
  <c r="F2467" i="1" l="1"/>
  <c r="G2467" i="1"/>
  <c r="E2468" i="1"/>
  <c r="F2468" i="1" l="1"/>
  <c r="G2468" i="1"/>
  <c r="E2469" i="1"/>
  <c r="F2469" i="1" l="1"/>
  <c r="G2469" i="1"/>
  <c r="E2470" i="1"/>
  <c r="F2470" i="1" l="1"/>
  <c r="G2470" i="1"/>
  <c r="E2471" i="1"/>
  <c r="F2471" i="1" l="1"/>
  <c r="G2471" i="1"/>
  <c r="E2472" i="1"/>
  <c r="F2472" i="1" l="1"/>
  <c r="G2472" i="1"/>
  <c r="E2473" i="1"/>
  <c r="F2473" i="1" l="1"/>
  <c r="G2473" i="1"/>
  <c r="E2474" i="1"/>
  <c r="F2474" i="1" l="1"/>
  <c r="G2474" i="1"/>
  <c r="E2475" i="1"/>
  <c r="F2475" i="1" l="1"/>
  <c r="G2475" i="1"/>
  <c r="E2476" i="1"/>
  <c r="F2476" i="1" l="1"/>
  <c r="G2476" i="1"/>
  <c r="E2477" i="1"/>
  <c r="F2477" i="1" l="1"/>
  <c r="G2477" i="1"/>
  <c r="E2478" i="1"/>
  <c r="F2478" i="1" l="1"/>
  <c r="G2478" i="1"/>
  <c r="E2479" i="1"/>
  <c r="F2479" i="1" l="1"/>
  <c r="G2479" i="1"/>
  <c r="E2480" i="1"/>
  <c r="F2480" i="1" l="1"/>
  <c r="G2480" i="1"/>
  <c r="E2481" i="1"/>
  <c r="F2481" i="1" l="1"/>
  <c r="G2481" i="1"/>
  <c r="E2482" i="1"/>
  <c r="F2482" i="1" l="1"/>
  <c r="G2482" i="1"/>
  <c r="E2483" i="1"/>
  <c r="F2483" i="1" l="1"/>
  <c r="G2483" i="1"/>
  <c r="E2484" i="1"/>
  <c r="F2484" i="1" l="1"/>
  <c r="G2484" i="1"/>
  <c r="E2485" i="1"/>
  <c r="F2485" i="1" l="1"/>
  <c r="G2485" i="1"/>
  <c r="E2486" i="1"/>
  <c r="F2486" i="1" l="1"/>
  <c r="G2486" i="1"/>
  <c r="E2487" i="1"/>
  <c r="F2487" i="1" l="1"/>
  <c r="G2487" i="1"/>
  <c r="E2488" i="1"/>
  <c r="F2488" i="1" l="1"/>
  <c r="G2488" i="1"/>
  <c r="E2489" i="1"/>
  <c r="F2489" i="1" l="1"/>
  <c r="G2489" i="1"/>
  <c r="E2490" i="1"/>
  <c r="F2490" i="1" l="1"/>
  <c r="G2490" i="1"/>
  <c r="E2491" i="1"/>
  <c r="F2491" i="1" l="1"/>
  <c r="G2491" i="1"/>
  <c r="E2492" i="1"/>
  <c r="F2492" i="1" l="1"/>
  <c r="G2492" i="1"/>
  <c r="E2493" i="1"/>
  <c r="F2493" i="1" l="1"/>
  <c r="G2493" i="1"/>
  <c r="E2494" i="1"/>
  <c r="F2494" i="1" l="1"/>
  <c r="G2494" i="1"/>
  <c r="E2495" i="1"/>
  <c r="F2495" i="1" l="1"/>
  <c r="G2495" i="1"/>
  <c r="E2496" i="1"/>
  <c r="F2496" i="1" l="1"/>
  <c r="G2496" i="1"/>
  <c r="E2497" i="1"/>
  <c r="F2497" i="1" l="1"/>
  <c r="G2497" i="1"/>
  <c r="E2498" i="1"/>
  <c r="F2498" i="1" l="1"/>
  <c r="G2498" i="1"/>
  <c r="E2499" i="1"/>
  <c r="F2499" i="1" l="1"/>
  <c r="G2499" i="1"/>
  <c r="E2500" i="1"/>
  <c r="F2500" i="1" l="1"/>
  <c r="G2500" i="1"/>
  <c r="E2501" i="1"/>
  <c r="F2501" i="1" l="1"/>
  <c r="G2501" i="1"/>
  <c r="E2502" i="1"/>
  <c r="F2502" i="1" l="1"/>
  <c r="G2502" i="1"/>
  <c r="E2503" i="1"/>
  <c r="F2503" i="1" l="1"/>
  <c r="G2503" i="1"/>
  <c r="E2504" i="1"/>
  <c r="F2504" i="1" l="1"/>
  <c r="G2504" i="1"/>
  <c r="E2505" i="1"/>
  <c r="F2505" i="1" l="1"/>
  <c r="G2505" i="1"/>
  <c r="E2506" i="1"/>
  <c r="F2506" i="1" l="1"/>
  <c r="G2506" i="1"/>
  <c r="E2507" i="1"/>
  <c r="F2507" i="1" l="1"/>
  <c r="G2507" i="1"/>
  <c r="E2508" i="1"/>
  <c r="F2508" i="1" l="1"/>
  <c r="G2508" i="1"/>
  <c r="E2509" i="1"/>
  <c r="F2509" i="1" l="1"/>
  <c r="G2509" i="1"/>
  <c r="E2510" i="1"/>
  <c r="F2510" i="1" l="1"/>
  <c r="G2510" i="1"/>
  <c r="E2511" i="1"/>
  <c r="F2511" i="1" l="1"/>
  <c r="G2511" i="1"/>
  <c r="E2512" i="1"/>
  <c r="F2512" i="1" l="1"/>
  <c r="G2512" i="1"/>
  <c r="E2513" i="1"/>
  <c r="F2513" i="1" l="1"/>
  <c r="G2513" i="1"/>
  <c r="E2514" i="1"/>
  <c r="F2514" i="1" l="1"/>
  <c r="G2514" i="1"/>
  <c r="E2515" i="1"/>
  <c r="F2515" i="1" l="1"/>
  <c r="G2515" i="1"/>
  <c r="E2516" i="1"/>
  <c r="F2516" i="1" l="1"/>
  <c r="G2516" i="1"/>
  <c r="E2517" i="1"/>
  <c r="F2517" i="1" l="1"/>
  <c r="G2517" i="1"/>
  <c r="E2518" i="1"/>
  <c r="F2518" i="1" l="1"/>
  <c r="G2518" i="1"/>
  <c r="E2519" i="1"/>
  <c r="F2519" i="1" l="1"/>
  <c r="G2519" i="1"/>
  <c r="E2520" i="1"/>
  <c r="F2520" i="1" l="1"/>
  <c r="G2520" i="1"/>
  <c r="E2521" i="1"/>
  <c r="F2521" i="1" l="1"/>
  <c r="G2521" i="1"/>
  <c r="E2522" i="1"/>
  <c r="F2522" i="1" l="1"/>
  <c r="G2522" i="1"/>
  <c r="E2523" i="1"/>
  <c r="F2523" i="1" l="1"/>
  <c r="G2523" i="1"/>
  <c r="E2524" i="1"/>
  <c r="F2524" i="1" l="1"/>
  <c r="G2524" i="1"/>
  <c r="E2525" i="1"/>
  <c r="F2525" i="1" l="1"/>
  <c r="G2525" i="1"/>
  <c r="E2526" i="1"/>
  <c r="F2526" i="1" l="1"/>
  <c r="G2526" i="1"/>
  <c r="E2527" i="1"/>
  <c r="F2527" i="1" l="1"/>
  <c r="G2527" i="1"/>
  <c r="E2528" i="1"/>
  <c r="F2528" i="1" l="1"/>
  <c r="G2528" i="1"/>
  <c r="E2529" i="1"/>
  <c r="F2529" i="1" l="1"/>
  <c r="G2529" i="1"/>
  <c r="E2530" i="1"/>
  <c r="F2530" i="1" l="1"/>
  <c r="G2530" i="1"/>
  <c r="E2531" i="1"/>
  <c r="F2531" i="1" l="1"/>
  <c r="G2531" i="1"/>
  <c r="E2532" i="1"/>
  <c r="F2532" i="1" l="1"/>
  <c r="G2532" i="1"/>
  <c r="E2533" i="1"/>
  <c r="F2533" i="1" l="1"/>
  <c r="G2533" i="1"/>
  <c r="E2534" i="1"/>
  <c r="F2534" i="1" l="1"/>
  <c r="G2534" i="1"/>
  <c r="E2535" i="1"/>
  <c r="F2535" i="1" l="1"/>
  <c r="G2535" i="1"/>
  <c r="E2536" i="1"/>
  <c r="F2536" i="1" l="1"/>
  <c r="G2536" i="1"/>
  <c r="E2537" i="1"/>
  <c r="F2537" i="1" l="1"/>
  <c r="G2537" i="1"/>
  <c r="E2538" i="1"/>
  <c r="F2538" i="1" l="1"/>
  <c r="G2538" i="1"/>
  <c r="E2539" i="1"/>
  <c r="F2539" i="1" l="1"/>
  <c r="G2539" i="1"/>
  <c r="E2540" i="1"/>
  <c r="F2540" i="1" l="1"/>
  <c r="G2540" i="1"/>
  <c r="E2541" i="1"/>
  <c r="F2541" i="1" l="1"/>
  <c r="G2541" i="1"/>
  <c r="E2542" i="1"/>
  <c r="F2542" i="1" l="1"/>
  <c r="G2542" i="1"/>
  <c r="E2543" i="1"/>
  <c r="F2543" i="1" l="1"/>
  <c r="G2543" i="1"/>
  <c r="E2544" i="1"/>
  <c r="F2544" i="1" l="1"/>
  <c r="G2544" i="1"/>
  <c r="E2545" i="1"/>
  <c r="F2545" i="1" l="1"/>
  <c r="G2545" i="1"/>
  <c r="E2546" i="1"/>
  <c r="F2546" i="1" l="1"/>
  <c r="G2546" i="1"/>
  <c r="E2547" i="1"/>
  <c r="F2547" i="1" l="1"/>
  <c r="G2547" i="1"/>
  <c r="E2548" i="1"/>
  <c r="F2548" i="1" l="1"/>
  <c r="G2548" i="1"/>
  <c r="E2549" i="1"/>
  <c r="F2549" i="1" l="1"/>
  <c r="G2549" i="1"/>
  <c r="E2550" i="1"/>
  <c r="F2550" i="1" l="1"/>
  <c r="G2550" i="1"/>
  <c r="E2551" i="1"/>
  <c r="F2551" i="1" l="1"/>
  <c r="G2551" i="1"/>
  <c r="E2552" i="1"/>
  <c r="F2552" i="1" l="1"/>
  <c r="G2552" i="1"/>
  <c r="E2553" i="1"/>
  <c r="F2553" i="1" l="1"/>
  <c r="G2553" i="1"/>
  <c r="E2554" i="1"/>
  <c r="F2554" i="1" l="1"/>
  <c r="G2554" i="1"/>
  <c r="E2555" i="1"/>
  <c r="F2555" i="1" l="1"/>
  <c r="G2555" i="1"/>
  <c r="E2556" i="1"/>
  <c r="F2556" i="1" l="1"/>
  <c r="G2556" i="1"/>
  <c r="E2557" i="1"/>
  <c r="F2557" i="1" l="1"/>
  <c r="G2557" i="1"/>
  <c r="E2558" i="1"/>
  <c r="F2558" i="1" l="1"/>
  <c r="G2558" i="1"/>
  <c r="E2559" i="1"/>
  <c r="F2559" i="1" l="1"/>
  <c r="G2559" i="1"/>
  <c r="E2560" i="1"/>
  <c r="F2560" i="1" l="1"/>
  <c r="G2560" i="1"/>
  <c r="E2561" i="1"/>
  <c r="F2561" i="1" l="1"/>
  <c r="G2561" i="1"/>
  <c r="E2562" i="1"/>
  <c r="F2562" i="1" l="1"/>
  <c r="G2562" i="1"/>
  <c r="E2563" i="1"/>
  <c r="F2563" i="1" l="1"/>
  <c r="G2563" i="1"/>
  <c r="E2564" i="1"/>
  <c r="F2564" i="1" l="1"/>
  <c r="G2564" i="1"/>
  <c r="E2565" i="1"/>
  <c r="F2565" i="1" l="1"/>
  <c r="G2565" i="1"/>
  <c r="E2566" i="1"/>
  <c r="F2566" i="1" l="1"/>
  <c r="G2566" i="1"/>
  <c r="E2567" i="1"/>
  <c r="F2567" i="1" l="1"/>
  <c r="G2567" i="1"/>
  <c r="E2568" i="1"/>
  <c r="F2568" i="1" l="1"/>
  <c r="G2568" i="1"/>
  <c r="E2569" i="1"/>
  <c r="F2569" i="1" l="1"/>
  <c r="G2569" i="1"/>
  <c r="E2570" i="1"/>
  <c r="F2570" i="1" l="1"/>
  <c r="G2570" i="1"/>
  <c r="E2571" i="1"/>
  <c r="F2571" i="1" l="1"/>
  <c r="G2571" i="1"/>
  <c r="E2572" i="1"/>
  <c r="F2572" i="1" l="1"/>
  <c r="G2572" i="1"/>
  <c r="E2573" i="1"/>
  <c r="F2573" i="1" l="1"/>
  <c r="G2573" i="1"/>
  <c r="E2574" i="1"/>
  <c r="F2574" i="1" l="1"/>
  <c r="G2574" i="1"/>
  <c r="E2575" i="1"/>
  <c r="F2575" i="1" l="1"/>
  <c r="G2575" i="1"/>
  <c r="E2576" i="1"/>
  <c r="F2576" i="1" l="1"/>
  <c r="G2576" i="1"/>
  <c r="E2577" i="1"/>
  <c r="F2577" i="1" l="1"/>
  <c r="G2577" i="1"/>
  <c r="E2578" i="1"/>
  <c r="F2578" i="1" l="1"/>
  <c r="G2578" i="1"/>
  <c r="E2579" i="1"/>
  <c r="F2579" i="1" l="1"/>
  <c r="G2579" i="1"/>
  <c r="E2580" i="1"/>
  <c r="F2580" i="1" l="1"/>
  <c r="G2580" i="1"/>
  <c r="E2581" i="1"/>
  <c r="F2581" i="1" l="1"/>
  <c r="G2581" i="1"/>
  <c r="E2582" i="1"/>
  <c r="F2582" i="1" l="1"/>
  <c r="G2582" i="1"/>
  <c r="E2583" i="1"/>
  <c r="F2583" i="1" l="1"/>
  <c r="G2583" i="1"/>
  <c r="E2584" i="1"/>
  <c r="F2584" i="1" l="1"/>
  <c r="G2584" i="1"/>
  <c r="E2585" i="1"/>
  <c r="F2585" i="1" l="1"/>
  <c r="G2585" i="1"/>
  <c r="E2586" i="1"/>
  <c r="F2586" i="1" l="1"/>
  <c r="G2586" i="1"/>
  <c r="E2587" i="1"/>
  <c r="F2587" i="1" l="1"/>
  <c r="G2587" i="1"/>
  <c r="E2588" i="1"/>
  <c r="F2588" i="1" l="1"/>
  <c r="G2588" i="1"/>
  <c r="E2589" i="1"/>
  <c r="F2589" i="1" l="1"/>
  <c r="G2589" i="1"/>
  <c r="E2590" i="1"/>
  <c r="F2590" i="1" l="1"/>
  <c r="G2590" i="1"/>
  <c r="E2591" i="1"/>
  <c r="F2591" i="1" l="1"/>
  <c r="G2591" i="1"/>
  <c r="E2592" i="1"/>
  <c r="F2592" i="1" l="1"/>
  <c r="G2592" i="1"/>
  <c r="E2593" i="1"/>
  <c r="F2593" i="1" l="1"/>
  <c r="G2593" i="1"/>
  <c r="E2594" i="1"/>
  <c r="F2594" i="1" l="1"/>
  <c r="G2594" i="1"/>
  <c r="E2595" i="1"/>
  <c r="F2595" i="1" l="1"/>
  <c r="G2595" i="1"/>
  <c r="E2596" i="1"/>
  <c r="F2596" i="1" l="1"/>
  <c r="G2596" i="1"/>
  <c r="E2597" i="1"/>
  <c r="F2597" i="1" l="1"/>
  <c r="G2597" i="1"/>
  <c r="E2598" i="1"/>
  <c r="F2598" i="1" l="1"/>
  <c r="G2598" i="1"/>
  <c r="E2599" i="1"/>
  <c r="F2599" i="1" l="1"/>
  <c r="G2599" i="1"/>
  <c r="E2600" i="1"/>
  <c r="F2600" i="1" l="1"/>
  <c r="G2600" i="1"/>
  <c r="E2601" i="1"/>
  <c r="F2601" i="1" l="1"/>
  <c r="G2601" i="1"/>
  <c r="E2602" i="1"/>
  <c r="F2602" i="1" l="1"/>
  <c r="G2602" i="1"/>
  <c r="E2603" i="1"/>
  <c r="F2603" i="1" l="1"/>
  <c r="G2603" i="1"/>
  <c r="E2604" i="1"/>
  <c r="F2604" i="1" l="1"/>
  <c r="G2604" i="1"/>
  <c r="E2605" i="1"/>
  <c r="F2605" i="1" l="1"/>
  <c r="G2605" i="1"/>
  <c r="E2606" i="1"/>
  <c r="F2606" i="1" l="1"/>
  <c r="G2606" i="1"/>
  <c r="E2607" i="1"/>
  <c r="F2607" i="1" l="1"/>
  <c r="G2607" i="1"/>
  <c r="E2608" i="1"/>
  <c r="F2608" i="1" l="1"/>
  <c r="G2608" i="1"/>
  <c r="E2609" i="1"/>
  <c r="F2609" i="1" l="1"/>
  <c r="G2609" i="1"/>
  <c r="E2610" i="1"/>
  <c r="F2610" i="1" l="1"/>
  <c r="G2610" i="1"/>
  <c r="E2611" i="1"/>
  <c r="F2611" i="1" l="1"/>
  <c r="G2611" i="1"/>
  <c r="E2612" i="1"/>
  <c r="F2612" i="1" l="1"/>
  <c r="G2612" i="1"/>
  <c r="E2613" i="1"/>
  <c r="F2613" i="1" l="1"/>
  <c r="G2613" i="1"/>
  <c r="E2614" i="1"/>
  <c r="F2614" i="1" l="1"/>
  <c r="G2614" i="1"/>
  <c r="E2615" i="1"/>
  <c r="F2615" i="1" l="1"/>
  <c r="G2615" i="1"/>
  <c r="E2616" i="1"/>
  <c r="F2616" i="1" l="1"/>
  <c r="G2616" i="1"/>
  <c r="E2617" i="1"/>
  <c r="F2617" i="1" l="1"/>
  <c r="G2617" i="1"/>
  <c r="E2618" i="1"/>
  <c r="F2618" i="1" l="1"/>
  <c r="G2618" i="1"/>
  <c r="E2619" i="1"/>
  <c r="F2619" i="1" l="1"/>
  <c r="G2619" i="1"/>
  <c r="E2620" i="1"/>
  <c r="F2620" i="1" l="1"/>
  <c r="G2620" i="1"/>
  <c r="E2621" i="1"/>
  <c r="F2621" i="1" l="1"/>
  <c r="G2621" i="1"/>
  <c r="E2622" i="1"/>
  <c r="F2622" i="1" l="1"/>
  <c r="G2622" i="1"/>
  <c r="E2623" i="1"/>
  <c r="F2623" i="1" l="1"/>
  <c r="G2623" i="1"/>
  <c r="E2624" i="1"/>
  <c r="F2624" i="1" l="1"/>
  <c r="G2624" i="1"/>
  <c r="E2625" i="1"/>
  <c r="F2625" i="1" l="1"/>
  <c r="G2625" i="1"/>
  <c r="E2626" i="1"/>
  <c r="F2626" i="1" l="1"/>
  <c r="G2626" i="1"/>
  <c r="E2627" i="1"/>
  <c r="F2627" i="1" l="1"/>
  <c r="G2627" i="1"/>
  <c r="E2628" i="1"/>
  <c r="F2628" i="1" l="1"/>
  <c r="G2628" i="1"/>
  <c r="E2629" i="1"/>
  <c r="F2629" i="1" l="1"/>
  <c r="G2629" i="1"/>
  <c r="E2630" i="1"/>
  <c r="F2630" i="1" l="1"/>
  <c r="G2630" i="1"/>
  <c r="E2631" i="1"/>
  <c r="F2631" i="1" l="1"/>
  <c r="G2631" i="1"/>
  <c r="E2632" i="1"/>
  <c r="F2632" i="1" l="1"/>
  <c r="G2632" i="1"/>
  <c r="E2633" i="1"/>
  <c r="F2633" i="1" l="1"/>
  <c r="G2633" i="1"/>
  <c r="E2634" i="1"/>
  <c r="F2634" i="1" l="1"/>
  <c r="G2634" i="1"/>
  <c r="E2635" i="1"/>
  <c r="F2635" i="1" l="1"/>
  <c r="G2635" i="1"/>
  <c r="E2636" i="1"/>
  <c r="F2636" i="1" l="1"/>
  <c r="G2636" i="1"/>
  <c r="E2637" i="1"/>
  <c r="F2637" i="1" l="1"/>
  <c r="G2637" i="1"/>
  <c r="E2638" i="1"/>
  <c r="F2638" i="1" l="1"/>
  <c r="G2638" i="1"/>
  <c r="E2639" i="1"/>
  <c r="F2639" i="1" l="1"/>
  <c r="G2639" i="1"/>
  <c r="E2640" i="1"/>
  <c r="F2640" i="1" l="1"/>
  <c r="G2640" i="1"/>
  <c r="E2641" i="1"/>
  <c r="F2641" i="1" l="1"/>
  <c r="G2641" i="1"/>
  <c r="E2642" i="1"/>
  <c r="F2642" i="1" l="1"/>
  <c r="G2642" i="1"/>
  <c r="E2643" i="1"/>
  <c r="F2643" i="1" l="1"/>
  <c r="G2643" i="1"/>
  <c r="E2644" i="1"/>
  <c r="F2644" i="1" l="1"/>
  <c r="G2644" i="1"/>
  <c r="E2645" i="1"/>
  <c r="F2645" i="1" l="1"/>
  <c r="G2645" i="1"/>
  <c r="E2646" i="1"/>
  <c r="F2646" i="1" l="1"/>
  <c r="G2646" i="1"/>
  <c r="E2647" i="1"/>
  <c r="F2647" i="1" l="1"/>
  <c r="G2647" i="1"/>
  <c r="E2648" i="1"/>
  <c r="F2648" i="1" l="1"/>
  <c r="G2648" i="1"/>
  <c r="E2649" i="1"/>
  <c r="F2649" i="1" l="1"/>
  <c r="G2649" i="1"/>
  <c r="E2650" i="1"/>
  <c r="F2650" i="1" l="1"/>
  <c r="G2650" i="1"/>
  <c r="E2651" i="1"/>
  <c r="F2651" i="1" l="1"/>
  <c r="G2651" i="1"/>
  <c r="E2652" i="1"/>
  <c r="F2652" i="1" l="1"/>
  <c r="G2652" i="1"/>
  <c r="E2653" i="1"/>
  <c r="F2653" i="1" l="1"/>
  <c r="G2653" i="1"/>
  <c r="E2654" i="1"/>
  <c r="F2654" i="1" l="1"/>
  <c r="G2654" i="1"/>
  <c r="E2655" i="1"/>
  <c r="F2655" i="1" l="1"/>
  <c r="G2655" i="1"/>
  <c r="E2656" i="1"/>
  <c r="F2656" i="1" l="1"/>
  <c r="G2656" i="1"/>
  <c r="E2657" i="1"/>
  <c r="F2657" i="1" l="1"/>
  <c r="G2657" i="1"/>
  <c r="E2658" i="1"/>
  <c r="F2658" i="1" l="1"/>
  <c r="G2658" i="1"/>
  <c r="E2659" i="1"/>
  <c r="F2659" i="1" l="1"/>
  <c r="G2659" i="1"/>
  <c r="E2660" i="1"/>
  <c r="F2660" i="1" l="1"/>
  <c r="G2660" i="1"/>
  <c r="E2661" i="1"/>
  <c r="F2661" i="1" l="1"/>
  <c r="G2661" i="1"/>
  <c r="E2662" i="1"/>
  <c r="F2662" i="1" l="1"/>
  <c r="G2662" i="1"/>
  <c r="E2663" i="1"/>
  <c r="F2663" i="1" l="1"/>
  <c r="G2663" i="1"/>
  <c r="E2664" i="1"/>
  <c r="F2664" i="1" l="1"/>
  <c r="G2664" i="1"/>
  <c r="E2665" i="1"/>
  <c r="F2665" i="1" l="1"/>
  <c r="G2665" i="1"/>
  <c r="E2666" i="1"/>
  <c r="F2666" i="1" l="1"/>
  <c r="G2666" i="1"/>
  <c r="E2667" i="1"/>
  <c r="F2667" i="1" l="1"/>
  <c r="G2667" i="1"/>
  <c r="E2668" i="1"/>
  <c r="F2668" i="1" l="1"/>
  <c r="G2668" i="1"/>
  <c r="E2669" i="1"/>
  <c r="F2669" i="1" l="1"/>
  <c r="G2669" i="1"/>
  <c r="E2670" i="1"/>
  <c r="F2670" i="1" l="1"/>
  <c r="G2670" i="1"/>
  <c r="E2671" i="1"/>
  <c r="F2671" i="1" l="1"/>
  <c r="G2671" i="1"/>
  <c r="E2672" i="1"/>
  <c r="F2672" i="1" l="1"/>
  <c r="G2672" i="1"/>
  <c r="E2673" i="1"/>
  <c r="F2673" i="1" l="1"/>
  <c r="G2673" i="1"/>
  <c r="E2674" i="1"/>
  <c r="F2674" i="1" l="1"/>
  <c r="G2674" i="1"/>
  <c r="E2675" i="1"/>
  <c r="F2675" i="1" l="1"/>
  <c r="G2675" i="1"/>
  <c r="E2676" i="1"/>
  <c r="F2676" i="1" l="1"/>
  <c r="G2676" i="1"/>
  <c r="E2677" i="1"/>
  <c r="F2677" i="1" l="1"/>
  <c r="G2677" i="1"/>
  <c r="E2678" i="1"/>
  <c r="F2678" i="1" l="1"/>
  <c r="G2678" i="1"/>
  <c r="E2679" i="1"/>
  <c r="F2679" i="1" l="1"/>
  <c r="G2679" i="1"/>
  <c r="E2680" i="1"/>
  <c r="F2680" i="1" l="1"/>
  <c r="G2680" i="1"/>
  <c r="E2681" i="1"/>
  <c r="F2681" i="1" l="1"/>
  <c r="G2681" i="1"/>
  <c r="E2682" i="1"/>
  <c r="F2682" i="1" l="1"/>
  <c r="G2682" i="1"/>
  <c r="E2683" i="1"/>
  <c r="F2683" i="1" l="1"/>
  <c r="G2683" i="1"/>
  <c r="E2684" i="1"/>
  <c r="F2684" i="1" l="1"/>
  <c r="G2684" i="1"/>
  <c r="E2685" i="1"/>
  <c r="F2685" i="1" l="1"/>
  <c r="G2685" i="1"/>
  <c r="E2686" i="1"/>
  <c r="F2686" i="1" l="1"/>
  <c r="G2686" i="1"/>
  <c r="E2687" i="1"/>
  <c r="F2687" i="1" l="1"/>
  <c r="G2687" i="1"/>
  <c r="E2688" i="1"/>
  <c r="F2688" i="1" l="1"/>
  <c r="G2688" i="1"/>
  <c r="E2689" i="1"/>
  <c r="F2689" i="1" l="1"/>
  <c r="G2689" i="1"/>
  <c r="E2690" i="1"/>
  <c r="F2690" i="1" l="1"/>
  <c r="G2690" i="1"/>
  <c r="E2691" i="1"/>
  <c r="F2691" i="1" l="1"/>
  <c r="G2691" i="1"/>
  <c r="E2692" i="1"/>
  <c r="F2692" i="1" l="1"/>
  <c r="G2692" i="1"/>
  <c r="E2693" i="1"/>
  <c r="F2693" i="1" l="1"/>
  <c r="G2693" i="1"/>
  <c r="E2694" i="1"/>
  <c r="F2694" i="1" l="1"/>
  <c r="G2694" i="1"/>
  <c r="E2695" i="1"/>
  <c r="F2695" i="1" l="1"/>
  <c r="G2695" i="1"/>
  <c r="E2696" i="1"/>
  <c r="F2696" i="1" l="1"/>
  <c r="G2696" i="1"/>
  <c r="E2697" i="1"/>
  <c r="F2697" i="1" l="1"/>
  <c r="G2697" i="1"/>
  <c r="E2698" i="1"/>
  <c r="F2698" i="1" l="1"/>
  <c r="G2698" i="1"/>
  <c r="E2699" i="1"/>
  <c r="F2699" i="1" l="1"/>
  <c r="G2699" i="1"/>
  <c r="E2700" i="1"/>
  <c r="F2700" i="1" l="1"/>
  <c r="G2700" i="1"/>
  <c r="E2701" i="1"/>
  <c r="F2701" i="1" l="1"/>
  <c r="G2701" i="1"/>
  <c r="E2702" i="1"/>
  <c r="F2702" i="1" l="1"/>
  <c r="G2702" i="1"/>
  <c r="E2703" i="1"/>
  <c r="F2703" i="1" l="1"/>
  <c r="G2703" i="1"/>
  <c r="E2704" i="1"/>
  <c r="F2704" i="1" l="1"/>
  <c r="G2704" i="1"/>
  <c r="E2705" i="1"/>
  <c r="F2705" i="1" l="1"/>
  <c r="G2705" i="1"/>
  <c r="E2706" i="1"/>
  <c r="F2706" i="1" l="1"/>
  <c r="G2706" i="1"/>
  <c r="E2707" i="1"/>
  <c r="F2707" i="1" l="1"/>
  <c r="G2707" i="1"/>
  <c r="E2708" i="1"/>
  <c r="F2708" i="1" l="1"/>
  <c r="G2708" i="1"/>
  <c r="E2709" i="1"/>
  <c r="F2709" i="1" l="1"/>
  <c r="G2709" i="1"/>
  <c r="E2710" i="1"/>
  <c r="F2710" i="1" l="1"/>
  <c r="G2710" i="1"/>
  <c r="E2711" i="1"/>
  <c r="F2711" i="1" l="1"/>
  <c r="G2711" i="1"/>
  <c r="E2712" i="1"/>
  <c r="F2712" i="1" l="1"/>
  <c r="G2712" i="1"/>
  <c r="E2713" i="1"/>
  <c r="F2713" i="1" l="1"/>
  <c r="G2713" i="1"/>
  <c r="E2714" i="1"/>
  <c r="F2714" i="1" l="1"/>
  <c r="G2714" i="1"/>
  <c r="E2715" i="1"/>
  <c r="F2715" i="1" l="1"/>
  <c r="G2715" i="1"/>
  <c r="E2716" i="1"/>
  <c r="F2716" i="1" l="1"/>
  <c r="G2716" i="1"/>
  <c r="E2717" i="1"/>
  <c r="F2717" i="1" l="1"/>
  <c r="G2717" i="1"/>
  <c r="E2718" i="1"/>
  <c r="F2718" i="1" l="1"/>
  <c r="G2718" i="1"/>
  <c r="E2719" i="1"/>
  <c r="F2719" i="1" l="1"/>
  <c r="G2719" i="1"/>
  <c r="E2720" i="1"/>
  <c r="F2720" i="1" l="1"/>
  <c r="G2720" i="1"/>
  <c r="E2721" i="1"/>
  <c r="F2721" i="1" l="1"/>
  <c r="G2721" i="1"/>
  <c r="E2722" i="1"/>
  <c r="F2722" i="1" l="1"/>
  <c r="G2722" i="1"/>
  <c r="E2723" i="1"/>
  <c r="F2723" i="1" l="1"/>
  <c r="G2723" i="1"/>
  <c r="E2724" i="1"/>
  <c r="F2724" i="1" l="1"/>
  <c r="G2724" i="1"/>
  <c r="E2725" i="1"/>
  <c r="F2725" i="1" l="1"/>
  <c r="G2725" i="1"/>
  <c r="E2726" i="1"/>
  <c r="F2726" i="1" l="1"/>
  <c r="G2726" i="1"/>
  <c r="E2727" i="1"/>
  <c r="F2727" i="1" l="1"/>
  <c r="G2727" i="1"/>
  <c r="E2728" i="1"/>
  <c r="F2728" i="1" l="1"/>
  <c r="G2728" i="1"/>
  <c r="E2729" i="1"/>
  <c r="F2729" i="1" l="1"/>
  <c r="G2729" i="1"/>
  <c r="E2730" i="1"/>
  <c r="F2730" i="1" l="1"/>
  <c r="G2730" i="1"/>
  <c r="E2731" i="1"/>
  <c r="F2731" i="1" l="1"/>
  <c r="G2731" i="1"/>
  <c r="E2732" i="1"/>
  <c r="F2732" i="1" l="1"/>
  <c r="G2732" i="1"/>
  <c r="E2733" i="1"/>
  <c r="F2733" i="1" l="1"/>
  <c r="G2733" i="1"/>
  <c r="E2734" i="1"/>
  <c r="F2734" i="1" l="1"/>
  <c r="G2734" i="1"/>
  <c r="E2735" i="1"/>
  <c r="F2735" i="1" l="1"/>
  <c r="G2735" i="1"/>
  <c r="E2736" i="1"/>
  <c r="F2736" i="1" l="1"/>
  <c r="G2736" i="1"/>
  <c r="E2737" i="1"/>
  <c r="F2737" i="1" l="1"/>
  <c r="G2737" i="1"/>
  <c r="E2738" i="1"/>
  <c r="F2738" i="1" l="1"/>
  <c r="G2738" i="1"/>
  <c r="E2739" i="1"/>
  <c r="F2739" i="1" l="1"/>
  <c r="G2739" i="1"/>
  <c r="E2740" i="1"/>
  <c r="F2740" i="1" l="1"/>
  <c r="G2740" i="1"/>
  <c r="E2741" i="1"/>
  <c r="F2741" i="1" l="1"/>
  <c r="G2741" i="1"/>
  <c r="E2742" i="1"/>
  <c r="F2742" i="1" l="1"/>
  <c r="G2742" i="1"/>
  <c r="E2743" i="1"/>
  <c r="F2743" i="1" l="1"/>
  <c r="G2743" i="1"/>
  <c r="E2744" i="1"/>
  <c r="F2744" i="1" l="1"/>
  <c r="G2744" i="1"/>
  <c r="E2745" i="1"/>
  <c r="F2745" i="1" l="1"/>
  <c r="G2745" i="1"/>
  <c r="E2746" i="1"/>
  <c r="F2746" i="1" l="1"/>
  <c r="G2746" i="1"/>
  <c r="E2747" i="1"/>
  <c r="F2747" i="1" l="1"/>
  <c r="G2747" i="1"/>
  <c r="E2748" i="1"/>
  <c r="F2748" i="1" l="1"/>
  <c r="G2748" i="1"/>
  <c r="E2749" i="1"/>
  <c r="F2749" i="1" l="1"/>
  <c r="G2749" i="1"/>
  <c r="E2750" i="1"/>
  <c r="F2750" i="1" l="1"/>
  <c r="G2750" i="1"/>
  <c r="E2751" i="1"/>
  <c r="F2751" i="1" l="1"/>
  <c r="G2751" i="1"/>
  <c r="E2752" i="1"/>
  <c r="F2752" i="1" l="1"/>
  <c r="G2752" i="1"/>
  <c r="E2753" i="1"/>
  <c r="F2753" i="1" l="1"/>
  <c r="G2753" i="1"/>
  <c r="E2754" i="1"/>
  <c r="F2754" i="1" l="1"/>
  <c r="G2754" i="1"/>
  <c r="E2755" i="1"/>
  <c r="F2755" i="1" l="1"/>
  <c r="G2755" i="1"/>
  <c r="E2756" i="1"/>
  <c r="F2756" i="1" l="1"/>
  <c r="G2756" i="1"/>
  <c r="E2757" i="1"/>
  <c r="F2757" i="1" l="1"/>
  <c r="G2757" i="1"/>
  <c r="E2758" i="1"/>
  <c r="F2758" i="1" l="1"/>
  <c r="G2758" i="1"/>
  <c r="E2759" i="1"/>
  <c r="F2759" i="1" l="1"/>
  <c r="G2759" i="1"/>
  <c r="E2760" i="1"/>
  <c r="F2760" i="1" l="1"/>
  <c r="G2760" i="1"/>
  <c r="E2761" i="1"/>
  <c r="F2761" i="1" l="1"/>
  <c r="G2761" i="1"/>
  <c r="E2762" i="1"/>
  <c r="F2762" i="1" l="1"/>
  <c r="G2762" i="1"/>
  <c r="E2763" i="1"/>
  <c r="F2763" i="1" l="1"/>
  <c r="G2763" i="1"/>
  <c r="E2764" i="1"/>
  <c r="F2764" i="1" l="1"/>
  <c r="G2764" i="1"/>
  <c r="E2765" i="1"/>
  <c r="F2765" i="1" l="1"/>
  <c r="G2765" i="1"/>
  <c r="E2766" i="1"/>
  <c r="F2766" i="1" l="1"/>
  <c r="G2766" i="1"/>
  <c r="E2767" i="1"/>
  <c r="F2767" i="1" l="1"/>
  <c r="G2767" i="1"/>
  <c r="E2768" i="1"/>
  <c r="F2768" i="1" l="1"/>
  <c r="G2768" i="1"/>
  <c r="E2769" i="1"/>
  <c r="F2769" i="1" l="1"/>
  <c r="G2769" i="1"/>
  <c r="E2770" i="1"/>
  <c r="F2770" i="1" l="1"/>
  <c r="G2770" i="1"/>
  <c r="E2771" i="1"/>
  <c r="F2771" i="1" l="1"/>
  <c r="G2771" i="1"/>
  <c r="E2772" i="1"/>
  <c r="F2772" i="1" l="1"/>
  <c r="G2772" i="1"/>
  <c r="E2773" i="1"/>
  <c r="F2773" i="1" l="1"/>
  <c r="G2773" i="1"/>
  <c r="E2774" i="1"/>
  <c r="F2774" i="1" l="1"/>
  <c r="G2774" i="1"/>
  <c r="E2775" i="1"/>
  <c r="F2775" i="1" l="1"/>
  <c r="G2775" i="1"/>
  <c r="E2776" i="1"/>
  <c r="F2776" i="1" l="1"/>
  <c r="G2776" i="1"/>
  <c r="E2777" i="1"/>
  <c r="F2777" i="1" l="1"/>
  <c r="G2777" i="1"/>
  <c r="E2778" i="1"/>
  <c r="F2778" i="1" l="1"/>
  <c r="G2778" i="1"/>
  <c r="E2779" i="1"/>
  <c r="F2779" i="1" l="1"/>
  <c r="G2779" i="1"/>
  <c r="E2780" i="1"/>
  <c r="F2780" i="1" l="1"/>
  <c r="G2780" i="1"/>
  <c r="E2781" i="1"/>
  <c r="F2781" i="1" l="1"/>
  <c r="G2781" i="1"/>
  <c r="E2782" i="1"/>
  <c r="F2782" i="1" l="1"/>
  <c r="G2782" i="1"/>
  <c r="E2783" i="1"/>
  <c r="F2783" i="1" l="1"/>
  <c r="G2783" i="1"/>
  <c r="E2784" i="1"/>
  <c r="F2784" i="1" l="1"/>
  <c r="G2784" i="1"/>
  <c r="E2785" i="1"/>
  <c r="F2785" i="1" l="1"/>
  <c r="G2785" i="1"/>
  <c r="E2786" i="1"/>
  <c r="F2786" i="1" l="1"/>
  <c r="G2786" i="1"/>
  <c r="E2787" i="1"/>
  <c r="F2787" i="1" l="1"/>
  <c r="G2787" i="1"/>
  <c r="E2788" i="1"/>
  <c r="F2788" i="1" l="1"/>
  <c r="G2788" i="1"/>
  <c r="E2789" i="1"/>
  <c r="F2789" i="1" l="1"/>
  <c r="G2789" i="1"/>
  <c r="E2790" i="1"/>
  <c r="F2790" i="1" l="1"/>
  <c r="G2790" i="1"/>
  <c r="E2791" i="1"/>
  <c r="F2791" i="1" l="1"/>
  <c r="G2791" i="1"/>
  <c r="E2792" i="1"/>
  <c r="F2792" i="1" l="1"/>
  <c r="G2792" i="1"/>
  <c r="E2793" i="1"/>
  <c r="F2793" i="1" l="1"/>
  <c r="G2793" i="1"/>
  <c r="E2794" i="1"/>
  <c r="F2794" i="1" l="1"/>
  <c r="G2794" i="1"/>
  <c r="E2795" i="1"/>
  <c r="F2795" i="1" l="1"/>
  <c r="G2795" i="1"/>
  <c r="E2796" i="1"/>
  <c r="F2796" i="1" l="1"/>
  <c r="G2796" i="1"/>
  <c r="E2797" i="1"/>
  <c r="F2797" i="1" l="1"/>
  <c r="G2797" i="1"/>
  <c r="E2798" i="1"/>
  <c r="F2798" i="1" l="1"/>
  <c r="G2798" i="1"/>
  <c r="E2799" i="1"/>
  <c r="F2799" i="1" l="1"/>
  <c r="G2799" i="1"/>
  <c r="E2800" i="1"/>
  <c r="F2800" i="1" l="1"/>
  <c r="G2800" i="1"/>
  <c r="E2801" i="1"/>
  <c r="F2801" i="1" l="1"/>
  <c r="G2801" i="1"/>
  <c r="E2802" i="1"/>
  <c r="F2802" i="1" l="1"/>
  <c r="G2802" i="1"/>
  <c r="E2803" i="1"/>
  <c r="F2803" i="1" l="1"/>
  <c r="G2803" i="1"/>
  <c r="E2804" i="1"/>
  <c r="F2804" i="1" l="1"/>
  <c r="G2804" i="1"/>
  <c r="E2805" i="1"/>
  <c r="F2805" i="1" l="1"/>
  <c r="G2805" i="1"/>
  <c r="E2806" i="1"/>
  <c r="F2806" i="1" l="1"/>
  <c r="G2806" i="1"/>
  <c r="E2807" i="1"/>
  <c r="F2807" i="1" l="1"/>
  <c r="G2807" i="1"/>
  <c r="E2808" i="1"/>
  <c r="F2808" i="1" l="1"/>
  <c r="G2808" i="1"/>
  <c r="E2809" i="1"/>
  <c r="F2809" i="1" l="1"/>
  <c r="G2809" i="1"/>
  <c r="E2810" i="1"/>
  <c r="F2810" i="1" l="1"/>
  <c r="G2810" i="1"/>
  <c r="E2811" i="1"/>
  <c r="F2811" i="1" l="1"/>
  <c r="G2811" i="1"/>
  <c r="E2812" i="1"/>
  <c r="F2812" i="1" l="1"/>
  <c r="G2812" i="1"/>
  <c r="E2813" i="1"/>
  <c r="F2813" i="1" l="1"/>
  <c r="G2813" i="1"/>
  <c r="E2814" i="1"/>
  <c r="F2814" i="1" l="1"/>
  <c r="G2814" i="1"/>
  <c r="E2815" i="1"/>
  <c r="F2815" i="1" l="1"/>
  <c r="G2815" i="1"/>
  <c r="E2816" i="1"/>
  <c r="F2816" i="1" l="1"/>
  <c r="G2816" i="1"/>
  <c r="E2817" i="1"/>
  <c r="F2817" i="1" l="1"/>
  <c r="G2817" i="1"/>
  <c r="E2818" i="1"/>
  <c r="F2818" i="1" l="1"/>
  <c r="G2818" i="1"/>
  <c r="E2819" i="1"/>
  <c r="F2819" i="1" l="1"/>
  <c r="G2819" i="1"/>
  <c r="E2820" i="1"/>
  <c r="F2820" i="1" l="1"/>
  <c r="G2820" i="1"/>
  <c r="E2821" i="1"/>
  <c r="F2821" i="1" l="1"/>
  <c r="G2821" i="1"/>
  <c r="E2822" i="1"/>
  <c r="F2822" i="1" l="1"/>
  <c r="G2822" i="1"/>
  <c r="E2823" i="1"/>
  <c r="F2823" i="1" l="1"/>
  <c r="G2823" i="1"/>
  <c r="E2824" i="1"/>
  <c r="F2824" i="1" l="1"/>
  <c r="G2824" i="1"/>
  <c r="E2825" i="1"/>
  <c r="F2825" i="1" l="1"/>
  <c r="G2825" i="1"/>
  <c r="E2826" i="1"/>
  <c r="F2826" i="1" l="1"/>
  <c r="G2826" i="1"/>
  <c r="E2827" i="1"/>
  <c r="F2827" i="1" l="1"/>
  <c r="G2827" i="1"/>
  <c r="E2828" i="1"/>
  <c r="F2828" i="1" l="1"/>
  <c r="G2828" i="1"/>
  <c r="E2829" i="1"/>
  <c r="F2829" i="1" l="1"/>
  <c r="G2829" i="1"/>
  <c r="E2830" i="1"/>
  <c r="F2830" i="1" l="1"/>
  <c r="G2830" i="1"/>
  <c r="E2831" i="1"/>
  <c r="F2831" i="1" l="1"/>
  <c r="G2831" i="1"/>
  <c r="E2832" i="1"/>
  <c r="F2832" i="1" l="1"/>
  <c r="G2832" i="1"/>
  <c r="E2833" i="1"/>
  <c r="F2833" i="1" l="1"/>
  <c r="G2833" i="1"/>
  <c r="E2834" i="1"/>
  <c r="F2834" i="1" l="1"/>
  <c r="G2834" i="1"/>
  <c r="E2835" i="1"/>
  <c r="F2835" i="1" l="1"/>
  <c r="G2835" i="1"/>
  <c r="E2836" i="1"/>
  <c r="F2836" i="1" l="1"/>
  <c r="G2836" i="1"/>
  <c r="E2837" i="1"/>
  <c r="F2837" i="1" l="1"/>
  <c r="G2837" i="1"/>
  <c r="E2838" i="1"/>
  <c r="F2838" i="1" l="1"/>
  <c r="G2838" i="1"/>
  <c r="E2839" i="1"/>
  <c r="F2839" i="1" l="1"/>
  <c r="G2839" i="1"/>
  <c r="E2840" i="1"/>
  <c r="F2840" i="1" l="1"/>
  <c r="G2840" i="1"/>
  <c r="E2841" i="1"/>
  <c r="F2841" i="1" l="1"/>
  <c r="G2841" i="1"/>
  <c r="E2842" i="1"/>
  <c r="F2842" i="1" l="1"/>
  <c r="G2842" i="1"/>
  <c r="E2843" i="1"/>
  <c r="F2843" i="1" l="1"/>
  <c r="G2843" i="1"/>
  <c r="E2844" i="1"/>
  <c r="F2844" i="1" l="1"/>
  <c r="G2844" i="1"/>
  <c r="E2845" i="1"/>
  <c r="F2845" i="1" l="1"/>
  <c r="G2845" i="1"/>
  <c r="E2846" i="1"/>
  <c r="F2846" i="1" l="1"/>
  <c r="G2846" i="1"/>
  <c r="E2847" i="1"/>
  <c r="F2847" i="1" l="1"/>
  <c r="G2847" i="1"/>
  <c r="E2848" i="1"/>
  <c r="F2848" i="1" l="1"/>
  <c r="G2848" i="1"/>
  <c r="E2849" i="1"/>
  <c r="F2849" i="1" l="1"/>
  <c r="G2849" i="1"/>
  <c r="E2850" i="1"/>
  <c r="F2850" i="1" l="1"/>
  <c r="G2850" i="1"/>
  <c r="E2851" i="1"/>
  <c r="F2851" i="1" l="1"/>
  <c r="G2851" i="1"/>
  <c r="E2852" i="1"/>
  <c r="F2852" i="1" l="1"/>
  <c r="G2852" i="1"/>
  <c r="E2853" i="1"/>
  <c r="F2853" i="1" l="1"/>
  <c r="G2853" i="1"/>
  <c r="E2854" i="1"/>
  <c r="F2854" i="1" l="1"/>
  <c r="G2854" i="1"/>
  <c r="E2855" i="1"/>
  <c r="F2855" i="1" l="1"/>
  <c r="G2855" i="1"/>
  <c r="E2856" i="1"/>
  <c r="F2856" i="1" l="1"/>
  <c r="G2856" i="1"/>
  <c r="E2857" i="1"/>
  <c r="F2857" i="1" l="1"/>
  <c r="G2857" i="1"/>
  <c r="E2858" i="1"/>
  <c r="F2858" i="1" l="1"/>
  <c r="G2858" i="1"/>
  <c r="E2859" i="1"/>
  <c r="F2859" i="1" l="1"/>
  <c r="G2859" i="1"/>
  <c r="E2860" i="1"/>
  <c r="F2860" i="1" l="1"/>
  <c r="G2860" i="1"/>
  <c r="E2861" i="1"/>
  <c r="F2861" i="1" l="1"/>
  <c r="G2861" i="1"/>
  <c r="E2862" i="1"/>
  <c r="F2862" i="1" l="1"/>
  <c r="G2862" i="1"/>
  <c r="E2863" i="1"/>
  <c r="F2863" i="1" l="1"/>
  <c r="G2863" i="1"/>
  <c r="E2864" i="1"/>
  <c r="F2864" i="1" l="1"/>
  <c r="G2864" i="1"/>
  <c r="E2865" i="1"/>
  <c r="F2865" i="1" l="1"/>
  <c r="G2865" i="1"/>
  <c r="E2866" i="1"/>
  <c r="F2866" i="1" l="1"/>
  <c r="G2866" i="1"/>
  <c r="E2867" i="1"/>
  <c r="F2867" i="1" l="1"/>
  <c r="G2867" i="1"/>
  <c r="E2868" i="1"/>
  <c r="F2868" i="1" l="1"/>
  <c r="G2868" i="1"/>
  <c r="E2869" i="1"/>
  <c r="F2869" i="1" l="1"/>
  <c r="G2869" i="1"/>
  <c r="E2870" i="1"/>
  <c r="F2870" i="1" l="1"/>
  <c r="G2870" i="1"/>
  <c r="E2871" i="1"/>
  <c r="F2871" i="1" l="1"/>
  <c r="G2871" i="1"/>
  <c r="E2872" i="1"/>
  <c r="F2872" i="1" l="1"/>
  <c r="G2872" i="1"/>
  <c r="E2873" i="1"/>
  <c r="F2873" i="1" l="1"/>
  <c r="G2873" i="1"/>
  <c r="E2874" i="1"/>
  <c r="F2874" i="1" l="1"/>
  <c r="G2874" i="1"/>
  <c r="E2875" i="1"/>
  <c r="F2875" i="1" l="1"/>
  <c r="G2875" i="1"/>
  <c r="E2876" i="1"/>
  <c r="F2876" i="1" l="1"/>
  <c r="G2876" i="1"/>
  <c r="E2877" i="1"/>
  <c r="F2877" i="1" l="1"/>
  <c r="G2877" i="1"/>
  <c r="E2878" i="1"/>
  <c r="F2878" i="1" l="1"/>
  <c r="G2878" i="1"/>
  <c r="E2879" i="1"/>
  <c r="F2879" i="1" l="1"/>
  <c r="G2879" i="1"/>
  <c r="E2880" i="1"/>
  <c r="F2880" i="1" l="1"/>
  <c r="G2880" i="1"/>
  <c r="E2881" i="1"/>
  <c r="F2881" i="1" l="1"/>
  <c r="G2881" i="1"/>
  <c r="E2882" i="1"/>
  <c r="F2882" i="1" l="1"/>
  <c r="G2882" i="1"/>
  <c r="E2883" i="1"/>
  <c r="F2883" i="1" l="1"/>
  <c r="G2883" i="1"/>
  <c r="E2884" i="1"/>
  <c r="F2884" i="1" l="1"/>
  <c r="G2884" i="1"/>
  <c r="E2885" i="1"/>
  <c r="F2885" i="1" l="1"/>
  <c r="G2885" i="1"/>
  <c r="E2886" i="1"/>
  <c r="F2886" i="1" l="1"/>
  <c r="G2886" i="1"/>
  <c r="E2887" i="1"/>
  <c r="F2887" i="1" l="1"/>
  <c r="G2887" i="1"/>
  <c r="E2888" i="1"/>
  <c r="F2888" i="1" l="1"/>
  <c r="G2888" i="1"/>
  <c r="E2889" i="1"/>
  <c r="F2889" i="1" l="1"/>
  <c r="G2889" i="1"/>
  <c r="E2890" i="1"/>
  <c r="F2890" i="1" l="1"/>
  <c r="G2890" i="1"/>
  <c r="E2891" i="1"/>
  <c r="F2891" i="1" l="1"/>
  <c r="G2891" i="1"/>
  <c r="E2892" i="1"/>
  <c r="F2892" i="1" l="1"/>
  <c r="G2892" i="1"/>
  <c r="E2893" i="1"/>
  <c r="F2893" i="1" l="1"/>
  <c r="G2893" i="1"/>
  <c r="E2894" i="1"/>
  <c r="F2894" i="1" l="1"/>
  <c r="G2894" i="1"/>
  <c r="E2895" i="1"/>
  <c r="F2895" i="1" l="1"/>
  <c r="G2895" i="1"/>
  <c r="E2896" i="1"/>
  <c r="F2896" i="1" l="1"/>
  <c r="G2896" i="1"/>
  <c r="E2897" i="1"/>
  <c r="F2897" i="1" l="1"/>
  <c r="G2897" i="1"/>
  <c r="E2898" i="1"/>
  <c r="F2898" i="1" l="1"/>
  <c r="G2898" i="1"/>
  <c r="E2899" i="1"/>
  <c r="F2899" i="1" l="1"/>
  <c r="G2899" i="1"/>
  <c r="E2900" i="1"/>
  <c r="F2900" i="1" l="1"/>
  <c r="G2900" i="1"/>
  <c r="E2901" i="1"/>
  <c r="F2901" i="1" l="1"/>
  <c r="G2901" i="1"/>
  <c r="E2902" i="1"/>
  <c r="F2902" i="1" l="1"/>
  <c r="G2902" i="1"/>
  <c r="E2903" i="1"/>
  <c r="F2903" i="1" l="1"/>
  <c r="G2903" i="1"/>
  <c r="E2904" i="1"/>
  <c r="F2904" i="1" l="1"/>
  <c r="G2904" i="1"/>
  <c r="E2905" i="1"/>
  <c r="F2905" i="1" l="1"/>
  <c r="G2905" i="1"/>
  <c r="E2906" i="1"/>
  <c r="F2906" i="1" l="1"/>
  <c r="G2906" i="1"/>
  <c r="E2907" i="1"/>
  <c r="F2907" i="1" l="1"/>
  <c r="G2907" i="1"/>
  <c r="E2908" i="1"/>
  <c r="F2908" i="1" l="1"/>
  <c r="G2908" i="1"/>
  <c r="E2909" i="1"/>
  <c r="F2909" i="1" l="1"/>
  <c r="G2909" i="1"/>
  <c r="E2910" i="1"/>
  <c r="F2910" i="1" l="1"/>
  <c r="G2910" i="1"/>
  <c r="E2911" i="1"/>
  <c r="F2911" i="1" l="1"/>
  <c r="G2911" i="1"/>
  <c r="E2912" i="1"/>
  <c r="F2912" i="1" l="1"/>
  <c r="G2912" i="1"/>
  <c r="E2913" i="1"/>
  <c r="F2913" i="1" l="1"/>
  <c r="G2913" i="1"/>
  <c r="E2914" i="1"/>
  <c r="F2914" i="1" l="1"/>
  <c r="G2914" i="1"/>
  <c r="E2915" i="1"/>
  <c r="F2915" i="1" l="1"/>
  <c r="G2915" i="1"/>
  <c r="E2916" i="1"/>
  <c r="F2916" i="1" l="1"/>
  <c r="G2916" i="1"/>
  <c r="E2917" i="1"/>
  <c r="F2917" i="1" l="1"/>
  <c r="G2917" i="1"/>
  <c r="E2918" i="1"/>
  <c r="F2918" i="1" l="1"/>
  <c r="G2918" i="1"/>
  <c r="E2919" i="1"/>
  <c r="F2919" i="1" l="1"/>
  <c r="G2919" i="1"/>
  <c r="E2920" i="1"/>
  <c r="F2920" i="1" l="1"/>
  <c r="G2920" i="1"/>
  <c r="E2921" i="1"/>
  <c r="F2921" i="1" l="1"/>
  <c r="G2921" i="1"/>
  <c r="E2922" i="1"/>
  <c r="F2922" i="1" l="1"/>
  <c r="G2922" i="1"/>
  <c r="E2923" i="1"/>
  <c r="F2923" i="1" l="1"/>
  <c r="G2923" i="1"/>
  <c r="E2924" i="1"/>
  <c r="F2924" i="1" l="1"/>
  <c r="G2924" i="1"/>
  <c r="E2925" i="1"/>
  <c r="F2925" i="1" l="1"/>
  <c r="G2925" i="1"/>
  <c r="E2926" i="1"/>
  <c r="F2926" i="1" l="1"/>
  <c r="G2926" i="1"/>
  <c r="E2927" i="1"/>
  <c r="F2927" i="1" l="1"/>
  <c r="G2927" i="1"/>
  <c r="E2928" i="1"/>
  <c r="F2928" i="1" l="1"/>
  <c r="G2928" i="1"/>
  <c r="E2929" i="1"/>
  <c r="F2929" i="1" l="1"/>
  <c r="G2929" i="1"/>
  <c r="E2930" i="1"/>
  <c r="F2930" i="1" l="1"/>
  <c r="G2930" i="1"/>
  <c r="E2931" i="1"/>
  <c r="F2931" i="1" l="1"/>
  <c r="G2931" i="1"/>
  <c r="E2932" i="1"/>
  <c r="F2932" i="1" l="1"/>
  <c r="G2932" i="1"/>
  <c r="E2933" i="1"/>
  <c r="F2933" i="1" l="1"/>
  <c r="G2933" i="1"/>
  <c r="E2934" i="1"/>
  <c r="F2934" i="1" l="1"/>
  <c r="G2934" i="1"/>
  <c r="E2935" i="1"/>
  <c r="F2935" i="1" l="1"/>
  <c r="G2935" i="1"/>
  <c r="E2936" i="1"/>
  <c r="F2936" i="1" l="1"/>
  <c r="G2936" i="1"/>
  <c r="E2937" i="1"/>
  <c r="F2937" i="1" l="1"/>
  <c r="G2937" i="1"/>
  <c r="E2938" i="1"/>
  <c r="F2938" i="1" l="1"/>
  <c r="G2938" i="1"/>
  <c r="E2939" i="1"/>
  <c r="F2939" i="1" l="1"/>
  <c r="G2939" i="1"/>
  <c r="E2940" i="1"/>
  <c r="F2940" i="1" l="1"/>
  <c r="G2940" i="1"/>
  <c r="E2941" i="1"/>
  <c r="F2941" i="1" l="1"/>
  <c r="G2941" i="1"/>
  <c r="E2942" i="1"/>
  <c r="F2942" i="1" l="1"/>
  <c r="G2942" i="1"/>
  <c r="E2943" i="1"/>
  <c r="F2943" i="1" l="1"/>
  <c r="G2943" i="1"/>
  <c r="E2944" i="1"/>
  <c r="F2944" i="1" l="1"/>
  <c r="G2944" i="1"/>
  <c r="E2945" i="1"/>
  <c r="F2945" i="1" l="1"/>
  <c r="G2945" i="1"/>
  <c r="E2946" i="1"/>
  <c r="F2946" i="1" l="1"/>
  <c r="G2946" i="1"/>
  <c r="E2947" i="1"/>
  <c r="F2947" i="1" l="1"/>
  <c r="G2947" i="1"/>
  <c r="E2948" i="1"/>
  <c r="F2948" i="1" l="1"/>
  <c r="G2948" i="1"/>
  <c r="E2949" i="1"/>
  <c r="F2949" i="1" l="1"/>
  <c r="G2949" i="1"/>
  <c r="E2950" i="1"/>
  <c r="F2950" i="1" l="1"/>
  <c r="G2950" i="1"/>
  <c r="E2951" i="1"/>
  <c r="F2951" i="1" l="1"/>
  <c r="G2951" i="1"/>
  <c r="E2952" i="1"/>
  <c r="F2952" i="1" l="1"/>
  <c r="G2952" i="1"/>
  <c r="E2953" i="1"/>
  <c r="F2953" i="1" l="1"/>
  <c r="G2953" i="1"/>
  <c r="E2954" i="1"/>
  <c r="F2954" i="1" l="1"/>
  <c r="G2954" i="1"/>
  <c r="E2955" i="1"/>
  <c r="F2955" i="1" l="1"/>
  <c r="G2955" i="1"/>
  <c r="E2956" i="1"/>
  <c r="F2956" i="1" l="1"/>
  <c r="G2956" i="1"/>
  <c r="E2957" i="1"/>
  <c r="F2957" i="1" l="1"/>
  <c r="G2957" i="1"/>
  <c r="E2958" i="1"/>
  <c r="F2958" i="1" l="1"/>
  <c r="G2958" i="1"/>
  <c r="E2959" i="1"/>
  <c r="F2959" i="1" l="1"/>
  <c r="G2959" i="1"/>
  <c r="E2960" i="1"/>
  <c r="F2960" i="1" l="1"/>
  <c r="G2960" i="1"/>
  <c r="E2961" i="1"/>
  <c r="F2961" i="1" l="1"/>
  <c r="G2961" i="1"/>
  <c r="E2962" i="1"/>
  <c r="F2962" i="1" l="1"/>
  <c r="G2962" i="1"/>
  <c r="E2963" i="1"/>
  <c r="F2963" i="1" l="1"/>
  <c r="G2963" i="1"/>
  <c r="E2964" i="1"/>
  <c r="F2964" i="1" l="1"/>
  <c r="G2964" i="1"/>
  <c r="E2965" i="1"/>
  <c r="F2965" i="1" l="1"/>
  <c r="G2965" i="1"/>
  <c r="E2966" i="1"/>
  <c r="F2966" i="1" l="1"/>
  <c r="G2966" i="1"/>
  <c r="E2967" i="1"/>
  <c r="F2967" i="1" l="1"/>
  <c r="G2967" i="1"/>
  <c r="E2968" i="1"/>
  <c r="F2968" i="1" l="1"/>
  <c r="G2968" i="1"/>
  <c r="E2969" i="1"/>
  <c r="F2969" i="1" l="1"/>
  <c r="G2969" i="1"/>
  <c r="E2970" i="1"/>
  <c r="F2970" i="1" l="1"/>
  <c r="G2970" i="1"/>
  <c r="E2971" i="1"/>
  <c r="F2971" i="1" l="1"/>
  <c r="G2971" i="1"/>
  <c r="E2972" i="1"/>
  <c r="F2972" i="1" l="1"/>
  <c r="G2972" i="1"/>
  <c r="E2973" i="1"/>
  <c r="F2973" i="1" l="1"/>
  <c r="G2973" i="1"/>
  <c r="E2974" i="1"/>
  <c r="F2974" i="1" l="1"/>
  <c r="G2974" i="1"/>
  <c r="E2975" i="1"/>
  <c r="F2975" i="1" l="1"/>
  <c r="G2975" i="1"/>
  <c r="E2976" i="1"/>
  <c r="F2976" i="1" l="1"/>
  <c r="G2976" i="1"/>
  <c r="E2977" i="1"/>
  <c r="F2977" i="1" l="1"/>
  <c r="G2977" i="1"/>
  <c r="E2978" i="1"/>
  <c r="F2978" i="1" l="1"/>
  <c r="G2978" i="1"/>
  <c r="E2979" i="1"/>
  <c r="F2979" i="1" l="1"/>
  <c r="G2979" i="1"/>
  <c r="E2980" i="1"/>
  <c r="F2980" i="1" l="1"/>
  <c r="G2980" i="1"/>
  <c r="E2981" i="1"/>
  <c r="F2981" i="1" l="1"/>
  <c r="G2981" i="1"/>
  <c r="E2982" i="1"/>
  <c r="F2982" i="1" l="1"/>
  <c r="G2982" i="1"/>
  <c r="E2983" i="1"/>
  <c r="F2983" i="1" l="1"/>
  <c r="G2983" i="1"/>
  <c r="E2984" i="1"/>
  <c r="F2984" i="1" l="1"/>
  <c r="G2984" i="1"/>
  <c r="E2985" i="1"/>
  <c r="F2985" i="1" l="1"/>
  <c r="G2985" i="1"/>
  <c r="E2986" i="1"/>
  <c r="F2986" i="1" l="1"/>
  <c r="G2986" i="1"/>
  <c r="E2987" i="1"/>
  <c r="F2987" i="1" l="1"/>
  <c r="G2987" i="1"/>
  <c r="E2988" i="1"/>
  <c r="F2988" i="1" l="1"/>
  <c r="G2988" i="1"/>
  <c r="E2989" i="1"/>
  <c r="F2989" i="1" l="1"/>
  <c r="G2989" i="1"/>
  <c r="E2990" i="1"/>
  <c r="F2990" i="1" l="1"/>
  <c r="G2990" i="1"/>
  <c r="E2991" i="1"/>
  <c r="F2991" i="1" l="1"/>
  <c r="G2991" i="1"/>
  <c r="E2992" i="1"/>
  <c r="F2992" i="1" l="1"/>
  <c r="G2992" i="1"/>
  <c r="E2993" i="1"/>
  <c r="F2993" i="1" l="1"/>
  <c r="G2993" i="1"/>
  <c r="E2994" i="1"/>
  <c r="F2994" i="1" l="1"/>
  <c r="G2994" i="1"/>
  <c r="E2995" i="1"/>
  <c r="F2995" i="1" l="1"/>
  <c r="G2995" i="1"/>
  <c r="E2996" i="1"/>
  <c r="F2996" i="1" l="1"/>
  <c r="G2996" i="1"/>
  <c r="E2997" i="1"/>
  <c r="F2997" i="1" l="1"/>
  <c r="G2997" i="1"/>
  <c r="E2998" i="1"/>
  <c r="F2998" i="1" l="1"/>
  <c r="G2998" i="1"/>
  <c r="E2999" i="1"/>
  <c r="F2999" i="1" l="1"/>
  <c r="G2999" i="1"/>
  <c r="E3000" i="1"/>
  <c r="F3000" i="1" l="1"/>
  <c r="G3000" i="1"/>
  <c r="E3001" i="1"/>
  <c r="F3001" i="1" l="1"/>
  <c r="G3001" i="1"/>
  <c r="E3002" i="1"/>
  <c r="F3002" i="1" l="1"/>
  <c r="G3002" i="1"/>
  <c r="E3003" i="1"/>
  <c r="F3003" i="1" l="1"/>
  <c r="G3003" i="1"/>
  <c r="E3004" i="1"/>
  <c r="F3004" i="1" l="1"/>
  <c r="G3004" i="1"/>
  <c r="E3005" i="1"/>
  <c r="F3005" i="1" l="1"/>
  <c r="G3005" i="1"/>
  <c r="E3006" i="1"/>
  <c r="F3006" i="1" l="1"/>
  <c r="G3006" i="1"/>
  <c r="E3007" i="1"/>
  <c r="F3007" i="1" l="1"/>
  <c r="G3007" i="1"/>
  <c r="E3008" i="1"/>
  <c r="F3008" i="1" l="1"/>
  <c r="G3008" i="1"/>
  <c r="E3009" i="1"/>
  <c r="F3009" i="1" l="1"/>
  <c r="G3009" i="1"/>
  <c r="E3010" i="1"/>
  <c r="F3010" i="1" l="1"/>
  <c r="G3010" i="1"/>
  <c r="E3011" i="1"/>
  <c r="F3011" i="1" l="1"/>
  <c r="G3011" i="1"/>
  <c r="E3012" i="1"/>
  <c r="F3012" i="1" l="1"/>
  <c r="G3012" i="1"/>
  <c r="E3013" i="1"/>
  <c r="F3013" i="1" l="1"/>
  <c r="G3013" i="1"/>
  <c r="E3014" i="1"/>
  <c r="F3014" i="1" l="1"/>
  <c r="G3014" i="1"/>
  <c r="E3015" i="1"/>
  <c r="F3015" i="1" l="1"/>
  <c r="G3015" i="1"/>
  <c r="E3016" i="1"/>
  <c r="F3016" i="1" l="1"/>
  <c r="G3016" i="1"/>
  <c r="E3017" i="1"/>
  <c r="F3017" i="1" l="1"/>
  <c r="G3017" i="1"/>
  <c r="E3018" i="1"/>
  <c r="F3018" i="1" l="1"/>
  <c r="G3018" i="1"/>
  <c r="E3019" i="1"/>
  <c r="F3019" i="1" l="1"/>
  <c r="G3019" i="1"/>
  <c r="E3020" i="1"/>
  <c r="F3020" i="1" l="1"/>
  <c r="G3020" i="1"/>
  <c r="E3021" i="1"/>
  <c r="F3021" i="1" l="1"/>
  <c r="G3021" i="1"/>
  <c r="E3022" i="1"/>
  <c r="F3022" i="1" l="1"/>
  <c r="G3022" i="1"/>
  <c r="E3023" i="1"/>
  <c r="F3023" i="1" l="1"/>
  <c r="G3023" i="1"/>
  <c r="E3024" i="1"/>
  <c r="F3024" i="1" l="1"/>
  <c r="G3024" i="1"/>
  <c r="E3025" i="1"/>
  <c r="F3025" i="1" l="1"/>
  <c r="G3025" i="1"/>
  <c r="E3026" i="1"/>
  <c r="F3026" i="1" l="1"/>
  <c r="G3026" i="1"/>
  <c r="E3027" i="1"/>
  <c r="F3027" i="1" l="1"/>
  <c r="G3027" i="1"/>
  <c r="E3028" i="1"/>
  <c r="F3028" i="1" l="1"/>
  <c r="G3028" i="1"/>
  <c r="E3029" i="1"/>
  <c r="F3029" i="1" l="1"/>
  <c r="G3029" i="1"/>
  <c r="E3030" i="1"/>
  <c r="F3030" i="1" l="1"/>
  <c r="G3030" i="1"/>
  <c r="E3031" i="1"/>
  <c r="F3031" i="1" l="1"/>
  <c r="G3031" i="1"/>
  <c r="E3032" i="1"/>
  <c r="F3032" i="1" l="1"/>
  <c r="G3032" i="1"/>
  <c r="E3033" i="1"/>
  <c r="F3033" i="1" l="1"/>
  <c r="G3033" i="1"/>
  <c r="E3034" i="1"/>
  <c r="F3034" i="1" l="1"/>
  <c r="G3034" i="1"/>
  <c r="E3035" i="1"/>
  <c r="F3035" i="1" l="1"/>
  <c r="G3035" i="1"/>
  <c r="E3036" i="1"/>
  <c r="F3036" i="1" l="1"/>
  <c r="G3036" i="1"/>
  <c r="E3037" i="1"/>
  <c r="F3037" i="1" l="1"/>
  <c r="G3037" i="1"/>
  <c r="E3038" i="1"/>
  <c r="F3038" i="1" l="1"/>
  <c r="G3038" i="1"/>
  <c r="E3039" i="1"/>
  <c r="F3039" i="1" l="1"/>
  <c r="G3039" i="1"/>
  <c r="E3040" i="1"/>
  <c r="F3040" i="1" l="1"/>
  <c r="G3040" i="1"/>
  <c r="E3041" i="1"/>
  <c r="F3041" i="1" l="1"/>
  <c r="G3041" i="1"/>
  <c r="E3042" i="1"/>
  <c r="F3042" i="1" l="1"/>
  <c r="G3042" i="1"/>
  <c r="E3043" i="1"/>
  <c r="F3043" i="1" l="1"/>
  <c r="G3043" i="1"/>
  <c r="E3044" i="1"/>
  <c r="F3044" i="1" l="1"/>
  <c r="G3044" i="1"/>
  <c r="E3045" i="1"/>
  <c r="F3045" i="1" l="1"/>
  <c r="G3045" i="1"/>
  <c r="E3046" i="1"/>
  <c r="F3046" i="1" l="1"/>
  <c r="G3046" i="1"/>
  <c r="E3047" i="1"/>
  <c r="F3047" i="1" l="1"/>
  <c r="G3047" i="1"/>
  <c r="E3048" i="1"/>
  <c r="F3048" i="1" l="1"/>
  <c r="G3048" i="1"/>
  <c r="E3049" i="1"/>
  <c r="F3049" i="1" l="1"/>
  <c r="G3049" i="1"/>
  <c r="E3050" i="1"/>
  <c r="F3050" i="1" l="1"/>
  <c r="G3050" i="1"/>
  <c r="E3051" i="1"/>
  <c r="F3051" i="1" l="1"/>
  <c r="G3051" i="1"/>
  <c r="E3052" i="1"/>
  <c r="F3052" i="1" l="1"/>
  <c r="G3052" i="1"/>
  <c r="E3053" i="1"/>
  <c r="F3053" i="1" l="1"/>
  <c r="G3053" i="1"/>
  <c r="E3054" i="1"/>
  <c r="F3054" i="1" l="1"/>
  <c r="G3054" i="1"/>
  <c r="E3055" i="1"/>
  <c r="F3055" i="1" l="1"/>
  <c r="G3055" i="1"/>
  <c r="E3056" i="1"/>
  <c r="F3056" i="1" l="1"/>
  <c r="G3056" i="1"/>
  <c r="E3057" i="1"/>
  <c r="F3057" i="1" l="1"/>
  <c r="G3057" i="1"/>
  <c r="E3058" i="1"/>
  <c r="F3058" i="1" l="1"/>
  <c r="G3058" i="1"/>
  <c r="E3059" i="1"/>
  <c r="F3059" i="1" l="1"/>
  <c r="G3059" i="1"/>
  <c r="E3060" i="1"/>
  <c r="F3060" i="1" l="1"/>
  <c r="G3060" i="1"/>
  <c r="E3061" i="1"/>
  <c r="F3061" i="1" l="1"/>
  <c r="G3061" i="1"/>
  <c r="E3062" i="1"/>
  <c r="F3062" i="1" l="1"/>
  <c r="G3062" i="1"/>
  <c r="E3063" i="1"/>
  <c r="F3063" i="1" l="1"/>
  <c r="G3063" i="1"/>
  <c r="E3064" i="1"/>
  <c r="F3064" i="1" l="1"/>
  <c r="G3064" i="1"/>
  <c r="E3065" i="1"/>
  <c r="F3065" i="1" l="1"/>
  <c r="G3065" i="1"/>
  <c r="E3066" i="1"/>
  <c r="F3066" i="1" l="1"/>
  <c r="G3066" i="1"/>
  <c r="E3067" i="1"/>
  <c r="F3067" i="1" l="1"/>
  <c r="G3067" i="1"/>
  <c r="E3068" i="1"/>
  <c r="F3068" i="1" l="1"/>
  <c r="G3068" i="1"/>
  <c r="E3069" i="1"/>
  <c r="F3069" i="1" l="1"/>
  <c r="G3069" i="1"/>
  <c r="E3070" i="1"/>
  <c r="F3070" i="1" l="1"/>
  <c r="G3070" i="1"/>
  <c r="E3071" i="1"/>
  <c r="F3071" i="1" l="1"/>
  <c r="G3071" i="1"/>
  <c r="E3072" i="1"/>
  <c r="F3072" i="1" l="1"/>
  <c r="G3072" i="1"/>
  <c r="E3073" i="1"/>
  <c r="F3073" i="1" l="1"/>
  <c r="G3073" i="1"/>
  <c r="E3074" i="1"/>
  <c r="F3074" i="1" l="1"/>
  <c r="G3074" i="1"/>
  <c r="E3075" i="1"/>
  <c r="F3075" i="1" l="1"/>
  <c r="G3075" i="1"/>
  <c r="E3076" i="1"/>
  <c r="F3076" i="1" l="1"/>
  <c r="G3076" i="1"/>
  <c r="E3077" i="1"/>
  <c r="F3077" i="1" l="1"/>
  <c r="G3077" i="1"/>
  <c r="E3078" i="1"/>
  <c r="F3078" i="1" l="1"/>
  <c r="G3078" i="1"/>
  <c r="E3079" i="1"/>
  <c r="F3079" i="1" l="1"/>
  <c r="G3079" i="1"/>
  <c r="E3080" i="1"/>
  <c r="F3080" i="1" l="1"/>
  <c r="G3080" i="1"/>
  <c r="E3081" i="1"/>
  <c r="F3081" i="1" l="1"/>
  <c r="G3081" i="1"/>
  <c r="E3082" i="1"/>
  <c r="F3082" i="1" l="1"/>
  <c r="G3082" i="1"/>
  <c r="E3083" i="1"/>
  <c r="F3083" i="1" l="1"/>
  <c r="G3083" i="1"/>
  <c r="E3084" i="1"/>
  <c r="F3084" i="1" l="1"/>
  <c r="G3084" i="1"/>
  <c r="E3085" i="1"/>
  <c r="F3085" i="1" l="1"/>
  <c r="G3085" i="1"/>
  <c r="E3086" i="1"/>
  <c r="F3086" i="1" l="1"/>
  <c r="G3086" i="1"/>
  <c r="E3087" i="1"/>
  <c r="F3087" i="1" l="1"/>
  <c r="G3087" i="1"/>
  <c r="E3088" i="1"/>
  <c r="F3088" i="1" l="1"/>
  <c r="G3088" i="1"/>
  <c r="E3089" i="1"/>
  <c r="F3089" i="1" l="1"/>
  <c r="G3089" i="1"/>
  <c r="E3090" i="1"/>
  <c r="F3090" i="1" l="1"/>
  <c r="G3090" i="1"/>
  <c r="E3091" i="1"/>
  <c r="F3091" i="1" l="1"/>
  <c r="G3091" i="1"/>
  <c r="E3092" i="1"/>
  <c r="F3092" i="1" l="1"/>
  <c r="G3092" i="1"/>
  <c r="E3093" i="1"/>
  <c r="F3093" i="1" l="1"/>
  <c r="G3093" i="1"/>
  <c r="E3094" i="1"/>
  <c r="F3094" i="1" l="1"/>
  <c r="G3094" i="1"/>
  <c r="E3095" i="1"/>
  <c r="F3095" i="1" l="1"/>
  <c r="G3095" i="1"/>
  <c r="E3096" i="1"/>
  <c r="F3096" i="1" l="1"/>
  <c r="G3096" i="1"/>
  <c r="E3097" i="1"/>
  <c r="F3097" i="1" l="1"/>
  <c r="G3097" i="1"/>
  <c r="E3098" i="1"/>
  <c r="F3098" i="1" l="1"/>
  <c r="G3098" i="1"/>
  <c r="E3099" i="1"/>
  <c r="F3099" i="1" l="1"/>
  <c r="G3099" i="1"/>
  <c r="E3100" i="1"/>
  <c r="F3100" i="1" l="1"/>
  <c r="G3100" i="1"/>
  <c r="E3101" i="1"/>
  <c r="F3101" i="1" l="1"/>
  <c r="G3101" i="1"/>
  <c r="E3102" i="1"/>
  <c r="F3102" i="1" l="1"/>
  <c r="G3102" i="1"/>
  <c r="E3103" i="1"/>
  <c r="F3103" i="1" l="1"/>
  <c r="G3103" i="1"/>
  <c r="E3104" i="1"/>
  <c r="F3104" i="1" l="1"/>
  <c r="G3104" i="1"/>
  <c r="E3105" i="1"/>
  <c r="F3105" i="1" l="1"/>
  <c r="G3105" i="1"/>
  <c r="E3106" i="1"/>
  <c r="F3106" i="1" l="1"/>
  <c r="G3106" i="1"/>
  <c r="E3107" i="1"/>
  <c r="F3107" i="1" l="1"/>
  <c r="G3107" i="1"/>
  <c r="E3108" i="1"/>
  <c r="F3108" i="1" l="1"/>
  <c r="G3108" i="1"/>
  <c r="E3109" i="1"/>
  <c r="F3109" i="1" l="1"/>
  <c r="G3109" i="1"/>
  <c r="E3110" i="1"/>
  <c r="F3110" i="1" l="1"/>
  <c r="G3110" i="1"/>
  <c r="E3111" i="1"/>
  <c r="F3111" i="1" l="1"/>
  <c r="G3111" i="1"/>
  <c r="E3112" i="1"/>
  <c r="F3112" i="1" l="1"/>
  <c r="G3112" i="1"/>
  <c r="E3113" i="1"/>
  <c r="F3113" i="1" l="1"/>
  <c r="G3113" i="1"/>
  <c r="E3114" i="1"/>
  <c r="F3114" i="1" l="1"/>
  <c r="G3114" i="1"/>
  <c r="E3115" i="1"/>
  <c r="F3115" i="1" l="1"/>
  <c r="G3115" i="1"/>
  <c r="E3116" i="1"/>
  <c r="F3116" i="1" l="1"/>
  <c r="G3116" i="1"/>
  <c r="E3117" i="1"/>
  <c r="F3117" i="1" l="1"/>
  <c r="G3117" i="1"/>
  <c r="E3118" i="1"/>
  <c r="F3118" i="1" l="1"/>
  <c r="G3118" i="1"/>
  <c r="E3119" i="1"/>
  <c r="F3119" i="1" l="1"/>
  <c r="G3119" i="1"/>
  <c r="E3120" i="1"/>
  <c r="F3120" i="1" l="1"/>
  <c r="G3120" i="1"/>
  <c r="E3121" i="1"/>
  <c r="F3121" i="1" l="1"/>
  <c r="G3121" i="1"/>
  <c r="E3122" i="1"/>
  <c r="F3122" i="1" l="1"/>
  <c r="G3122" i="1"/>
  <c r="E3123" i="1"/>
  <c r="F3123" i="1" l="1"/>
  <c r="G3123" i="1"/>
  <c r="E3124" i="1"/>
  <c r="F3124" i="1" l="1"/>
  <c r="G3124" i="1"/>
  <c r="E3125" i="1"/>
  <c r="F3125" i="1" l="1"/>
  <c r="G3125" i="1"/>
  <c r="E3126" i="1"/>
  <c r="F3126" i="1" l="1"/>
  <c r="G3126" i="1"/>
  <c r="E3127" i="1"/>
  <c r="F3127" i="1" l="1"/>
  <c r="G3127" i="1"/>
  <c r="E3128" i="1"/>
  <c r="F3128" i="1" l="1"/>
  <c r="G3128" i="1"/>
  <c r="E3129" i="1"/>
  <c r="F3129" i="1" l="1"/>
  <c r="G3129" i="1"/>
  <c r="E3130" i="1"/>
  <c r="F3130" i="1" l="1"/>
  <c r="G3130" i="1"/>
  <c r="E3131" i="1"/>
  <c r="F3131" i="1" l="1"/>
  <c r="G3131" i="1"/>
  <c r="E3132" i="1"/>
  <c r="F3132" i="1" l="1"/>
  <c r="G3132" i="1"/>
  <c r="E3133" i="1"/>
  <c r="F3133" i="1" l="1"/>
  <c r="G3133" i="1"/>
  <c r="E3134" i="1"/>
  <c r="F3134" i="1" l="1"/>
  <c r="G3134" i="1"/>
  <c r="E3135" i="1"/>
  <c r="F3135" i="1" l="1"/>
  <c r="G3135" i="1"/>
  <c r="E3136" i="1"/>
  <c r="F3136" i="1" l="1"/>
  <c r="G3136" i="1"/>
  <c r="E3137" i="1"/>
  <c r="F3137" i="1" l="1"/>
  <c r="G3137" i="1"/>
  <c r="E3138" i="1"/>
  <c r="F3138" i="1" l="1"/>
  <c r="G3138" i="1"/>
  <c r="E3139" i="1"/>
  <c r="F3139" i="1" l="1"/>
  <c r="G3139" i="1"/>
  <c r="E3140" i="1"/>
  <c r="F3140" i="1" l="1"/>
  <c r="G3140" i="1"/>
  <c r="E3141" i="1"/>
  <c r="F3141" i="1" l="1"/>
  <c r="G3141" i="1"/>
  <c r="E3142" i="1"/>
  <c r="F3142" i="1" l="1"/>
  <c r="G3142" i="1"/>
  <c r="E3143" i="1"/>
  <c r="F3143" i="1" l="1"/>
  <c r="G3143" i="1"/>
  <c r="E3144" i="1"/>
  <c r="F3144" i="1" l="1"/>
  <c r="G3144" i="1"/>
  <c r="E3145" i="1"/>
  <c r="F3145" i="1" l="1"/>
  <c r="G3145" i="1"/>
  <c r="E3146" i="1"/>
  <c r="F3146" i="1" l="1"/>
  <c r="G3146" i="1"/>
  <c r="E3147" i="1"/>
  <c r="F3147" i="1" l="1"/>
  <c r="G3147" i="1"/>
  <c r="E3148" i="1"/>
  <c r="F3148" i="1" l="1"/>
  <c r="G3148" i="1"/>
  <c r="E3149" i="1"/>
  <c r="F3149" i="1" l="1"/>
  <c r="G3149" i="1"/>
  <c r="E3150" i="1"/>
  <c r="F3150" i="1" l="1"/>
  <c r="G3150" i="1"/>
  <c r="E3151" i="1"/>
  <c r="F3151" i="1" l="1"/>
  <c r="G3151" i="1"/>
  <c r="E3152" i="1"/>
  <c r="F3152" i="1" l="1"/>
  <c r="G3152" i="1"/>
  <c r="E3153" i="1"/>
  <c r="F3153" i="1" l="1"/>
  <c r="G3153" i="1"/>
  <c r="E3154" i="1"/>
  <c r="F3154" i="1" l="1"/>
  <c r="G3154" i="1"/>
  <c r="E3155" i="1"/>
  <c r="F3155" i="1" l="1"/>
  <c r="G3155" i="1"/>
  <c r="E3156" i="1"/>
  <c r="F3156" i="1" l="1"/>
  <c r="G3156" i="1"/>
  <c r="E3157" i="1"/>
  <c r="F3157" i="1" l="1"/>
  <c r="G3157" i="1"/>
  <c r="E3158" i="1"/>
  <c r="F3158" i="1" l="1"/>
  <c r="G3158" i="1"/>
  <c r="E3159" i="1"/>
  <c r="F3159" i="1" l="1"/>
  <c r="G3159" i="1"/>
  <c r="E3160" i="1"/>
  <c r="F3160" i="1" l="1"/>
  <c r="G3160" i="1"/>
  <c r="E3161" i="1"/>
  <c r="F3161" i="1" l="1"/>
  <c r="G3161" i="1"/>
  <c r="E3162" i="1"/>
  <c r="F3162" i="1" l="1"/>
  <c r="G3162" i="1"/>
  <c r="E3163" i="1"/>
  <c r="F3163" i="1" l="1"/>
  <c r="G3163" i="1"/>
  <c r="E3164" i="1"/>
  <c r="F3164" i="1" l="1"/>
  <c r="G3164" i="1"/>
  <c r="E3165" i="1"/>
  <c r="F3165" i="1" l="1"/>
  <c r="G3165" i="1"/>
  <c r="E3166" i="1"/>
  <c r="F3166" i="1" l="1"/>
  <c r="G3166" i="1"/>
  <c r="E3167" i="1"/>
  <c r="F3167" i="1" l="1"/>
  <c r="G3167" i="1"/>
  <c r="E3168" i="1"/>
  <c r="F3168" i="1" l="1"/>
  <c r="G3168" i="1"/>
  <c r="E3169" i="1"/>
  <c r="F3169" i="1" l="1"/>
  <c r="G3169" i="1"/>
  <c r="E3170" i="1"/>
  <c r="F3170" i="1" l="1"/>
  <c r="G3170" i="1"/>
  <c r="E3171" i="1"/>
  <c r="F3171" i="1" l="1"/>
  <c r="G3171" i="1"/>
  <c r="E3172" i="1"/>
  <c r="F3172" i="1" l="1"/>
  <c r="G3172" i="1"/>
  <c r="E3173" i="1"/>
  <c r="F3173" i="1" l="1"/>
  <c r="G3173" i="1"/>
  <c r="E3174" i="1"/>
  <c r="F3174" i="1" l="1"/>
  <c r="G3174" i="1"/>
  <c r="E3175" i="1"/>
  <c r="F3175" i="1" l="1"/>
  <c r="G3175" i="1"/>
  <c r="E3176" i="1"/>
  <c r="F3176" i="1" l="1"/>
  <c r="G3176" i="1"/>
  <c r="E3177" i="1"/>
  <c r="F3177" i="1" l="1"/>
  <c r="G3177" i="1"/>
  <c r="E3178" i="1"/>
  <c r="F3178" i="1" l="1"/>
  <c r="G3178" i="1"/>
  <c r="E3179" i="1"/>
  <c r="F3179" i="1" l="1"/>
  <c r="G3179" i="1"/>
  <c r="E3180" i="1"/>
  <c r="F3180" i="1" l="1"/>
  <c r="G3180" i="1"/>
  <c r="E3181" i="1"/>
  <c r="F3181" i="1" l="1"/>
  <c r="G3181" i="1"/>
  <c r="E3182" i="1"/>
  <c r="F3182" i="1" l="1"/>
  <c r="G3182" i="1"/>
  <c r="E3183" i="1"/>
  <c r="F3183" i="1" l="1"/>
  <c r="G3183" i="1"/>
  <c r="E3184" i="1"/>
  <c r="F3184" i="1" l="1"/>
  <c r="G3184" i="1"/>
  <c r="E3185" i="1"/>
  <c r="F3185" i="1" l="1"/>
  <c r="G3185" i="1"/>
  <c r="E3186" i="1"/>
  <c r="F3186" i="1" l="1"/>
  <c r="G3186" i="1"/>
  <c r="E3187" i="1"/>
  <c r="F3187" i="1" l="1"/>
  <c r="G3187" i="1"/>
  <c r="E3188" i="1"/>
  <c r="F3188" i="1" l="1"/>
  <c r="G3188" i="1"/>
  <c r="E3189" i="1"/>
  <c r="F3189" i="1" l="1"/>
  <c r="G3189" i="1"/>
  <c r="E3190" i="1"/>
  <c r="F3190" i="1" l="1"/>
  <c r="G3190" i="1"/>
  <c r="E3191" i="1"/>
  <c r="F3191" i="1" l="1"/>
  <c r="G3191" i="1"/>
  <c r="E3192" i="1"/>
  <c r="F3192" i="1" l="1"/>
  <c r="G3192" i="1"/>
  <c r="E3193" i="1"/>
  <c r="F3193" i="1" l="1"/>
  <c r="G3193" i="1"/>
  <c r="E3194" i="1"/>
  <c r="F3194" i="1" l="1"/>
  <c r="G3194" i="1"/>
  <c r="E3195" i="1"/>
  <c r="F3195" i="1" l="1"/>
  <c r="G3195" i="1"/>
  <c r="E3196" i="1"/>
  <c r="F3196" i="1" l="1"/>
  <c r="G3196" i="1"/>
  <c r="E3197" i="1"/>
  <c r="F3197" i="1" l="1"/>
  <c r="G3197" i="1"/>
  <c r="E3198" i="1"/>
  <c r="F3198" i="1" l="1"/>
  <c r="G3198" i="1"/>
  <c r="E3199" i="1"/>
  <c r="F3199" i="1" l="1"/>
  <c r="G3199" i="1"/>
  <c r="E3200" i="1"/>
  <c r="F3200" i="1" l="1"/>
  <c r="G3200" i="1"/>
  <c r="E3201" i="1"/>
  <c r="F3201" i="1" l="1"/>
  <c r="G3201" i="1"/>
  <c r="E3202" i="1"/>
  <c r="F3202" i="1" l="1"/>
  <c r="G3202" i="1"/>
  <c r="E3203" i="1"/>
  <c r="F3203" i="1" l="1"/>
  <c r="G3203" i="1"/>
  <c r="E3204" i="1"/>
  <c r="F3204" i="1" l="1"/>
  <c r="G3204" i="1"/>
  <c r="E3205" i="1"/>
  <c r="F3205" i="1" l="1"/>
  <c r="G3205" i="1"/>
  <c r="E3206" i="1"/>
  <c r="F3206" i="1" l="1"/>
  <c r="G3206" i="1"/>
  <c r="E3207" i="1"/>
  <c r="F3207" i="1" l="1"/>
  <c r="G3207" i="1"/>
  <c r="E3208" i="1"/>
  <c r="F3208" i="1" l="1"/>
  <c r="G3208" i="1"/>
  <c r="E3209" i="1"/>
  <c r="F3209" i="1" l="1"/>
  <c r="G3209" i="1"/>
  <c r="E3210" i="1"/>
  <c r="F3210" i="1" l="1"/>
  <c r="G3210" i="1"/>
  <c r="E3211" i="1"/>
  <c r="F3211" i="1" l="1"/>
  <c r="G3211" i="1"/>
  <c r="E3212" i="1"/>
  <c r="F3212" i="1" l="1"/>
  <c r="G3212" i="1"/>
  <c r="E3213" i="1"/>
  <c r="F3213" i="1" l="1"/>
  <c r="G3213" i="1"/>
  <c r="E3214" i="1"/>
  <c r="F3214" i="1" l="1"/>
  <c r="G3214" i="1"/>
  <c r="E3215" i="1"/>
  <c r="F3215" i="1" l="1"/>
  <c r="G3215" i="1"/>
  <c r="E3216" i="1"/>
  <c r="F3216" i="1" l="1"/>
  <c r="G3216" i="1"/>
  <c r="E3217" i="1"/>
  <c r="F3217" i="1" l="1"/>
  <c r="G3217" i="1"/>
  <c r="E3218" i="1"/>
  <c r="F3218" i="1" l="1"/>
  <c r="G3218" i="1"/>
  <c r="E3219" i="1"/>
  <c r="F3219" i="1" l="1"/>
  <c r="G3219" i="1"/>
  <c r="E3220" i="1"/>
  <c r="F3220" i="1" l="1"/>
  <c r="G3220" i="1"/>
  <c r="E3221" i="1"/>
  <c r="F3221" i="1" l="1"/>
  <c r="G3221" i="1"/>
  <c r="E3222" i="1"/>
  <c r="F3222" i="1" l="1"/>
  <c r="G3222" i="1"/>
  <c r="E3223" i="1"/>
  <c r="F3223" i="1" l="1"/>
  <c r="G3223" i="1"/>
  <c r="E3224" i="1"/>
  <c r="F3224" i="1" l="1"/>
  <c r="G3224" i="1"/>
  <c r="E3225" i="1"/>
  <c r="F3225" i="1" l="1"/>
  <c r="G3225" i="1"/>
  <c r="E3226" i="1"/>
  <c r="F3226" i="1" l="1"/>
  <c r="G3226" i="1"/>
  <c r="E3227" i="1"/>
  <c r="F3227" i="1" l="1"/>
  <c r="G3227" i="1"/>
  <c r="E3228" i="1"/>
  <c r="F3228" i="1" l="1"/>
  <c r="G3228" i="1"/>
  <c r="E3229" i="1"/>
  <c r="F3229" i="1" l="1"/>
  <c r="G3229" i="1"/>
  <c r="E3230" i="1"/>
  <c r="F3230" i="1" l="1"/>
  <c r="G3230" i="1"/>
  <c r="E3231" i="1"/>
  <c r="F3231" i="1" l="1"/>
  <c r="G3231" i="1"/>
  <c r="E3232" i="1"/>
  <c r="F3232" i="1" l="1"/>
  <c r="G3232" i="1"/>
  <c r="E3233" i="1"/>
  <c r="F3233" i="1" l="1"/>
  <c r="G3233" i="1"/>
  <c r="E3234" i="1"/>
  <c r="F3234" i="1" l="1"/>
  <c r="G3234" i="1"/>
  <c r="E3235" i="1"/>
  <c r="F3235" i="1" l="1"/>
  <c r="G3235" i="1"/>
  <c r="E3236" i="1"/>
  <c r="F3236" i="1" l="1"/>
  <c r="G3236" i="1"/>
  <c r="E3237" i="1"/>
  <c r="F3237" i="1" l="1"/>
  <c r="G3237" i="1"/>
  <c r="E3238" i="1"/>
  <c r="F3238" i="1" l="1"/>
  <c r="G3238" i="1"/>
  <c r="E3239" i="1"/>
  <c r="F3239" i="1" l="1"/>
  <c r="G3239" i="1"/>
  <c r="E3240" i="1"/>
  <c r="F3240" i="1" l="1"/>
  <c r="G3240" i="1"/>
  <c r="E3241" i="1"/>
  <c r="F3241" i="1" l="1"/>
  <c r="G3241" i="1"/>
  <c r="E3242" i="1"/>
  <c r="F3242" i="1" l="1"/>
  <c r="G3242" i="1"/>
  <c r="E3243" i="1"/>
  <c r="F3243" i="1" l="1"/>
  <c r="G3243" i="1"/>
  <c r="E3244" i="1"/>
  <c r="F3244" i="1" l="1"/>
  <c r="G3244" i="1"/>
  <c r="E3245" i="1"/>
  <c r="F3245" i="1" l="1"/>
  <c r="G3245" i="1"/>
  <c r="E3246" i="1"/>
  <c r="F3246" i="1" l="1"/>
  <c r="G3246" i="1"/>
  <c r="E3247" i="1"/>
  <c r="F3247" i="1" l="1"/>
  <c r="G3247" i="1"/>
  <c r="E3248" i="1"/>
  <c r="F3248" i="1" l="1"/>
  <c r="G3248" i="1"/>
  <c r="E3249" i="1"/>
  <c r="F3249" i="1" l="1"/>
  <c r="G3249" i="1"/>
  <c r="E3250" i="1"/>
  <c r="F3250" i="1" l="1"/>
  <c r="G3250" i="1"/>
  <c r="E3251" i="1"/>
  <c r="F3251" i="1" l="1"/>
  <c r="G3251" i="1"/>
  <c r="E3252" i="1"/>
  <c r="F3252" i="1" l="1"/>
  <c r="G3252" i="1"/>
  <c r="E3253" i="1"/>
  <c r="F3253" i="1" l="1"/>
  <c r="G3253" i="1"/>
  <c r="E3254" i="1"/>
  <c r="F3254" i="1" l="1"/>
  <c r="G3254" i="1"/>
  <c r="E3255" i="1"/>
  <c r="F3255" i="1" l="1"/>
  <c r="G3255" i="1"/>
  <c r="E3256" i="1"/>
  <c r="F3256" i="1" l="1"/>
  <c r="G3256" i="1"/>
  <c r="E3257" i="1"/>
  <c r="F3257" i="1" l="1"/>
  <c r="G3257" i="1"/>
  <c r="E3258" i="1"/>
  <c r="F3258" i="1" l="1"/>
  <c r="G3258" i="1"/>
  <c r="E3259" i="1"/>
  <c r="F3259" i="1" l="1"/>
  <c r="G3259" i="1"/>
  <c r="E3260" i="1"/>
  <c r="F3260" i="1" l="1"/>
  <c r="G3260" i="1"/>
  <c r="E3261" i="1"/>
  <c r="F3261" i="1" l="1"/>
  <c r="G3261" i="1"/>
  <c r="E3262" i="1"/>
  <c r="F3262" i="1" l="1"/>
  <c r="G3262" i="1"/>
  <c r="E3263" i="1"/>
  <c r="F3263" i="1" l="1"/>
  <c r="G3263" i="1"/>
  <c r="E3264" i="1"/>
  <c r="F3264" i="1" l="1"/>
  <c r="G3264" i="1"/>
  <c r="E3265" i="1"/>
  <c r="F3265" i="1" l="1"/>
  <c r="G3265" i="1"/>
  <c r="E3266" i="1"/>
  <c r="F3266" i="1" l="1"/>
  <c r="G3266" i="1"/>
  <c r="E3267" i="1"/>
  <c r="F3267" i="1" l="1"/>
  <c r="G3267" i="1"/>
  <c r="E3268" i="1"/>
  <c r="F3268" i="1" l="1"/>
  <c r="G3268" i="1"/>
  <c r="E3269" i="1"/>
  <c r="F3269" i="1" l="1"/>
  <c r="G3269" i="1"/>
  <c r="E3270" i="1"/>
  <c r="F3270" i="1" l="1"/>
  <c r="G3270" i="1"/>
  <c r="E3271" i="1"/>
  <c r="F3271" i="1" l="1"/>
  <c r="G3271" i="1"/>
  <c r="E3272" i="1"/>
  <c r="F3272" i="1" l="1"/>
  <c r="G3272" i="1"/>
  <c r="E3273" i="1"/>
  <c r="F3273" i="1" l="1"/>
  <c r="G3273" i="1"/>
  <c r="E3274" i="1"/>
  <c r="F3274" i="1" l="1"/>
  <c r="G3274" i="1"/>
  <c r="E3275" i="1"/>
  <c r="F3275" i="1" l="1"/>
  <c r="G3275" i="1"/>
  <c r="E3276" i="1"/>
  <c r="F3276" i="1" l="1"/>
  <c r="G3276" i="1"/>
  <c r="E3277" i="1"/>
  <c r="F3277" i="1" l="1"/>
  <c r="G3277" i="1"/>
  <c r="E3278" i="1"/>
  <c r="F3278" i="1" l="1"/>
  <c r="G3278" i="1"/>
  <c r="E3279" i="1"/>
  <c r="F3279" i="1" l="1"/>
  <c r="G3279" i="1"/>
  <c r="E3280" i="1"/>
  <c r="F3280" i="1" l="1"/>
  <c r="G3280" i="1"/>
  <c r="E3281" i="1"/>
  <c r="F3281" i="1" l="1"/>
  <c r="G3281" i="1"/>
  <c r="E3282" i="1"/>
  <c r="F3282" i="1" l="1"/>
  <c r="G3282" i="1"/>
  <c r="E3283" i="1"/>
  <c r="F3283" i="1" l="1"/>
  <c r="G3283" i="1"/>
  <c r="E3284" i="1"/>
  <c r="F3284" i="1" l="1"/>
  <c r="G3284" i="1"/>
  <c r="E3285" i="1"/>
  <c r="F3285" i="1" l="1"/>
  <c r="G3285" i="1"/>
  <c r="E3286" i="1"/>
  <c r="F3286" i="1" l="1"/>
  <c r="G3286" i="1"/>
  <c r="E3287" i="1"/>
  <c r="F3287" i="1" l="1"/>
  <c r="G3287" i="1"/>
  <c r="E3288" i="1"/>
  <c r="F3288" i="1" l="1"/>
  <c r="G3288" i="1"/>
  <c r="E3289" i="1"/>
  <c r="F3289" i="1" l="1"/>
  <c r="G3289" i="1"/>
  <c r="E3290" i="1"/>
  <c r="F3290" i="1" l="1"/>
  <c r="G3290" i="1"/>
  <c r="E3291" i="1"/>
  <c r="F3291" i="1" l="1"/>
  <c r="G3291" i="1"/>
  <c r="E3292" i="1"/>
  <c r="F3292" i="1" l="1"/>
  <c r="G3292" i="1"/>
  <c r="E3293" i="1"/>
  <c r="F3293" i="1" l="1"/>
  <c r="G3293" i="1"/>
  <c r="E3294" i="1"/>
  <c r="F3294" i="1" l="1"/>
  <c r="G3294" i="1"/>
  <c r="E3295" i="1"/>
  <c r="F3295" i="1" l="1"/>
  <c r="G3295" i="1"/>
  <c r="E3296" i="1"/>
  <c r="F3296" i="1" l="1"/>
  <c r="G3296" i="1"/>
  <c r="E3297" i="1"/>
  <c r="F3297" i="1" l="1"/>
  <c r="G3297" i="1"/>
  <c r="E3298" i="1"/>
  <c r="F3298" i="1" l="1"/>
  <c r="G3298" i="1"/>
  <c r="E3299" i="1"/>
  <c r="F3299" i="1" l="1"/>
  <c r="G3299" i="1"/>
  <c r="E3300" i="1"/>
  <c r="F3300" i="1" l="1"/>
  <c r="G3300" i="1"/>
  <c r="E3301" i="1"/>
  <c r="F3301" i="1" l="1"/>
  <c r="G3301" i="1"/>
  <c r="E3302" i="1"/>
  <c r="F3302" i="1" l="1"/>
  <c r="G3302" i="1"/>
  <c r="E3303" i="1"/>
  <c r="F3303" i="1" l="1"/>
  <c r="G3303" i="1"/>
  <c r="E3304" i="1"/>
  <c r="F3304" i="1" l="1"/>
  <c r="G3304" i="1"/>
  <c r="E3305" i="1"/>
  <c r="F3305" i="1" l="1"/>
  <c r="G3305" i="1"/>
  <c r="E3306" i="1"/>
  <c r="F3306" i="1" l="1"/>
  <c r="G3306" i="1"/>
  <c r="E3307" i="1"/>
  <c r="F3307" i="1" l="1"/>
  <c r="G3307" i="1"/>
  <c r="E3308" i="1"/>
  <c r="F3308" i="1" l="1"/>
  <c r="G3308" i="1"/>
  <c r="E3309" i="1"/>
  <c r="F3309" i="1" l="1"/>
  <c r="G3309" i="1"/>
  <c r="E3310" i="1"/>
  <c r="F3310" i="1" l="1"/>
  <c r="G3310" i="1"/>
  <c r="E3311" i="1"/>
  <c r="F3311" i="1" l="1"/>
  <c r="G3311" i="1"/>
  <c r="E3312" i="1"/>
  <c r="F3312" i="1" l="1"/>
  <c r="G3312" i="1"/>
  <c r="E3313" i="1"/>
  <c r="F3313" i="1" l="1"/>
  <c r="G3313" i="1"/>
  <c r="E3314" i="1"/>
  <c r="F3314" i="1" l="1"/>
  <c r="G3314" i="1"/>
  <c r="E3315" i="1"/>
  <c r="F3315" i="1" l="1"/>
  <c r="G3315" i="1"/>
  <c r="E3316" i="1"/>
  <c r="F3316" i="1" l="1"/>
  <c r="G3316" i="1"/>
  <c r="E3317" i="1"/>
  <c r="F3317" i="1" l="1"/>
  <c r="G3317" i="1"/>
  <c r="E3318" i="1"/>
  <c r="F3318" i="1" l="1"/>
  <c r="G3318" i="1"/>
  <c r="E3319" i="1"/>
  <c r="F3319" i="1" l="1"/>
  <c r="G3319" i="1"/>
  <c r="E3320" i="1"/>
  <c r="F3320" i="1" l="1"/>
  <c r="G3320" i="1"/>
  <c r="E3321" i="1"/>
  <c r="F3321" i="1" l="1"/>
  <c r="G3321" i="1"/>
  <c r="E3322" i="1"/>
  <c r="F3322" i="1" l="1"/>
  <c r="G3322" i="1"/>
  <c r="E3323" i="1"/>
  <c r="F3323" i="1" l="1"/>
  <c r="G3323" i="1"/>
  <c r="E3324" i="1"/>
  <c r="F3324" i="1" l="1"/>
  <c r="G3324" i="1"/>
  <c r="E3325" i="1"/>
  <c r="F3325" i="1" l="1"/>
  <c r="G3325" i="1"/>
  <c r="E3326" i="1"/>
  <c r="F3326" i="1" l="1"/>
  <c r="G3326" i="1"/>
  <c r="E3327" i="1"/>
  <c r="F3327" i="1" l="1"/>
  <c r="G3327" i="1"/>
  <c r="E3328" i="1"/>
  <c r="F3328" i="1" l="1"/>
  <c r="G3328" i="1"/>
  <c r="E3329" i="1"/>
  <c r="F3329" i="1" l="1"/>
  <c r="G3329" i="1"/>
  <c r="E3330" i="1"/>
  <c r="F3330" i="1" l="1"/>
  <c r="G3330" i="1"/>
  <c r="E3331" i="1"/>
  <c r="F3331" i="1" l="1"/>
  <c r="G3331" i="1"/>
  <c r="E3332" i="1"/>
  <c r="F3332" i="1" l="1"/>
  <c r="G3332" i="1"/>
  <c r="E3333" i="1"/>
  <c r="F3333" i="1" l="1"/>
  <c r="G3333" i="1"/>
  <c r="E3334" i="1"/>
  <c r="F3334" i="1" l="1"/>
  <c r="G3334" i="1"/>
  <c r="E3335" i="1"/>
  <c r="F3335" i="1" l="1"/>
  <c r="G3335" i="1"/>
  <c r="E3336" i="1"/>
  <c r="F3336" i="1" l="1"/>
  <c r="G3336" i="1"/>
  <c r="E3337" i="1"/>
  <c r="F3337" i="1" l="1"/>
  <c r="G3337" i="1"/>
  <c r="E3338" i="1"/>
  <c r="F3338" i="1" l="1"/>
  <c r="G3338" i="1"/>
  <c r="E3339" i="1"/>
  <c r="F3339" i="1" l="1"/>
  <c r="G3339" i="1"/>
  <c r="E3340" i="1"/>
  <c r="F3340" i="1" l="1"/>
  <c r="G3340" i="1"/>
  <c r="E3341" i="1"/>
  <c r="F3341" i="1" l="1"/>
  <c r="G3341" i="1"/>
  <c r="E3342" i="1"/>
  <c r="F3342" i="1" l="1"/>
  <c r="G3342" i="1"/>
  <c r="E3343" i="1"/>
  <c r="F3343" i="1" l="1"/>
  <c r="G3343" i="1"/>
  <c r="E3344" i="1"/>
  <c r="F3344" i="1" l="1"/>
  <c r="G3344" i="1"/>
  <c r="E3345" i="1"/>
  <c r="F3345" i="1" l="1"/>
  <c r="G3345" i="1"/>
  <c r="E3346" i="1"/>
  <c r="F3346" i="1" l="1"/>
  <c r="G3346" i="1"/>
  <c r="E3347" i="1"/>
  <c r="F3347" i="1" l="1"/>
  <c r="G3347" i="1"/>
  <c r="E3348" i="1"/>
  <c r="F3348" i="1" l="1"/>
  <c r="G3348" i="1"/>
  <c r="E3349" i="1"/>
  <c r="F3349" i="1" l="1"/>
  <c r="G3349" i="1"/>
  <c r="E3350" i="1"/>
  <c r="F3350" i="1" l="1"/>
  <c r="G3350" i="1"/>
  <c r="E3351" i="1"/>
  <c r="F3351" i="1" l="1"/>
  <c r="G3351" i="1"/>
  <c r="E3352" i="1"/>
  <c r="F3352" i="1" l="1"/>
  <c r="G3352" i="1"/>
  <c r="E3353" i="1"/>
  <c r="F3353" i="1" l="1"/>
  <c r="G3353" i="1"/>
  <c r="E3354" i="1"/>
  <c r="F3354" i="1" l="1"/>
  <c r="G3354" i="1"/>
  <c r="E3355" i="1"/>
  <c r="F3355" i="1" l="1"/>
  <c r="G3355" i="1"/>
  <c r="E3356" i="1"/>
  <c r="F3356" i="1" l="1"/>
  <c r="G3356" i="1"/>
  <c r="E3357" i="1"/>
  <c r="F3357" i="1" l="1"/>
  <c r="G3357" i="1"/>
  <c r="E3358" i="1"/>
  <c r="F3358" i="1" l="1"/>
  <c r="G3358" i="1"/>
  <c r="E3359" i="1"/>
  <c r="F3359" i="1" l="1"/>
  <c r="G3359" i="1"/>
  <c r="E3360" i="1"/>
  <c r="F3360" i="1" l="1"/>
  <c r="G3360" i="1"/>
  <c r="E3361" i="1"/>
  <c r="F3361" i="1" l="1"/>
  <c r="G3361" i="1"/>
  <c r="E3362" i="1"/>
  <c r="F3362" i="1" l="1"/>
  <c r="G3362" i="1"/>
  <c r="E3363" i="1"/>
  <c r="F3363" i="1" l="1"/>
  <c r="G3363" i="1"/>
  <c r="E3364" i="1"/>
  <c r="F3364" i="1" l="1"/>
  <c r="G3364" i="1"/>
  <c r="E3365" i="1"/>
  <c r="F3365" i="1" l="1"/>
  <c r="G3365" i="1"/>
  <c r="E3366" i="1"/>
  <c r="F3366" i="1" l="1"/>
  <c r="G3366" i="1"/>
  <c r="E3367" i="1"/>
  <c r="F3367" i="1" l="1"/>
  <c r="G3367" i="1"/>
  <c r="E3368" i="1"/>
  <c r="F3368" i="1" l="1"/>
  <c r="G3368" i="1"/>
  <c r="E3369" i="1"/>
  <c r="F3369" i="1" l="1"/>
  <c r="G3369" i="1"/>
  <c r="E3370" i="1"/>
  <c r="F3370" i="1" l="1"/>
  <c r="G3370" i="1"/>
  <c r="E3371" i="1"/>
  <c r="F3371" i="1" l="1"/>
  <c r="G3371" i="1"/>
  <c r="E3372" i="1"/>
  <c r="F3372" i="1" l="1"/>
  <c r="G3372" i="1"/>
  <c r="E3373" i="1"/>
  <c r="F3373" i="1" l="1"/>
  <c r="G3373" i="1"/>
  <c r="E3374" i="1"/>
  <c r="F3374" i="1" l="1"/>
  <c r="G3374" i="1"/>
  <c r="E3375" i="1"/>
  <c r="F3375" i="1" l="1"/>
  <c r="G3375" i="1"/>
  <c r="E3376" i="1"/>
  <c r="F3376" i="1" l="1"/>
  <c r="G3376" i="1"/>
  <c r="E3377" i="1"/>
  <c r="F3377" i="1" l="1"/>
  <c r="G3377" i="1"/>
  <c r="E3378" i="1"/>
  <c r="F3378" i="1" l="1"/>
  <c r="G3378" i="1"/>
  <c r="E3379" i="1"/>
  <c r="F3379" i="1" l="1"/>
  <c r="G3379" i="1"/>
  <c r="E3380" i="1"/>
  <c r="F3380" i="1" l="1"/>
  <c r="G3380" i="1"/>
  <c r="E3381" i="1"/>
  <c r="F3381" i="1" l="1"/>
  <c r="G3381" i="1"/>
  <c r="E3382" i="1"/>
  <c r="F3382" i="1" l="1"/>
  <c r="G3382" i="1"/>
  <c r="E3383" i="1"/>
  <c r="F3383" i="1" l="1"/>
  <c r="G3383" i="1"/>
  <c r="E3384" i="1"/>
  <c r="F3384" i="1" l="1"/>
  <c r="G3384" i="1"/>
  <c r="E3385" i="1"/>
  <c r="F3385" i="1" l="1"/>
  <c r="G3385" i="1"/>
  <c r="E3386" i="1"/>
  <c r="F3386" i="1" l="1"/>
  <c r="G3386" i="1"/>
  <c r="E3387" i="1"/>
  <c r="F3387" i="1" l="1"/>
  <c r="G3387" i="1"/>
  <c r="E3388" i="1"/>
  <c r="F3388" i="1" l="1"/>
  <c r="G3388" i="1"/>
  <c r="E3389" i="1"/>
  <c r="F3389" i="1" l="1"/>
  <c r="G3389" i="1"/>
  <c r="E3390" i="1"/>
  <c r="F3390" i="1" l="1"/>
  <c r="G3390" i="1"/>
  <c r="E3391" i="1"/>
  <c r="F3391" i="1" l="1"/>
  <c r="G3391" i="1"/>
  <c r="E3392" i="1"/>
  <c r="F3392" i="1" l="1"/>
  <c r="G3392" i="1"/>
  <c r="E3393" i="1"/>
  <c r="F3393" i="1" l="1"/>
  <c r="G3393" i="1"/>
  <c r="E3394" i="1"/>
  <c r="F3394" i="1" l="1"/>
  <c r="G3394" i="1"/>
  <c r="E3395" i="1"/>
  <c r="F3395" i="1" l="1"/>
  <c r="G3395" i="1"/>
  <c r="E3396" i="1"/>
  <c r="F3396" i="1" l="1"/>
  <c r="G3396" i="1"/>
  <c r="E3397" i="1"/>
  <c r="F3397" i="1" l="1"/>
  <c r="G3397" i="1"/>
  <c r="E3398" i="1"/>
  <c r="F3398" i="1" l="1"/>
  <c r="G3398" i="1"/>
  <c r="E3399" i="1"/>
  <c r="F3399" i="1" l="1"/>
  <c r="G3399" i="1"/>
  <c r="E3400" i="1"/>
  <c r="F3400" i="1" l="1"/>
  <c r="G3400" i="1"/>
  <c r="E3401" i="1"/>
  <c r="F3401" i="1" l="1"/>
  <c r="G3401" i="1"/>
  <c r="E3402" i="1"/>
  <c r="F3402" i="1" l="1"/>
  <c r="G3402" i="1"/>
  <c r="E3403" i="1"/>
  <c r="F3403" i="1" l="1"/>
  <c r="G3403" i="1"/>
  <c r="E3404" i="1"/>
  <c r="F3404" i="1" l="1"/>
  <c r="G3404" i="1"/>
  <c r="E3405" i="1"/>
  <c r="F3405" i="1" l="1"/>
  <c r="G3405" i="1"/>
  <c r="E3406" i="1"/>
  <c r="F3406" i="1" l="1"/>
  <c r="G3406" i="1"/>
  <c r="E3407" i="1"/>
  <c r="F3407" i="1" l="1"/>
  <c r="G3407" i="1"/>
  <c r="E3408" i="1"/>
  <c r="F3408" i="1" l="1"/>
  <c r="G3408" i="1"/>
  <c r="E3409" i="1"/>
  <c r="F3409" i="1" l="1"/>
  <c r="G3409" i="1"/>
  <c r="E3410" i="1"/>
  <c r="F3410" i="1" l="1"/>
  <c r="G3410" i="1"/>
  <c r="E3411" i="1"/>
  <c r="F3411" i="1" l="1"/>
  <c r="G3411" i="1"/>
  <c r="E3412" i="1"/>
  <c r="F3412" i="1" l="1"/>
  <c r="G3412" i="1"/>
  <c r="E3413" i="1"/>
  <c r="F3413" i="1" l="1"/>
  <c r="G3413" i="1"/>
  <c r="E3414" i="1"/>
  <c r="F3414" i="1" l="1"/>
  <c r="G3414" i="1"/>
  <c r="E3415" i="1"/>
  <c r="F3415" i="1" l="1"/>
  <c r="G3415" i="1"/>
  <c r="E3416" i="1"/>
  <c r="F3416" i="1" l="1"/>
  <c r="G3416" i="1"/>
  <c r="E3417" i="1"/>
  <c r="F3417" i="1" l="1"/>
  <c r="G3417" i="1"/>
  <c r="E3418" i="1"/>
  <c r="F3418" i="1" l="1"/>
  <c r="G3418" i="1"/>
  <c r="E3419" i="1"/>
  <c r="F3419" i="1" l="1"/>
  <c r="G3419" i="1"/>
  <c r="E3420" i="1"/>
  <c r="F3420" i="1" l="1"/>
  <c r="G3420" i="1"/>
  <c r="E3421" i="1"/>
  <c r="F3421" i="1" l="1"/>
  <c r="G3421" i="1"/>
  <c r="E3422" i="1"/>
  <c r="F3422" i="1" l="1"/>
  <c r="G3422" i="1"/>
  <c r="E3423" i="1"/>
  <c r="F3423" i="1" l="1"/>
  <c r="G3423" i="1"/>
  <c r="E3424" i="1"/>
  <c r="F3424" i="1" l="1"/>
  <c r="G3424" i="1"/>
  <c r="E3425" i="1"/>
  <c r="F3425" i="1" l="1"/>
  <c r="G3425" i="1"/>
  <c r="E3426" i="1"/>
  <c r="F3426" i="1" l="1"/>
  <c r="G3426" i="1"/>
  <c r="E3427" i="1"/>
  <c r="F3427" i="1" l="1"/>
  <c r="G3427" i="1"/>
  <c r="E3428" i="1"/>
  <c r="F3428" i="1" l="1"/>
  <c r="G3428" i="1"/>
  <c r="E3429" i="1"/>
  <c r="F3429" i="1" l="1"/>
  <c r="G3429" i="1"/>
  <c r="E3430" i="1"/>
  <c r="F3430" i="1" l="1"/>
  <c r="G3430" i="1"/>
  <c r="E3431" i="1"/>
  <c r="F3431" i="1" l="1"/>
  <c r="G3431" i="1"/>
  <c r="E3432" i="1"/>
  <c r="F3432" i="1" l="1"/>
  <c r="G3432" i="1"/>
  <c r="E3433" i="1"/>
  <c r="F3433" i="1" l="1"/>
  <c r="G3433" i="1"/>
  <c r="E3434" i="1"/>
  <c r="F3434" i="1" l="1"/>
  <c r="G3434" i="1"/>
  <c r="E3435" i="1"/>
  <c r="F3435" i="1" l="1"/>
  <c r="G3435" i="1"/>
  <c r="E3436" i="1"/>
  <c r="F3436" i="1" l="1"/>
  <c r="G3436" i="1"/>
  <c r="E3437" i="1"/>
  <c r="F3437" i="1" l="1"/>
  <c r="G3437" i="1"/>
  <c r="E3438" i="1"/>
  <c r="F3438" i="1" l="1"/>
  <c r="G3438" i="1"/>
  <c r="E3439" i="1"/>
  <c r="F3439" i="1" l="1"/>
  <c r="G3439" i="1"/>
  <c r="E3440" i="1"/>
  <c r="F3440" i="1" l="1"/>
  <c r="G3440" i="1"/>
  <c r="E3441" i="1"/>
  <c r="F3441" i="1" l="1"/>
  <c r="G3441" i="1"/>
  <c r="E3442" i="1"/>
  <c r="F3442" i="1" l="1"/>
  <c r="G3442" i="1"/>
  <c r="E3443" i="1"/>
  <c r="F3443" i="1" l="1"/>
  <c r="G3443" i="1"/>
  <c r="E3444" i="1"/>
  <c r="F3444" i="1" l="1"/>
  <c r="G3444" i="1"/>
  <c r="E3445" i="1"/>
  <c r="F3445" i="1" l="1"/>
  <c r="G3445" i="1"/>
  <c r="E3446" i="1"/>
  <c r="F3446" i="1" l="1"/>
  <c r="G3446" i="1"/>
  <c r="E3447" i="1"/>
  <c r="F3447" i="1" l="1"/>
  <c r="G3447" i="1"/>
  <c r="E3448" i="1"/>
  <c r="F3448" i="1" l="1"/>
  <c r="G3448" i="1"/>
  <c r="E3449" i="1"/>
  <c r="F3449" i="1" l="1"/>
  <c r="G3449" i="1"/>
  <c r="E3450" i="1"/>
  <c r="F3450" i="1" l="1"/>
  <c r="G3450" i="1"/>
  <c r="E3451" i="1"/>
  <c r="F3451" i="1" l="1"/>
  <c r="G3451" i="1"/>
  <c r="E3452" i="1"/>
  <c r="F3452" i="1" l="1"/>
  <c r="G3452" i="1"/>
  <c r="E3453" i="1"/>
  <c r="F3453" i="1" l="1"/>
  <c r="G3453" i="1"/>
  <c r="E3454" i="1"/>
  <c r="F3454" i="1" l="1"/>
  <c r="G3454" i="1"/>
  <c r="E3455" i="1"/>
  <c r="F3455" i="1" l="1"/>
  <c r="G3455" i="1"/>
  <c r="E3456" i="1"/>
  <c r="F3456" i="1" l="1"/>
  <c r="G3456" i="1"/>
  <c r="E3457" i="1"/>
  <c r="F3457" i="1" l="1"/>
  <c r="G3457" i="1"/>
  <c r="E3458" i="1"/>
  <c r="F3458" i="1" l="1"/>
  <c r="G3458" i="1"/>
  <c r="E3459" i="1"/>
  <c r="F3459" i="1" l="1"/>
  <c r="G3459" i="1"/>
  <c r="E3460" i="1"/>
  <c r="F3460" i="1" l="1"/>
  <c r="G3460" i="1"/>
  <c r="E3461" i="1"/>
  <c r="F3461" i="1" l="1"/>
  <c r="G3461" i="1"/>
  <c r="E3462" i="1"/>
  <c r="F3462" i="1" l="1"/>
  <c r="G3462" i="1"/>
  <c r="E3463" i="1"/>
  <c r="F3463" i="1" l="1"/>
  <c r="G3463" i="1"/>
  <c r="E3464" i="1"/>
  <c r="F3464" i="1" l="1"/>
  <c r="G3464" i="1"/>
  <c r="E3465" i="1"/>
  <c r="F3465" i="1" l="1"/>
  <c r="G3465" i="1"/>
  <c r="E3466" i="1"/>
  <c r="F3466" i="1" l="1"/>
  <c r="G3466" i="1"/>
  <c r="E3467" i="1"/>
  <c r="F3467" i="1" l="1"/>
  <c r="G3467" i="1"/>
  <c r="E3468" i="1"/>
  <c r="F3468" i="1" l="1"/>
  <c r="G3468" i="1"/>
  <c r="E3469" i="1"/>
  <c r="F3469" i="1" l="1"/>
  <c r="G3469" i="1"/>
  <c r="E3470" i="1"/>
  <c r="F3470" i="1" l="1"/>
  <c r="G3470" i="1"/>
  <c r="E3471" i="1"/>
  <c r="F3471" i="1" l="1"/>
  <c r="G3471" i="1"/>
  <c r="E3472" i="1"/>
  <c r="F3472" i="1" l="1"/>
  <c r="G3472" i="1"/>
  <c r="E3473" i="1"/>
  <c r="F3473" i="1" l="1"/>
  <c r="G3473" i="1"/>
  <c r="E3474" i="1"/>
  <c r="F3474" i="1" l="1"/>
  <c r="G3474" i="1"/>
  <c r="E3475" i="1"/>
  <c r="F3475" i="1" l="1"/>
  <c r="G3475" i="1"/>
  <c r="E3476" i="1"/>
  <c r="F3476" i="1" l="1"/>
  <c r="G3476" i="1"/>
  <c r="E3477" i="1"/>
  <c r="F3477" i="1" l="1"/>
  <c r="G3477" i="1"/>
  <c r="E3478" i="1"/>
  <c r="F3478" i="1" l="1"/>
  <c r="G3478" i="1"/>
  <c r="E3479" i="1"/>
  <c r="F3479" i="1" l="1"/>
  <c r="G3479" i="1"/>
  <c r="E3480" i="1"/>
  <c r="F3480" i="1" l="1"/>
  <c r="G3480" i="1"/>
  <c r="E3481" i="1"/>
  <c r="F3481" i="1" l="1"/>
  <c r="G3481" i="1"/>
  <c r="E3482" i="1"/>
  <c r="F3482" i="1" l="1"/>
  <c r="G3482" i="1"/>
  <c r="E3483" i="1"/>
  <c r="F3483" i="1" l="1"/>
  <c r="G3483" i="1"/>
  <c r="E3484" i="1"/>
  <c r="F3484" i="1" l="1"/>
  <c r="G3484" i="1"/>
  <c r="E3485" i="1"/>
  <c r="F3485" i="1" l="1"/>
  <c r="G3485" i="1"/>
  <c r="E3486" i="1"/>
  <c r="F3486" i="1" l="1"/>
  <c r="G3486" i="1"/>
  <c r="E3487" i="1"/>
  <c r="F3487" i="1" l="1"/>
  <c r="G3487" i="1"/>
  <c r="E3488" i="1"/>
  <c r="F3488" i="1" l="1"/>
  <c r="G3488" i="1"/>
  <c r="E3489" i="1"/>
  <c r="F3489" i="1" l="1"/>
  <c r="G3489" i="1"/>
  <c r="E3490" i="1"/>
  <c r="F3490" i="1" l="1"/>
  <c r="G3490" i="1"/>
  <c r="E3491" i="1"/>
  <c r="F3491" i="1" l="1"/>
  <c r="G3491" i="1"/>
  <c r="E3492" i="1"/>
  <c r="F3492" i="1" l="1"/>
  <c r="G3492" i="1"/>
  <c r="E3493" i="1"/>
  <c r="F3493" i="1" l="1"/>
  <c r="G3493" i="1"/>
  <c r="E3494" i="1"/>
  <c r="F3494" i="1" l="1"/>
  <c r="G3494" i="1"/>
  <c r="E3495" i="1"/>
  <c r="F3495" i="1" l="1"/>
  <c r="G3495" i="1"/>
  <c r="E3496" i="1"/>
  <c r="F3496" i="1" l="1"/>
  <c r="G3496" i="1"/>
  <c r="E3497" i="1"/>
  <c r="F3497" i="1" l="1"/>
  <c r="G3497" i="1"/>
  <c r="E3498" i="1"/>
  <c r="F3498" i="1" l="1"/>
  <c r="G3498" i="1"/>
  <c r="E3499" i="1"/>
  <c r="F3499" i="1" l="1"/>
  <c r="G3499" i="1"/>
  <c r="E3500" i="1"/>
  <c r="F3500" i="1" l="1"/>
  <c r="G3500" i="1"/>
  <c r="E3501" i="1"/>
  <c r="F3501" i="1" l="1"/>
  <c r="G3501" i="1"/>
  <c r="E3502" i="1"/>
  <c r="F3502" i="1" l="1"/>
  <c r="G3502" i="1"/>
  <c r="E3503" i="1"/>
  <c r="F3503" i="1" l="1"/>
  <c r="G3503" i="1"/>
  <c r="E3504" i="1"/>
  <c r="F3504" i="1" l="1"/>
  <c r="G3504" i="1"/>
  <c r="E3505" i="1"/>
  <c r="F3505" i="1" l="1"/>
  <c r="G3505" i="1"/>
  <c r="E3506" i="1"/>
  <c r="F3506" i="1" l="1"/>
  <c r="G3506" i="1"/>
  <c r="E3507" i="1"/>
  <c r="F3507" i="1" l="1"/>
  <c r="G3507" i="1"/>
  <c r="E3508" i="1"/>
  <c r="F3508" i="1" l="1"/>
  <c r="G3508" i="1"/>
  <c r="E3509" i="1"/>
  <c r="F3509" i="1" l="1"/>
  <c r="G3509" i="1"/>
  <c r="E3510" i="1"/>
  <c r="F3510" i="1" l="1"/>
  <c r="G3510" i="1"/>
  <c r="E3511" i="1"/>
  <c r="F3511" i="1" l="1"/>
  <c r="G3511" i="1"/>
  <c r="E3512" i="1"/>
  <c r="F3512" i="1" l="1"/>
  <c r="G3512" i="1"/>
  <c r="E3513" i="1"/>
  <c r="F3513" i="1" l="1"/>
  <c r="G3513" i="1"/>
  <c r="E3514" i="1"/>
  <c r="F3514" i="1" l="1"/>
  <c r="G3514" i="1"/>
  <c r="E3515" i="1"/>
  <c r="F3515" i="1" l="1"/>
  <c r="G3515" i="1"/>
  <c r="E3516" i="1"/>
  <c r="F3516" i="1" l="1"/>
  <c r="G3516" i="1"/>
  <c r="E3517" i="1"/>
  <c r="F3517" i="1" l="1"/>
  <c r="G3517" i="1"/>
  <c r="E3518" i="1"/>
  <c r="F3518" i="1" l="1"/>
  <c r="G3518" i="1"/>
  <c r="E3519" i="1"/>
  <c r="F3519" i="1" l="1"/>
  <c r="G3519" i="1"/>
  <c r="E3520" i="1"/>
  <c r="F3520" i="1" l="1"/>
  <c r="G3520" i="1"/>
  <c r="E3521" i="1"/>
  <c r="F3521" i="1" l="1"/>
  <c r="G3521" i="1"/>
  <c r="E3522" i="1"/>
  <c r="F3522" i="1" l="1"/>
  <c r="G3522" i="1"/>
  <c r="E3523" i="1"/>
  <c r="F3523" i="1" l="1"/>
  <c r="G3523" i="1"/>
  <c r="E3524" i="1"/>
  <c r="F3524" i="1" l="1"/>
  <c r="G3524" i="1"/>
  <c r="E3525" i="1"/>
  <c r="F3525" i="1" l="1"/>
  <c r="G3525" i="1"/>
  <c r="E3526" i="1"/>
  <c r="F3526" i="1" l="1"/>
  <c r="G3526" i="1"/>
  <c r="E3527" i="1"/>
  <c r="F3527" i="1" l="1"/>
  <c r="G3527" i="1"/>
  <c r="E3528" i="1"/>
  <c r="F3528" i="1" l="1"/>
  <c r="G3528" i="1"/>
  <c r="E3529" i="1"/>
  <c r="F3529" i="1" l="1"/>
  <c r="G3529" i="1"/>
  <c r="E3530" i="1"/>
  <c r="F3530" i="1" l="1"/>
  <c r="G3530" i="1"/>
  <c r="E3531" i="1"/>
  <c r="F3531" i="1" l="1"/>
  <c r="G3531" i="1"/>
  <c r="E3532" i="1"/>
  <c r="F3532" i="1" l="1"/>
  <c r="G3532" i="1"/>
  <c r="E3533" i="1"/>
  <c r="F3533" i="1" l="1"/>
  <c r="G3533" i="1"/>
  <c r="E3534" i="1"/>
  <c r="F3534" i="1" l="1"/>
  <c r="G3534" i="1"/>
  <c r="E3535" i="1"/>
  <c r="F3535" i="1" l="1"/>
  <c r="G3535" i="1"/>
  <c r="E3536" i="1"/>
  <c r="F3536" i="1" l="1"/>
  <c r="G3536" i="1"/>
  <c r="E3537" i="1"/>
  <c r="F3537" i="1" l="1"/>
  <c r="G3537" i="1"/>
  <c r="E3538" i="1"/>
  <c r="F3538" i="1" l="1"/>
  <c r="G3538" i="1"/>
  <c r="E3539" i="1"/>
  <c r="F3539" i="1" l="1"/>
  <c r="G3539" i="1"/>
  <c r="E3540" i="1"/>
  <c r="F3540" i="1" l="1"/>
  <c r="G3540" i="1"/>
  <c r="E3541" i="1"/>
  <c r="F3541" i="1" l="1"/>
  <c r="G3541" i="1"/>
  <c r="E3542" i="1"/>
  <c r="F3542" i="1" l="1"/>
  <c r="G3542" i="1"/>
  <c r="E3543" i="1"/>
  <c r="F3543" i="1" l="1"/>
  <c r="G3543" i="1"/>
  <c r="E3544" i="1"/>
  <c r="F3544" i="1" l="1"/>
  <c r="G3544" i="1"/>
  <c r="E3545" i="1"/>
  <c r="F3545" i="1" l="1"/>
  <c r="G3545" i="1"/>
  <c r="E3546" i="1"/>
  <c r="F3546" i="1" l="1"/>
  <c r="G3546" i="1"/>
  <c r="E3547" i="1"/>
  <c r="F3547" i="1" l="1"/>
  <c r="G3547" i="1"/>
  <c r="E3548" i="1"/>
  <c r="F3548" i="1" l="1"/>
  <c r="G3548" i="1"/>
  <c r="E3549" i="1"/>
  <c r="F3549" i="1" l="1"/>
  <c r="G3549" i="1"/>
  <c r="E3550" i="1"/>
  <c r="F3550" i="1" l="1"/>
  <c r="G3550" i="1"/>
  <c r="E3551" i="1"/>
  <c r="F3551" i="1" l="1"/>
  <c r="G3551" i="1"/>
  <c r="E3552" i="1"/>
  <c r="F3552" i="1" l="1"/>
  <c r="G3552" i="1"/>
  <c r="E3553" i="1"/>
  <c r="F3553" i="1" l="1"/>
  <c r="G3553" i="1"/>
  <c r="E3554" i="1"/>
  <c r="F3554" i="1" l="1"/>
  <c r="G3554" i="1"/>
  <c r="E3555" i="1"/>
  <c r="F3555" i="1" l="1"/>
  <c r="G3555" i="1"/>
  <c r="E3556" i="1"/>
  <c r="F3556" i="1" l="1"/>
  <c r="G3556" i="1"/>
  <c r="E3557" i="1"/>
  <c r="F3557" i="1" l="1"/>
  <c r="G3557" i="1"/>
  <c r="E3558" i="1"/>
  <c r="F3558" i="1" l="1"/>
  <c r="G3558" i="1"/>
  <c r="E3559" i="1"/>
  <c r="F3559" i="1" l="1"/>
  <c r="G3559" i="1"/>
  <c r="E3560" i="1"/>
  <c r="F3560" i="1" l="1"/>
  <c r="G3560" i="1"/>
  <c r="E3561" i="1"/>
  <c r="F3561" i="1" l="1"/>
  <c r="G3561" i="1"/>
  <c r="E3562" i="1"/>
  <c r="F3562" i="1" l="1"/>
  <c r="G3562" i="1"/>
  <c r="E3563" i="1"/>
  <c r="F3563" i="1" l="1"/>
  <c r="G3563" i="1"/>
  <c r="E3564" i="1"/>
  <c r="F3564" i="1" l="1"/>
  <c r="G3564" i="1"/>
  <c r="E3565" i="1"/>
  <c r="F3565" i="1" l="1"/>
  <c r="G3565" i="1"/>
  <c r="E3566" i="1"/>
  <c r="F3566" i="1" l="1"/>
  <c r="G3566" i="1"/>
  <c r="E3567" i="1"/>
  <c r="F3567" i="1" l="1"/>
  <c r="G3567" i="1"/>
  <c r="E3568" i="1"/>
  <c r="F3568" i="1" l="1"/>
  <c r="G3568" i="1"/>
  <c r="E3569" i="1"/>
  <c r="F3569" i="1" l="1"/>
  <c r="G3569" i="1"/>
  <c r="E3570" i="1"/>
  <c r="F3570" i="1" l="1"/>
  <c r="G3570" i="1"/>
  <c r="E3571" i="1"/>
  <c r="F3571" i="1" l="1"/>
  <c r="G3571" i="1"/>
  <c r="E3572" i="1"/>
  <c r="F3572" i="1" l="1"/>
  <c r="G3572" i="1"/>
  <c r="E3573" i="1"/>
  <c r="F3573" i="1" l="1"/>
  <c r="G3573" i="1"/>
  <c r="E3574" i="1"/>
  <c r="F3574" i="1" l="1"/>
  <c r="G3574" i="1"/>
  <c r="E3575" i="1"/>
  <c r="F3575" i="1" l="1"/>
  <c r="G3575" i="1"/>
  <c r="E3576" i="1"/>
  <c r="F3576" i="1" l="1"/>
  <c r="G3576" i="1"/>
  <c r="E3577" i="1"/>
  <c r="F3577" i="1" l="1"/>
  <c r="G3577" i="1"/>
  <c r="E3578" i="1"/>
  <c r="F3578" i="1" l="1"/>
  <c r="G3578" i="1"/>
  <c r="E3579" i="1"/>
  <c r="F3579" i="1" l="1"/>
  <c r="G3579" i="1"/>
  <c r="E3580" i="1"/>
  <c r="F3580" i="1" l="1"/>
  <c r="G3580" i="1"/>
  <c r="E3581" i="1"/>
  <c r="F3581" i="1" l="1"/>
  <c r="G3581" i="1"/>
  <c r="E3582" i="1"/>
  <c r="F3582" i="1" l="1"/>
  <c r="G3582" i="1"/>
  <c r="E3583" i="1"/>
  <c r="F3583" i="1" l="1"/>
  <c r="G3583" i="1"/>
  <c r="E3584" i="1"/>
  <c r="F3584" i="1" l="1"/>
  <c r="G3584" i="1"/>
  <c r="E3585" i="1"/>
  <c r="F3585" i="1" l="1"/>
  <c r="G3585" i="1"/>
  <c r="E3586" i="1"/>
  <c r="F3586" i="1" l="1"/>
  <c r="G3586" i="1"/>
  <c r="E3587" i="1"/>
  <c r="F3587" i="1" l="1"/>
  <c r="G3587" i="1"/>
  <c r="E3588" i="1"/>
  <c r="F3588" i="1" l="1"/>
  <c r="G3588" i="1"/>
  <c r="E3589" i="1"/>
  <c r="F3589" i="1" l="1"/>
  <c r="G3589" i="1"/>
  <c r="E3590" i="1"/>
  <c r="F3590" i="1" l="1"/>
  <c r="G3590" i="1"/>
  <c r="E3591" i="1"/>
  <c r="F3591" i="1" l="1"/>
  <c r="G3591" i="1"/>
  <c r="E3592" i="1"/>
  <c r="F3592" i="1" l="1"/>
  <c r="G3592" i="1"/>
  <c r="E3593" i="1"/>
  <c r="F3593" i="1" l="1"/>
  <c r="G3593" i="1"/>
  <c r="E3594" i="1"/>
  <c r="F3594" i="1" l="1"/>
  <c r="G3594" i="1"/>
  <c r="E3595" i="1"/>
  <c r="F3595" i="1" l="1"/>
  <c r="G3595" i="1"/>
  <c r="E3596" i="1"/>
  <c r="F3596" i="1" l="1"/>
  <c r="G3596" i="1"/>
  <c r="E3597" i="1"/>
  <c r="F3597" i="1" l="1"/>
  <c r="G3597" i="1"/>
  <c r="E3598" i="1"/>
  <c r="F3598" i="1" l="1"/>
  <c r="G3598" i="1"/>
  <c r="E3599" i="1"/>
  <c r="F3599" i="1" l="1"/>
  <c r="G3599" i="1"/>
  <c r="E3600" i="1"/>
  <c r="F3600" i="1" l="1"/>
  <c r="G3600" i="1"/>
  <c r="E3601" i="1"/>
  <c r="F3601" i="1" l="1"/>
  <c r="G3601" i="1"/>
  <c r="E3602" i="1"/>
  <c r="F3602" i="1" l="1"/>
  <c r="G3602" i="1"/>
  <c r="E3603" i="1"/>
  <c r="F3603" i="1" l="1"/>
  <c r="G3603" i="1"/>
  <c r="E3604" i="1"/>
  <c r="F3604" i="1" l="1"/>
  <c r="G3604" i="1"/>
  <c r="E3605" i="1"/>
  <c r="F3605" i="1" l="1"/>
  <c r="G3605" i="1"/>
  <c r="E3606" i="1"/>
  <c r="F3606" i="1" l="1"/>
  <c r="G3606" i="1"/>
  <c r="E3607" i="1"/>
  <c r="F3607" i="1" l="1"/>
  <c r="G3607" i="1"/>
  <c r="E3608" i="1"/>
  <c r="F3608" i="1" l="1"/>
  <c r="G3608" i="1"/>
  <c r="E3609" i="1"/>
  <c r="F3609" i="1" l="1"/>
  <c r="G3609" i="1"/>
  <c r="E3610" i="1"/>
  <c r="F3610" i="1" l="1"/>
  <c r="G3610" i="1"/>
  <c r="E3611" i="1"/>
  <c r="F3611" i="1" l="1"/>
  <c r="G3611" i="1"/>
  <c r="E3612" i="1"/>
  <c r="F3612" i="1" l="1"/>
  <c r="G3612" i="1"/>
  <c r="E3613" i="1"/>
  <c r="F3613" i="1" l="1"/>
  <c r="G3613" i="1"/>
  <c r="E3614" i="1"/>
  <c r="F3614" i="1" l="1"/>
  <c r="G3614" i="1"/>
  <c r="E3615" i="1"/>
  <c r="F3615" i="1" l="1"/>
  <c r="G3615" i="1"/>
  <c r="E3616" i="1"/>
  <c r="F3616" i="1" l="1"/>
  <c r="G3616" i="1"/>
  <c r="E3617" i="1"/>
  <c r="F3617" i="1" l="1"/>
  <c r="G3617" i="1"/>
  <c r="E3618" i="1"/>
  <c r="F3618" i="1" l="1"/>
  <c r="G3618" i="1"/>
  <c r="E3619" i="1"/>
  <c r="F3619" i="1" l="1"/>
  <c r="G3619" i="1"/>
  <c r="E3620" i="1"/>
  <c r="F3620" i="1" l="1"/>
  <c r="G3620" i="1"/>
  <c r="E3621" i="1"/>
  <c r="F3621" i="1" l="1"/>
  <c r="G3621" i="1"/>
  <c r="E3622" i="1"/>
  <c r="F3622" i="1" l="1"/>
  <c r="G3622" i="1"/>
  <c r="E3623" i="1"/>
  <c r="F3623" i="1" l="1"/>
  <c r="G3623" i="1"/>
  <c r="E3624" i="1"/>
  <c r="F3624" i="1" l="1"/>
  <c r="G3624" i="1"/>
  <c r="E3625" i="1"/>
  <c r="F3625" i="1" l="1"/>
  <c r="G3625" i="1"/>
  <c r="E3626" i="1"/>
  <c r="F3626" i="1" l="1"/>
  <c r="G3626" i="1"/>
  <c r="E3627" i="1"/>
  <c r="F3627" i="1" l="1"/>
  <c r="G3627" i="1"/>
  <c r="E3628" i="1"/>
  <c r="F3628" i="1" l="1"/>
  <c r="G3628" i="1"/>
  <c r="E3629" i="1"/>
  <c r="F3629" i="1" l="1"/>
  <c r="G3629" i="1"/>
  <c r="E3630" i="1"/>
  <c r="F3630" i="1" l="1"/>
  <c r="G3630" i="1"/>
  <c r="E3631" i="1"/>
  <c r="F3631" i="1" l="1"/>
  <c r="G3631" i="1"/>
  <c r="E3632" i="1"/>
  <c r="F3632" i="1" l="1"/>
  <c r="G3632" i="1"/>
  <c r="E3633" i="1"/>
  <c r="F3633" i="1" l="1"/>
  <c r="G3633" i="1"/>
  <c r="E3634" i="1"/>
  <c r="F3634" i="1" l="1"/>
  <c r="G3634" i="1"/>
  <c r="E3635" i="1"/>
  <c r="F3635" i="1" l="1"/>
  <c r="G3635" i="1"/>
  <c r="E3636" i="1"/>
  <c r="F3636" i="1" l="1"/>
  <c r="G3636" i="1"/>
  <c r="E3637" i="1"/>
  <c r="F3637" i="1" l="1"/>
  <c r="G3637" i="1"/>
  <c r="E3638" i="1"/>
  <c r="F3638" i="1" l="1"/>
  <c r="G3638" i="1"/>
  <c r="E3639" i="1"/>
  <c r="F3639" i="1" l="1"/>
  <c r="G3639" i="1"/>
  <c r="E3640" i="1"/>
  <c r="F3640" i="1" l="1"/>
  <c r="G3640" i="1"/>
  <c r="E3641" i="1"/>
  <c r="F3641" i="1" l="1"/>
  <c r="G3641" i="1"/>
  <c r="E3642" i="1"/>
  <c r="F3642" i="1" l="1"/>
  <c r="G3642" i="1"/>
  <c r="E3643" i="1"/>
  <c r="F3643" i="1" l="1"/>
  <c r="G3643" i="1"/>
  <c r="E3644" i="1"/>
  <c r="F3644" i="1" l="1"/>
  <c r="G3644" i="1"/>
  <c r="E3645" i="1"/>
  <c r="F3645" i="1" l="1"/>
  <c r="G3645" i="1"/>
  <c r="E3646" i="1"/>
  <c r="F3646" i="1" l="1"/>
  <c r="G3646" i="1"/>
  <c r="E3647" i="1"/>
  <c r="F3647" i="1" l="1"/>
  <c r="G3647" i="1"/>
  <c r="E3648" i="1"/>
  <c r="F3648" i="1" l="1"/>
  <c r="G3648" i="1"/>
  <c r="E3649" i="1"/>
  <c r="F3649" i="1" l="1"/>
  <c r="G3649" i="1"/>
  <c r="E3650" i="1"/>
  <c r="F3650" i="1" l="1"/>
  <c r="G3650" i="1"/>
  <c r="E3651" i="1"/>
  <c r="F3651" i="1" l="1"/>
  <c r="G3651" i="1"/>
  <c r="E3652" i="1"/>
  <c r="F3652" i="1" l="1"/>
  <c r="G3652" i="1"/>
  <c r="E3653" i="1"/>
  <c r="F3653" i="1" l="1"/>
  <c r="G3653" i="1"/>
  <c r="E3654" i="1"/>
  <c r="F3654" i="1" l="1"/>
  <c r="G3654" i="1"/>
  <c r="E3655" i="1"/>
  <c r="F3655" i="1" l="1"/>
  <c r="G3655" i="1"/>
  <c r="E3656" i="1"/>
  <c r="F3656" i="1" l="1"/>
  <c r="G3656" i="1"/>
  <c r="E3657" i="1"/>
  <c r="F3657" i="1" l="1"/>
  <c r="G3657" i="1"/>
  <c r="E3658" i="1"/>
  <c r="F3658" i="1" l="1"/>
  <c r="G3658" i="1"/>
  <c r="E3659" i="1"/>
  <c r="F3659" i="1" l="1"/>
  <c r="G3659" i="1"/>
  <c r="E3660" i="1"/>
  <c r="F3660" i="1" l="1"/>
  <c r="G3660" i="1"/>
  <c r="E3661" i="1"/>
  <c r="F3661" i="1" l="1"/>
  <c r="G3661" i="1"/>
  <c r="E3662" i="1"/>
  <c r="F3662" i="1" l="1"/>
  <c r="G3662" i="1"/>
  <c r="E3663" i="1"/>
  <c r="F3663" i="1" l="1"/>
  <c r="G3663" i="1"/>
  <c r="E3664" i="1"/>
  <c r="F3664" i="1" l="1"/>
  <c r="G3664" i="1"/>
  <c r="E3665" i="1"/>
  <c r="F3665" i="1" l="1"/>
  <c r="G3665" i="1"/>
  <c r="E3666" i="1"/>
  <c r="F3666" i="1" l="1"/>
  <c r="G3666" i="1"/>
  <c r="E3667" i="1"/>
  <c r="F3667" i="1" l="1"/>
  <c r="G3667" i="1"/>
  <c r="E3668" i="1"/>
  <c r="F3668" i="1" l="1"/>
  <c r="G3668" i="1"/>
  <c r="E3669" i="1"/>
  <c r="F3669" i="1" l="1"/>
  <c r="G3669" i="1"/>
  <c r="E3670" i="1"/>
  <c r="F3670" i="1" l="1"/>
  <c r="G3670" i="1"/>
  <c r="E3671" i="1"/>
  <c r="F3671" i="1" l="1"/>
  <c r="G3671" i="1"/>
  <c r="E3672" i="1"/>
  <c r="F3672" i="1" l="1"/>
  <c r="G3672" i="1"/>
  <c r="E3673" i="1"/>
  <c r="F3673" i="1" l="1"/>
  <c r="G3673" i="1"/>
  <c r="E3674" i="1"/>
  <c r="F3674" i="1" l="1"/>
  <c r="G3674" i="1"/>
  <c r="E3675" i="1"/>
  <c r="F3675" i="1" l="1"/>
  <c r="G3675" i="1"/>
  <c r="E3676" i="1"/>
  <c r="F3676" i="1" l="1"/>
  <c r="G3676" i="1"/>
  <c r="E3677" i="1"/>
  <c r="F3677" i="1" l="1"/>
  <c r="G3677" i="1"/>
  <c r="E3678" i="1"/>
  <c r="F3678" i="1" l="1"/>
  <c r="G3678" i="1"/>
  <c r="E3679" i="1"/>
  <c r="F3679" i="1" l="1"/>
  <c r="G3679" i="1"/>
  <c r="E3680" i="1"/>
  <c r="F3680" i="1" l="1"/>
  <c r="G3680" i="1"/>
  <c r="E3681" i="1"/>
  <c r="F3681" i="1" l="1"/>
  <c r="G3681" i="1"/>
  <c r="E3682" i="1"/>
  <c r="F3682" i="1" l="1"/>
  <c r="G3682" i="1"/>
  <c r="E3683" i="1"/>
  <c r="F3683" i="1" l="1"/>
  <c r="G3683" i="1"/>
  <c r="E3684" i="1"/>
  <c r="F3684" i="1" l="1"/>
  <c r="G3684" i="1"/>
  <c r="E3685" i="1"/>
  <c r="F3685" i="1" l="1"/>
  <c r="G3685" i="1"/>
  <c r="E3686" i="1"/>
  <c r="F3686" i="1" l="1"/>
  <c r="G3686" i="1"/>
  <c r="E3687" i="1"/>
  <c r="F3687" i="1" l="1"/>
  <c r="G3687" i="1"/>
  <c r="E3688" i="1"/>
  <c r="F3688" i="1" l="1"/>
  <c r="G3688" i="1"/>
  <c r="E3689" i="1"/>
  <c r="F3689" i="1" l="1"/>
  <c r="G3689" i="1"/>
  <c r="E3690" i="1"/>
  <c r="F3690" i="1" l="1"/>
  <c r="G3690" i="1"/>
  <c r="E3691" i="1"/>
  <c r="F3691" i="1" l="1"/>
  <c r="G3691" i="1"/>
  <c r="E3692" i="1"/>
  <c r="F3692" i="1" l="1"/>
  <c r="G3692" i="1"/>
  <c r="E3693" i="1"/>
  <c r="F3693" i="1" l="1"/>
  <c r="G3693" i="1"/>
  <c r="E3694" i="1"/>
  <c r="F3694" i="1" l="1"/>
  <c r="G3694" i="1"/>
  <c r="E3695" i="1"/>
  <c r="F3695" i="1" l="1"/>
  <c r="G3695" i="1"/>
  <c r="E3696" i="1"/>
  <c r="F3696" i="1" l="1"/>
  <c r="G3696" i="1"/>
  <c r="E3697" i="1"/>
  <c r="F3697" i="1" l="1"/>
  <c r="G3697" i="1"/>
  <c r="E3698" i="1"/>
  <c r="F3698" i="1" l="1"/>
  <c r="G3698" i="1"/>
  <c r="E3699" i="1"/>
  <c r="F3699" i="1" l="1"/>
  <c r="G3699" i="1"/>
  <c r="E3700" i="1"/>
  <c r="F3700" i="1" l="1"/>
  <c r="G3700" i="1"/>
  <c r="E3701" i="1"/>
  <c r="F3701" i="1" l="1"/>
  <c r="G3701" i="1"/>
  <c r="E3702" i="1"/>
  <c r="F3702" i="1" l="1"/>
  <c r="G3702" i="1"/>
  <c r="E3703" i="1"/>
  <c r="F3703" i="1" l="1"/>
  <c r="G3703" i="1"/>
  <c r="E3704" i="1"/>
  <c r="F3704" i="1" l="1"/>
  <c r="G3704" i="1"/>
  <c r="E3705" i="1"/>
  <c r="F3705" i="1" l="1"/>
  <c r="G3705" i="1"/>
  <c r="E3706" i="1"/>
  <c r="F3706" i="1" l="1"/>
  <c r="G3706" i="1"/>
  <c r="E3707" i="1"/>
  <c r="F3707" i="1" l="1"/>
  <c r="G3707" i="1"/>
  <c r="E3708" i="1"/>
  <c r="F3708" i="1" l="1"/>
  <c r="G3708" i="1"/>
  <c r="E3709" i="1"/>
  <c r="F3709" i="1" l="1"/>
  <c r="G3709" i="1"/>
  <c r="E3710" i="1"/>
  <c r="F3710" i="1" l="1"/>
  <c r="G3710" i="1"/>
  <c r="E3711" i="1"/>
  <c r="F3711" i="1" l="1"/>
  <c r="G3711" i="1"/>
  <c r="E3712" i="1"/>
  <c r="F3712" i="1" l="1"/>
  <c r="G3712" i="1"/>
  <c r="E3713" i="1"/>
  <c r="F3713" i="1" l="1"/>
  <c r="G3713" i="1"/>
  <c r="E3714" i="1"/>
  <c r="F3714" i="1" l="1"/>
  <c r="G3714" i="1"/>
  <c r="E3715" i="1"/>
  <c r="F3715" i="1" l="1"/>
  <c r="G3715" i="1"/>
  <c r="E3716" i="1"/>
  <c r="F3716" i="1" l="1"/>
  <c r="G3716" i="1"/>
  <c r="E3717" i="1"/>
  <c r="F3717" i="1" l="1"/>
  <c r="G3717" i="1"/>
  <c r="E3718" i="1"/>
  <c r="F3718" i="1" l="1"/>
  <c r="G3718" i="1"/>
  <c r="E3719" i="1"/>
  <c r="F3719" i="1" l="1"/>
  <c r="G3719" i="1"/>
  <c r="E3720" i="1"/>
  <c r="F3720" i="1" l="1"/>
  <c r="G3720" i="1"/>
  <c r="E3721" i="1"/>
  <c r="F3721" i="1" l="1"/>
  <c r="G3721" i="1"/>
  <c r="E3722" i="1"/>
  <c r="F3722" i="1" l="1"/>
  <c r="G3722" i="1"/>
  <c r="E3723" i="1"/>
  <c r="F3723" i="1" l="1"/>
  <c r="G3723" i="1"/>
  <c r="E3724" i="1"/>
  <c r="F3724" i="1" l="1"/>
  <c r="G3724" i="1"/>
  <c r="E3725" i="1"/>
  <c r="F3725" i="1" l="1"/>
  <c r="G3725" i="1"/>
  <c r="E3726" i="1"/>
  <c r="F3726" i="1" l="1"/>
  <c r="G3726" i="1"/>
  <c r="E3727" i="1"/>
  <c r="F3727" i="1" l="1"/>
  <c r="G3727" i="1"/>
  <c r="E3728" i="1"/>
  <c r="F3728" i="1" l="1"/>
  <c r="G3728" i="1"/>
  <c r="E3729" i="1"/>
  <c r="F3729" i="1" l="1"/>
  <c r="G3729" i="1"/>
  <c r="E3730" i="1"/>
  <c r="F3730" i="1" l="1"/>
  <c r="G3730" i="1"/>
  <c r="E3731" i="1"/>
  <c r="F3731" i="1" l="1"/>
  <c r="G3731" i="1"/>
  <c r="E3732" i="1"/>
  <c r="F3732" i="1" l="1"/>
  <c r="G3732" i="1"/>
  <c r="E3733" i="1"/>
  <c r="F3733" i="1" l="1"/>
  <c r="G3733" i="1"/>
  <c r="E3734" i="1"/>
  <c r="F3734" i="1" l="1"/>
  <c r="G3734" i="1"/>
  <c r="E3735" i="1"/>
  <c r="F3735" i="1" l="1"/>
  <c r="G3735" i="1"/>
  <c r="E3736" i="1"/>
  <c r="F3736" i="1" l="1"/>
  <c r="G3736" i="1"/>
  <c r="E3737" i="1"/>
  <c r="F3737" i="1" l="1"/>
  <c r="G3737" i="1"/>
  <c r="E3738" i="1"/>
  <c r="F3738" i="1" l="1"/>
  <c r="G3738" i="1"/>
  <c r="E3739" i="1"/>
  <c r="F3739" i="1" l="1"/>
  <c r="G3739" i="1"/>
  <c r="E3740" i="1"/>
  <c r="F3740" i="1" l="1"/>
  <c r="G3740" i="1"/>
  <c r="E3741" i="1"/>
  <c r="F3741" i="1" l="1"/>
  <c r="G3741" i="1"/>
  <c r="E3742" i="1"/>
  <c r="F3742" i="1" l="1"/>
  <c r="G3742" i="1"/>
  <c r="E3743" i="1"/>
  <c r="F3743" i="1" l="1"/>
  <c r="G3743" i="1"/>
  <c r="E3744" i="1"/>
  <c r="F3744" i="1" l="1"/>
  <c r="G3744" i="1"/>
  <c r="E3745" i="1"/>
  <c r="F3745" i="1" l="1"/>
  <c r="G3745" i="1"/>
  <c r="E3746" i="1"/>
  <c r="F3746" i="1" l="1"/>
  <c r="G3746" i="1"/>
  <c r="E3747" i="1"/>
  <c r="F3747" i="1" l="1"/>
  <c r="G3747" i="1"/>
  <c r="E3748" i="1"/>
  <c r="F3748" i="1" l="1"/>
  <c r="G3748" i="1"/>
  <c r="E3749" i="1"/>
  <c r="F3749" i="1" l="1"/>
  <c r="G3749" i="1"/>
  <c r="E3750" i="1"/>
  <c r="F3750" i="1" l="1"/>
  <c r="G3750" i="1"/>
  <c r="E3751" i="1"/>
  <c r="F3751" i="1" l="1"/>
  <c r="G3751" i="1"/>
  <c r="E3752" i="1"/>
  <c r="F3752" i="1" l="1"/>
  <c r="G3752" i="1"/>
  <c r="E3753" i="1"/>
  <c r="F3753" i="1" l="1"/>
  <c r="G3753" i="1"/>
  <c r="E3754" i="1"/>
  <c r="F3754" i="1" l="1"/>
  <c r="G3754" i="1"/>
  <c r="E3755" i="1"/>
  <c r="F3755" i="1" l="1"/>
  <c r="G3755" i="1"/>
  <c r="E3756" i="1"/>
  <c r="F3756" i="1" l="1"/>
  <c r="G3756" i="1"/>
  <c r="E3757" i="1"/>
  <c r="F3757" i="1" l="1"/>
  <c r="G3757" i="1"/>
  <c r="E3758" i="1"/>
  <c r="F3758" i="1" l="1"/>
  <c r="G3758" i="1"/>
  <c r="E3759" i="1"/>
  <c r="F3759" i="1" l="1"/>
  <c r="G3759" i="1"/>
  <c r="E3760" i="1"/>
  <c r="F3760" i="1" l="1"/>
  <c r="G3760" i="1"/>
  <c r="E3761" i="1"/>
  <c r="F3761" i="1" l="1"/>
  <c r="G3761" i="1"/>
  <c r="E3762" i="1"/>
  <c r="F3762" i="1" l="1"/>
  <c r="G3762" i="1"/>
  <c r="E3763" i="1"/>
  <c r="F3763" i="1" l="1"/>
  <c r="G3763" i="1"/>
  <c r="E3764" i="1"/>
  <c r="F3764" i="1" l="1"/>
  <c r="G3764" i="1"/>
  <c r="E3765" i="1"/>
  <c r="F3765" i="1" l="1"/>
  <c r="G3765" i="1"/>
  <c r="E3766" i="1"/>
  <c r="F3766" i="1" l="1"/>
  <c r="G3766" i="1"/>
  <c r="E3767" i="1"/>
  <c r="F3767" i="1" l="1"/>
  <c r="G3767" i="1"/>
  <c r="E3768" i="1"/>
  <c r="F3768" i="1" l="1"/>
  <c r="G3768" i="1"/>
  <c r="E3769" i="1"/>
  <c r="F3769" i="1" l="1"/>
  <c r="G3769" i="1"/>
  <c r="E3770" i="1"/>
  <c r="F3770" i="1" l="1"/>
  <c r="G3770" i="1"/>
  <c r="E3771" i="1"/>
  <c r="F3771" i="1" l="1"/>
  <c r="G3771" i="1"/>
  <c r="E3772" i="1"/>
  <c r="F3772" i="1" l="1"/>
  <c r="G3772" i="1"/>
  <c r="E3773" i="1"/>
  <c r="F3773" i="1" l="1"/>
  <c r="G3773" i="1"/>
  <c r="E3774" i="1"/>
  <c r="F3774" i="1" l="1"/>
  <c r="G3774" i="1"/>
  <c r="E3775" i="1"/>
  <c r="F3775" i="1" l="1"/>
  <c r="G3775" i="1"/>
  <c r="E3776" i="1"/>
  <c r="F3776" i="1" l="1"/>
  <c r="G3776" i="1"/>
  <c r="E3777" i="1"/>
  <c r="F3777" i="1" l="1"/>
  <c r="G3777" i="1"/>
  <c r="E3778" i="1"/>
  <c r="F3778" i="1" l="1"/>
  <c r="G3778" i="1"/>
  <c r="E3779" i="1"/>
  <c r="F3779" i="1" l="1"/>
  <c r="G3779" i="1"/>
  <c r="E3780" i="1"/>
  <c r="F3780" i="1" l="1"/>
  <c r="G3780" i="1"/>
  <c r="E3781" i="1"/>
  <c r="F3781" i="1" l="1"/>
  <c r="G3781" i="1"/>
  <c r="E3782" i="1"/>
  <c r="F3782" i="1" l="1"/>
  <c r="G3782" i="1"/>
  <c r="E3783" i="1"/>
  <c r="F3783" i="1" l="1"/>
  <c r="G3783" i="1"/>
  <c r="E3784" i="1"/>
  <c r="F3784" i="1" l="1"/>
  <c r="G3784" i="1"/>
  <c r="E3785" i="1"/>
  <c r="F3785" i="1" l="1"/>
  <c r="G3785" i="1"/>
  <c r="E3786" i="1"/>
  <c r="F3786" i="1" l="1"/>
  <c r="G3786" i="1"/>
  <c r="E3787" i="1"/>
  <c r="F3787" i="1" l="1"/>
  <c r="G3787" i="1"/>
  <c r="E3788" i="1"/>
  <c r="F3788" i="1" l="1"/>
  <c r="G3788" i="1"/>
  <c r="E3789" i="1"/>
  <c r="F3789" i="1" l="1"/>
  <c r="G3789" i="1"/>
  <c r="E3790" i="1"/>
  <c r="F3790" i="1" l="1"/>
  <c r="G3790" i="1"/>
  <c r="E3791" i="1"/>
  <c r="F3791" i="1" l="1"/>
  <c r="G3791" i="1"/>
  <c r="E3792" i="1"/>
  <c r="F3792" i="1" l="1"/>
  <c r="G3792" i="1"/>
  <c r="E3793" i="1"/>
  <c r="F3793" i="1" l="1"/>
  <c r="G3793" i="1"/>
  <c r="E3794" i="1"/>
  <c r="F3794" i="1" l="1"/>
  <c r="G3794" i="1"/>
  <c r="E3795" i="1"/>
  <c r="F3795" i="1" l="1"/>
  <c r="G3795" i="1"/>
  <c r="E3796" i="1"/>
  <c r="F3796" i="1" l="1"/>
  <c r="G3796" i="1"/>
  <c r="E3797" i="1"/>
  <c r="F3797" i="1" l="1"/>
  <c r="G3797" i="1"/>
  <c r="E3798" i="1"/>
  <c r="F3798" i="1" l="1"/>
  <c r="G3798" i="1"/>
  <c r="E3799" i="1"/>
  <c r="F3799" i="1" l="1"/>
  <c r="G3799" i="1"/>
  <c r="E3800" i="1"/>
  <c r="F3800" i="1" l="1"/>
  <c r="G3800" i="1"/>
  <c r="E3801" i="1"/>
  <c r="F3801" i="1" l="1"/>
  <c r="G3801" i="1"/>
  <c r="E3802" i="1"/>
  <c r="F3802" i="1" l="1"/>
  <c r="G3802" i="1"/>
  <c r="E3803" i="1"/>
  <c r="F3803" i="1" l="1"/>
  <c r="G3803" i="1"/>
  <c r="E3804" i="1"/>
  <c r="F3804" i="1" l="1"/>
  <c r="G3804" i="1"/>
  <c r="E3805" i="1"/>
  <c r="F3805" i="1" l="1"/>
  <c r="G3805" i="1"/>
  <c r="E3806" i="1"/>
  <c r="F3806" i="1" l="1"/>
  <c r="G3806" i="1"/>
  <c r="E3807" i="1"/>
  <c r="F3807" i="1" l="1"/>
  <c r="G3807" i="1"/>
  <c r="E3808" i="1"/>
  <c r="F3808" i="1" l="1"/>
  <c r="G3808" i="1"/>
  <c r="E3809" i="1"/>
  <c r="F3809" i="1" l="1"/>
  <c r="G3809" i="1"/>
  <c r="E3810" i="1"/>
  <c r="F3810" i="1" l="1"/>
  <c r="G3810" i="1"/>
  <c r="E3811" i="1"/>
  <c r="F3811" i="1" l="1"/>
  <c r="G3811" i="1"/>
  <c r="E3812" i="1"/>
  <c r="F3812" i="1" l="1"/>
  <c r="G3812" i="1"/>
  <c r="E3813" i="1"/>
  <c r="F3813" i="1" l="1"/>
  <c r="G3813" i="1"/>
  <c r="E3814" i="1"/>
  <c r="F3814" i="1" l="1"/>
  <c r="G3814" i="1"/>
  <c r="E3815" i="1"/>
  <c r="F3815" i="1" l="1"/>
  <c r="G3815" i="1"/>
  <c r="E3816" i="1"/>
  <c r="F3816" i="1" l="1"/>
  <c r="G3816" i="1"/>
  <c r="E3817" i="1"/>
  <c r="F3817" i="1" l="1"/>
  <c r="G3817" i="1"/>
  <c r="E3818" i="1"/>
  <c r="F3818" i="1" l="1"/>
  <c r="G3818" i="1"/>
  <c r="E3819" i="1"/>
  <c r="F3819" i="1" l="1"/>
  <c r="G3819" i="1"/>
  <c r="E3820" i="1"/>
  <c r="F3820" i="1" l="1"/>
  <c r="G3820" i="1"/>
  <c r="E3821" i="1"/>
  <c r="F3821" i="1" l="1"/>
  <c r="G3821" i="1"/>
  <c r="E3822" i="1"/>
  <c r="F3822" i="1" l="1"/>
  <c r="G3822" i="1"/>
  <c r="E3823" i="1"/>
  <c r="F3823" i="1" l="1"/>
  <c r="G3823" i="1"/>
  <c r="E3824" i="1"/>
  <c r="F3824" i="1" l="1"/>
  <c r="G3824" i="1"/>
  <c r="E3825" i="1"/>
  <c r="F3825" i="1" l="1"/>
  <c r="G3825" i="1"/>
  <c r="E3826" i="1"/>
  <c r="F3826" i="1" l="1"/>
  <c r="G3826" i="1"/>
  <c r="E3827" i="1"/>
  <c r="F3827" i="1" l="1"/>
  <c r="G3827" i="1"/>
  <c r="E3828" i="1"/>
  <c r="F3828" i="1" l="1"/>
  <c r="G3828" i="1"/>
  <c r="E3829" i="1"/>
  <c r="F3829" i="1" l="1"/>
  <c r="G3829" i="1"/>
  <c r="E3830" i="1"/>
  <c r="F3830" i="1" l="1"/>
  <c r="G3830" i="1"/>
  <c r="E3831" i="1"/>
  <c r="F3831" i="1" l="1"/>
  <c r="G3831" i="1"/>
  <c r="E3832" i="1"/>
  <c r="F3832" i="1" l="1"/>
  <c r="G3832" i="1"/>
  <c r="E3833" i="1"/>
  <c r="F3833" i="1" l="1"/>
  <c r="G3833" i="1"/>
  <c r="E3834" i="1"/>
  <c r="F3834" i="1" l="1"/>
  <c r="G3834" i="1"/>
  <c r="E3835" i="1"/>
  <c r="F3835" i="1" l="1"/>
  <c r="G3835" i="1"/>
  <c r="E3836" i="1"/>
  <c r="F3836" i="1" l="1"/>
  <c r="G3836" i="1"/>
  <c r="E3837" i="1"/>
  <c r="F3837" i="1" l="1"/>
  <c r="G3837" i="1"/>
  <c r="E3838" i="1"/>
  <c r="F3838" i="1" l="1"/>
  <c r="G3838" i="1"/>
  <c r="E3839" i="1"/>
  <c r="F3839" i="1" l="1"/>
  <c r="G3839" i="1"/>
  <c r="E3840" i="1"/>
  <c r="F3840" i="1" l="1"/>
  <c r="G3840" i="1"/>
  <c r="E3841" i="1"/>
  <c r="F3841" i="1" l="1"/>
  <c r="G3841" i="1"/>
  <c r="E3842" i="1"/>
  <c r="F3842" i="1" l="1"/>
  <c r="G3842" i="1"/>
  <c r="E3843" i="1"/>
  <c r="F3843" i="1" l="1"/>
  <c r="G3843" i="1"/>
  <c r="E3844" i="1"/>
  <c r="F3844" i="1" l="1"/>
  <c r="G3844" i="1"/>
  <c r="E3845" i="1"/>
  <c r="F3845" i="1" l="1"/>
  <c r="G3845" i="1"/>
  <c r="E3846" i="1"/>
  <c r="F3846" i="1" l="1"/>
  <c r="G3846" i="1"/>
  <c r="E3847" i="1"/>
  <c r="F3847" i="1" l="1"/>
  <c r="G3847" i="1"/>
  <c r="E3848" i="1"/>
  <c r="F3848" i="1" l="1"/>
  <c r="G3848" i="1"/>
  <c r="E3849" i="1"/>
  <c r="F3849" i="1" l="1"/>
  <c r="G3849" i="1"/>
  <c r="E3850" i="1"/>
  <c r="F3850" i="1" l="1"/>
  <c r="G3850" i="1"/>
  <c r="E3851" i="1"/>
  <c r="F3851" i="1" l="1"/>
  <c r="G3851" i="1"/>
  <c r="E3852" i="1"/>
  <c r="F3852" i="1" l="1"/>
  <c r="G3852" i="1"/>
  <c r="E3853" i="1"/>
  <c r="F3853" i="1" l="1"/>
  <c r="G3853" i="1"/>
  <c r="E3854" i="1"/>
  <c r="F3854" i="1" l="1"/>
  <c r="G3854" i="1"/>
  <c r="E3855" i="1"/>
  <c r="F3855" i="1" l="1"/>
  <c r="G3855" i="1"/>
  <c r="E3856" i="1"/>
  <c r="F3856" i="1" l="1"/>
  <c r="G3856" i="1"/>
  <c r="E3857" i="1"/>
  <c r="F3857" i="1" l="1"/>
  <c r="G3857" i="1"/>
  <c r="E3858" i="1"/>
  <c r="F3858" i="1" l="1"/>
  <c r="G3858" i="1"/>
  <c r="E3859" i="1"/>
  <c r="F3859" i="1" l="1"/>
  <c r="G3859" i="1"/>
  <c r="E3860" i="1"/>
  <c r="F3860" i="1" l="1"/>
  <c r="G3860" i="1"/>
  <c r="E3861" i="1"/>
  <c r="F3861" i="1" l="1"/>
  <c r="G3861" i="1"/>
  <c r="E3862" i="1"/>
  <c r="F3862" i="1" l="1"/>
  <c r="G3862" i="1"/>
  <c r="E3863" i="1"/>
  <c r="F3863" i="1" l="1"/>
  <c r="G3863" i="1"/>
  <c r="E3864" i="1"/>
  <c r="F3864" i="1" l="1"/>
  <c r="G3864" i="1"/>
  <c r="E3865" i="1"/>
  <c r="F3865" i="1" l="1"/>
  <c r="G3865" i="1"/>
  <c r="E3866" i="1"/>
  <c r="F3866" i="1" l="1"/>
  <c r="G3866" i="1"/>
  <c r="E3867" i="1"/>
  <c r="F3867" i="1" l="1"/>
  <c r="G3867" i="1"/>
  <c r="E3868" i="1"/>
  <c r="F3868" i="1" l="1"/>
  <c r="G3868" i="1"/>
  <c r="E3869" i="1"/>
  <c r="F3869" i="1" l="1"/>
  <c r="G3869" i="1"/>
  <c r="E3870" i="1"/>
  <c r="F3870" i="1" l="1"/>
  <c r="G3870" i="1"/>
  <c r="E3871" i="1"/>
  <c r="F3871" i="1" l="1"/>
  <c r="G3871" i="1"/>
  <c r="E3872" i="1"/>
  <c r="F3872" i="1" l="1"/>
  <c r="G3872" i="1"/>
  <c r="E3873" i="1"/>
  <c r="F3873" i="1" l="1"/>
  <c r="G3873" i="1"/>
  <c r="E3874" i="1"/>
  <c r="F3874" i="1" l="1"/>
  <c r="G3874" i="1"/>
  <c r="E3875" i="1"/>
  <c r="F3875" i="1" l="1"/>
  <c r="G3875" i="1"/>
  <c r="E3876" i="1"/>
  <c r="F3876" i="1" l="1"/>
  <c r="G3876" i="1"/>
  <c r="E3877" i="1"/>
  <c r="F3877" i="1" l="1"/>
  <c r="G3877" i="1"/>
  <c r="E3878" i="1"/>
  <c r="F3878" i="1" l="1"/>
  <c r="G3878" i="1"/>
  <c r="E3879" i="1"/>
  <c r="F3879" i="1" l="1"/>
  <c r="G3879" i="1"/>
  <c r="E3880" i="1"/>
  <c r="F3880" i="1" l="1"/>
  <c r="G3880" i="1"/>
  <c r="E3881" i="1"/>
  <c r="F3881" i="1" l="1"/>
  <c r="G3881" i="1"/>
  <c r="E3882" i="1"/>
  <c r="F3882" i="1" l="1"/>
  <c r="G3882" i="1"/>
  <c r="E3883" i="1"/>
  <c r="F3883" i="1" l="1"/>
  <c r="G3883" i="1"/>
  <c r="E3884" i="1"/>
  <c r="F3884" i="1" l="1"/>
  <c r="G3884" i="1"/>
  <c r="E3885" i="1"/>
  <c r="F3885" i="1" l="1"/>
  <c r="G3885" i="1"/>
  <c r="E3886" i="1"/>
  <c r="F3886" i="1" l="1"/>
  <c r="G3886" i="1"/>
  <c r="E3887" i="1"/>
  <c r="F3887" i="1" l="1"/>
  <c r="G3887" i="1"/>
  <c r="E3888" i="1"/>
  <c r="F3888" i="1" l="1"/>
  <c r="G3888" i="1"/>
  <c r="E3889" i="1"/>
  <c r="F3889" i="1" l="1"/>
  <c r="G3889" i="1"/>
  <c r="E3890" i="1"/>
  <c r="F3890" i="1" l="1"/>
  <c r="G3890" i="1"/>
  <c r="E3891" i="1"/>
  <c r="F3891" i="1" l="1"/>
  <c r="G3891" i="1"/>
  <c r="E3892" i="1"/>
  <c r="F3892" i="1" l="1"/>
  <c r="G3892" i="1"/>
  <c r="E3893" i="1"/>
  <c r="F3893" i="1" l="1"/>
  <c r="G3893" i="1"/>
  <c r="E3894" i="1"/>
  <c r="F3894" i="1" l="1"/>
  <c r="G3894" i="1"/>
  <c r="E3895" i="1"/>
  <c r="F3895" i="1" l="1"/>
  <c r="G3895" i="1"/>
  <c r="E3896" i="1"/>
  <c r="F3896" i="1" l="1"/>
  <c r="G3896" i="1"/>
  <c r="E3897" i="1"/>
  <c r="F3897" i="1" l="1"/>
  <c r="G3897" i="1"/>
  <c r="E3898" i="1"/>
  <c r="F3898" i="1" l="1"/>
  <c r="G3898" i="1"/>
  <c r="E3899" i="1"/>
  <c r="F3899" i="1" l="1"/>
  <c r="G3899" i="1"/>
  <c r="E3900" i="1"/>
  <c r="F3900" i="1" l="1"/>
  <c r="G3900" i="1"/>
  <c r="E3901" i="1"/>
  <c r="F3901" i="1" l="1"/>
  <c r="G3901" i="1"/>
  <c r="E3902" i="1"/>
  <c r="F3902" i="1" l="1"/>
  <c r="G3902" i="1"/>
  <c r="E3903" i="1"/>
  <c r="F3903" i="1" l="1"/>
  <c r="G3903" i="1"/>
  <c r="E3904" i="1"/>
  <c r="F3904" i="1" l="1"/>
  <c r="G3904" i="1"/>
  <c r="E3905" i="1"/>
  <c r="F3905" i="1" l="1"/>
  <c r="G3905" i="1"/>
  <c r="E3906" i="1"/>
  <c r="F3906" i="1" l="1"/>
  <c r="G3906" i="1"/>
  <c r="E3907" i="1"/>
  <c r="F3907" i="1" l="1"/>
  <c r="G3907" i="1"/>
  <c r="E3908" i="1"/>
  <c r="F3908" i="1" l="1"/>
  <c r="G3908" i="1"/>
  <c r="E3909" i="1"/>
  <c r="F3909" i="1" l="1"/>
  <c r="G3909" i="1"/>
  <c r="E3910" i="1"/>
  <c r="F3910" i="1" l="1"/>
  <c r="G3910" i="1"/>
  <c r="E3911" i="1"/>
  <c r="F3911" i="1" l="1"/>
  <c r="G3911" i="1"/>
  <c r="E3912" i="1"/>
  <c r="F3912" i="1" l="1"/>
  <c r="G3912" i="1"/>
  <c r="E3913" i="1"/>
  <c r="F3913" i="1" l="1"/>
  <c r="G3913" i="1"/>
  <c r="E3914" i="1"/>
  <c r="F3914" i="1" l="1"/>
  <c r="G3914" i="1"/>
  <c r="E3915" i="1"/>
  <c r="F3915" i="1" l="1"/>
  <c r="G3915" i="1"/>
  <c r="E3916" i="1"/>
  <c r="F3916" i="1" l="1"/>
  <c r="G3916" i="1"/>
  <c r="E3917" i="1"/>
  <c r="F3917" i="1" l="1"/>
  <c r="G3917" i="1"/>
  <c r="E3918" i="1"/>
  <c r="F3918" i="1" l="1"/>
  <c r="G3918" i="1"/>
  <c r="E3919" i="1"/>
  <c r="F3919" i="1" l="1"/>
  <c r="G3919" i="1"/>
  <c r="E3920" i="1"/>
  <c r="F3920" i="1" l="1"/>
  <c r="G3920" i="1"/>
  <c r="E3921" i="1"/>
  <c r="F3921" i="1" l="1"/>
  <c r="G3921" i="1"/>
  <c r="E3922" i="1"/>
  <c r="F3922" i="1" l="1"/>
  <c r="G3922" i="1"/>
  <c r="E3923" i="1"/>
  <c r="F3923" i="1" l="1"/>
  <c r="G3923" i="1"/>
  <c r="E3924" i="1"/>
  <c r="F3924" i="1" l="1"/>
  <c r="G3924" i="1"/>
  <c r="E3925" i="1"/>
  <c r="F3925" i="1" l="1"/>
  <c r="G3925" i="1"/>
  <c r="E3926" i="1"/>
  <c r="F3926" i="1" l="1"/>
  <c r="G3926" i="1"/>
  <c r="E3927" i="1"/>
  <c r="F3927" i="1" l="1"/>
  <c r="G3927" i="1"/>
  <c r="E3928" i="1"/>
  <c r="F3928" i="1" l="1"/>
  <c r="G3928" i="1"/>
  <c r="E3929" i="1"/>
  <c r="F3929" i="1" l="1"/>
  <c r="G3929" i="1"/>
  <c r="E3930" i="1"/>
  <c r="F3930" i="1" l="1"/>
  <c r="G3930" i="1"/>
  <c r="E3931" i="1"/>
  <c r="F3931" i="1" l="1"/>
  <c r="G3931" i="1"/>
  <c r="E3932" i="1"/>
  <c r="F3932" i="1" l="1"/>
  <c r="G3932" i="1"/>
  <c r="E3933" i="1"/>
  <c r="F3933" i="1" l="1"/>
  <c r="G3933" i="1"/>
  <c r="E3934" i="1"/>
  <c r="F3934" i="1" l="1"/>
  <c r="G3934" i="1"/>
  <c r="E3935" i="1"/>
  <c r="F3935" i="1" l="1"/>
  <c r="G3935" i="1"/>
  <c r="E3936" i="1"/>
  <c r="F3936" i="1" l="1"/>
  <c r="G3936" i="1"/>
  <c r="E3937" i="1"/>
  <c r="F3937" i="1" l="1"/>
  <c r="G3937" i="1"/>
  <c r="E3938" i="1"/>
  <c r="F3938" i="1" l="1"/>
  <c r="G3938" i="1"/>
  <c r="E3939" i="1"/>
  <c r="F3939" i="1" l="1"/>
  <c r="G3939" i="1"/>
  <c r="E3940" i="1"/>
  <c r="F3940" i="1" l="1"/>
  <c r="G3940" i="1"/>
  <c r="E3941" i="1"/>
  <c r="F3941" i="1" l="1"/>
  <c r="G3941" i="1"/>
  <c r="E3942" i="1"/>
  <c r="F3942" i="1" l="1"/>
  <c r="G3942" i="1"/>
  <c r="E3943" i="1"/>
  <c r="F3943" i="1" l="1"/>
  <c r="G3943" i="1"/>
  <c r="E3944" i="1"/>
  <c r="F3944" i="1" l="1"/>
  <c r="G3944" i="1"/>
  <c r="E3945" i="1"/>
  <c r="F3945" i="1" l="1"/>
  <c r="G3945" i="1"/>
  <c r="E3946" i="1"/>
  <c r="F3946" i="1" l="1"/>
  <c r="G3946" i="1"/>
  <c r="E3947" i="1"/>
  <c r="F3947" i="1" l="1"/>
  <c r="G3947" i="1"/>
  <c r="E3948" i="1"/>
  <c r="F3948" i="1" l="1"/>
  <c r="G3948" i="1"/>
  <c r="E3949" i="1"/>
  <c r="F3949" i="1" l="1"/>
  <c r="G3949" i="1"/>
  <c r="E3950" i="1"/>
  <c r="F3950" i="1" l="1"/>
  <c r="G3950" i="1"/>
  <c r="E3951" i="1"/>
  <c r="F3951" i="1" l="1"/>
  <c r="G3951" i="1"/>
  <c r="E3952" i="1"/>
  <c r="F3952" i="1" l="1"/>
  <c r="G3952" i="1"/>
  <c r="E3953" i="1"/>
  <c r="F3953" i="1" l="1"/>
  <c r="G3953" i="1"/>
  <c r="E3954" i="1"/>
  <c r="F3954" i="1" l="1"/>
  <c r="G3954" i="1"/>
  <c r="E3955" i="1"/>
  <c r="F3955" i="1" l="1"/>
  <c r="G3955" i="1"/>
  <c r="E3956" i="1"/>
  <c r="F3956" i="1" l="1"/>
  <c r="G3956" i="1"/>
  <c r="E3957" i="1"/>
  <c r="F3957" i="1" l="1"/>
  <c r="G3957" i="1"/>
  <c r="E3958" i="1"/>
  <c r="F3958" i="1" l="1"/>
  <c r="G3958" i="1"/>
  <c r="E3959" i="1"/>
  <c r="F3959" i="1" l="1"/>
  <c r="G3959" i="1"/>
  <c r="E3960" i="1"/>
  <c r="F3960" i="1" l="1"/>
  <c r="G3960" i="1"/>
  <c r="E3961" i="1"/>
  <c r="F3961" i="1" l="1"/>
  <c r="G3961" i="1"/>
  <c r="E3962" i="1"/>
  <c r="F3962" i="1" l="1"/>
  <c r="G3962" i="1"/>
  <c r="E3963" i="1"/>
  <c r="F3963" i="1" l="1"/>
  <c r="G3963" i="1"/>
  <c r="E3964" i="1"/>
  <c r="F3964" i="1" l="1"/>
  <c r="G3964" i="1"/>
  <c r="E3965" i="1"/>
  <c r="F3965" i="1" l="1"/>
  <c r="G3965" i="1"/>
  <c r="E3966" i="1"/>
  <c r="F3966" i="1" l="1"/>
  <c r="G3966" i="1"/>
  <c r="E3967" i="1"/>
  <c r="F3967" i="1" l="1"/>
  <c r="G3967" i="1"/>
  <c r="E3968" i="1"/>
  <c r="F3968" i="1" l="1"/>
  <c r="G3968" i="1"/>
  <c r="E3969" i="1"/>
  <c r="F3969" i="1" l="1"/>
  <c r="G3969" i="1"/>
  <c r="E3970" i="1"/>
  <c r="F3970" i="1" l="1"/>
  <c r="G3970" i="1"/>
  <c r="E3971" i="1"/>
  <c r="F3971" i="1" l="1"/>
  <c r="G3971" i="1"/>
  <c r="E3972" i="1"/>
  <c r="F3972" i="1" l="1"/>
  <c r="G3972" i="1"/>
  <c r="E3973" i="1"/>
  <c r="F3973" i="1" l="1"/>
  <c r="G3973" i="1"/>
  <c r="E3974" i="1"/>
  <c r="F3974" i="1" l="1"/>
  <c r="G3974" i="1"/>
  <c r="E3975" i="1"/>
  <c r="F3975" i="1" l="1"/>
  <c r="G3975" i="1"/>
  <c r="E3976" i="1"/>
  <c r="F3976" i="1" l="1"/>
  <c r="G3976" i="1"/>
  <c r="E3977" i="1"/>
  <c r="F3977" i="1" l="1"/>
  <c r="G3977" i="1"/>
  <c r="E3978" i="1"/>
  <c r="F3978" i="1" l="1"/>
  <c r="G3978" i="1"/>
  <c r="E3979" i="1"/>
  <c r="F3979" i="1" l="1"/>
  <c r="G3979" i="1"/>
  <c r="E3980" i="1"/>
  <c r="F3980" i="1" l="1"/>
  <c r="G3980" i="1"/>
  <c r="E3981" i="1"/>
  <c r="F3981" i="1" l="1"/>
  <c r="G3981" i="1"/>
  <c r="E3982" i="1"/>
  <c r="F3982" i="1" l="1"/>
  <c r="G3982" i="1"/>
  <c r="E3983" i="1"/>
  <c r="F3983" i="1" l="1"/>
  <c r="G3983" i="1"/>
  <c r="E3984" i="1"/>
  <c r="F3984" i="1" l="1"/>
  <c r="G3984" i="1"/>
  <c r="E3985" i="1"/>
  <c r="F3985" i="1" l="1"/>
  <c r="G3985" i="1"/>
  <c r="E3986" i="1"/>
  <c r="F3986" i="1" l="1"/>
  <c r="G3986" i="1"/>
  <c r="E3987" i="1"/>
  <c r="F3987" i="1" l="1"/>
  <c r="G3987" i="1"/>
  <c r="E3988" i="1"/>
  <c r="F3988" i="1" l="1"/>
  <c r="G3988" i="1"/>
  <c r="E3989" i="1"/>
  <c r="F3989" i="1" l="1"/>
  <c r="G3989" i="1"/>
  <c r="E3990" i="1"/>
  <c r="F3990" i="1" l="1"/>
  <c r="G3990" i="1"/>
  <c r="E3991" i="1"/>
  <c r="F3991" i="1" l="1"/>
  <c r="G3991" i="1"/>
  <c r="E3992" i="1"/>
  <c r="F3992" i="1" l="1"/>
  <c r="G3992" i="1"/>
  <c r="E3993" i="1"/>
  <c r="F3993" i="1" l="1"/>
  <c r="G3993" i="1"/>
  <c r="E3994" i="1"/>
  <c r="F3994" i="1" l="1"/>
  <c r="G3994" i="1"/>
  <c r="E3995" i="1"/>
  <c r="F3995" i="1" l="1"/>
  <c r="G3995" i="1"/>
  <c r="E3996" i="1"/>
  <c r="F3996" i="1" l="1"/>
  <c r="G3996" i="1"/>
  <c r="E3997" i="1"/>
  <c r="F3997" i="1" l="1"/>
  <c r="G3997" i="1"/>
  <c r="E3998" i="1"/>
  <c r="F3998" i="1" l="1"/>
  <c r="G3998" i="1"/>
  <c r="E3999" i="1"/>
  <c r="F3999" i="1" l="1"/>
  <c r="G3999" i="1"/>
  <c r="E4000" i="1"/>
  <c r="F4000" i="1" l="1"/>
  <c r="G4000" i="1"/>
  <c r="E4001" i="1"/>
  <c r="F4001" i="1" l="1"/>
  <c r="G4001" i="1"/>
  <c r="E4002" i="1"/>
  <c r="F4002" i="1" l="1"/>
  <c r="G4002" i="1"/>
  <c r="E4003" i="1"/>
  <c r="F4003" i="1" l="1"/>
  <c r="G4003" i="1"/>
  <c r="E4004" i="1"/>
  <c r="F4004" i="1" l="1"/>
  <c r="G4004" i="1"/>
  <c r="E4005" i="1"/>
  <c r="F4005" i="1" l="1"/>
  <c r="G4005" i="1"/>
  <c r="E4006" i="1"/>
  <c r="F4006" i="1" l="1"/>
  <c r="G4006" i="1"/>
  <c r="E4007" i="1"/>
  <c r="F4007" i="1" l="1"/>
  <c r="G4007" i="1"/>
  <c r="E4008" i="1"/>
  <c r="F4008" i="1" l="1"/>
  <c r="G4008" i="1"/>
  <c r="E4009" i="1"/>
  <c r="F4009" i="1" l="1"/>
  <c r="G4009" i="1"/>
  <c r="E4010" i="1"/>
  <c r="F4010" i="1" l="1"/>
  <c r="G4010" i="1"/>
  <c r="E4011" i="1"/>
  <c r="F4011" i="1" l="1"/>
  <c r="G4011" i="1"/>
  <c r="E4012" i="1"/>
  <c r="F4012" i="1" l="1"/>
  <c r="G4012" i="1"/>
  <c r="E4013" i="1"/>
  <c r="F4013" i="1" l="1"/>
  <c r="G4013" i="1"/>
  <c r="E4014" i="1"/>
  <c r="F4014" i="1" l="1"/>
  <c r="G4014" i="1"/>
  <c r="E4015" i="1"/>
  <c r="F4015" i="1" l="1"/>
  <c r="G4015" i="1"/>
  <c r="E4016" i="1"/>
  <c r="F4016" i="1" l="1"/>
  <c r="G4016" i="1"/>
  <c r="E4017" i="1"/>
  <c r="F4017" i="1" l="1"/>
  <c r="G4017" i="1"/>
  <c r="E4018" i="1"/>
  <c r="F4018" i="1" l="1"/>
  <c r="G4018" i="1"/>
  <c r="E4019" i="1"/>
  <c r="F4019" i="1" l="1"/>
  <c r="G4019" i="1"/>
  <c r="E4020" i="1"/>
  <c r="F4020" i="1" l="1"/>
  <c r="G4020" i="1"/>
  <c r="E4021" i="1"/>
  <c r="F4021" i="1" l="1"/>
  <c r="G4021" i="1"/>
  <c r="E4022" i="1"/>
  <c r="F4022" i="1" l="1"/>
  <c r="G4022" i="1"/>
  <c r="E4023" i="1"/>
  <c r="F4023" i="1" l="1"/>
  <c r="G4023" i="1"/>
  <c r="E4024" i="1"/>
  <c r="F4024" i="1" l="1"/>
  <c r="G4024" i="1"/>
  <c r="E4025" i="1"/>
  <c r="F4025" i="1" l="1"/>
  <c r="G4025" i="1"/>
  <c r="E4026" i="1"/>
  <c r="F4026" i="1" l="1"/>
  <c r="G4026" i="1"/>
  <c r="E4027" i="1"/>
  <c r="F4027" i="1" l="1"/>
  <c r="G4027" i="1"/>
  <c r="E4028" i="1"/>
  <c r="F4028" i="1" l="1"/>
  <c r="G4028" i="1"/>
  <c r="E4029" i="1"/>
  <c r="F4029" i="1" l="1"/>
  <c r="G4029" i="1"/>
  <c r="E4030" i="1"/>
  <c r="F4030" i="1" l="1"/>
  <c r="G4030" i="1"/>
  <c r="E4031" i="1"/>
  <c r="F4031" i="1" l="1"/>
  <c r="G4031" i="1"/>
  <c r="E4032" i="1"/>
  <c r="F4032" i="1" l="1"/>
  <c r="G4032" i="1"/>
  <c r="E4033" i="1"/>
  <c r="F4033" i="1" l="1"/>
  <c r="G4033" i="1"/>
  <c r="E4034" i="1"/>
  <c r="F4034" i="1" l="1"/>
  <c r="G4034" i="1"/>
  <c r="E4035" i="1"/>
  <c r="F4035" i="1" l="1"/>
  <c r="G4035" i="1"/>
  <c r="E4036" i="1"/>
  <c r="F4036" i="1" l="1"/>
  <c r="G4036" i="1"/>
  <c r="E4037" i="1"/>
  <c r="F4037" i="1" l="1"/>
  <c r="G4037" i="1"/>
  <c r="E4038" i="1"/>
  <c r="F4038" i="1" l="1"/>
  <c r="G4038" i="1"/>
  <c r="E4039" i="1"/>
  <c r="F4039" i="1" l="1"/>
  <c r="G4039" i="1"/>
  <c r="E4040" i="1"/>
  <c r="F4040" i="1" l="1"/>
  <c r="G4040" i="1"/>
  <c r="E4041" i="1"/>
  <c r="F4041" i="1" l="1"/>
  <c r="G4041" i="1"/>
  <c r="E4042" i="1"/>
  <c r="F4042" i="1" l="1"/>
  <c r="G4042" i="1"/>
  <c r="E4043" i="1"/>
  <c r="F4043" i="1" l="1"/>
  <c r="G4043" i="1"/>
  <c r="E4044" i="1"/>
  <c r="F4044" i="1" l="1"/>
  <c r="G4044" i="1"/>
  <c r="E4045" i="1"/>
  <c r="F4045" i="1" l="1"/>
  <c r="G4045" i="1"/>
  <c r="E4046" i="1"/>
  <c r="F4046" i="1" l="1"/>
  <c r="G4046" i="1"/>
  <c r="E4047" i="1"/>
  <c r="F4047" i="1" l="1"/>
  <c r="G4047" i="1"/>
  <c r="E4048" i="1"/>
  <c r="F4048" i="1" l="1"/>
  <c r="G4048" i="1"/>
  <c r="E4049" i="1"/>
  <c r="F4049" i="1" l="1"/>
  <c r="G4049" i="1"/>
  <c r="E4050" i="1"/>
  <c r="F4050" i="1" l="1"/>
  <c r="G4050" i="1"/>
  <c r="E4051" i="1"/>
  <c r="F4051" i="1" l="1"/>
  <c r="G4051" i="1"/>
  <c r="E4052" i="1"/>
  <c r="F4052" i="1" l="1"/>
  <c r="G4052" i="1"/>
  <c r="E4053" i="1"/>
  <c r="F4053" i="1" l="1"/>
  <c r="G4053" i="1"/>
  <c r="E4054" i="1"/>
  <c r="F4054" i="1" l="1"/>
  <c r="G4054" i="1"/>
  <c r="E4055" i="1"/>
  <c r="F4055" i="1" l="1"/>
  <c r="G4055" i="1"/>
  <c r="E4056" i="1"/>
  <c r="F4056" i="1" l="1"/>
  <c r="G4056" i="1"/>
  <c r="E4057" i="1"/>
  <c r="F4057" i="1" l="1"/>
  <c r="G4057" i="1"/>
  <c r="E4058" i="1"/>
  <c r="F4058" i="1" l="1"/>
  <c r="G4058" i="1"/>
  <c r="E4059" i="1"/>
  <c r="F4059" i="1" l="1"/>
  <c r="G4059" i="1"/>
  <c r="E4060" i="1"/>
  <c r="F4060" i="1" l="1"/>
  <c r="G4060" i="1"/>
  <c r="E4061" i="1"/>
  <c r="F4061" i="1" l="1"/>
  <c r="G4061" i="1"/>
  <c r="E4062" i="1"/>
  <c r="F4062" i="1" l="1"/>
  <c r="G4062" i="1"/>
  <c r="E4063" i="1"/>
  <c r="F4063" i="1" l="1"/>
  <c r="G4063" i="1"/>
  <c r="E4064" i="1"/>
  <c r="F4064" i="1" l="1"/>
  <c r="G4064" i="1"/>
  <c r="E4065" i="1"/>
  <c r="F4065" i="1" l="1"/>
  <c r="G4065" i="1"/>
  <c r="E4066" i="1"/>
  <c r="F4066" i="1" l="1"/>
  <c r="G4066" i="1"/>
  <c r="E4067" i="1"/>
  <c r="F4067" i="1" l="1"/>
  <c r="G4067" i="1"/>
  <c r="E4068" i="1"/>
  <c r="F4068" i="1" l="1"/>
  <c r="G4068" i="1"/>
  <c r="E4069" i="1"/>
  <c r="F4069" i="1" l="1"/>
  <c r="G4069" i="1"/>
  <c r="E4070" i="1"/>
  <c r="F4070" i="1" l="1"/>
  <c r="G4070" i="1"/>
  <c r="E4071" i="1"/>
  <c r="F4071" i="1" l="1"/>
  <c r="G4071" i="1"/>
  <c r="E4072" i="1"/>
  <c r="F4072" i="1" l="1"/>
  <c r="G4072" i="1"/>
  <c r="E4073" i="1"/>
  <c r="F4073" i="1" l="1"/>
  <c r="G4073" i="1"/>
  <c r="E4074" i="1"/>
  <c r="F4074" i="1" l="1"/>
  <c r="G4074" i="1"/>
  <c r="E4075" i="1"/>
  <c r="F4075" i="1" l="1"/>
  <c r="G4075" i="1"/>
  <c r="E4076" i="1"/>
  <c r="F4076" i="1" l="1"/>
  <c r="G4076" i="1"/>
  <c r="E4077" i="1"/>
  <c r="F4077" i="1" l="1"/>
  <c r="G4077" i="1"/>
  <c r="E4078" i="1"/>
  <c r="F4078" i="1" l="1"/>
  <c r="G4078" i="1"/>
  <c r="E4079" i="1"/>
  <c r="F4079" i="1" l="1"/>
  <c r="G4079" i="1"/>
  <c r="E4080" i="1"/>
  <c r="F4080" i="1" l="1"/>
  <c r="G4080" i="1"/>
  <c r="E4081" i="1"/>
  <c r="F4081" i="1" l="1"/>
  <c r="G4081" i="1"/>
  <c r="E4082" i="1"/>
  <c r="F4082" i="1" l="1"/>
  <c r="G4082" i="1"/>
  <c r="E4083" i="1"/>
  <c r="F4083" i="1" l="1"/>
  <c r="G4083" i="1"/>
  <c r="E4084" i="1"/>
  <c r="F4084" i="1" l="1"/>
  <c r="G4084" i="1"/>
  <c r="E4085" i="1"/>
  <c r="F4085" i="1" l="1"/>
  <c r="G4085" i="1"/>
  <c r="E4086" i="1"/>
  <c r="F4086" i="1" l="1"/>
  <c r="G4086" i="1"/>
  <c r="E4087" i="1"/>
  <c r="F4087" i="1" l="1"/>
  <c r="G4087" i="1"/>
  <c r="E4088" i="1"/>
  <c r="F4088" i="1" l="1"/>
  <c r="G4088" i="1"/>
  <c r="E4089" i="1"/>
  <c r="F4089" i="1" l="1"/>
  <c r="G4089" i="1"/>
  <c r="E4090" i="1"/>
  <c r="F4090" i="1" l="1"/>
  <c r="G4090" i="1"/>
  <c r="E4091" i="1"/>
  <c r="F4091" i="1" l="1"/>
  <c r="G4091" i="1"/>
  <c r="E4092" i="1"/>
  <c r="F4092" i="1" l="1"/>
  <c r="G4092" i="1"/>
  <c r="E4093" i="1"/>
  <c r="F4093" i="1" l="1"/>
  <c r="G4093" i="1"/>
  <c r="E4094" i="1"/>
  <c r="F4094" i="1" l="1"/>
  <c r="G4094" i="1"/>
  <c r="E4095" i="1"/>
  <c r="F4095" i="1" l="1"/>
  <c r="G4095" i="1"/>
  <c r="E4096" i="1"/>
  <c r="F4096" i="1" l="1"/>
  <c r="G4096" i="1"/>
  <c r="E4097" i="1"/>
  <c r="F4097" i="1" l="1"/>
  <c r="G4097" i="1"/>
  <c r="E4098" i="1"/>
  <c r="F4098" i="1" l="1"/>
  <c r="G4098" i="1"/>
  <c r="E4099" i="1"/>
  <c r="F4099" i="1" l="1"/>
  <c r="G4099" i="1"/>
  <c r="E4100" i="1"/>
  <c r="F4100" i="1" l="1"/>
  <c r="G4100" i="1"/>
  <c r="E4101" i="1"/>
  <c r="F4101" i="1" l="1"/>
  <c r="G4101" i="1"/>
  <c r="E4102" i="1"/>
  <c r="F4102" i="1" l="1"/>
  <c r="G4102" i="1"/>
  <c r="E4103" i="1"/>
  <c r="F4103" i="1" l="1"/>
  <c r="G4103" i="1"/>
  <c r="E4104" i="1"/>
  <c r="F4104" i="1" l="1"/>
  <c r="G4104" i="1"/>
  <c r="E4105" i="1"/>
  <c r="F4105" i="1" l="1"/>
  <c r="G4105" i="1"/>
  <c r="E4106" i="1"/>
  <c r="F4106" i="1" l="1"/>
  <c r="G4106" i="1"/>
  <c r="E4107" i="1"/>
  <c r="F4107" i="1" l="1"/>
  <c r="G4107" i="1"/>
  <c r="E4108" i="1"/>
  <c r="F4108" i="1" l="1"/>
  <c r="G4108" i="1"/>
  <c r="E4109" i="1"/>
  <c r="F4109" i="1" l="1"/>
  <c r="G4109" i="1"/>
  <c r="E4110" i="1"/>
  <c r="F4110" i="1" l="1"/>
  <c r="G4110" i="1"/>
  <c r="E4111" i="1"/>
  <c r="F4111" i="1" l="1"/>
  <c r="G4111" i="1"/>
  <c r="E4112" i="1"/>
  <c r="F4112" i="1" l="1"/>
  <c r="G4112" i="1"/>
  <c r="E4113" i="1"/>
  <c r="F4113" i="1" l="1"/>
  <c r="G4113" i="1"/>
  <c r="E4114" i="1"/>
  <c r="F4114" i="1" l="1"/>
  <c r="G4114" i="1"/>
  <c r="E4115" i="1"/>
  <c r="F4115" i="1" l="1"/>
  <c r="G4115" i="1"/>
  <c r="E4116" i="1"/>
  <c r="F4116" i="1" l="1"/>
  <c r="G4116" i="1"/>
  <c r="E4117" i="1"/>
  <c r="F4117" i="1" l="1"/>
  <c r="G4117" i="1"/>
  <c r="E4118" i="1"/>
  <c r="F4118" i="1" l="1"/>
  <c r="G4118" i="1"/>
  <c r="E4119" i="1"/>
  <c r="F4119" i="1" l="1"/>
  <c r="G4119" i="1"/>
  <c r="E4120" i="1"/>
  <c r="F4120" i="1" l="1"/>
  <c r="G4120" i="1"/>
  <c r="E4121" i="1"/>
  <c r="F4121" i="1" l="1"/>
  <c r="G4121" i="1"/>
  <c r="E4122" i="1"/>
  <c r="F4122" i="1" l="1"/>
  <c r="G4122" i="1"/>
  <c r="E4123" i="1"/>
  <c r="F4123" i="1" l="1"/>
  <c r="G4123" i="1"/>
  <c r="E4124" i="1"/>
  <c r="F4124" i="1" l="1"/>
  <c r="G4124" i="1"/>
  <c r="E4125" i="1"/>
  <c r="F4125" i="1" l="1"/>
  <c r="G4125" i="1"/>
  <c r="E4126" i="1"/>
  <c r="F4126" i="1" l="1"/>
  <c r="G4126" i="1"/>
  <c r="E4127" i="1"/>
  <c r="F4127" i="1" l="1"/>
  <c r="G4127" i="1"/>
  <c r="E4128" i="1"/>
  <c r="F4128" i="1" l="1"/>
  <c r="G4128" i="1"/>
  <c r="E4129" i="1"/>
  <c r="F4129" i="1" l="1"/>
  <c r="G4129" i="1"/>
  <c r="E4130" i="1"/>
  <c r="F4130" i="1" l="1"/>
  <c r="G4130" i="1"/>
  <c r="E4131" i="1"/>
  <c r="F4131" i="1" l="1"/>
  <c r="G4131" i="1"/>
  <c r="E4132" i="1"/>
  <c r="F4132" i="1" l="1"/>
  <c r="G4132" i="1"/>
  <c r="E4133" i="1"/>
  <c r="F4133" i="1" l="1"/>
  <c r="G4133" i="1"/>
  <c r="E4134" i="1"/>
  <c r="F4134" i="1" l="1"/>
  <c r="G4134" i="1"/>
  <c r="E4135" i="1"/>
  <c r="F4135" i="1" l="1"/>
  <c r="G4135" i="1"/>
  <c r="E4136" i="1"/>
  <c r="F4136" i="1" l="1"/>
  <c r="G4136" i="1"/>
  <c r="E4137" i="1"/>
  <c r="F4137" i="1" l="1"/>
  <c r="G4137" i="1"/>
  <c r="E4138" i="1"/>
  <c r="F4138" i="1" l="1"/>
  <c r="G4138" i="1"/>
  <c r="E4139" i="1"/>
  <c r="F4139" i="1" l="1"/>
  <c r="G4139" i="1"/>
  <c r="E4140" i="1"/>
  <c r="F4140" i="1" l="1"/>
  <c r="G4140" i="1"/>
  <c r="E4141" i="1"/>
  <c r="F4141" i="1" l="1"/>
  <c r="G4141" i="1"/>
  <c r="E4142" i="1"/>
  <c r="F4142" i="1" l="1"/>
  <c r="G4142" i="1"/>
  <c r="E4143" i="1"/>
  <c r="F4143" i="1" l="1"/>
  <c r="G4143" i="1"/>
  <c r="E4144" i="1"/>
  <c r="F4144" i="1" l="1"/>
  <c r="G4144" i="1"/>
  <c r="E4145" i="1"/>
  <c r="F4145" i="1" l="1"/>
  <c r="G4145" i="1"/>
  <c r="E4146" i="1"/>
  <c r="F4146" i="1" l="1"/>
  <c r="G4146" i="1"/>
  <c r="E4147" i="1"/>
  <c r="F4147" i="1" l="1"/>
  <c r="G4147" i="1"/>
  <c r="E4148" i="1"/>
  <c r="F4148" i="1" l="1"/>
  <c r="G4148" i="1"/>
  <c r="E4149" i="1"/>
  <c r="F4149" i="1" l="1"/>
  <c r="G4149" i="1"/>
  <c r="E4150" i="1"/>
  <c r="F4150" i="1" l="1"/>
  <c r="G4150" i="1"/>
  <c r="E4151" i="1"/>
  <c r="F4151" i="1" l="1"/>
  <c r="G4151" i="1"/>
  <c r="E4152" i="1"/>
  <c r="F4152" i="1" l="1"/>
  <c r="G4152" i="1"/>
  <c r="E4153" i="1"/>
  <c r="F4153" i="1" l="1"/>
  <c r="G4153" i="1"/>
  <c r="E4154" i="1"/>
  <c r="F4154" i="1" l="1"/>
  <c r="G4154" i="1"/>
  <c r="E4155" i="1"/>
  <c r="F4155" i="1" l="1"/>
  <c r="G4155" i="1"/>
  <c r="E4156" i="1"/>
  <c r="F4156" i="1" l="1"/>
  <c r="G4156" i="1"/>
  <c r="E4157" i="1"/>
  <c r="F4157" i="1" l="1"/>
  <c r="G4157" i="1"/>
  <c r="E4158" i="1"/>
  <c r="F4158" i="1" l="1"/>
  <c r="G4158" i="1"/>
  <c r="E4159" i="1"/>
  <c r="F4159" i="1" l="1"/>
  <c r="G4159" i="1"/>
  <c r="E4160" i="1"/>
  <c r="F4160" i="1" l="1"/>
  <c r="G4160" i="1"/>
  <c r="E4161" i="1"/>
  <c r="F4161" i="1" l="1"/>
  <c r="G4161" i="1"/>
  <c r="E4162" i="1"/>
  <c r="F4162" i="1" l="1"/>
  <c r="G4162" i="1"/>
  <c r="E4163" i="1"/>
  <c r="F4163" i="1" l="1"/>
  <c r="G4163" i="1"/>
  <c r="E4164" i="1"/>
  <c r="F4164" i="1" l="1"/>
  <c r="G4164" i="1"/>
  <c r="E4165" i="1"/>
  <c r="F4165" i="1" l="1"/>
  <c r="G4165" i="1"/>
  <c r="E4166" i="1"/>
  <c r="F4166" i="1" l="1"/>
  <c r="G4166" i="1"/>
  <c r="E4167" i="1"/>
  <c r="F4167" i="1" l="1"/>
  <c r="G4167" i="1"/>
  <c r="E4168" i="1"/>
  <c r="F4168" i="1" l="1"/>
  <c r="G4168" i="1"/>
  <c r="E4169" i="1"/>
  <c r="F4169" i="1" l="1"/>
  <c r="G4169" i="1"/>
  <c r="E4170" i="1"/>
  <c r="F4170" i="1" l="1"/>
  <c r="G4170" i="1"/>
  <c r="E4171" i="1"/>
  <c r="F4171" i="1" l="1"/>
  <c r="G4171" i="1"/>
  <c r="E4172" i="1"/>
  <c r="F4172" i="1" l="1"/>
  <c r="G4172" i="1"/>
  <c r="E4173" i="1"/>
  <c r="F4173" i="1" l="1"/>
  <c r="G4173" i="1"/>
  <c r="E4174" i="1"/>
  <c r="F4174" i="1" l="1"/>
  <c r="G4174" i="1"/>
  <c r="E4175" i="1"/>
  <c r="F4175" i="1" l="1"/>
  <c r="G4175" i="1"/>
  <c r="E4176" i="1"/>
  <c r="F4176" i="1" l="1"/>
  <c r="G4176" i="1"/>
  <c r="E4177" i="1"/>
  <c r="F4177" i="1" l="1"/>
  <c r="G4177" i="1"/>
  <c r="E4178" i="1"/>
  <c r="F4178" i="1" l="1"/>
  <c r="G4178" i="1"/>
  <c r="E4179" i="1"/>
  <c r="F4179" i="1" l="1"/>
  <c r="G4179" i="1"/>
  <c r="E4180" i="1"/>
  <c r="F4180" i="1" l="1"/>
  <c r="G4180" i="1"/>
  <c r="E4181" i="1"/>
  <c r="F4181" i="1" l="1"/>
  <c r="G4181" i="1"/>
  <c r="E4182" i="1"/>
  <c r="F4182" i="1" l="1"/>
  <c r="G4182" i="1"/>
  <c r="E4183" i="1"/>
  <c r="F4183" i="1" l="1"/>
  <c r="G4183" i="1"/>
  <c r="E4184" i="1"/>
  <c r="F4184" i="1" l="1"/>
  <c r="G4184" i="1"/>
  <c r="E4185" i="1"/>
  <c r="F4185" i="1" l="1"/>
  <c r="G4185" i="1"/>
  <c r="E4186" i="1"/>
  <c r="F4186" i="1" l="1"/>
  <c r="G4186" i="1"/>
  <c r="E4187" i="1"/>
  <c r="F4187" i="1" l="1"/>
  <c r="G4187" i="1"/>
  <c r="E4188" i="1"/>
  <c r="F4188" i="1" l="1"/>
  <c r="G4188" i="1"/>
  <c r="E4189" i="1"/>
  <c r="F4189" i="1" l="1"/>
  <c r="G4189" i="1"/>
  <c r="E4190" i="1"/>
  <c r="F4190" i="1" l="1"/>
  <c r="G4190" i="1"/>
  <c r="E4191" i="1"/>
  <c r="F4191" i="1" l="1"/>
  <c r="G4191" i="1"/>
  <c r="E4192" i="1"/>
  <c r="F4192" i="1" l="1"/>
  <c r="G4192" i="1"/>
  <c r="E4193" i="1"/>
  <c r="F4193" i="1" l="1"/>
  <c r="G4193" i="1"/>
  <c r="E4194" i="1"/>
  <c r="F4194" i="1" l="1"/>
  <c r="G4194" i="1"/>
  <c r="E4195" i="1"/>
  <c r="F4195" i="1" l="1"/>
  <c r="G4195" i="1"/>
  <c r="E4196" i="1"/>
  <c r="F4196" i="1" l="1"/>
  <c r="G4196" i="1"/>
  <c r="E4197" i="1"/>
  <c r="F4197" i="1" l="1"/>
  <c r="G4197" i="1"/>
  <c r="E4198" i="1"/>
  <c r="F4198" i="1" l="1"/>
  <c r="G4198" i="1"/>
  <c r="E4199" i="1"/>
  <c r="F4199" i="1" l="1"/>
  <c r="G4199" i="1"/>
  <c r="E4200" i="1"/>
  <c r="F4200" i="1" l="1"/>
  <c r="G4200" i="1"/>
  <c r="E4201" i="1"/>
  <c r="F4201" i="1" l="1"/>
  <c r="G4201" i="1"/>
  <c r="E4202" i="1"/>
  <c r="F4202" i="1" l="1"/>
  <c r="G4202" i="1"/>
  <c r="E4203" i="1"/>
  <c r="F4203" i="1" l="1"/>
  <c r="G4203" i="1"/>
  <c r="E4204" i="1"/>
  <c r="F4204" i="1" l="1"/>
  <c r="G4204" i="1"/>
  <c r="E4205" i="1"/>
  <c r="F4205" i="1" l="1"/>
  <c r="G4205" i="1"/>
  <c r="E4206" i="1"/>
  <c r="F4206" i="1" l="1"/>
  <c r="G4206" i="1"/>
  <c r="E4207" i="1"/>
  <c r="F4207" i="1" l="1"/>
  <c r="G4207" i="1"/>
  <c r="E4208" i="1"/>
  <c r="F4208" i="1" l="1"/>
  <c r="G4208" i="1"/>
  <c r="E4209" i="1"/>
  <c r="F4209" i="1" l="1"/>
  <c r="G4209" i="1"/>
  <c r="E4210" i="1"/>
  <c r="F4210" i="1" l="1"/>
  <c r="G4210" i="1"/>
  <c r="E4211" i="1"/>
  <c r="F4211" i="1" l="1"/>
  <c r="G4211" i="1"/>
  <c r="E4212" i="1"/>
  <c r="F4212" i="1" l="1"/>
  <c r="G4212" i="1"/>
  <c r="E4213" i="1"/>
  <c r="F4213" i="1" l="1"/>
  <c r="G4213" i="1"/>
  <c r="E4214" i="1"/>
  <c r="F4214" i="1" l="1"/>
  <c r="G4214" i="1"/>
  <c r="E4215" i="1"/>
  <c r="F4215" i="1" l="1"/>
  <c r="G4215" i="1"/>
  <c r="E4216" i="1"/>
  <c r="F4216" i="1" l="1"/>
  <c r="G4216" i="1"/>
  <c r="E4217" i="1"/>
  <c r="F4217" i="1" l="1"/>
  <c r="G4217" i="1"/>
  <c r="E4218" i="1"/>
  <c r="F4218" i="1" l="1"/>
  <c r="G4218" i="1"/>
  <c r="E4219" i="1"/>
  <c r="F4219" i="1" l="1"/>
  <c r="G4219" i="1"/>
  <c r="E4220" i="1"/>
  <c r="F4220" i="1" l="1"/>
  <c r="G4220" i="1"/>
  <c r="E4221" i="1"/>
  <c r="F4221" i="1" l="1"/>
  <c r="G4221" i="1"/>
  <c r="E4222" i="1"/>
  <c r="F4222" i="1" l="1"/>
  <c r="G4222" i="1"/>
  <c r="E4223" i="1"/>
  <c r="F4223" i="1" l="1"/>
  <c r="G4223" i="1"/>
  <c r="E4224" i="1"/>
  <c r="F4224" i="1" l="1"/>
  <c r="G4224" i="1"/>
  <c r="E4225" i="1"/>
  <c r="F4225" i="1" l="1"/>
  <c r="G4225" i="1"/>
  <c r="E4226" i="1"/>
  <c r="F4226" i="1" l="1"/>
  <c r="G4226" i="1"/>
  <c r="E4227" i="1"/>
  <c r="F4227" i="1" l="1"/>
  <c r="G4227" i="1"/>
  <c r="C9" i="1"/>
</calcChain>
</file>

<file path=xl/sharedStrings.xml><?xml version="1.0" encoding="utf-8"?>
<sst xmlns="http://schemas.openxmlformats.org/spreadsheetml/2006/main" count="24" uniqueCount="24">
  <si>
    <t>Date</t>
  </si>
  <si>
    <t>GARCH(1,1) Parameters:</t>
  </si>
  <si>
    <t>Returns</t>
  </si>
  <si>
    <t>Residuals</t>
  </si>
  <si>
    <t>In-sample Range</t>
  </si>
  <si>
    <t>Ln(L)</t>
  </si>
  <si>
    <t>Closings</t>
  </si>
  <si>
    <t>GARCH Variances</t>
  </si>
  <si>
    <t>Total in-sample Ln(L)</t>
  </si>
  <si>
    <t>C14:C1011</t>
  </si>
  <si>
    <t>α</t>
  </si>
  <si>
    <t>β</t>
  </si>
  <si>
    <t>α + β</t>
  </si>
  <si>
    <r>
      <t>V</t>
    </r>
    <r>
      <rPr>
        <vertAlign val="subscript"/>
        <sz val="11"/>
        <rFont val="Arial"/>
        <family val="2"/>
      </rPr>
      <t>L</t>
    </r>
  </si>
  <si>
    <t>Estimated</t>
  </si>
  <si>
    <t>Out of Sample Range</t>
  </si>
  <si>
    <t>C1012:C4227</t>
  </si>
  <si>
    <t>Nominal</t>
  </si>
  <si>
    <t>Model</t>
  </si>
  <si>
    <t>Confidence Level (z)</t>
  </si>
  <si>
    <t>Historical Mean (μ)</t>
  </si>
  <si>
    <t>Precision</t>
  </si>
  <si>
    <t>Backtesting Confidence:</t>
  </si>
  <si>
    <t>Backtesting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</si>
</sst>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0"/>
    <numFmt numFmtId="165" formatCode="0.00000"/>
    <numFmt numFmtId="166" formatCode="0.0000"/>
    <numFmt numFmtId="167" formatCode="0.000"/>
    <numFmt numFmtId="168" formatCode="0.00000E+00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1"/>
      <name val="Calibri"/>
      <family val="2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7" fontId="0" fillId="0" borderId="0" xfId="0" applyNumberFormat="1" applyFill="1"/>
    <xf numFmtId="0" fontId="1" fillId="0" borderId="0" xfId="0" applyFont="1" applyFill="1"/>
    <xf numFmtId="166" fontId="0" fillId="0" borderId="0" xfId="0" applyNumberForma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168" fontId="1" fillId="2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168" fontId="0" fillId="3" borderId="0" xfId="0" applyNumberForma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8" fontId="4" fillId="3" borderId="0" xfId="0" applyNumberFormat="1" applyFont="1" applyFill="1" applyAlignment="1">
      <alignment horizontal="center"/>
    </xf>
    <xf numFmtId="0" fontId="4" fillId="0" borderId="0" xfId="0" applyFont="1" applyFill="1"/>
    <xf numFmtId="0" fontId="4" fillId="0" borderId="0" xfId="0" applyFont="1"/>
    <xf numFmtId="168" fontId="2" fillId="3" borderId="0" xfId="0" applyNumberFormat="1" applyFont="1" applyFill="1"/>
    <xf numFmtId="0" fontId="5" fillId="0" borderId="1" xfId="0" applyFont="1" applyFill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166" fontId="5" fillId="3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2" fontId="6" fillId="3" borderId="0" xfId="0" applyNumberFormat="1" applyFont="1" applyFill="1" applyAlignment="1">
      <alignment horizontal="right"/>
    </xf>
    <xf numFmtId="168" fontId="6" fillId="3" borderId="0" xfId="0" applyNumberFormat="1" applyFont="1" applyFill="1" applyAlignment="1">
      <alignment horizontal="right"/>
    </xf>
    <xf numFmtId="164" fontId="5" fillId="3" borderId="0" xfId="0" applyNumberFormat="1" applyFont="1" applyFill="1" applyBorder="1" applyAlignment="1">
      <alignment horizontal="center"/>
    </xf>
    <xf numFmtId="168" fontId="6" fillId="3" borderId="0" xfId="0" applyNumberFormat="1" applyFont="1" applyFill="1" applyAlignment="1">
      <alignment horizontal="center"/>
    </xf>
    <xf numFmtId="168" fontId="8" fillId="3" borderId="0" xfId="0" applyNumberFormat="1" applyFont="1" applyFill="1" applyAlignment="1">
      <alignment horizontal="center"/>
    </xf>
    <xf numFmtId="2" fontId="6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167" fontId="5" fillId="4" borderId="1" xfId="0" applyNumberFormat="1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114300</xdr:rowOff>
        </xdr:from>
        <xdr:to>
          <xdr:col>6</xdr:col>
          <xdr:colOff>276225</xdr:colOff>
          <xdr:row>2</xdr:row>
          <xdr:rowOff>95250</xdr:rowOff>
        </xdr:to>
        <xdr:sp macro="" textlink="">
          <xdr:nvSpPr>
            <xdr:cNvPr id="1027" name="Button 3" descr="Estimate Parameters and call Solve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 Parameters and call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227"/>
  <sheetViews>
    <sheetView tabSelected="1" zoomScaleNormal="100" workbookViewId="0">
      <pane ySplit="12" topLeftCell="A13" activePane="bottomLeft" state="frozen"/>
      <selection pane="bottomLeft" activeCell="H17" sqref="H17"/>
    </sheetView>
  </sheetViews>
  <sheetFormatPr defaultRowHeight="12.75" x14ac:dyDescent="0.2"/>
  <cols>
    <col min="1" max="1" width="14.140625" style="2" customWidth="1"/>
    <col min="2" max="2" width="16.28515625" style="13" customWidth="1"/>
    <col min="3" max="3" width="16.7109375" style="2" customWidth="1"/>
    <col min="4" max="4" width="14.28515625" style="21" customWidth="1"/>
    <col min="5" max="5" width="18" style="21" customWidth="1"/>
    <col min="6" max="6" width="21.7109375" style="2" customWidth="1"/>
    <col min="7" max="7" width="14.5703125" style="2" customWidth="1"/>
    <col min="8" max="8" width="29.85546875" style="3" customWidth="1"/>
    <col min="9" max="9" width="15.140625" style="3" customWidth="1"/>
    <col min="10" max="10" width="15.85546875" style="3" customWidth="1"/>
    <col min="11" max="11" width="8.140625" style="3" customWidth="1"/>
    <col min="12" max="12" width="10.85546875" style="3" customWidth="1"/>
    <col min="13" max="19" width="9.140625" style="3"/>
  </cols>
  <sheetData>
    <row r="1" spans="1:19" s="26" customFormat="1" ht="16.899999999999999" customHeight="1" x14ac:dyDescent="0.25">
      <c r="A1" s="41" t="s">
        <v>1</v>
      </c>
      <c r="B1" s="23"/>
      <c r="C1" s="18"/>
      <c r="D1" s="24"/>
      <c r="E1" s="24"/>
      <c r="F1" s="18"/>
      <c r="G1" s="18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6.899999999999999" customHeight="1" x14ac:dyDescent="0.25">
      <c r="A2" s="32"/>
      <c r="B2" s="38" t="s">
        <v>4</v>
      </c>
      <c r="C2" s="28" t="s">
        <v>9</v>
      </c>
      <c r="D2" s="34" t="s">
        <v>21</v>
      </c>
      <c r="E2" s="44">
        <v>0.01</v>
      </c>
      <c r="F2" s="16"/>
      <c r="G2" s="16"/>
    </row>
    <row r="3" spans="1:19" ht="16.899999999999999" customHeight="1" x14ac:dyDescent="0.25">
      <c r="A3" s="32"/>
      <c r="B3" s="33" t="s">
        <v>20</v>
      </c>
      <c r="C3" s="29">
        <f ca="1">AVERAGE(INDIRECT(C2))</f>
        <v>3.839524151068673E-4</v>
      </c>
      <c r="D3" s="22"/>
      <c r="E3" s="22"/>
      <c r="F3" s="16"/>
      <c r="G3" s="16"/>
    </row>
    <row r="4" spans="1:19" ht="16.899999999999999" customHeight="1" x14ac:dyDescent="0.25">
      <c r="A4" s="32"/>
      <c r="B4" s="33"/>
      <c r="C4" s="35"/>
      <c r="D4" s="22"/>
      <c r="E4" s="39" t="s">
        <v>14</v>
      </c>
      <c r="F4" s="39"/>
      <c r="G4" s="16"/>
    </row>
    <row r="5" spans="1:19" ht="16.899999999999999" customHeight="1" x14ac:dyDescent="0.35">
      <c r="A5" s="41" t="s">
        <v>22</v>
      </c>
      <c r="B5" s="17"/>
      <c r="C5" s="16"/>
      <c r="D5" s="36" t="s">
        <v>13</v>
      </c>
      <c r="E5" s="31">
        <v>6.3149399047521794E-5</v>
      </c>
      <c r="F5" s="31">
        <v>6.5781208856448316E-5</v>
      </c>
      <c r="G5" s="16"/>
    </row>
    <row r="6" spans="1:19" ht="16.899999999999999" customHeight="1" x14ac:dyDescent="0.25">
      <c r="A6" s="41"/>
      <c r="B6" s="19" t="s">
        <v>15</v>
      </c>
      <c r="C6" s="28" t="s">
        <v>16</v>
      </c>
      <c r="D6" s="36" t="s">
        <v>10</v>
      </c>
      <c r="E6" s="31">
        <v>0.04</v>
      </c>
      <c r="F6" s="31">
        <v>3.6771746047060141E-2</v>
      </c>
      <c r="G6" s="16"/>
    </row>
    <row r="7" spans="1:19" ht="16.899999999999999" customHeight="1" x14ac:dyDescent="0.25">
      <c r="A7" s="32"/>
      <c r="B7" s="19" t="s">
        <v>19</v>
      </c>
      <c r="C7" s="28">
        <v>1</v>
      </c>
      <c r="D7" s="37" t="s">
        <v>11</v>
      </c>
      <c r="E7" s="31">
        <v>0.94000000000000006</v>
      </c>
      <c r="F7" s="31">
        <v>0.94940967073571481</v>
      </c>
      <c r="G7" s="16"/>
    </row>
    <row r="8" spans="1:19" ht="16.899999999999999" customHeight="1" x14ac:dyDescent="0.25">
      <c r="A8" s="32"/>
      <c r="B8" s="32" t="s">
        <v>17</v>
      </c>
      <c r="C8" s="30">
        <f>NORMSDIST(C7)-NORMSDIST(-C7)</f>
        <v>0.68268949213708607</v>
      </c>
      <c r="D8" s="37" t="s">
        <v>12</v>
      </c>
      <c r="E8" s="35"/>
      <c r="F8" s="29">
        <f>alpha+beta</f>
        <v>0.98618141678277493</v>
      </c>
      <c r="G8" s="16"/>
    </row>
    <row r="9" spans="1:19" ht="16.899999999999999" customHeight="1" x14ac:dyDescent="0.25">
      <c r="A9" s="19"/>
      <c r="B9" s="42" t="s">
        <v>18</v>
      </c>
      <c r="C9" s="30">
        <f ca="1">AVERAGE(OFFSET(INDIRECT(C6),0,4))</f>
        <v>0.69216417910447758</v>
      </c>
      <c r="D9" s="22"/>
      <c r="E9" s="27"/>
      <c r="F9" s="15"/>
      <c r="G9" s="16"/>
    </row>
    <row r="10" spans="1:19" ht="16.899999999999999" customHeight="1" x14ac:dyDescent="0.25">
      <c r="A10" s="19"/>
      <c r="B10" s="43"/>
      <c r="C10" s="40"/>
      <c r="D10" s="24"/>
      <c r="E10" s="34" t="s">
        <v>8</v>
      </c>
      <c r="F10" s="40">
        <f ca="1">SUM(OFFSET(INDIRECT(C2),0,3))</f>
        <v>4374.4649449890021</v>
      </c>
      <c r="G10" s="16"/>
      <c r="H10"/>
      <c r="I10"/>
      <c r="J10"/>
    </row>
    <row r="11" spans="1:19" ht="16.899999999999999" customHeight="1" x14ac:dyDescent="0.2">
      <c r="A11" s="15"/>
      <c r="B11" s="15"/>
      <c r="C11" s="15"/>
      <c r="D11" s="22"/>
      <c r="E11" s="22"/>
      <c r="F11" s="16"/>
      <c r="G11" s="16"/>
      <c r="H11"/>
      <c r="I11"/>
      <c r="J11"/>
    </row>
    <row r="12" spans="1:19" x14ac:dyDescent="0.2">
      <c r="A12" s="1" t="s">
        <v>0</v>
      </c>
      <c r="B12" s="12" t="s">
        <v>6</v>
      </c>
      <c r="C12" s="1" t="s">
        <v>2</v>
      </c>
      <c r="D12" s="20" t="s">
        <v>3</v>
      </c>
      <c r="E12" s="20" t="s">
        <v>7</v>
      </c>
      <c r="F12" s="1" t="s">
        <v>5</v>
      </c>
      <c r="G12" s="1" t="s">
        <v>23</v>
      </c>
      <c r="H12"/>
      <c r="I12"/>
      <c r="J12"/>
      <c r="S12"/>
    </row>
    <row r="13" spans="1:19" x14ac:dyDescent="0.2">
      <c r="A13" s="2">
        <v>19900322</v>
      </c>
      <c r="B13" s="13">
        <v>2695.72</v>
      </c>
      <c r="H13"/>
      <c r="I13"/>
      <c r="J13"/>
      <c r="S13"/>
    </row>
    <row r="14" spans="1:19" x14ac:dyDescent="0.2">
      <c r="A14" s="2">
        <v>19900323</v>
      </c>
      <c r="B14" s="13">
        <v>2704.28</v>
      </c>
      <c r="C14" s="2">
        <f>(B14-B13)/B13</f>
        <v>3.1754039737066169E-3</v>
      </c>
      <c r="D14" s="21">
        <f t="shared" ref="D14:D77" ca="1" si="0">(C14-mu)</f>
        <v>2.7914515585997497E-3</v>
      </c>
      <c r="E14" s="21">
        <f ca="1">D14^2</f>
        <v>7.7922018040089717E-6</v>
      </c>
      <c r="F14" s="11">
        <f ca="1">(-0.5)*(LN(E14)+D14^2/E14)</f>
        <v>5.3811935465438108</v>
      </c>
      <c r="G14" s="10">
        <f t="shared" ref="G14:G77" ca="1" si="1">IF(AND(C14&lt;=mu+zvalue*SQRT(E14),C14&gt;=mu-zvalue*SQRT(E14)),1,0)</f>
        <v>1</v>
      </c>
      <c r="H14"/>
      <c r="I14"/>
      <c r="J14"/>
      <c r="S14"/>
    </row>
    <row r="15" spans="1:19" x14ac:dyDescent="0.2">
      <c r="A15" s="2">
        <v>19900326</v>
      </c>
      <c r="B15" s="13">
        <v>2707.66</v>
      </c>
      <c r="C15" s="2">
        <f t="shared" ref="C15:C78" si="2">(B15-B14)/B14</f>
        <v>1.2498705755319916E-3</v>
      </c>
      <c r="D15" s="21">
        <f t="shared" ca="1" si="0"/>
        <v>8.6591816042512427E-4</v>
      </c>
      <c r="E15" s="21">
        <f ca="1">(1-alpha-beta)*longvar+alpha*D14^2+beta*E14</f>
        <v>8.5935277236473558E-6</v>
      </c>
      <c r="F15" s="11">
        <f t="shared" ref="F15:F78" ca="1" si="3">(-0.5)*(LN(E15)+D15^2/E15)</f>
        <v>5.7886239287814263</v>
      </c>
      <c r="G15" s="10">
        <f t="shared" ca="1" si="1"/>
        <v>1</v>
      </c>
      <c r="H15"/>
      <c r="I15"/>
      <c r="J15"/>
      <c r="R15"/>
      <c r="S15"/>
    </row>
    <row r="16" spans="1:19" x14ac:dyDescent="0.2">
      <c r="A16" s="2">
        <v>19900327</v>
      </c>
      <c r="B16" s="13">
        <v>2736.94</v>
      </c>
      <c r="C16" s="2">
        <f>(B16-B15)/B15</f>
        <v>1.081376539151895E-2</v>
      </c>
      <c r="D16" s="21">
        <f t="shared" ca="1" si="0"/>
        <v>1.0429812976412083E-2</v>
      </c>
      <c r="E16" s="21">
        <f t="shared" ref="E16:E78" ca="1" si="4">(1-alpha-beta)*longvar+alpha*D15^2+beta*E15</f>
        <v>9.0953534148503228E-6</v>
      </c>
      <c r="F16" s="11">
        <f ca="1">(-0.5)*(LN(E16)+D16^2/E16)</f>
        <v>-0.17615799380260899</v>
      </c>
      <c r="G16" s="10">
        <f t="shared" ca="1" si="1"/>
        <v>0</v>
      </c>
      <c r="H16"/>
      <c r="I16"/>
      <c r="J16"/>
      <c r="R16"/>
      <c r="S16"/>
    </row>
    <row r="17" spans="1:19" x14ac:dyDescent="0.2">
      <c r="A17" s="2">
        <v>19900328</v>
      </c>
      <c r="B17" s="13">
        <v>2743.69</v>
      </c>
      <c r="C17" s="2">
        <f t="shared" si="2"/>
        <v>2.4662579376968437E-3</v>
      </c>
      <c r="D17" s="21">
        <f t="shared" ca="1" si="0"/>
        <v>2.0823055225899765E-3</v>
      </c>
      <c r="E17" s="21">
        <f ca="1">(1-alpha-beta)*longvar+alpha*D16^2+beta*E16</f>
        <v>1.3544286859315796E-5</v>
      </c>
      <c r="F17" s="11">
        <f t="shared" ca="1" si="3"/>
        <v>5.4447055138590983</v>
      </c>
      <c r="G17" s="10">
        <f t="shared" ca="1" si="1"/>
        <v>1</v>
      </c>
      <c r="H17"/>
      <c r="I17"/>
      <c r="J17"/>
      <c r="R17"/>
      <c r="S17"/>
    </row>
    <row r="18" spans="1:19" x14ac:dyDescent="0.2">
      <c r="A18" s="2">
        <v>19900329</v>
      </c>
      <c r="B18" s="13">
        <v>2727.7</v>
      </c>
      <c r="C18" s="2">
        <f>(B18-B17)/B17</f>
        <v>-5.82791787701972E-3</v>
      </c>
      <c r="D18" s="21">
        <f t="shared" ca="1" si="0"/>
        <v>-6.2118702921265872E-3</v>
      </c>
      <c r="E18" s="21">
        <f t="shared" ca="1" si="4"/>
        <v>1.3927522190580704E-5</v>
      </c>
      <c r="F18" s="11">
        <f t="shared" ca="1" si="3"/>
        <v>4.2055311812518035</v>
      </c>
      <c r="G18" s="10">
        <f t="shared" ca="1" si="1"/>
        <v>0</v>
      </c>
      <c r="H18"/>
      <c r="I18"/>
      <c r="J18"/>
      <c r="R18"/>
      <c r="S18"/>
    </row>
    <row r="19" spans="1:19" x14ac:dyDescent="0.2">
      <c r="A19" s="2">
        <v>19900330</v>
      </c>
      <c r="B19" s="13">
        <v>2707.21</v>
      </c>
      <c r="C19" s="2">
        <f>(B19-B18)/B18</f>
        <v>-7.5118231477067799E-3</v>
      </c>
      <c r="D19" s="21">
        <f t="shared" ca="1" si="0"/>
        <v>-7.8957755628136471E-3</v>
      </c>
      <c r="E19" s="21">
        <f t="shared" ca="1" si="4"/>
        <v>1.5550850958123148E-5</v>
      </c>
      <c r="F19" s="11">
        <f t="shared" ca="1" si="3"/>
        <v>3.5312004842045344</v>
      </c>
      <c r="G19" s="10">
        <f t="shared" ca="1" si="1"/>
        <v>0</v>
      </c>
      <c r="H19"/>
      <c r="I19"/>
      <c r="J19"/>
      <c r="R19"/>
      <c r="S19"/>
    </row>
    <row r="20" spans="1:19" x14ac:dyDescent="0.2">
      <c r="A20" s="2">
        <v>19900402</v>
      </c>
      <c r="B20" s="13">
        <v>2700.45</v>
      </c>
      <c r="C20" s="2">
        <f t="shared" si="2"/>
        <v>-2.4970356935739074E-3</v>
      </c>
      <c r="D20" s="21">
        <f t="shared" ca="1" si="0"/>
        <v>-2.8809881086807746E-3</v>
      </c>
      <c r="E20" s="21">
        <f t="shared" ca="1" si="4"/>
        <v>1.7965602352628922E-5</v>
      </c>
      <c r="F20" s="11">
        <f t="shared" ca="1" si="3"/>
        <v>5.2325262442210683</v>
      </c>
      <c r="G20" s="10">
        <f t="shared" ca="1" si="1"/>
        <v>1</v>
      </c>
      <c r="H20"/>
      <c r="I20"/>
      <c r="J20"/>
      <c r="R20"/>
      <c r="S20"/>
    </row>
    <row r="21" spans="1:19" x14ac:dyDescent="0.2">
      <c r="A21" s="2">
        <v>19900403</v>
      </c>
      <c r="B21" s="13">
        <v>2736.71</v>
      </c>
      <c r="C21" s="2">
        <f t="shared" si="2"/>
        <v>1.3427391731007876E-2</v>
      </c>
      <c r="D21" s="21">
        <f t="shared" ca="1" si="0"/>
        <v>1.3043439315901009E-2</v>
      </c>
      <c r="E21" s="21">
        <f t="shared" ca="1" si="4"/>
        <v>1.8270928615819158E-5</v>
      </c>
      <c r="F21" s="11">
        <f t="shared" ca="1" si="3"/>
        <v>0.79930706164544585</v>
      </c>
      <c r="G21" s="10">
        <f t="shared" ca="1" si="1"/>
        <v>0</v>
      </c>
      <c r="H21"/>
      <c r="I21"/>
      <c r="J21"/>
      <c r="R21"/>
      <c r="S21"/>
    </row>
    <row r="22" spans="1:19" x14ac:dyDescent="0.2">
      <c r="A22" s="2">
        <v>19900404</v>
      </c>
      <c r="B22" s="13">
        <v>2719.37</v>
      </c>
      <c r="C22" s="2">
        <f t="shared" si="2"/>
        <v>-6.3360750682389241E-3</v>
      </c>
      <c r="D22" s="21">
        <f t="shared" ca="1" si="0"/>
        <v>-6.7200274833457913E-3</v>
      </c>
      <c r="E22" s="21">
        <f t="shared" ca="1" si="4"/>
        <v>2.4511624725993118E-5</v>
      </c>
      <c r="F22" s="11">
        <f t="shared" ca="1" si="3"/>
        <v>4.3870110745434472</v>
      </c>
      <c r="G22" s="10">
        <f t="shared" ca="1" si="1"/>
        <v>0</v>
      </c>
      <c r="H22"/>
      <c r="I22"/>
      <c r="J22"/>
      <c r="R22"/>
      <c r="S22"/>
    </row>
    <row r="23" spans="1:19" x14ac:dyDescent="0.2">
      <c r="A23" s="2">
        <v>19900405</v>
      </c>
      <c r="B23" s="13">
        <v>2721.17</v>
      </c>
      <c r="C23" s="2">
        <f>(B23-B22)/B22</f>
        <v>6.6191801777624299E-4</v>
      </c>
      <c r="D23" s="21">
        <f t="shared" ca="1" si="0"/>
        <v>2.7796560266937569E-4</v>
      </c>
      <c r="E23" s="21">
        <f t="shared" ca="1" si="4"/>
        <v>2.5841143468340986E-5</v>
      </c>
      <c r="F23" s="11">
        <f t="shared" ca="1" si="3"/>
        <v>5.2802763168402462</v>
      </c>
      <c r="G23" s="10">
        <f t="shared" ca="1" si="1"/>
        <v>1</v>
      </c>
      <c r="H23"/>
      <c r="I23"/>
      <c r="J23"/>
      <c r="R23"/>
      <c r="S23"/>
    </row>
    <row r="24" spans="1:19" x14ac:dyDescent="0.2">
      <c r="A24" s="2">
        <v>19900406</v>
      </c>
      <c r="B24" s="13">
        <v>2717.12</v>
      </c>
      <c r="C24" s="2">
        <f t="shared" si="2"/>
        <v>-1.4883303872967077E-3</v>
      </c>
      <c r="D24" s="21">
        <f t="shared" ca="1" si="0"/>
        <v>-1.8722828024035749E-3</v>
      </c>
      <c r="E24" s="21">
        <f t="shared" ca="1" si="4"/>
        <v>2.5445675784832937E-5</v>
      </c>
      <c r="F24" s="11">
        <f t="shared" ca="1" si="3"/>
        <v>5.2206014542146528</v>
      </c>
      <c r="G24" s="10">
        <f t="shared" ca="1" si="1"/>
        <v>1</v>
      </c>
      <c r="H24"/>
      <c r="I24"/>
      <c r="J24"/>
      <c r="K24" s="14"/>
      <c r="S24"/>
    </row>
    <row r="25" spans="1:19" x14ac:dyDescent="0.2">
      <c r="A25" s="2">
        <v>19900409</v>
      </c>
      <c r="B25" s="13">
        <v>2722.07</v>
      </c>
      <c r="C25" s="2">
        <f t="shared" si="2"/>
        <v>1.821781886703669E-3</v>
      </c>
      <c r="D25" s="21">
        <f t="shared" ca="1" si="0"/>
        <v>1.4378294715968018E-3</v>
      </c>
      <c r="E25" s="21">
        <f t="shared" ca="1" si="4"/>
        <v>2.5196275033052059E-5</v>
      </c>
      <c r="F25" s="11">
        <f t="shared" ca="1" si="3"/>
        <v>5.2533822106810808</v>
      </c>
      <c r="G25" s="10">
        <f t="shared" ca="1" si="1"/>
        <v>1</v>
      </c>
      <c r="H25"/>
      <c r="I25"/>
      <c r="J25"/>
      <c r="S25"/>
    </row>
    <row r="26" spans="1:19" x14ac:dyDescent="0.2">
      <c r="A26" s="2">
        <v>19900410</v>
      </c>
      <c r="B26" s="13">
        <v>2731.08</v>
      </c>
      <c r="C26" s="2">
        <f>(B26-B25)/B25</f>
        <v>3.3099810071011261E-3</v>
      </c>
      <c r="D26" s="21">
        <f t="shared" ca="1" si="0"/>
        <v>2.926028591994259E-3</v>
      </c>
      <c r="E26" s="21">
        <f t="shared" ca="1" si="4"/>
        <v>2.4906610492787574E-5</v>
      </c>
      <c r="F26" s="11">
        <f t="shared" ca="1" si="3"/>
        <v>5.1283137350619885</v>
      </c>
      <c r="G26" s="10">
        <f t="shared" ca="1" si="1"/>
        <v>1</v>
      </c>
      <c r="H26"/>
      <c r="I26"/>
      <c r="J26"/>
      <c r="K26" s="4"/>
      <c r="S26"/>
    </row>
    <row r="27" spans="1:19" x14ac:dyDescent="0.2">
      <c r="A27" s="2">
        <v>19900411</v>
      </c>
      <c r="B27" s="13">
        <v>2729.73</v>
      </c>
      <c r="C27" s="2">
        <f t="shared" si="2"/>
        <v>-4.9430994331909326E-4</v>
      </c>
      <c r="D27" s="21">
        <f t="shared" ca="1" si="0"/>
        <v>-8.7826235842596056E-4</v>
      </c>
      <c r="E27" s="21">
        <f t="shared" ca="1" si="4"/>
        <v>2.4870406549764137E-5</v>
      </c>
      <c r="F27" s="11">
        <f t="shared" ca="1" si="3"/>
        <v>5.285408695556864</v>
      </c>
      <c r="G27" s="10">
        <f t="shared" ca="1" si="1"/>
        <v>1</v>
      </c>
      <c r="H27"/>
      <c r="I27"/>
      <c r="J27"/>
      <c r="K27" s="4"/>
      <c r="S27"/>
    </row>
    <row r="28" spans="1:19" x14ac:dyDescent="0.2">
      <c r="A28" s="2">
        <v>19900412</v>
      </c>
      <c r="B28" s="13">
        <v>2751.8</v>
      </c>
      <c r="C28" s="2">
        <f t="shared" si="2"/>
        <v>8.0850487044506827E-3</v>
      </c>
      <c r="D28" s="21">
        <f t="shared" ca="1" si="0"/>
        <v>7.7010962893438156E-3</v>
      </c>
      <c r="E28" s="21">
        <f t="shared" ca="1" si="4"/>
        <v>2.4549571296192978E-5</v>
      </c>
      <c r="F28" s="11">
        <f t="shared" ca="1" si="3"/>
        <v>4.0995074778624652</v>
      </c>
      <c r="G28" s="10">
        <f t="shared" ca="1" si="1"/>
        <v>0</v>
      </c>
      <c r="H28"/>
      <c r="I28"/>
      <c r="J28"/>
      <c r="S28"/>
    </row>
    <row r="29" spans="1:19" x14ac:dyDescent="0.2">
      <c r="A29" s="2">
        <v>19900416</v>
      </c>
      <c r="B29" s="13">
        <v>2763.06</v>
      </c>
      <c r="C29" s="2">
        <f t="shared" si="2"/>
        <v>4.091867141507291E-3</v>
      </c>
      <c r="D29" s="21">
        <f t="shared" ca="1" si="0"/>
        <v>3.7079147264004238E-3</v>
      </c>
      <c r="E29" s="21">
        <f t="shared" ca="1" si="4"/>
        <v>2.6397421189147868E-5</v>
      </c>
      <c r="F29" s="11">
        <f t="shared" ca="1" si="3"/>
        <v>5.0107059290266429</v>
      </c>
      <c r="G29" s="10">
        <f t="shared" ca="1" si="1"/>
        <v>1</v>
      </c>
      <c r="H29"/>
      <c r="I29"/>
      <c r="J29"/>
      <c r="S29"/>
    </row>
    <row r="30" spans="1:19" x14ac:dyDescent="0.2">
      <c r="A30" s="2">
        <v>19900417</v>
      </c>
      <c r="B30" s="13">
        <v>2765.77</v>
      </c>
      <c r="C30" s="2">
        <f t="shared" si="2"/>
        <v>9.8079665298619521E-4</v>
      </c>
      <c r="D30" s="21">
        <f t="shared" ca="1" si="0"/>
        <v>5.9684423787932791E-4</v>
      </c>
      <c r="E30" s="21">
        <f t="shared" ca="1" si="4"/>
        <v>2.6476531258534484E-5</v>
      </c>
      <c r="F30" s="11">
        <f t="shared" ca="1" si="3"/>
        <v>5.2628987679590713</v>
      </c>
      <c r="G30" s="10">
        <f t="shared" ca="1" si="1"/>
        <v>1</v>
      </c>
      <c r="H30"/>
      <c r="I30"/>
      <c r="J30"/>
      <c r="S30"/>
    </row>
    <row r="31" spans="1:19" x14ac:dyDescent="0.2">
      <c r="A31" s="2">
        <v>19900418</v>
      </c>
      <c r="B31" s="13">
        <v>2732.88</v>
      </c>
      <c r="C31" s="2">
        <f t="shared" si="2"/>
        <v>-1.1891805898538155E-2</v>
      </c>
      <c r="D31" s="21">
        <f t="shared" ca="1" si="0"/>
        <v>-1.2275758313645023E-2</v>
      </c>
      <c r="E31" s="21">
        <f t="shared" ca="1" si="4"/>
        <v>2.6059176876422314E-5</v>
      </c>
      <c r="F31" s="11">
        <f t="shared" ca="1" si="3"/>
        <v>2.3861849809833404</v>
      </c>
      <c r="G31" s="10">
        <f t="shared" ca="1" si="1"/>
        <v>0</v>
      </c>
      <c r="H31"/>
      <c r="I31"/>
      <c r="J31"/>
      <c r="S31"/>
    </row>
    <row r="32" spans="1:19" x14ac:dyDescent="0.2">
      <c r="A32" s="2">
        <v>19900419</v>
      </c>
      <c r="B32" s="13">
        <v>2711.94</v>
      </c>
      <c r="C32" s="2">
        <f t="shared" si="2"/>
        <v>-7.6622464213577084E-3</v>
      </c>
      <c r="D32" s="21">
        <f t="shared" ca="1" si="0"/>
        <v>-8.0461988364645756E-3</v>
      </c>
      <c r="E32" s="21">
        <f t="shared" ca="1" si="4"/>
        <v>3.1191128050614552E-5</v>
      </c>
      <c r="F32" s="11">
        <f t="shared" ca="1" si="3"/>
        <v>4.1498722346125705</v>
      </c>
      <c r="G32" s="10">
        <f t="shared" ca="1" si="1"/>
        <v>0</v>
      </c>
      <c r="H32"/>
      <c r="I32"/>
      <c r="J32"/>
      <c r="S32"/>
    </row>
    <row r="33" spans="1:19" x14ac:dyDescent="0.2">
      <c r="A33" s="2">
        <v>19900420</v>
      </c>
      <c r="B33" s="13">
        <v>2695.95</v>
      </c>
      <c r="C33" s="2">
        <f t="shared" si="2"/>
        <v>-5.8961481448705491E-3</v>
      </c>
      <c r="D33" s="21">
        <f t="shared" ca="1" si="0"/>
        <v>-6.2801005599774163E-3</v>
      </c>
      <c r="E33" s="21">
        <f t="shared" ca="1" si="4"/>
        <v>3.290281294138047E-5</v>
      </c>
      <c r="F33" s="11">
        <f t="shared" ca="1" si="3"/>
        <v>4.561640468759192</v>
      </c>
      <c r="G33" s="10">
        <f t="shared" ca="1" si="1"/>
        <v>0</v>
      </c>
      <c r="H33"/>
      <c r="I33"/>
      <c r="J33"/>
      <c r="S33"/>
    </row>
    <row r="34" spans="1:19" x14ac:dyDescent="0.2">
      <c r="A34" s="2">
        <v>19900423</v>
      </c>
      <c r="B34" s="13">
        <v>2666.67</v>
      </c>
      <c r="C34" s="2">
        <f t="shared" si="2"/>
        <v>-1.0860735547765999E-2</v>
      </c>
      <c r="D34" s="21">
        <f t="shared" ca="1" si="0"/>
        <v>-1.1244687962872866E-2</v>
      </c>
      <c r="E34" s="21">
        <f t="shared" ca="1" si="4"/>
        <v>3.3597517183281922E-5</v>
      </c>
      <c r="F34" s="11">
        <f t="shared" ca="1" si="3"/>
        <v>3.2687977743312393</v>
      </c>
      <c r="G34" s="10">
        <f t="shared" ca="1" si="1"/>
        <v>0</v>
      </c>
      <c r="H34"/>
      <c r="I34"/>
      <c r="J34"/>
      <c r="K34" s="6"/>
      <c r="L34" s="6"/>
    </row>
    <row r="35" spans="1:19" x14ac:dyDescent="0.2">
      <c r="A35" s="2">
        <v>19900424</v>
      </c>
      <c r="B35" s="13">
        <v>2654.5</v>
      </c>
      <c r="C35" s="2">
        <f t="shared" si="2"/>
        <v>-4.5637442953196583E-3</v>
      </c>
      <c r="D35" s="21">
        <f t="shared" ca="1" si="0"/>
        <v>-4.9476967104265255E-3</v>
      </c>
      <c r="E35" s="21">
        <f t="shared" ca="1" si="4"/>
        <v>3.7456340992121057E-5</v>
      </c>
      <c r="F35" s="11">
        <f t="shared" ca="1" si="3"/>
        <v>4.7693907888934959</v>
      </c>
      <c r="G35" s="10">
        <f t="shared" ca="1" si="1"/>
        <v>1</v>
      </c>
      <c r="H35"/>
      <c r="I35"/>
      <c r="J35"/>
      <c r="K35" s="6"/>
      <c r="L35" s="6"/>
    </row>
    <row r="36" spans="1:19" x14ac:dyDescent="0.2">
      <c r="A36" s="2">
        <v>19900425</v>
      </c>
      <c r="B36" s="13">
        <v>2666.44</v>
      </c>
      <c r="C36" s="2">
        <f t="shared" si="2"/>
        <v>4.4980222264080069E-3</v>
      </c>
      <c r="D36" s="21">
        <f t="shared" ca="1" si="0"/>
        <v>4.1140698113011397E-3</v>
      </c>
      <c r="E36" s="21">
        <f t="shared" ca="1" si="4"/>
        <v>3.7370576889409503E-5</v>
      </c>
      <c r="F36" s="11">
        <f t="shared" ca="1" si="3"/>
        <v>4.8708576033497115</v>
      </c>
      <c r="G36" s="10">
        <f t="shared" ca="1" si="1"/>
        <v>1</v>
      </c>
      <c r="H36"/>
      <c r="I36"/>
      <c r="J36"/>
      <c r="K36" s="6"/>
      <c r="L36" s="6"/>
    </row>
    <row r="37" spans="1:19" x14ac:dyDescent="0.2">
      <c r="A37" s="2">
        <v>19900426</v>
      </c>
      <c r="B37" s="13">
        <v>2676.58</v>
      </c>
      <c r="C37" s="2">
        <f t="shared" si="2"/>
        <v>3.8028232399753502E-3</v>
      </c>
      <c r="D37" s="21">
        <f t="shared" ca="1" si="0"/>
        <v>3.418870824868483E-3</v>
      </c>
      <c r="E37" s="21">
        <f t="shared" ca="1" si="4"/>
        <v>3.701137298539172E-5</v>
      </c>
      <c r="F37" s="11">
        <f t="shared" ca="1" si="3"/>
        <v>4.9442360900003202</v>
      </c>
      <c r="G37" s="10">
        <f t="shared" ca="1" si="1"/>
        <v>1</v>
      </c>
      <c r="H37" s="5"/>
      <c r="I37" s="6"/>
      <c r="J37" s="6"/>
      <c r="K37" s="6"/>
      <c r="L37" s="6"/>
    </row>
    <row r="38" spans="1:19" x14ac:dyDescent="0.2">
      <c r="A38" s="2">
        <v>19900427</v>
      </c>
      <c r="B38" s="13">
        <v>2645.05</v>
      </c>
      <c r="C38" s="2">
        <f t="shared" si="2"/>
        <v>-1.1779958006112182E-2</v>
      </c>
      <c r="D38" s="21">
        <f t="shared" ca="1" si="0"/>
        <v>-1.2163910421219049E-2</v>
      </c>
      <c r="E38" s="21">
        <f t="shared" ca="1" si="4"/>
        <v>3.6477771636890469E-5</v>
      </c>
      <c r="F38" s="11">
        <f t="shared" ca="1" si="3"/>
        <v>3.0813095044242695</v>
      </c>
      <c r="G38" s="10">
        <f t="shared" ca="1" si="1"/>
        <v>0</v>
      </c>
      <c r="H38" s="5"/>
      <c r="I38" s="6"/>
      <c r="J38" s="6"/>
      <c r="K38" s="6"/>
      <c r="L38" s="6"/>
    </row>
    <row r="39" spans="1:19" x14ac:dyDescent="0.2">
      <c r="A39" s="2">
        <v>19900430</v>
      </c>
      <c r="B39" s="13">
        <v>2656.76</v>
      </c>
      <c r="C39" s="2">
        <f t="shared" si="2"/>
        <v>4.427137483223393E-3</v>
      </c>
      <c r="D39" s="21">
        <f t="shared" ca="1" si="0"/>
        <v>4.0431850681165258E-3</v>
      </c>
      <c r="E39" s="21">
        <f t="shared" ca="1" si="4"/>
        <v>4.098212616840192E-5</v>
      </c>
      <c r="F39" s="11">
        <f t="shared" ca="1" si="3"/>
        <v>4.8517424474286051</v>
      </c>
      <c r="G39" s="10">
        <f t="shared" ca="1" si="1"/>
        <v>1</v>
      </c>
      <c r="H39" s="7"/>
    </row>
    <row r="40" spans="1:19" x14ac:dyDescent="0.2">
      <c r="A40" s="2">
        <v>19900501</v>
      </c>
      <c r="B40" s="13">
        <v>2668.92</v>
      </c>
      <c r="C40" s="2">
        <f t="shared" si="2"/>
        <v>4.5770035682560165E-3</v>
      </c>
      <c r="D40" s="21">
        <f t="shared" ca="1" si="0"/>
        <v>4.1930511531491493E-3</v>
      </c>
      <c r="E40" s="21">
        <f t="shared" ca="1" si="4"/>
        <v>4.0418950457391663E-5</v>
      </c>
      <c r="F40" s="11">
        <f t="shared" ca="1" si="3"/>
        <v>4.8406129013090728</v>
      </c>
      <c r="G40" s="10">
        <f t="shared" ca="1" si="1"/>
        <v>1</v>
      </c>
      <c r="H40" s="4"/>
      <c r="I40" s="4"/>
      <c r="J40" s="4"/>
      <c r="K40" s="4"/>
      <c r="L40" s="4"/>
    </row>
    <row r="41" spans="1:19" x14ac:dyDescent="0.2">
      <c r="A41" s="2">
        <v>19900502</v>
      </c>
      <c r="B41" s="13">
        <v>2689.64</v>
      </c>
      <c r="C41" s="2">
        <f t="shared" si="2"/>
        <v>7.7634398932900943E-3</v>
      </c>
      <c r="D41" s="21">
        <f t="shared" ca="1" si="0"/>
        <v>7.3794874781832271E-3</v>
      </c>
      <c r="E41" s="21">
        <f t="shared" ca="1" si="4"/>
        <v>3.9929654551449483E-5</v>
      </c>
      <c r="F41" s="11">
        <f t="shared" ca="1" si="3"/>
        <v>4.382285970084502</v>
      </c>
      <c r="G41" s="10">
        <f t="shared" ca="1" si="1"/>
        <v>0</v>
      </c>
      <c r="H41" s="4"/>
      <c r="I41" s="8"/>
      <c r="J41" s="8"/>
      <c r="K41" s="8"/>
      <c r="L41" s="8"/>
    </row>
    <row r="42" spans="1:19" x14ac:dyDescent="0.2">
      <c r="A42" s="2">
        <v>19900503</v>
      </c>
      <c r="B42" s="13">
        <v>2696.17</v>
      </c>
      <c r="C42" s="2">
        <f t="shared" si="2"/>
        <v>2.4278342082956084E-3</v>
      </c>
      <c r="D42" s="21">
        <f t="shared" ca="1" si="0"/>
        <v>2.0438817931887412E-3</v>
      </c>
      <c r="E42" s="21">
        <f t="shared" ca="1" si="4"/>
        <v>4.0821076212345592E-5</v>
      </c>
      <c r="F42" s="11">
        <f t="shared" ca="1" si="3"/>
        <v>5.0019881756984423</v>
      </c>
      <c r="G42" s="10">
        <f t="shared" ca="1" si="1"/>
        <v>1</v>
      </c>
      <c r="H42" s="9"/>
      <c r="I42" s="8"/>
      <c r="J42" s="8"/>
      <c r="K42" s="8"/>
      <c r="L42" s="8"/>
    </row>
    <row r="43" spans="1:19" x14ac:dyDescent="0.2">
      <c r="A43" s="2">
        <v>19900504</v>
      </c>
      <c r="B43" s="13">
        <v>2710.36</v>
      </c>
      <c r="C43" s="2">
        <f t="shared" si="2"/>
        <v>5.2630212486601564E-3</v>
      </c>
      <c r="D43" s="21">
        <f t="shared" ca="1" si="0"/>
        <v>4.8790688335532892E-3</v>
      </c>
      <c r="E43" s="21">
        <f t="shared" ca="1" si="4"/>
        <v>3.9818539867469303E-5</v>
      </c>
      <c r="F43" s="11">
        <f t="shared" ca="1" si="3"/>
        <v>4.7666664928472056</v>
      </c>
      <c r="G43" s="10">
        <f t="shared" ca="1" si="1"/>
        <v>1</v>
      </c>
      <c r="H43" s="9"/>
      <c r="I43" s="8"/>
      <c r="J43" s="8"/>
      <c r="K43" s="8"/>
      <c r="L43" s="8"/>
    </row>
    <row r="44" spans="1:19" x14ac:dyDescent="0.2">
      <c r="A44" s="2">
        <v>19900507</v>
      </c>
      <c r="B44" s="13">
        <v>2721.62</v>
      </c>
      <c r="C44" s="2">
        <f t="shared" si="2"/>
        <v>4.1544296698592673E-3</v>
      </c>
      <c r="D44" s="21">
        <f t="shared" ca="1" si="0"/>
        <v>3.7704772547524001E-3</v>
      </c>
      <c r="E44" s="21">
        <f t="shared" ca="1" si="4"/>
        <v>3.9588472845997086E-5</v>
      </c>
      <c r="F44" s="11">
        <f t="shared" ca="1" si="3"/>
        <v>4.8889327731531171</v>
      </c>
      <c r="G44" s="10">
        <f t="shared" ca="1" si="1"/>
        <v>1</v>
      </c>
      <c r="H44" s="9"/>
      <c r="I44" s="8"/>
      <c r="J44" s="8"/>
      <c r="K44" s="8"/>
      <c r="L44" s="8"/>
    </row>
    <row r="45" spans="1:19" x14ac:dyDescent="0.2">
      <c r="A45" s="2">
        <v>19900508</v>
      </c>
      <c r="B45" s="13">
        <v>2733.56</v>
      </c>
      <c r="C45" s="2">
        <f t="shared" si="2"/>
        <v>4.3870929813861065E-3</v>
      </c>
      <c r="D45" s="21">
        <f t="shared" ca="1" si="0"/>
        <v>4.0031405662792393E-3</v>
      </c>
      <c r="E45" s="21">
        <f t="shared" ca="1" si="4"/>
        <v>3.9017447559286997E-5</v>
      </c>
      <c r="F45" s="11">
        <f t="shared" ca="1" si="3"/>
        <v>4.8703922502834738</v>
      </c>
      <c r="G45" s="10">
        <f t="shared" ca="1" si="1"/>
        <v>1</v>
      </c>
      <c r="H45" s="5"/>
      <c r="I45" s="6"/>
      <c r="J45" s="6"/>
      <c r="K45" s="6"/>
      <c r="L45" s="6"/>
    </row>
    <row r="46" spans="1:19" x14ac:dyDescent="0.2">
      <c r="A46" s="2">
        <v>19900509</v>
      </c>
      <c r="B46" s="13">
        <v>2732.88</v>
      </c>
      <c r="C46" s="2">
        <f t="shared" si="2"/>
        <v>-2.4875985893846715E-4</v>
      </c>
      <c r="D46" s="21">
        <f t="shared" ca="1" si="0"/>
        <v>-6.327122740453345E-4</v>
      </c>
      <c r="E46" s="21">
        <f t="shared" ca="1" si="4"/>
        <v>3.8541817321206946E-5</v>
      </c>
      <c r="F46" s="11">
        <f t="shared" ca="1" si="3"/>
        <v>5.0766899881740368</v>
      </c>
      <c r="G46" s="10">
        <f t="shared" ca="1" si="1"/>
        <v>1</v>
      </c>
      <c r="H46" s="5"/>
      <c r="I46" s="6"/>
      <c r="J46" s="6"/>
      <c r="K46" s="6"/>
      <c r="L46" s="6"/>
    </row>
    <row r="47" spans="1:19" x14ac:dyDescent="0.2">
      <c r="A47" s="2">
        <v>19900510</v>
      </c>
      <c r="B47" s="13">
        <v>2738.51</v>
      </c>
      <c r="C47" s="2">
        <f t="shared" si="2"/>
        <v>2.0600977723134969E-3</v>
      </c>
      <c r="D47" s="21">
        <f t="shared" ca="1" si="0"/>
        <v>1.6761453572066297E-3</v>
      </c>
      <c r="E47" s="21">
        <f t="shared" ca="1" si="4"/>
        <v>3.7515697843876553E-5</v>
      </c>
      <c r="F47" s="11">
        <f t="shared" ca="1" si="3"/>
        <v>5.0579317159250028</v>
      </c>
      <c r="G47" s="10">
        <f t="shared" ca="1" si="1"/>
        <v>1</v>
      </c>
      <c r="H47" s="5"/>
      <c r="I47" s="6"/>
      <c r="J47" s="6"/>
      <c r="K47" s="6"/>
      <c r="L47" s="6"/>
    </row>
    <row r="48" spans="1:19" x14ac:dyDescent="0.2">
      <c r="A48" s="2">
        <v>19900511</v>
      </c>
      <c r="B48" s="13">
        <v>2801.58</v>
      </c>
      <c r="C48" s="2">
        <f t="shared" si="2"/>
        <v>2.303077220824452E-2</v>
      </c>
      <c r="D48" s="21">
        <f t="shared" ca="1" si="0"/>
        <v>2.2646819793137651E-2</v>
      </c>
      <c r="E48" s="21">
        <f t="shared" ca="1" si="4"/>
        <v>3.6630078315557462E-5</v>
      </c>
      <c r="F48" s="11">
        <f t="shared" ca="1" si="3"/>
        <v>-1.893462409466526</v>
      </c>
      <c r="G48" s="10">
        <f t="shared" ca="1" si="1"/>
        <v>0</v>
      </c>
      <c r="H48" s="5"/>
      <c r="I48" s="6"/>
      <c r="J48" s="6"/>
      <c r="K48" s="6"/>
      <c r="L48" s="6"/>
    </row>
    <row r="49" spans="1:7" x14ac:dyDescent="0.2">
      <c r="A49" s="2">
        <v>19900514</v>
      </c>
      <c r="B49" s="13">
        <v>2821.53</v>
      </c>
      <c r="C49" s="2">
        <f t="shared" si="2"/>
        <v>7.1209817317371884E-3</v>
      </c>
      <c r="D49" s="21">
        <f t="shared" ca="1" si="0"/>
        <v>6.7370293166303212E-3</v>
      </c>
      <c r="E49" s="21">
        <f t="shared" ca="1" si="4"/>
        <v>5.454538969794814E-5</v>
      </c>
      <c r="F49" s="11">
        <f t="shared" ca="1" si="3"/>
        <v>4.4921855174551393</v>
      </c>
      <c r="G49" s="10">
        <f t="shared" ca="1" si="1"/>
        <v>1</v>
      </c>
    </row>
    <row r="50" spans="1:7" x14ac:dyDescent="0.2">
      <c r="A50" s="2">
        <v>19900515</v>
      </c>
      <c r="B50" s="13">
        <v>2822.45</v>
      </c>
      <c r="C50" s="2">
        <f t="shared" si="2"/>
        <v>3.2606422756434203E-4</v>
      </c>
      <c r="D50" s="21">
        <f t="shared" ca="1" si="0"/>
        <v>-5.7888187542525264E-5</v>
      </c>
      <c r="E50" s="21">
        <f t="shared" ca="1" si="4"/>
        <v>5.4363903559578423E-5</v>
      </c>
      <c r="F50" s="11">
        <f t="shared" ca="1" si="3"/>
        <v>4.9098742604530017</v>
      </c>
      <c r="G50" s="10">
        <f t="shared" ca="1" si="1"/>
        <v>1</v>
      </c>
    </row>
    <row r="51" spans="1:7" x14ac:dyDescent="0.2">
      <c r="A51" s="2">
        <v>19900516</v>
      </c>
      <c r="B51" s="13">
        <v>2819.68</v>
      </c>
      <c r="C51" s="2">
        <f t="shared" si="2"/>
        <v>-9.8141685415152873E-4</v>
      </c>
      <c r="D51" s="21">
        <f t="shared" ca="1" si="0"/>
        <v>-1.3653692692583959E-3</v>
      </c>
      <c r="E51" s="21">
        <f t="shared" ca="1" si="4"/>
        <v>5.252274211079487E-5</v>
      </c>
      <c r="F51" s="11">
        <f t="shared" ca="1" si="3"/>
        <v>4.9093852349137705</v>
      </c>
      <c r="G51" s="10">
        <f t="shared" ca="1" si="1"/>
        <v>1</v>
      </c>
    </row>
    <row r="52" spans="1:7" x14ac:dyDescent="0.2">
      <c r="A52" s="2">
        <v>19900517</v>
      </c>
      <c r="B52" s="13">
        <v>2831.71</v>
      </c>
      <c r="C52" s="2">
        <f t="shared" si="2"/>
        <v>4.2664415820235632E-3</v>
      </c>
      <c r="D52" s="21">
        <f t="shared" ca="1" si="0"/>
        <v>3.882489166916696E-3</v>
      </c>
      <c r="E52" s="21">
        <f t="shared" ca="1" si="4"/>
        <v>5.0843153513585661E-5</v>
      </c>
      <c r="F52" s="11">
        <f t="shared" ca="1" si="3"/>
        <v>4.7951450604518842</v>
      </c>
      <c r="G52" s="10">
        <f t="shared" ca="1" si="1"/>
        <v>1</v>
      </c>
    </row>
    <row r="53" spans="1:7" x14ac:dyDescent="0.2">
      <c r="A53" s="2">
        <v>19900518</v>
      </c>
      <c r="B53" s="13">
        <v>2819.91</v>
      </c>
      <c r="C53" s="2">
        <f t="shared" si="2"/>
        <v>-4.1670933817376009E-3</v>
      </c>
      <c r="D53" s="21">
        <f t="shared" ca="1" si="0"/>
        <v>-4.5510457968444681E-3</v>
      </c>
      <c r="E53" s="21">
        <f t="shared" ca="1" si="4"/>
        <v>4.9734271827404629E-5</v>
      </c>
      <c r="F53" s="11">
        <f t="shared" ca="1" si="3"/>
        <v>4.7461813311981205</v>
      </c>
      <c r="G53" s="10">
        <f t="shared" ca="1" si="1"/>
        <v>1</v>
      </c>
    </row>
    <row r="54" spans="1:7" x14ac:dyDescent="0.2">
      <c r="A54" s="2">
        <v>19900521</v>
      </c>
      <c r="B54" s="13">
        <v>2844.68</v>
      </c>
      <c r="C54" s="2">
        <f t="shared" si="2"/>
        <v>8.7839682826756828E-3</v>
      </c>
      <c r="D54" s="21">
        <f t="shared" ca="1" si="0"/>
        <v>8.4000158675688157E-3</v>
      </c>
      <c r="E54" s="21">
        <f t="shared" ca="1" si="4"/>
        <v>4.8888818808966888E-5</v>
      </c>
      <c r="F54" s="11">
        <f t="shared" ca="1" si="3"/>
        <v>4.2413407965081547</v>
      </c>
      <c r="G54" s="10">
        <f t="shared" ca="1" si="1"/>
        <v>0</v>
      </c>
    </row>
    <row r="55" spans="1:7" x14ac:dyDescent="0.2">
      <c r="A55" s="2">
        <v>19900522</v>
      </c>
      <c r="B55" s="13">
        <v>2852.23</v>
      </c>
      <c r="C55" s="2">
        <f t="shared" si="2"/>
        <v>2.6540770842415256E-3</v>
      </c>
      <c r="D55" s="21">
        <f t="shared" ca="1" si="0"/>
        <v>2.2701246691346584E-3</v>
      </c>
      <c r="E55" s="21">
        <f t="shared" ca="1" si="4"/>
        <v>4.9919144680315533E-5</v>
      </c>
      <c r="F55" s="11">
        <f t="shared" ca="1" si="3"/>
        <v>4.9009348517831741</v>
      </c>
      <c r="G55" s="10">
        <f t="shared" ca="1" si="1"/>
        <v>1</v>
      </c>
    </row>
    <row r="56" spans="1:7" x14ac:dyDescent="0.2">
      <c r="A56" s="2">
        <v>19900523</v>
      </c>
      <c r="B56" s="13">
        <v>2856.26</v>
      </c>
      <c r="C56" s="2">
        <f t="shared" si="2"/>
        <v>1.4129295323309131E-3</v>
      </c>
      <c r="D56" s="21">
        <f t="shared" ca="1" si="0"/>
        <v>1.0289771172240459E-3</v>
      </c>
      <c r="E56" s="21">
        <f t="shared" ca="1" si="4"/>
        <v>4.8492223766566775E-5</v>
      </c>
      <c r="F56" s="11">
        <f t="shared" ca="1" si="3"/>
        <v>4.9561364022835326</v>
      </c>
      <c r="G56" s="10">
        <f t="shared" ca="1" si="1"/>
        <v>1</v>
      </c>
    </row>
    <row r="57" spans="1:7" x14ac:dyDescent="0.2">
      <c r="A57" s="2">
        <v>19900524</v>
      </c>
      <c r="B57" s="13">
        <v>2855.55</v>
      </c>
      <c r="C57" s="2">
        <f t="shared" si="2"/>
        <v>-2.4857681023437512E-4</v>
      </c>
      <c r="D57" s="21">
        <f t="shared" ca="1" si="0"/>
        <v>-6.3252922534124236E-4</v>
      </c>
      <c r="E57" s="21">
        <f t="shared" ca="1" si="4"/>
        <v>4.6986923008863982E-5</v>
      </c>
      <c r="F57" s="11">
        <f t="shared" ca="1" si="3"/>
        <v>4.9785631189710795</v>
      </c>
      <c r="G57" s="10">
        <f t="shared" ca="1" si="1"/>
        <v>1</v>
      </c>
    </row>
    <row r="58" spans="1:7" x14ac:dyDescent="0.2">
      <c r="A58" s="2">
        <v>19900525</v>
      </c>
      <c r="B58" s="13">
        <v>2820.92</v>
      </c>
      <c r="C58" s="2">
        <f t="shared" si="2"/>
        <v>-1.2127260947978535E-2</v>
      </c>
      <c r="D58" s="21">
        <f t="shared" ca="1" si="0"/>
        <v>-1.2511213363085402E-2</v>
      </c>
      <c r="E58" s="21">
        <f t="shared" ca="1" si="4"/>
        <v>4.553355433775691E-5</v>
      </c>
      <c r="F58" s="11">
        <f t="shared" ca="1" si="3"/>
        <v>3.2796831575649232</v>
      </c>
      <c r="G58" s="10">
        <f t="shared" ca="1" si="1"/>
        <v>0</v>
      </c>
    </row>
    <row r="59" spans="1:7" x14ac:dyDescent="0.2">
      <c r="A59" s="2">
        <v>19900529</v>
      </c>
      <c r="B59" s="13">
        <v>2870.49</v>
      </c>
      <c r="C59" s="2">
        <f t="shared" si="2"/>
        <v>1.7572281383378369E-2</v>
      </c>
      <c r="D59" s="21">
        <f t="shared" ca="1" si="0"/>
        <v>1.71883289682715E-2</v>
      </c>
      <c r="E59" s="21">
        <f t="shared" ca="1" si="4"/>
        <v>4.9894898256956345E-5</v>
      </c>
      <c r="F59" s="11">
        <f t="shared" ca="1" si="3"/>
        <v>1.9921860675944409</v>
      </c>
      <c r="G59" s="10">
        <f t="shared" ca="1" si="1"/>
        <v>0</v>
      </c>
    </row>
    <row r="60" spans="1:7" x14ac:dyDescent="0.2">
      <c r="A60" s="2">
        <v>19900530</v>
      </c>
      <c r="B60" s="13">
        <v>2878.56</v>
      </c>
      <c r="C60" s="2">
        <f t="shared" si="2"/>
        <v>2.8113667004588641E-3</v>
      </c>
      <c r="D60" s="21">
        <f t="shared" ca="1" si="0"/>
        <v>2.4274142853519969E-3</v>
      </c>
      <c r="E60" s="21">
        <f t="shared" ca="1" si="4"/>
        <v>5.9143497144602774E-5</v>
      </c>
      <c r="F60" s="11">
        <f t="shared" ca="1" si="3"/>
        <v>4.8179580254823273</v>
      </c>
      <c r="G60" s="10">
        <f t="shared" ca="1" si="1"/>
        <v>1</v>
      </c>
    </row>
    <row r="61" spans="1:7" x14ac:dyDescent="0.2">
      <c r="A61" s="2">
        <v>19900531</v>
      </c>
      <c r="B61" s="13">
        <v>2876.66</v>
      </c>
      <c r="C61" s="2">
        <f t="shared" si="2"/>
        <v>-6.6005224834642703E-4</v>
      </c>
      <c r="D61" s="21">
        <f t="shared" ca="1" si="0"/>
        <v>-1.0440046634532943E-3</v>
      </c>
      <c r="E61" s="21">
        <f t="shared" ca="1" si="4"/>
        <v>5.7277082893176753E-5</v>
      </c>
      <c r="F61" s="11">
        <f t="shared" ca="1" si="3"/>
        <v>4.8742903061784872</v>
      </c>
      <c r="G61" s="10">
        <f t="shared" ca="1" si="1"/>
        <v>1</v>
      </c>
    </row>
    <row r="62" spans="1:7" x14ac:dyDescent="0.2">
      <c r="A62" s="2">
        <v>19900601</v>
      </c>
      <c r="B62" s="13">
        <v>2900.97</v>
      </c>
      <c r="C62" s="2">
        <f t="shared" si="2"/>
        <v>8.4507727711999152E-3</v>
      </c>
      <c r="D62" s="21">
        <f t="shared" ca="1" si="0"/>
        <v>8.066820356093048E-3</v>
      </c>
      <c r="E62" s="21">
        <f t="shared" ca="1" si="4"/>
        <v>5.5328498726883199E-5</v>
      </c>
      <c r="F62" s="11">
        <f t="shared" ca="1" si="3"/>
        <v>4.3130454631187778</v>
      </c>
      <c r="G62" s="10">
        <f t="shared" ca="1" si="1"/>
        <v>0</v>
      </c>
    </row>
    <row r="63" spans="1:7" x14ac:dyDescent="0.2">
      <c r="A63" s="2">
        <v>19900604</v>
      </c>
      <c r="B63" s="13">
        <v>2935.19</v>
      </c>
      <c r="C63" s="2">
        <f t="shared" si="2"/>
        <v>1.1796054423175785E-2</v>
      </c>
      <c r="D63" s="21">
        <f t="shared" ca="1" si="0"/>
        <v>1.1412102008068917E-2</v>
      </c>
      <c r="E63" s="21">
        <f t="shared" ca="1" si="4"/>
        <v>5.5831284417331186E-5</v>
      </c>
      <c r="F63" s="11">
        <f t="shared" ca="1" si="3"/>
        <v>3.7302521112248135</v>
      </c>
      <c r="G63" s="10">
        <f t="shared" ca="1" si="1"/>
        <v>0</v>
      </c>
    </row>
    <row r="64" spans="1:7" x14ac:dyDescent="0.2">
      <c r="A64" s="2">
        <v>19900605</v>
      </c>
      <c r="B64" s="13">
        <v>2925</v>
      </c>
      <c r="C64" s="2">
        <f t="shared" si="2"/>
        <v>-3.4716662294434278E-3</v>
      </c>
      <c r="D64" s="21">
        <f t="shared" ca="1" si="0"/>
        <v>-3.855618644550295E-3</v>
      </c>
      <c r="E64" s="21">
        <f t="shared" ca="1" si="4"/>
        <v>5.8704772238793324E-5</v>
      </c>
      <c r="F64" s="11">
        <f t="shared" ca="1" si="3"/>
        <v>4.7448798899760538</v>
      </c>
      <c r="G64" s="10">
        <f t="shared" ca="1" si="1"/>
        <v>1</v>
      </c>
    </row>
    <row r="65" spans="1:7" x14ac:dyDescent="0.2">
      <c r="A65" s="2">
        <v>19900606</v>
      </c>
      <c r="B65" s="13">
        <v>2911.65</v>
      </c>
      <c r="C65" s="2">
        <f t="shared" si="2"/>
        <v>-4.5641025641025334E-3</v>
      </c>
      <c r="D65" s="21">
        <f t="shared" ca="1" si="0"/>
        <v>-4.9480549792094005E-3</v>
      </c>
      <c r="E65" s="21">
        <f t="shared" ca="1" si="4"/>
        <v>5.7190522833949413E-5</v>
      </c>
      <c r="F65" s="11">
        <f t="shared" ca="1" si="3"/>
        <v>4.6705113079503349</v>
      </c>
      <c r="G65" s="10">
        <f t="shared" ca="1" si="1"/>
        <v>1</v>
      </c>
    </row>
    <row r="66" spans="1:7" x14ac:dyDescent="0.2">
      <c r="A66" s="2">
        <v>19900607</v>
      </c>
      <c r="B66" s="13">
        <v>2897.33</v>
      </c>
      <c r="C66" s="2">
        <f t="shared" si="2"/>
        <v>-4.9181735442103839E-3</v>
      </c>
      <c r="D66" s="21">
        <f t="shared" ca="1" si="0"/>
        <v>-5.3021259593172511E-3</v>
      </c>
      <c r="E66" s="21">
        <f t="shared" ca="1" si="4"/>
        <v>5.6106530342400666E-5</v>
      </c>
      <c r="F66" s="11">
        <f t="shared" ca="1" si="3"/>
        <v>4.6436009415186863</v>
      </c>
      <c r="G66" s="10">
        <f t="shared" ca="1" si="1"/>
        <v>1</v>
      </c>
    </row>
    <row r="67" spans="1:7" x14ac:dyDescent="0.2">
      <c r="A67" s="2">
        <v>19900608</v>
      </c>
      <c r="B67" s="13">
        <v>2862.38</v>
      </c>
      <c r="C67" s="2">
        <f t="shared" si="2"/>
        <v>-1.2062830260964342E-2</v>
      </c>
      <c r="D67" s="21">
        <f t="shared" ca="1" si="0"/>
        <v>-1.2446782676071209E-2</v>
      </c>
      <c r="E67" s="21">
        <f t="shared" ca="1" si="4"/>
        <v>5.5210832777376669E-5</v>
      </c>
      <c r="F67" s="11">
        <f t="shared" ca="1" si="3"/>
        <v>3.4991684239964211</v>
      </c>
      <c r="G67" s="10">
        <f t="shared" ca="1" si="1"/>
        <v>0</v>
      </c>
    </row>
    <row r="68" spans="1:7" x14ac:dyDescent="0.2">
      <c r="A68" s="2">
        <v>19900611</v>
      </c>
      <c r="B68" s="13">
        <v>2892.57</v>
      </c>
      <c r="C68" s="2">
        <f t="shared" si="2"/>
        <v>1.0547167042810546E-2</v>
      </c>
      <c r="D68" s="21">
        <f t="shared" ca="1" si="0"/>
        <v>1.0163214627703679E-2</v>
      </c>
      <c r="E68" s="21">
        <f t="shared" ca="1" si="4"/>
        <v>5.9023468789416778E-5</v>
      </c>
      <c r="F68" s="11">
        <f t="shared" ca="1" si="3"/>
        <v>3.9937888844404834</v>
      </c>
      <c r="G68" s="10">
        <f t="shared" ca="1" si="1"/>
        <v>0</v>
      </c>
    </row>
    <row r="69" spans="1:7" x14ac:dyDescent="0.2">
      <c r="A69" s="2">
        <v>19900612</v>
      </c>
      <c r="B69" s="13">
        <v>2933.42</v>
      </c>
      <c r="C69" s="2">
        <f t="shared" si="2"/>
        <v>1.4122389432234969E-2</v>
      </c>
      <c r="D69" s="21">
        <f t="shared" ca="1" si="0"/>
        <v>1.3738437017128102E-2</v>
      </c>
      <c r="E69" s="21">
        <f t="shared" ca="1" si="4"/>
        <v>6.0744643082363497E-5</v>
      </c>
      <c r="F69" s="11">
        <f t="shared" ca="1" si="3"/>
        <v>3.3008249112303147</v>
      </c>
      <c r="G69" s="10">
        <f t="shared" ca="1" si="1"/>
        <v>0</v>
      </c>
    </row>
    <row r="70" spans="1:7" x14ac:dyDescent="0.2">
      <c r="A70" s="2">
        <v>19900613</v>
      </c>
      <c r="B70" s="13">
        <v>2929.95</v>
      </c>
      <c r="C70" s="2">
        <f t="shared" si="2"/>
        <v>-1.1829195955574909E-3</v>
      </c>
      <c r="D70" s="21">
        <f t="shared" ca="1" si="0"/>
        <v>-1.5668720106643583E-3</v>
      </c>
      <c r="E70" s="21">
        <f t="shared" ca="1" si="4"/>
        <v>6.5521025095580018E-5</v>
      </c>
      <c r="F70" s="11">
        <f t="shared" ca="1" si="3"/>
        <v>4.7978346213678735</v>
      </c>
      <c r="G70" s="10">
        <f t="shared" ca="1" si="1"/>
        <v>1</v>
      </c>
    </row>
    <row r="71" spans="1:7" x14ac:dyDescent="0.2">
      <c r="A71" s="2">
        <v>19900614</v>
      </c>
      <c r="B71" s="13">
        <v>2928.22</v>
      </c>
      <c r="C71" s="2">
        <f t="shared" si="2"/>
        <v>-5.9045376200959681E-4</v>
      </c>
      <c r="D71" s="21">
        <f t="shared" ca="1" si="0"/>
        <v>-9.7440617711646411E-4</v>
      </c>
      <c r="E71" s="21">
        <f t="shared" ca="1" si="4"/>
        <v>6.3205575839674869E-5</v>
      </c>
      <c r="F71" s="11">
        <f t="shared" ca="1" si="3"/>
        <v>4.8270480711900676</v>
      </c>
      <c r="G71" s="10">
        <f t="shared" ca="1" si="1"/>
        <v>1</v>
      </c>
    </row>
    <row r="72" spans="1:7" x14ac:dyDescent="0.2">
      <c r="A72" s="2">
        <v>19900615</v>
      </c>
      <c r="B72" s="13">
        <v>2935.89</v>
      </c>
      <c r="C72" s="2">
        <f t="shared" si="2"/>
        <v>2.6193387108892343E-3</v>
      </c>
      <c r="D72" s="21">
        <f t="shared" ca="1" si="0"/>
        <v>2.2353862957823671E-3</v>
      </c>
      <c r="E72" s="21">
        <f t="shared" ca="1" si="4"/>
        <v>6.0951901629358786E-5</v>
      </c>
      <c r="F72" s="11">
        <f t="shared" ca="1" si="3"/>
        <v>4.8117218080168298</v>
      </c>
      <c r="G72" s="10">
        <f t="shared" ca="1" si="1"/>
        <v>1</v>
      </c>
    </row>
    <row r="73" spans="1:7" x14ac:dyDescent="0.2">
      <c r="A73" s="2">
        <v>19900618</v>
      </c>
      <c r="B73" s="13">
        <v>2882.18</v>
      </c>
      <c r="C73" s="2">
        <f t="shared" si="2"/>
        <v>-1.8294282142723346E-2</v>
      </c>
      <c r="D73" s="21">
        <f t="shared" ca="1" si="0"/>
        <v>-1.8678234557830214E-2</v>
      </c>
      <c r="E73" s="21">
        <f t="shared" ca="1" si="4"/>
        <v>5.8961074611316589E-5</v>
      </c>
      <c r="F73" s="11">
        <f t="shared" ca="1" si="3"/>
        <v>1.910784591142201</v>
      </c>
      <c r="G73" s="10">
        <f t="shared" ca="1" si="1"/>
        <v>0</v>
      </c>
    </row>
    <row r="74" spans="1:7" x14ac:dyDescent="0.2">
      <c r="A74" s="2">
        <v>19900619</v>
      </c>
      <c r="B74" s="13">
        <v>2893.56</v>
      </c>
      <c r="C74" s="2">
        <f t="shared" si="2"/>
        <v>3.9484001693163191E-3</v>
      </c>
      <c r="D74" s="21">
        <f t="shared" ca="1" si="0"/>
        <v>3.5644477542094519E-3</v>
      </c>
      <c r="E74" s="21">
        <f t="shared" ca="1" si="4"/>
        <v>6.9716013623035284E-5</v>
      </c>
      <c r="F74" s="11">
        <f t="shared" ca="1" si="3"/>
        <v>4.6944185261382936</v>
      </c>
      <c r="G74" s="10">
        <f t="shared" ca="1" si="1"/>
        <v>1</v>
      </c>
    </row>
    <row r="75" spans="1:7" x14ac:dyDescent="0.2">
      <c r="A75" s="2">
        <v>19900620</v>
      </c>
      <c r="B75" s="13">
        <v>2895.3</v>
      </c>
      <c r="C75" s="2">
        <f t="shared" si="2"/>
        <v>6.013353792560847E-4</v>
      </c>
      <c r="D75" s="21">
        <f t="shared" ca="1" si="0"/>
        <v>2.173829641492174E-4</v>
      </c>
      <c r="E75" s="21">
        <f t="shared" ca="1" si="4"/>
        <v>6.7565256263725241E-5</v>
      </c>
      <c r="F75" s="11">
        <f t="shared" ca="1" si="3"/>
        <v>4.8008586322417752</v>
      </c>
      <c r="G75" s="10">
        <f t="shared" ca="1" si="1"/>
        <v>1</v>
      </c>
    </row>
    <row r="76" spans="1:7" x14ac:dyDescent="0.2">
      <c r="A76" s="2">
        <v>19900621</v>
      </c>
      <c r="B76" s="13">
        <v>2901.73</v>
      </c>
      <c r="C76" s="2">
        <f t="shared" si="2"/>
        <v>2.220840672814505E-3</v>
      </c>
      <c r="D76" s="21">
        <f t="shared" ca="1" si="0"/>
        <v>1.8368882577076378E-3</v>
      </c>
      <c r="E76" s="21">
        <f t="shared" ca="1" si="4"/>
        <v>6.5057848473073712E-5</v>
      </c>
      <c r="F76" s="11">
        <f t="shared" ca="1" si="3"/>
        <v>4.7941848673718059</v>
      </c>
      <c r="G76" s="10">
        <f t="shared" ca="1" si="1"/>
        <v>1</v>
      </c>
    </row>
    <row r="77" spans="1:7" x14ac:dyDescent="0.2">
      <c r="A77" s="2">
        <v>19900622</v>
      </c>
      <c r="B77" s="13">
        <v>2857.18</v>
      </c>
      <c r="C77" s="2">
        <f t="shared" si="2"/>
        <v>-1.5352910160490528E-2</v>
      </c>
      <c r="D77" s="21">
        <f t="shared" ca="1" si="0"/>
        <v>-1.5736862575597397E-2</v>
      </c>
      <c r="E77" s="21">
        <f t="shared" ca="1" si="4"/>
        <v>6.2799627304736767E-5</v>
      </c>
      <c r="F77" s="11">
        <f t="shared" ca="1" si="3"/>
        <v>2.8660425452560703</v>
      </c>
      <c r="G77" s="10">
        <f t="shared" ca="1" si="1"/>
        <v>0</v>
      </c>
    </row>
    <row r="78" spans="1:7" x14ac:dyDescent="0.2">
      <c r="A78" s="2">
        <v>19900625</v>
      </c>
      <c r="B78" s="13">
        <v>2845.05</v>
      </c>
      <c r="C78" s="2">
        <f t="shared" si="2"/>
        <v>-4.245444809217359E-3</v>
      </c>
      <c r="D78" s="21">
        <f t="shared" ref="D78:D141" ca="1" si="5">(C78-mu)</f>
        <v>-4.6293972243242262E-3</v>
      </c>
      <c r="E78" s="21">
        <f t="shared" ca="1" si="4"/>
        <v>6.9638056980667227E-5</v>
      </c>
      <c r="F78" s="11">
        <f t="shared" ca="1" si="3"/>
        <v>4.6322231886192586</v>
      </c>
      <c r="G78" s="10">
        <f t="shared" ref="G78:G141" ca="1" si="6">IF(AND(C78&lt;=mu+zvalue*SQRT(E78),C78&gt;=mu-zvalue*SQRT(E78)),1,0)</f>
        <v>1</v>
      </c>
    </row>
    <row r="79" spans="1:7" x14ac:dyDescent="0.2">
      <c r="A79" s="2">
        <v>19900626</v>
      </c>
      <c r="B79" s="13">
        <v>2842.33</v>
      </c>
      <c r="C79" s="2">
        <f t="shared" ref="C79:C142" si="7">(B79-B78)/B78</f>
        <v>-9.56046466670271E-4</v>
      </c>
      <c r="D79" s="21">
        <f t="shared" ca="1" si="5"/>
        <v>-1.3399988817771383E-3</v>
      </c>
      <c r="E79" s="21">
        <f t="shared" ref="E79:E142" ca="1" si="8">(1-alpha-beta)*longvar+alpha*D78^2+beta*E78</f>
        <v>6.7812114864643209E-5</v>
      </c>
      <c r="F79" s="11">
        <f t="shared" ref="F79:F142" ca="1" si="9">(-0.5)*(LN(E79)+D79^2/E79)</f>
        <v>4.7861453467297688</v>
      </c>
      <c r="G79" s="10">
        <f t="shared" ca="1" si="6"/>
        <v>1</v>
      </c>
    </row>
    <row r="80" spans="1:7" x14ac:dyDescent="0.2">
      <c r="A80" s="2">
        <v>19900627</v>
      </c>
      <c r="B80" s="13">
        <v>2862.13</v>
      </c>
      <c r="C80" s="2">
        <f t="shared" si="7"/>
        <v>6.9661158275077777E-3</v>
      </c>
      <c r="D80" s="21">
        <f t="shared" ca="1" si="5"/>
        <v>6.5821634124009105E-3</v>
      </c>
      <c r="E80" s="21">
        <f t="shared" ca="1" si="8"/>
        <v>6.5356507991249071E-5</v>
      </c>
      <c r="F80" s="11">
        <f t="shared" ca="1" si="9"/>
        <v>4.4863764158499935</v>
      </c>
      <c r="G80" s="10">
        <f t="shared" ca="1" si="6"/>
        <v>1</v>
      </c>
    </row>
    <row r="81" spans="1:7" x14ac:dyDescent="0.2">
      <c r="A81" s="2">
        <v>19900628</v>
      </c>
      <c r="B81" s="13">
        <v>2878.71</v>
      </c>
      <c r="C81" s="2">
        <f t="shared" si="7"/>
        <v>5.7928885131003577E-3</v>
      </c>
      <c r="D81" s="21">
        <f t="shared" ca="1" si="5"/>
        <v>5.4089360979934905E-3</v>
      </c>
      <c r="E81" s="21">
        <f t="shared" ca="1" si="8"/>
        <v>6.4552235149037518E-5</v>
      </c>
      <c r="F81" s="11">
        <f t="shared" ca="1" si="9"/>
        <v>4.597406159139406</v>
      </c>
      <c r="G81" s="10">
        <f t="shared" ca="1" si="6"/>
        <v>1</v>
      </c>
    </row>
    <row r="82" spans="1:7" x14ac:dyDescent="0.2">
      <c r="A82" s="2">
        <v>19900629</v>
      </c>
      <c r="B82" s="13">
        <v>2880.69</v>
      </c>
      <c r="C82" s="2">
        <f t="shared" si="7"/>
        <v>6.8780808070282109E-4</v>
      </c>
      <c r="D82" s="21">
        <f t="shared" ca="1" si="5"/>
        <v>3.038556655959538E-4</v>
      </c>
      <c r="E82" s="21">
        <f t="shared" ca="1" si="8"/>
        <v>6.327133531391384E-5</v>
      </c>
      <c r="F82" s="11">
        <f t="shared" ca="1" si="9"/>
        <v>4.8333094634119851</v>
      </c>
      <c r="G82" s="10">
        <f t="shared" ca="1" si="6"/>
        <v>1</v>
      </c>
    </row>
    <row r="83" spans="1:7" x14ac:dyDescent="0.2">
      <c r="A83" s="2">
        <v>19900702</v>
      </c>
      <c r="B83" s="13">
        <v>2899.26</v>
      </c>
      <c r="C83" s="2">
        <f t="shared" si="7"/>
        <v>6.4463722233215528E-3</v>
      </c>
      <c r="D83" s="21">
        <f t="shared" ca="1" si="5"/>
        <v>6.0624198082146856E-3</v>
      </c>
      <c r="E83" s="21">
        <f t="shared" ca="1" si="8"/>
        <v>6.0982815807636912E-5</v>
      </c>
      <c r="F83" s="11">
        <f t="shared" ca="1" si="9"/>
        <v>4.5511207744904993</v>
      </c>
      <c r="G83" s="10">
        <f t="shared" ca="1" si="6"/>
        <v>1</v>
      </c>
    </row>
    <row r="84" spans="1:7" x14ac:dyDescent="0.2">
      <c r="A84" s="2">
        <v>19900703</v>
      </c>
      <c r="B84" s="13">
        <v>2911.63</v>
      </c>
      <c r="C84" s="2">
        <f t="shared" si="7"/>
        <v>4.2666059615211775E-3</v>
      </c>
      <c r="D84" s="21">
        <f t="shared" ca="1" si="5"/>
        <v>3.8826535464143103E-3</v>
      </c>
      <c r="E84" s="21">
        <f t="shared" ca="1" si="8"/>
        <v>6.0158147738174154E-5</v>
      </c>
      <c r="F84" s="11">
        <f t="shared" ca="1" si="9"/>
        <v>4.7339720971695058</v>
      </c>
      <c r="G84" s="10">
        <f t="shared" ca="1" si="6"/>
        <v>1</v>
      </c>
    </row>
    <row r="85" spans="1:7" x14ac:dyDescent="0.2">
      <c r="A85" s="2">
        <v>19900705</v>
      </c>
      <c r="B85" s="13">
        <v>2879.21</v>
      </c>
      <c r="C85" s="2">
        <f t="shared" si="7"/>
        <v>-1.1134656532595169E-2</v>
      </c>
      <c r="D85" s="21">
        <f t="shared" ca="1" si="5"/>
        <v>-1.1518608947702036E-2</v>
      </c>
      <c r="E85" s="21">
        <f t="shared" ca="1" si="8"/>
        <v>5.8578064363645572E-5</v>
      </c>
      <c r="F85" s="11">
        <f t="shared" ca="1" si="9"/>
        <v>3.7400833555830788</v>
      </c>
      <c r="G85" s="10">
        <f t="shared" ca="1" si="6"/>
        <v>0</v>
      </c>
    </row>
    <row r="86" spans="1:7" x14ac:dyDescent="0.2">
      <c r="A86" s="2">
        <v>19900706</v>
      </c>
      <c r="B86" s="13">
        <v>2904.95</v>
      </c>
      <c r="C86" s="2">
        <f t="shared" si="7"/>
        <v>8.9399522785763384E-3</v>
      </c>
      <c r="D86" s="21">
        <f t="shared" ca="1" si="5"/>
        <v>8.5559998634694712E-3</v>
      </c>
      <c r="E86" s="21">
        <f t="shared" ca="1" si="8"/>
        <v>6.1402398577535647E-5</v>
      </c>
      <c r="F86" s="11">
        <f t="shared" ca="1" si="9"/>
        <v>4.2529211060017298</v>
      </c>
      <c r="G86" s="10">
        <f t="shared" ca="1" si="6"/>
        <v>0</v>
      </c>
    </row>
    <row r="87" spans="1:7" x14ac:dyDescent="0.2">
      <c r="A87" s="2">
        <v>19900709</v>
      </c>
      <c r="B87" s="13">
        <v>2914.11</v>
      </c>
      <c r="C87" s="2">
        <f t="shared" si="7"/>
        <v>3.1532384378389678E-3</v>
      </c>
      <c r="D87" s="21">
        <f t="shared" ca="1" si="5"/>
        <v>2.7692860227321006E-3</v>
      </c>
      <c r="E87" s="21">
        <f t="shared" ca="1" si="8"/>
        <v>6.1896914709016029E-5</v>
      </c>
      <c r="F87" s="11">
        <f t="shared" ca="1" si="9"/>
        <v>4.7830707790297904</v>
      </c>
      <c r="G87" s="10">
        <f t="shared" ca="1" si="6"/>
        <v>1</v>
      </c>
    </row>
    <row r="88" spans="1:7" x14ac:dyDescent="0.2">
      <c r="A88" s="2">
        <v>19900710</v>
      </c>
      <c r="B88" s="13">
        <v>2890.84</v>
      </c>
      <c r="C88" s="2">
        <f t="shared" si="7"/>
        <v>-7.9852853873052087E-3</v>
      </c>
      <c r="D88" s="21">
        <f t="shared" ca="1" si="5"/>
        <v>-8.3692378024120759E-3</v>
      </c>
      <c r="E88" s="21">
        <f t="shared" ca="1" si="8"/>
        <v>5.9956533022928495E-5</v>
      </c>
      <c r="F88" s="11">
        <f t="shared" ca="1" si="9"/>
        <v>4.2768210070126162</v>
      </c>
      <c r="G88" s="10">
        <f t="shared" ca="1" si="6"/>
        <v>0</v>
      </c>
    </row>
    <row r="89" spans="1:7" x14ac:dyDescent="0.2">
      <c r="A89" s="2">
        <v>19900711</v>
      </c>
      <c r="B89" s="13">
        <v>2932.67</v>
      </c>
      <c r="C89" s="2">
        <f t="shared" si="7"/>
        <v>1.44698426754853E-2</v>
      </c>
      <c r="D89" s="21">
        <f t="shared" ca="1" si="5"/>
        <v>1.4085890260378433E-2</v>
      </c>
      <c r="E89" s="21">
        <f t="shared" ca="1" si="8"/>
        <v>6.0407960763865702E-5</v>
      </c>
      <c r="F89" s="11">
        <f t="shared" ca="1" si="9"/>
        <v>3.2149253190022415</v>
      </c>
      <c r="G89" s="10">
        <f t="shared" ca="1" si="6"/>
        <v>0</v>
      </c>
    </row>
    <row r="90" spans="1:7" x14ac:dyDescent="0.2">
      <c r="A90" s="2">
        <v>19900712</v>
      </c>
      <c r="B90" s="13">
        <v>2969.8</v>
      </c>
      <c r="C90" s="2">
        <f t="shared" si="7"/>
        <v>1.2660817616711088E-2</v>
      </c>
      <c r="D90" s="21">
        <f t="shared" ca="1" si="5"/>
        <v>1.2276865201604221E-2</v>
      </c>
      <c r="E90" s="21">
        <f t="shared" ca="1" si="8"/>
        <v>6.5556872118367426E-5</v>
      </c>
      <c r="F90" s="11">
        <f t="shared" ca="1" si="9"/>
        <v>3.6667491979840907</v>
      </c>
      <c r="G90" s="10">
        <f t="shared" ca="1" si="6"/>
        <v>0</v>
      </c>
    </row>
    <row r="91" spans="1:7" x14ac:dyDescent="0.2">
      <c r="A91" s="2">
        <v>19900713</v>
      </c>
      <c r="B91" s="13">
        <v>2980.2</v>
      </c>
      <c r="C91" s="2">
        <f t="shared" si="7"/>
        <v>3.5019193211662859E-3</v>
      </c>
      <c r="D91" s="21">
        <f t="shared" ca="1" si="5"/>
        <v>3.1179669060594187E-3</v>
      </c>
      <c r="E91" s="21">
        <f t="shared" ca="1" si="8"/>
        <v>6.8691621230954262E-5</v>
      </c>
      <c r="F91" s="11">
        <f t="shared" ca="1" si="9"/>
        <v>4.7221781744981177</v>
      </c>
      <c r="G91" s="10">
        <f t="shared" ca="1" si="6"/>
        <v>1</v>
      </c>
    </row>
    <row r="92" spans="1:7" x14ac:dyDescent="0.2">
      <c r="A92" s="2">
        <v>19900716</v>
      </c>
      <c r="B92" s="13">
        <v>2999.75</v>
      </c>
      <c r="C92" s="2">
        <f t="shared" si="7"/>
        <v>6.5599624186296838E-3</v>
      </c>
      <c r="D92" s="21">
        <f t="shared" ca="1" si="5"/>
        <v>6.1760100035228166E-3</v>
      </c>
      <c r="E92" s="21">
        <f t="shared" ca="1" si="8"/>
        <v>6.6482977135626838E-5</v>
      </c>
      <c r="F92" s="11">
        <f t="shared" ca="1" si="9"/>
        <v>4.5224186585177355</v>
      </c>
      <c r="G92" s="10">
        <f t="shared" ca="1" si="6"/>
        <v>1</v>
      </c>
    </row>
    <row r="93" spans="1:7" x14ac:dyDescent="0.2">
      <c r="A93" s="2">
        <v>19900717</v>
      </c>
      <c r="B93" s="13">
        <v>2999.75</v>
      </c>
      <c r="C93" s="2">
        <f t="shared" si="7"/>
        <v>0</v>
      </c>
      <c r="D93" s="21">
        <f t="shared" ca="1" si="5"/>
        <v>-3.839524151068673E-4</v>
      </c>
      <c r="E93" s="21">
        <f t="shared" ca="1" si="8"/>
        <v>6.5431172911178964E-5</v>
      </c>
      <c r="F93" s="11">
        <f t="shared" ca="1" si="9"/>
        <v>4.8161293584102616</v>
      </c>
      <c r="G93" s="10">
        <f t="shared" ca="1" si="6"/>
        <v>1</v>
      </c>
    </row>
    <row r="94" spans="1:7" x14ac:dyDescent="0.2">
      <c r="A94" s="2">
        <v>19900718</v>
      </c>
      <c r="B94" s="13">
        <v>2981.68</v>
      </c>
      <c r="C94" s="2">
        <f t="shared" si="7"/>
        <v>-6.0238353196100224E-3</v>
      </c>
      <c r="D94" s="21">
        <f t="shared" ca="1" si="5"/>
        <v>-6.4077877347168896E-3</v>
      </c>
      <c r="E94" s="21">
        <f t="shared" ca="1" si="8"/>
        <v>6.3035412309004167E-5</v>
      </c>
      <c r="F94" s="11">
        <f t="shared" ca="1" si="9"/>
        <v>4.510219032521924</v>
      </c>
      <c r="G94" s="10">
        <f t="shared" ca="1" si="6"/>
        <v>1</v>
      </c>
    </row>
    <row r="95" spans="1:7" x14ac:dyDescent="0.2">
      <c r="A95" s="2">
        <v>19900719</v>
      </c>
      <c r="B95" s="13">
        <v>2993.81</v>
      </c>
      <c r="C95" s="2">
        <f t="shared" si="7"/>
        <v>4.068176330122652E-3</v>
      </c>
      <c r="D95" s="21">
        <f t="shared" ca="1" si="5"/>
        <v>3.6842239150157849E-3</v>
      </c>
      <c r="E95" s="21">
        <f t="shared" ca="1" si="8"/>
        <v>6.2265271620066595E-5</v>
      </c>
      <c r="F95" s="11">
        <f t="shared" ca="1" si="9"/>
        <v>4.7330559593482073</v>
      </c>
      <c r="G95" s="10">
        <f t="shared" ca="1" si="6"/>
        <v>1</v>
      </c>
    </row>
    <row r="96" spans="1:7" x14ac:dyDescent="0.2">
      <c r="A96" s="2">
        <v>19900720</v>
      </c>
      <c r="B96" s="13">
        <v>2961.14</v>
      </c>
      <c r="C96" s="2">
        <f t="shared" si="7"/>
        <v>-1.0912516158340066E-2</v>
      </c>
      <c r="D96" s="21">
        <f t="shared" ca="1" si="5"/>
        <v>-1.1296468573446933E-2</v>
      </c>
      <c r="E96" s="21">
        <f t="shared" ca="1" si="8"/>
        <v>6.0523375646093932E-5</v>
      </c>
      <c r="F96" s="11">
        <f t="shared" ca="1" si="9"/>
        <v>3.8020180005905893</v>
      </c>
      <c r="G96" s="10">
        <f t="shared" ca="1" si="6"/>
        <v>0</v>
      </c>
    </row>
    <row r="97" spans="1:7" x14ac:dyDescent="0.2">
      <c r="A97" s="2">
        <v>19900723</v>
      </c>
      <c r="B97" s="13">
        <v>2904.7</v>
      </c>
      <c r="C97" s="2">
        <f t="shared" si="7"/>
        <v>-1.9060226804541513E-2</v>
      </c>
      <c r="D97" s="21">
        <f t="shared" ca="1" si="5"/>
        <v>-1.9444179219648382E-2</v>
      </c>
      <c r="E97" s="21">
        <f t="shared" ca="1" si="8"/>
        <v>6.3062931202132209E-5</v>
      </c>
      <c r="F97" s="11">
        <f t="shared" ca="1" si="9"/>
        <v>1.8380790351771843</v>
      </c>
      <c r="G97" s="10">
        <f t="shared" ca="1" si="6"/>
        <v>0</v>
      </c>
    </row>
    <row r="98" spans="1:7" x14ac:dyDescent="0.2">
      <c r="A98" s="2">
        <v>19900724</v>
      </c>
      <c r="B98" s="13">
        <v>2922.52</v>
      </c>
      <c r="C98" s="2">
        <f t="shared" si="7"/>
        <v>6.1348848418081607E-3</v>
      </c>
      <c r="D98" s="21">
        <f t="shared" ca="1" si="5"/>
        <v>5.7509324267012935E-3</v>
      </c>
      <c r="E98" s="21">
        <f t="shared" ca="1" si="8"/>
        <v>7.4684078395814314E-5</v>
      </c>
      <c r="F98" s="11">
        <f t="shared" ca="1" si="9"/>
        <v>4.5297009676821434</v>
      </c>
      <c r="G98" s="10">
        <f t="shared" ca="1" si="6"/>
        <v>1</v>
      </c>
    </row>
    <row r="99" spans="1:7" x14ac:dyDescent="0.2">
      <c r="A99" s="2">
        <v>19900725</v>
      </c>
      <c r="B99" s="13">
        <v>2930.94</v>
      </c>
      <c r="C99" s="2">
        <f t="shared" si="7"/>
        <v>2.8810752364398099E-3</v>
      </c>
      <c r="D99" s="21">
        <f t="shared" ca="1" si="5"/>
        <v>2.4971228213329427E-3</v>
      </c>
      <c r="E99" s="21">
        <f t="shared" ca="1" si="8"/>
        <v>7.3030949573349351E-5</v>
      </c>
      <c r="F99" s="11">
        <f t="shared" ca="1" si="9"/>
        <v>4.7196219774285826</v>
      </c>
      <c r="G99" s="10">
        <f t="shared" ca="1" si="6"/>
        <v>1</v>
      </c>
    </row>
    <row r="100" spans="1:7" x14ac:dyDescent="0.2">
      <c r="A100" s="2">
        <v>19900726</v>
      </c>
      <c r="B100" s="13">
        <v>2920.79</v>
      </c>
      <c r="C100" s="2">
        <f t="shared" si="7"/>
        <v>-3.4630528089964622E-3</v>
      </c>
      <c r="D100" s="21">
        <f t="shared" ca="1" si="5"/>
        <v>-3.8470052241033293E-3</v>
      </c>
      <c r="E100" s="21">
        <f t="shared" ca="1" si="8"/>
        <v>7.0474587619442732E-5</v>
      </c>
      <c r="F100" s="11">
        <f t="shared" ca="1" si="9"/>
        <v>4.67513070595081</v>
      </c>
      <c r="G100" s="10">
        <f t="shared" ca="1" si="6"/>
        <v>1</v>
      </c>
    </row>
    <row r="101" spans="1:7" x14ac:dyDescent="0.2">
      <c r="A101" s="2">
        <v>19900727</v>
      </c>
      <c r="B101" s="13">
        <v>2898.51</v>
      </c>
      <c r="C101" s="2">
        <f t="shared" si="7"/>
        <v>-7.6280732267639045E-3</v>
      </c>
      <c r="D101" s="21">
        <f t="shared" ca="1" si="5"/>
        <v>-8.0120256418707726E-3</v>
      </c>
      <c r="E101" s="21">
        <f t="shared" ca="1" si="8"/>
        <v>6.8362459723131274E-5</v>
      </c>
      <c r="F101" s="11">
        <f t="shared" ca="1" si="9"/>
        <v>4.3258418583614358</v>
      </c>
      <c r="G101" s="10">
        <f t="shared" ca="1" si="6"/>
        <v>1</v>
      </c>
    </row>
    <row r="102" spans="1:7" x14ac:dyDescent="0.2">
      <c r="A102" s="2">
        <v>19900730</v>
      </c>
      <c r="B102" s="13">
        <v>2917.33</v>
      </c>
      <c r="C102" s="2">
        <f t="shared" si="7"/>
        <v>6.4929912265266317E-3</v>
      </c>
      <c r="D102" s="21">
        <f t="shared" ca="1" si="5"/>
        <v>6.1090388114197645E-3</v>
      </c>
      <c r="E102" s="21">
        <f t="shared" ca="1" si="8"/>
        <v>6.8173455811513899E-5</v>
      </c>
      <c r="F102" s="11">
        <f t="shared" ca="1" si="9"/>
        <v>4.5230114643618782</v>
      </c>
      <c r="G102" s="10">
        <f t="shared" ca="1" si="6"/>
        <v>1</v>
      </c>
    </row>
    <row r="103" spans="1:7" x14ac:dyDescent="0.2">
      <c r="A103" s="2">
        <v>19900731</v>
      </c>
      <c r="B103" s="13">
        <v>2905.2</v>
      </c>
      <c r="C103" s="2">
        <f t="shared" si="7"/>
        <v>-4.157911514981202E-3</v>
      </c>
      <c r="D103" s="21">
        <f t="shared" ca="1" si="5"/>
        <v>-4.5418639300880692E-3</v>
      </c>
      <c r="E103" s="21">
        <f t="shared" ca="1" si="8"/>
        <v>6.7005875967417335E-5</v>
      </c>
      <c r="F103" s="11">
        <f t="shared" ca="1" si="9"/>
        <v>4.6514343820837141</v>
      </c>
      <c r="G103" s="10">
        <f t="shared" ca="1" si="6"/>
        <v>1</v>
      </c>
    </row>
    <row r="104" spans="1:7" x14ac:dyDescent="0.2">
      <c r="A104" s="2">
        <v>19900801</v>
      </c>
      <c r="B104" s="13">
        <v>2899.26</v>
      </c>
      <c r="C104" s="2">
        <f t="shared" si="7"/>
        <v>-2.0446096654273718E-3</v>
      </c>
      <c r="D104" s="21">
        <f t="shared" ca="1" si="5"/>
        <v>-2.428562080534239E-3</v>
      </c>
      <c r="E104" s="21">
        <f t="shared" ca="1" si="8"/>
        <v>6.5283576739745363E-5</v>
      </c>
      <c r="F104" s="11">
        <f t="shared" ca="1" si="9"/>
        <v>4.7732135320534574</v>
      </c>
      <c r="G104" s="10">
        <f t="shared" ca="1" si="6"/>
        <v>1</v>
      </c>
    </row>
    <row r="105" spans="1:7" x14ac:dyDescent="0.2">
      <c r="A105" s="2">
        <v>19900802</v>
      </c>
      <c r="B105" s="13">
        <v>2864.6</v>
      </c>
      <c r="C105" s="2">
        <f t="shared" si="7"/>
        <v>-1.1954774666639179E-2</v>
      </c>
      <c r="D105" s="21">
        <f t="shared" ca="1" si="5"/>
        <v>-1.2338727081746046E-2</v>
      </c>
      <c r="E105" s="21">
        <f t="shared" ca="1" si="8"/>
        <v>6.3106738793333072E-5</v>
      </c>
      <c r="F105" s="11">
        <f t="shared" ca="1" si="9"/>
        <v>3.6290980068858447</v>
      </c>
      <c r="G105" s="10">
        <f t="shared" ca="1" si="6"/>
        <v>0</v>
      </c>
    </row>
    <row r="106" spans="1:7" x14ac:dyDescent="0.2">
      <c r="A106" s="2">
        <v>19900803</v>
      </c>
      <c r="B106" s="13">
        <v>2809.65</v>
      </c>
      <c r="C106" s="2">
        <f t="shared" si="7"/>
        <v>-1.9182433847657551E-2</v>
      </c>
      <c r="D106" s="21">
        <f t="shared" ca="1" si="5"/>
        <v>-1.9566386262764419E-2</v>
      </c>
      <c r="E106" s="21">
        <f t="shared" ca="1" si="8"/>
        <v>6.6421435752348585E-5</v>
      </c>
      <c r="F106" s="11">
        <f t="shared" ca="1" si="9"/>
        <v>1.9278182633495735</v>
      </c>
      <c r="G106" s="10">
        <f t="shared" ca="1" si="6"/>
        <v>0</v>
      </c>
    </row>
    <row r="107" spans="1:7" x14ac:dyDescent="0.2">
      <c r="A107" s="2">
        <v>19900806</v>
      </c>
      <c r="B107" s="13">
        <v>2716.34</v>
      </c>
      <c r="C107" s="2">
        <f t="shared" si="7"/>
        <v>-3.3210542238357073E-2</v>
      </c>
      <c r="D107" s="21">
        <f t="shared" ca="1" si="5"/>
        <v>-3.3594494653463938E-2</v>
      </c>
      <c r="E107" s="21">
        <f t="shared" ca="1" si="8"/>
        <v>7.8047979461639405E-5</v>
      </c>
      <c r="F107" s="11">
        <f t="shared" ca="1" si="9"/>
        <v>-2.5010109465707631</v>
      </c>
      <c r="G107" s="10">
        <f t="shared" ca="1" si="6"/>
        <v>0</v>
      </c>
    </row>
    <row r="108" spans="1:7" x14ac:dyDescent="0.2">
      <c r="A108" s="2">
        <v>19900807</v>
      </c>
      <c r="B108" s="13">
        <v>2710.64</v>
      </c>
      <c r="C108" s="2">
        <f t="shared" si="7"/>
        <v>-2.0984118335702719E-3</v>
      </c>
      <c r="D108" s="21">
        <f t="shared" ca="1" si="5"/>
        <v>-2.4823642486771391E-3</v>
      </c>
      <c r="E108" s="21">
        <f t="shared" ca="1" si="8"/>
        <v>1.1650873707381587E-4</v>
      </c>
      <c r="F108" s="11">
        <f t="shared" ca="1" si="9"/>
        <v>4.5023272094037354</v>
      </c>
      <c r="G108" s="10">
        <f t="shared" ca="1" si="6"/>
        <v>1</v>
      </c>
    </row>
    <row r="109" spans="1:7" x14ac:dyDescent="0.2">
      <c r="A109" s="2">
        <v>19900808</v>
      </c>
      <c r="B109" s="13">
        <v>2734.9</v>
      </c>
      <c r="C109" s="2">
        <f t="shared" si="7"/>
        <v>8.9499158870230723E-3</v>
      </c>
      <c r="D109" s="21">
        <f t="shared" ca="1" si="5"/>
        <v>8.5659634719162051E-3</v>
      </c>
      <c r="E109" s="21">
        <f t="shared" ca="1" si="8"/>
        <v>1.1175011717448548E-4</v>
      </c>
      <c r="F109" s="11">
        <f t="shared" ca="1" si="9"/>
        <v>4.2213199387935658</v>
      </c>
      <c r="G109" s="10">
        <f t="shared" ca="1" si="6"/>
        <v>1</v>
      </c>
    </row>
    <row r="110" spans="1:7" x14ac:dyDescent="0.2">
      <c r="A110" s="2">
        <v>19900809</v>
      </c>
      <c r="B110" s="13">
        <v>2758.91</v>
      </c>
      <c r="C110" s="2">
        <f t="shared" si="7"/>
        <v>8.7791144100331873E-3</v>
      </c>
      <c r="D110" s="21">
        <f t="shared" ca="1" si="5"/>
        <v>8.3951619949263201E-3</v>
      </c>
      <c r="E110" s="21">
        <f t="shared" ca="1" si="8"/>
        <v>1.097037987770313E-4</v>
      </c>
      <c r="F110" s="11">
        <f t="shared" ca="1" si="9"/>
        <v>4.2376403805559457</v>
      </c>
      <c r="G110" s="10">
        <f t="shared" ca="1" si="6"/>
        <v>1</v>
      </c>
    </row>
    <row r="111" spans="1:7" x14ac:dyDescent="0.2">
      <c r="A111" s="2">
        <v>19900810</v>
      </c>
      <c r="B111" s="13">
        <v>2716.58</v>
      </c>
      <c r="C111" s="2">
        <f t="shared" si="7"/>
        <v>-1.5343015901207336E-2</v>
      </c>
      <c r="D111" s="21">
        <f t="shared" ca="1" si="5"/>
        <v>-1.5726968316314205E-2</v>
      </c>
      <c r="E111" s="21">
        <f t="shared" ca="1" si="8"/>
        <v>1.0765447709402346E-4</v>
      </c>
      <c r="F111" s="11">
        <f t="shared" ca="1" si="9"/>
        <v>3.4195355038501551</v>
      </c>
      <c r="G111" s="10">
        <f t="shared" ca="1" si="6"/>
        <v>0</v>
      </c>
    </row>
    <row r="112" spans="1:7" x14ac:dyDescent="0.2">
      <c r="A112" s="2">
        <v>19900813</v>
      </c>
      <c r="B112" s="13">
        <v>2746.78</v>
      </c>
      <c r="C112" s="2">
        <f t="shared" si="7"/>
        <v>1.111691906735685E-2</v>
      </c>
      <c r="D112" s="21">
        <f t="shared" ca="1" si="5"/>
        <v>1.0732966652249983E-2</v>
      </c>
      <c r="E112" s="21">
        <f t="shared" ca="1" si="8"/>
        <v>1.1221223768991605E-4</v>
      </c>
      <c r="F112" s="11">
        <f t="shared" ca="1" si="9"/>
        <v>4.0342615229723835</v>
      </c>
      <c r="G112" s="10">
        <f t="shared" ca="1" si="6"/>
        <v>0</v>
      </c>
    </row>
    <row r="113" spans="1:7" x14ac:dyDescent="0.2">
      <c r="A113" s="2">
        <v>19900814</v>
      </c>
      <c r="B113" s="13">
        <v>2747.77</v>
      </c>
      <c r="C113" s="2">
        <f t="shared" si="7"/>
        <v>3.6042202142136669E-4</v>
      </c>
      <c r="D113" s="21">
        <f t="shared" ca="1" si="5"/>
        <v>-2.3530393685500608E-5</v>
      </c>
      <c r="E113" s="21">
        <f t="shared" ca="1" si="8"/>
        <v>1.1168036588008242E-4</v>
      </c>
      <c r="F113" s="11">
        <f t="shared" ca="1" si="9"/>
        <v>4.5499323425468461</v>
      </c>
      <c r="G113" s="10">
        <f t="shared" ca="1" si="6"/>
        <v>1</v>
      </c>
    </row>
    <row r="114" spans="1:7" x14ac:dyDescent="0.2">
      <c r="A114" s="2">
        <v>19900815</v>
      </c>
      <c r="B114" s="13">
        <v>2748.27</v>
      </c>
      <c r="C114" s="2">
        <f t="shared" si="7"/>
        <v>1.8196573949056871E-4</v>
      </c>
      <c r="D114" s="21">
        <f t="shared" ca="1" si="5"/>
        <v>-2.0198667561629858E-4</v>
      </c>
      <c r="E114" s="21">
        <f t="shared" ca="1" si="8"/>
        <v>1.0693944286632498E-4</v>
      </c>
      <c r="F114" s="11">
        <f t="shared" ca="1" si="9"/>
        <v>4.5714331634150698</v>
      </c>
      <c r="G114" s="10">
        <f t="shared" ca="1" si="6"/>
        <v>1</v>
      </c>
    </row>
    <row r="115" spans="1:7" x14ac:dyDescent="0.2">
      <c r="A115" s="2">
        <v>19900816</v>
      </c>
      <c r="B115" s="13">
        <v>2681.44</v>
      </c>
      <c r="C115" s="2">
        <f t="shared" si="7"/>
        <v>-2.4317115858339948E-2</v>
      </c>
      <c r="D115" s="21">
        <f t="shared" ca="1" si="5"/>
        <v>-2.4701068273446817E-2</v>
      </c>
      <c r="E115" s="21">
        <f t="shared" ca="1" si="8"/>
        <v>1.0243984458547893E-4</v>
      </c>
      <c r="F115" s="11">
        <f t="shared" ca="1" si="9"/>
        <v>1.6150634264280126</v>
      </c>
      <c r="G115" s="10">
        <f t="shared" ca="1" si="6"/>
        <v>0</v>
      </c>
    </row>
    <row r="116" spans="1:7" x14ac:dyDescent="0.2">
      <c r="A116" s="2">
        <v>19900817</v>
      </c>
      <c r="B116" s="13">
        <v>2644.8</v>
      </c>
      <c r="C116" s="2">
        <f t="shared" si="7"/>
        <v>-1.3664299779223055E-2</v>
      </c>
      <c r="D116" s="21">
        <f t="shared" ca="1" si="5"/>
        <v>-1.4048252194329923E-2</v>
      </c>
      <c r="E116" s="21">
        <f t="shared" ca="1" si="8"/>
        <v>1.206023973592718E-4</v>
      </c>
      <c r="F116" s="11">
        <f t="shared" ca="1" si="9"/>
        <v>3.6933072453776834</v>
      </c>
      <c r="G116" s="10">
        <f t="shared" ca="1" si="6"/>
        <v>0</v>
      </c>
    </row>
    <row r="117" spans="1:7" x14ac:dyDescent="0.2">
      <c r="A117" s="2">
        <v>19900820</v>
      </c>
      <c r="B117" s="13">
        <v>2656.44</v>
      </c>
      <c r="C117" s="2">
        <f t="shared" si="7"/>
        <v>4.401088929219552E-3</v>
      </c>
      <c r="D117" s="21">
        <f t="shared" ca="1" si="5"/>
        <v>4.0171365141126849E-3</v>
      </c>
      <c r="E117" s="21">
        <f t="shared" ca="1" si="8"/>
        <v>1.2266711420366125E-4</v>
      </c>
      <c r="F117" s="11">
        <f t="shared" ca="1" si="9"/>
        <v>4.4372409823548988</v>
      </c>
      <c r="G117" s="10">
        <f t="shared" ca="1" si="6"/>
        <v>1</v>
      </c>
    </row>
    <row r="118" spans="1:7" x14ac:dyDescent="0.2">
      <c r="A118" s="2">
        <v>19900821</v>
      </c>
      <c r="B118" s="13">
        <v>2603.96</v>
      </c>
      <c r="C118" s="2">
        <f t="shared" si="7"/>
        <v>-1.9755763352456678E-2</v>
      </c>
      <c r="D118" s="21">
        <f t="shared" ca="1" si="5"/>
        <v>-2.0139715767563546E-2</v>
      </c>
      <c r="E118" s="21">
        <f t="shared" ca="1" si="8"/>
        <v>1.1796374746641969E-4</v>
      </c>
      <c r="F118" s="11">
        <f t="shared" ca="1" si="9"/>
        <v>2.8033598129423254</v>
      </c>
      <c r="G118" s="10">
        <f t="shared" ca="1" si="6"/>
        <v>0</v>
      </c>
    </row>
    <row r="119" spans="1:7" x14ac:dyDescent="0.2">
      <c r="A119" s="2">
        <v>19900822</v>
      </c>
      <c r="B119" s="13">
        <v>2560.15</v>
      </c>
      <c r="C119" s="2">
        <f t="shared" si="7"/>
        <v>-1.6824375182414454E-2</v>
      </c>
      <c r="D119" s="21">
        <f t="shared" ca="1" si="5"/>
        <v>-1.7208327597521323E-2</v>
      </c>
      <c r="E119" s="21">
        <f t="shared" ca="1" si="8"/>
        <v>1.2781984568003657E-4</v>
      </c>
      <c r="F119" s="11">
        <f t="shared" ca="1" si="9"/>
        <v>3.3240697178011835</v>
      </c>
      <c r="G119" s="10">
        <f t="shared" ca="1" si="6"/>
        <v>0</v>
      </c>
    </row>
    <row r="120" spans="1:7" x14ac:dyDescent="0.2">
      <c r="A120" s="2">
        <v>19900823</v>
      </c>
      <c r="B120" s="13">
        <v>2483.42</v>
      </c>
      <c r="C120" s="2">
        <f t="shared" si="7"/>
        <v>-2.9970900142569777E-2</v>
      </c>
      <c r="D120" s="21">
        <f t="shared" ca="1" si="5"/>
        <v>-3.0354852557676646E-2</v>
      </c>
      <c r="E120" s="21">
        <f t="shared" ca="1" si="8"/>
        <v>1.3315149058829012E-4</v>
      </c>
      <c r="F120" s="11">
        <f t="shared" ca="1" si="9"/>
        <v>1.0019786346463304</v>
      </c>
      <c r="G120" s="10">
        <f t="shared" ca="1" si="6"/>
        <v>0</v>
      </c>
    </row>
    <row r="121" spans="1:7" x14ac:dyDescent="0.2">
      <c r="A121" s="2">
        <v>19900824</v>
      </c>
      <c r="B121" s="13">
        <v>2532.92</v>
      </c>
      <c r="C121" s="2">
        <f t="shared" si="7"/>
        <v>1.9932190285976596E-2</v>
      </c>
      <c r="D121" s="21">
        <f t="shared" ca="1" si="5"/>
        <v>1.9548237870869727E-2</v>
      </c>
      <c r="E121" s="21">
        <f t="shared" ca="1" si="8"/>
        <v>1.6120643058724658E-4</v>
      </c>
      <c r="F121" s="11">
        <f t="shared" ca="1" si="9"/>
        <v>3.1811817719578679</v>
      </c>
      <c r="G121" s="10">
        <f t="shared" ca="1" si="6"/>
        <v>0</v>
      </c>
    </row>
    <row r="122" spans="1:7" x14ac:dyDescent="0.2">
      <c r="A122" s="2">
        <v>19900827</v>
      </c>
      <c r="B122" s="13">
        <v>2611.63</v>
      </c>
      <c r="C122" s="2">
        <f t="shared" si="7"/>
        <v>3.1074806942185316E-2</v>
      </c>
      <c r="D122" s="21">
        <f t="shared" ca="1" si="5"/>
        <v>3.0690854527078447E-2</v>
      </c>
      <c r="E122" s="21">
        <f t="shared" ca="1" si="8"/>
        <v>1.6801166713007471E-4</v>
      </c>
      <c r="F122" s="11">
        <f t="shared" ca="1" si="9"/>
        <v>1.5425744542608206</v>
      </c>
      <c r="G122" s="10">
        <f t="shared" ca="1" si="6"/>
        <v>0</v>
      </c>
    </row>
    <row r="123" spans="1:7" x14ac:dyDescent="0.2">
      <c r="A123" s="2">
        <v>19900828</v>
      </c>
      <c r="B123" s="13">
        <v>2614.85</v>
      </c>
      <c r="C123" s="2">
        <f t="shared" si="7"/>
        <v>1.2329464740410395E-3</v>
      </c>
      <c r="D123" s="21">
        <f t="shared" ca="1" si="5"/>
        <v>8.4899405893417215E-4</v>
      </c>
      <c r="E123" s="21">
        <f t="shared" ca="1" si="8"/>
        <v>1.950572621724299E-4</v>
      </c>
      <c r="F123" s="11">
        <f t="shared" ca="1" si="9"/>
        <v>4.2692610559081494</v>
      </c>
      <c r="G123" s="10">
        <f t="shared" ca="1" si="6"/>
        <v>1</v>
      </c>
    </row>
    <row r="124" spans="1:7" x14ac:dyDescent="0.2">
      <c r="A124" s="2">
        <v>19900829</v>
      </c>
      <c r="B124" s="13">
        <v>2632.43</v>
      </c>
      <c r="C124" s="2">
        <f t="shared" si="7"/>
        <v>6.7231389945885721E-3</v>
      </c>
      <c r="D124" s="21">
        <f t="shared" ca="1" si="5"/>
        <v>6.3391865794817049E-3</v>
      </c>
      <c r="E124" s="21">
        <f t="shared" ca="1" si="8"/>
        <v>1.8612475890282212E-4</v>
      </c>
      <c r="F124" s="11">
        <f t="shared" ca="1" si="9"/>
        <v>4.186594126304068</v>
      </c>
      <c r="G124" s="10">
        <f t="shared" ca="1" si="6"/>
        <v>1</v>
      </c>
    </row>
    <row r="125" spans="1:7" x14ac:dyDescent="0.2">
      <c r="A125" s="2">
        <v>19900830</v>
      </c>
      <c r="B125" s="13">
        <v>2593.3200000000002</v>
      </c>
      <c r="C125" s="2">
        <f t="shared" si="7"/>
        <v>-1.4856995247736758E-2</v>
      </c>
      <c r="D125" s="21">
        <f t="shared" ca="1" si="5"/>
        <v>-1.5240947662843625E-2</v>
      </c>
      <c r="E125" s="21">
        <f t="shared" ca="1" si="8"/>
        <v>1.7909533232402468E-4</v>
      </c>
      <c r="F125" s="11">
        <f t="shared" ca="1" si="9"/>
        <v>3.6652966032419401</v>
      </c>
      <c r="G125" s="10">
        <f t="shared" ca="1" si="6"/>
        <v>0</v>
      </c>
    </row>
    <row r="126" spans="1:7" x14ac:dyDescent="0.2">
      <c r="A126" s="2">
        <v>19900831</v>
      </c>
      <c r="B126" s="13">
        <v>2614.36</v>
      </c>
      <c r="C126" s="2">
        <f t="shared" si="7"/>
        <v>8.1131522527107969E-3</v>
      </c>
      <c r="D126" s="21">
        <f t="shared" ca="1" si="5"/>
        <v>7.7291998376039298E-3</v>
      </c>
      <c r="E126" s="21">
        <f t="shared" ca="1" si="8"/>
        <v>1.7948542326167837E-4</v>
      </c>
      <c r="F126" s="11">
        <f t="shared" ca="1" si="9"/>
        <v>4.1462866037927482</v>
      </c>
      <c r="G126" s="10">
        <f t="shared" ca="1" si="6"/>
        <v>1</v>
      </c>
    </row>
    <row r="127" spans="1:7" x14ac:dyDescent="0.2">
      <c r="A127" s="2">
        <v>19900904</v>
      </c>
      <c r="B127" s="13">
        <v>2613.37</v>
      </c>
      <c r="C127" s="2">
        <f t="shared" si="7"/>
        <v>-3.786777643477702E-4</v>
      </c>
      <c r="D127" s="21">
        <f t="shared" ca="1" si="5"/>
        <v>-7.6263017945463749E-4</v>
      </c>
      <c r="E127" s="21">
        <f t="shared" ca="1" si="8"/>
        <v>1.7351096331208598E-4</v>
      </c>
      <c r="F127" s="11">
        <f t="shared" ca="1" si="9"/>
        <v>4.3279588971343212</v>
      </c>
      <c r="G127" s="10">
        <f t="shared" ca="1" si="6"/>
        <v>1</v>
      </c>
    </row>
    <row r="128" spans="1:7" x14ac:dyDescent="0.2">
      <c r="A128" s="2">
        <v>19900905</v>
      </c>
      <c r="B128" s="13">
        <v>2628.22</v>
      </c>
      <c r="C128" s="2">
        <f t="shared" si="7"/>
        <v>5.6823182327798627E-3</v>
      </c>
      <c r="D128" s="21">
        <f t="shared" ca="1" si="5"/>
        <v>5.2983658176729955E-3</v>
      </c>
      <c r="E128" s="21">
        <f t="shared" ca="1" si="8"/>
        <v>1.6566337627953699E-4</v>
      </c>
      <c r="F128" s="11">
        <f t="shared" ca="1" si="9"/>
        <v>4.2680482588761404</v>
      </c>
      <c r="G128" s="10">
        <f t="shared" ca="1" si="6"/>
        <v>1</v>
      </c>
    </row>
    <row r="129" spans="1:7" x14ac:dyDescent="0.2">
      <c r="A129" s="2">
        <v>19900906</v>
      </c>
      <c r="B129" s="13">
        <v>2596.29</v>
      </c>
      <c r="C129" s="2">
        <f t="shared" si="7"/>
        <v>-1.2148906864722069E-2</v>
      </c>
      <c r="D129" s="21">
        <f t="shared" ca="1" si="5"/>
        <v>-1.2532859279828936E-2</v>
      </c>
      <c r="E129" s="21">
        <f t="shared" ca="1" si="8"/>
        <v>1.5922369610747958E-4</v>
      </c>
      <c r="F129" s="11">
        <f t="shared" ca="1" si="9"/>
        <v>3.8793552952218153</v>
      </c>
      <c r="G129" s="10">
        <f t="shared" ca="1" si="6"/>
        <v>1</v>
      </c>
    </row>
    <row r="130" spans="1:7" x14ac:dyDescent="0.2">
      <c r="A130" s="2">
        <v>19900907</v>
      </c>
      <c r="B130" s="13">
        <v>2619.5500000000002</v>
      </c>
      <c r="C130" s="2">
        <f t="shared" si="7"/>
        <v>8.9589375609042971E-3</v>
      </c>
      <c r="D130" s="21">
        <f t="shared" ca="1" si="5"/>
        <v>8.5749851457974299E-3</v>
      </c>
      <c r="E130" s="21">
        <f t="shared" ca="1" si="8"/>
        <v>1.5785335235426117E-4</v>
      </c>
      <c r="F130" s="11">
        <f t="shared" ca="1" si="9"/>
        <v>4.1440148349444952</v>
      </c>
      <c r="G130" s="10">
        <f t="shared" ca="1" si="6"/>
        <v>1</v>
      </c>
    </row>
    <row r="131" spans="1:7" x14ac:dyDescent="0.2">
      <c r="A131" s="2">
        <v>19900910</v>
      </c>
      <c r="B131" s="13">
        <v>2615.59</v>
      </c>
      <c r="C131" s="2">
        <f t="shared" si="7"/>
        <v>-1.5117100265312883E-3</v>
      </c>
      <c r="D131" s="21">
        <f t="shared" ca="1" si="5"/>
        <v>-1.8956624416381555E-3</v>
      </c>
      <c r="E131" s="21">
        <f t="shared" ca="1" si="8"/>
        <v>1.5348034249350345E-4</v>
      </c>
      <c r="F131" s="11">
        <f t="shared" ca="1" si="9"/>
        <v>4.3792622020435639</v>
      </c>
      <c r="G131" s="10">
        <f t="shared" ca="1" si="6"/>
        <v>1</v>
      </c>
    </row>
    <row r="132" spans="1:7" x14ac:dyDescent="0.2">
      <c r="A132" s="2">
        <v>19900911</v>
      </c>
      <c r="B132" s="13">
        <v>2612.62</v>
      </c>
      <c r="C132" s="2">
        <f t="shared" si="7"/>
        <v>-1.1354990652205639E-3</v>
      </c>
      <c r="D132" s="21">
        <f t="shared" ca="1" si="5"/>
        <v>-1.5194514803274313E-3</v>
      </c>
      <c r="E132" s="21">
        <f t="shared" ca="1" si="8"/>
        <v>1.4675686513648375E-4</v>
      </c>
      <c r="F132" s="11">
        <f t="shared" ca="1" si="9"/>
        <v>4.4055008169983489</v>
      </c>
      <c r="G132" s="10">
        <f t="shared" ca="1" si="6"/>
        <v>1</v>
      </c>
    </row>
    <row r="133" spans="1:7" x14ac:dyDescent="0.2">
      <c r="A133" s="2">
        <v>19900912</v>
      </c>
      <c r="B133" s="13">
        <v>2625.74</v>
      </c>
      <c r="C133" s="2">
        <f t="shared" si="7"/>
        <v>5.0217789039354718E-3</v>
      </c>
      <c r="D133" s="21">
        <f t="shared" ca="1" si="5"/>
        <v>4.6378264888286046E-3</v>
      </c>
      <c r="E133" s="21">
        <f t="shared" ca="1" si="8"/>
        <v>1.4032628625239868E-4</v>
      </c>
      <c r="F133" s="11">
        <f t="shared" ca="1" si="9"/>
        <v>4.359129326652142</v>
      </c>
      <c r="G133" s="10">
        <f t="shared" ca="1" si="6"/>
        <v>1</v>
      </c>
    </row>
    <row r="134" spans="1:7" x14ac:dyDescent="0.2">
      <c r="A134" s="2">
        <v>19900913</v>
      </c>
      <c r="B134" s="13">
        <v>2582.67</v>
      </c>
      <c r="C134" s="2">
        <f t="shared" si="7"/>
        <v>-1.6402994965228741E-2</v>
      </c>
      <c r="D134" s="21">
        <f t="shared" ca="1" si="5"/>
        <v>-1.678694738033561E-2</v>
      </c>
      <c r="E134" s="21">
        <f t="shared" ca="1" si="8"/>
        <v>1.349270757997064E-4</v>
      </c>
      <c r="F134" s="11">
        <f t="shared" ca="1" si="9"/>
        <v>3.4111143190204003</v>
      </c>
      <c r="G134" s="10">
        <f t="shared" ca="1" si="6"/>
        <v>0</v>
      </c>
    </row>
    <row r="135" spans="1:7" x14ac:dyDescent="0.2">
      <c r="A135" s="2">
        <v>19900914</v>
      </c>
      <c r="B135" s="13">
        <v>2564.11</v>
      </c>
      <c r="C135" s="2">
        <f t="shared" si="7"/>
        <v>-7.1863614011855731E-3</v>
      </c>
      <c r="D135" s="21">
        <f t="shared" ca="1" si="5"/>
        <v>-7.5703138162924403E-3</v>
      </c>
      <c r="E135" s="21">
        <f t="shared" ca="1" si="8"/>
        <v>1.3937241067431917E-4</v>
      </c>
      <c r="F135" s="11">
        <f t="shared" ca="1" si="9"/>
        <v>4.2335815158467538</v>
      </c>
      <c r="G135" s="10">
        <f t="shared" ca="1" si="6"/>
        <v>1</v>
      </c>
    </row>
    <row r="136" spans="1:7" x14ac:dyDescent="0.2">
      <c r="A136" s="2">
        <v>19900917</v>
      </c>
      <c r="B136" s="13">
        <v>2567.33</v>
      </c>
      <c r="C136" s="2">
        <f t="shared" si="7"/>
        <v>1.2557963581904831E-3</v>
      </c>
      <c r="D136" s="21">
        <f t="shared" ca="1" si="5"/>
        <v>8.7184394308361583E-4</v>
      </c>
      <c r="E136" s="21">
        <f t="shared" ca="1" si="8"/>
        <v>1.3533789357946956E-4</v>
      </c>
      <c r="F136" s="11">
        <f t="shared" ca="1" si="9"/>
        <v>4.4510597951721209</v>
      </c>
      <c r="G136" s="10">
        <f t="shared" ca="1" si="6"/>
        <v>1</v>
      </c>
    </row>
    <row r="137" spans="1:7" x14ac:dyDescent="0.2">
      <c r="A137" s="2">
        <v>19900918</v>
      </c>
      <c r="B137" s="13">
        <v>2571.29</v>
      </c>
      <c r="C137" s="2">
        <f t="shared" si="7"/>
        <v>1.5424585074766534E-3</v>
      </c>
      <c r="D137" s="21">
        <f t="shared" ca="1" si="5"/>
        <v>1.158506092369786E-3</v>
      </c>
      <c r="E137" s="21">
        <f t="shared" ca="1" si="8"/>
        <v>1.2942805873038531E-4</v>
      </c>
      <c r="F137" s="11">
        <f t="shared" ca="1" si="9"/>
        <v>4.4710078070645451</v>
      </c>
      <c r="G137" s="10">
        <f t="shared" ca="1" si="6"/>
        <v>1</v>
      </c>
    </row>
    <row r="138" spans="1:7" x14ac:dyDescent="0.2">
      <c r="A138" s="2">
        <v>19900919</v>
      </c>
      <c r="B138" s="13">
        <v>2557.4299999999998</v>
      </c>
      <c r="C138" s="2">
        <f t="shared" si="7"/>
        <v>-5.3902904767646311E-3</v>
      </c>
      <c r="D138" s="21">
        <f t="shared" ca="1" si="5"/>
        <v>-5.7742428918714983E-3</v>
      </c>
      <c r="E138" s="21">
        <f t="shared" ca="1" si="8"/>
        <v>1.2383860642950357E-4</v>
      </c>
      <c r="F138" s="11">
        <f t="shared" ca="1" si="9"/>
        <v>4.3636474182308236</v>
      </c>
      <c r="G138" s="10">
        <f t="shared" ca="1" si="6"/>
        <v>1</v>
      </c>
    </row>
    <row r="139" spans="1:7" x14ac:dyDescent="0.2">
      <c r="A139" s="2">
        <v>19900920</v>
      </c>
      <c r="B139" s="13">
        <v>2518.3200000000002</v>
      </c>
      <c r="C139" s="2">
        <f t="shared" si="7"/>
        <v>-1.5292696183277617E-2</v>
      </c>
      <c r="D139" s="21">
        <f t="shared" ca="1" si="5"/>
        <v>-1.5676648598384486E-2</v>
      </c>
      <c r="E139" s="21">
        <f t="shared" ca="1" si="8"/>
        <v>1.1970861284323655E-4</v>
      </c>
      <c r="F139" s="11">
        <f t="shared" ca="1" si="9"/>
        <v>3.4887436712585358</v>
      </c>
      <c r="G139" s="10">
        <f t="shared" ca="1" si="6"/>
        <v>0</v>
      </c>
    </row>
    <row r="140" spans="1:7" x14ac:dyDescent="0.2">
      <c r="A140" s="2">
        <v>19900921</v>
      </c>
      <c r="B140" s="13">
        <v>2512.38</v>
      </c>
      <c r="C140" s="2">
        <f t="shared" si="7"/>
        <v>-2.3587153340322337E-3</v>
      </c>
      <c r="D140" s="21">
        <f t="shared" ca="1" si="5"/>
        <v>-2.7426677491391009E-3</v>
      </c>
      <c r="E140" s="21">
        <f t="shared" ca="1" si="8"/>
        <v>1.2359844325193349E-4</v>
      </c>
      <c r="F140" s="11">
        <f t="shared" ca="1" si="9"/>
        <v>4.4688062023914537</v>
      </c>
      <c r="G140" s="10">
        <f t="shared" ca="1" si="6"/>
        <v>1</v>
      </c>
    </row>
    <row r="141" spans="1:7" x14ac:dyDescent="0.2">
      <c r="A141" s="2">
        <v>19900924</v>
      </c>
      <c r="B141" s="13">
        <v>2452.9699999999998</v>
      </c>
      <c r="C141" s="2">
        <f t="shared" si="7"/>
        <v>-2.3646900548484031E-2</v>
      </c>
      <c r="D141" s="21">
        <f t="shared" ca="1" si="5"/>
        <v>-2.40308529635909E-2</v>
      </c>
      <c r="E141" s="21">
        <f t="shared" ca="1" si="8"/>
        <v>1.1853116581821118E-4</v>
      </c>
      <c r="F141" s="11">
        <f t="shared" ca="1" si="9"/>
        <v>2.0841755222237617</v>
      </c>
      <c r="G141" s="10">
        <f t="shared" ca="1" si="6"/>
        <v>0</v>
      </c>
    </row>
    <row r="142" spans="1:7" x14ac:dyDescent="0.2">
      <c r="A142" s="2">
        <v>19900925</v>
      </c>
      <c r="B142" s="13">
        <v>2485.64</v>
      </c>
      <c r="C142" s="2">
        <f t="shared" si="7"/>
        <v>1.3318548535041226E-2</v>
      </c>
      <c r="D142" s="21">
        <f t="shared" ref="D142:D205" ca="1" si="10">(C142-mu)</f>
        <v>1.2934596119934359E-2</v>
      </c>
      <c r="E142" s="21">
        <f t="shared" ca="1" si="8"/>
        <v>1.3467865577884393E-4</v>
      </c>
      <c r="F142" s="11">
        <f t="shared" ca="1" si="9"/>
        <v>3.8351873805256727</v>
      </c>
      <c r="G142" s="10">
        <f t="shared" ref="G142:G205" ca="1" si="11">IF(AND(C142&lt;=mu+zvalue*SQRT(E142),C142&gt;=mu-zvalue*SQRT(E142)),1,0)</f>
        <v>0</v>
      </c>
    </row>
    <row r="143" spans="1:7" x14ac:dyDescent="0.2">
      <c r="A143" s="2">
        <v>19900926</v>
      </c>
      <c r="B143" s="13">
        <v>2459.65</v>
      </c>
      <c r="C143" s="2">
        <f t="shared" ref="C143:C206" si="12">(B143-B142)/B142</f>
        <v>-1.0456059606378954E-2</v>
      </c>
      <c r="D143" s="21">
        <f t="shared" ca="1" si="10"/>
        <v>-1.0840012021485821E-2</v>
      </c>
      <c r="E143" s="21">
        <f t="shared" ref="E143:E206" ca="1" si="13">(1-alpha-beta)*longvar+alpha*D142^2+beta*E142</f>
        <v>1.3492627333951563E-4</v>
      </c>
      <c r="F143" s="11">
        <f t="shared" ref="F143:F206" ca="1" si="14">(-0.5)*(LN(E143)+D143^2/E143)</f>
        <v>4.0199463283073893</v>
      </c>
      <c r="G143" s="10">
        <f t="shared" ca="1" si="11"/>
        <v>1</v>
      </c>
    </row>
    <row r="144" spans="1:7" x14ac:dyDescent="0.2">
      <c r="A144" s="2">
        <v>19900927</v>
      </c>
      <c r="B144" s="13">
        <v>2427.48</v>
      </c>
      <c r="C144" s="2">
        <f t="shared" si="12"/>
        <v>-1.3079096619437755E-2</v>
      </c>
      <c r="D144" s="21">
        <f t="shared" ca="1" si="10"/>
        <v>-1.3463049034544622E-2</v>
      </c>
      <c r="E144" s="21">
        <f t="shared" ca="1" si="13"/>
        <v>1.3333020751955801E-4</v>
      </c>
      <c r="F144" s="11">
        <f t="shared" ca="1" si="14"/>
        <v>3.7816236017796454</v>
      </c>
      <c r="G144" s="10">
        <f t="shared" ca="1" si="11"/>
        <v>0</v>
      </c>
    </row>
    <row r="145" spans="1:7" x14ac:dyDescent="0.2">
      <c r="A145" s="2">
        <v>19900928</v>
      </c>
      <c r="B145" s="13">
        <v>2452.48</v>
      </c>
      <c r="C145" s="2">
        <f t="shared" si="12"/>
        <v>1.0298746024684034E-2</v>
      </c>
      <c r="D145" s="21">
        <f t="shared" ca="1" si="10"/>
        <v>9.9147936095771664E-3</v>
      </c>
      <c r="E145" s="21">
        <f t="shared" ca="1" si="13"/>
        <v>1.3415900616225391E-4</v>
      </c>
      <c r="F145" s="11">
        <f t="shared" ca="1" si="14"/>
        <v>4.0918744287079241</v>
      </c>
      <c r="G145" s="10">
        <f t="shared" ca="1" si="11"/>
        <v>1</v>
      </c>
    </row>
    <row r="146" spans="1:7" x14ac:dyDescent="0.2">
      <c r="A146" s="2">
        <v>19901001</v>
      </c>
      <c r="B146" s="13">
        <v>2515.84</v>
      </c>
      <c r="C146" s="2">
        <f t="shared" si="12"/>
        <v>2.5835073068893578E-2</v>
      </c>
      <c r="D146" s="21">
        <f t="shared" ca="1" si="10"/>
        <v>2.5451120653786709E-2</v>
      </c>
      <c r="E146" s="21">
        <f t="shared" ca="1" si="13"/>
        <v>1.3189563879276913E-4</v>
      </c>
      <c r="F146" s="11">
        <f t="shared" ca="1" si="14"/>
        <v>2.0111737350708587</v>
      </c>
      <c r="G146" s="10">
        <f t="shared" ca="1" si="11"/>
        <v>0</v>
      </c>
    </row>
    <row r="147" spans="1:7" x14ac:dyDescent="0.2">
      <c r="A147" s="2">
        <v>19901002</v>
      </c>
      <c r="B147" s="13">
        <v>2505.1999999999998</v>
      </c>
      <c r="C147" s="2">
        <f t="shared" si="12"/>
        <v>-4.2292037649454368E-3</v>
      </c>
      <c r="D147" s="21">
        <f t="shared" ca="1" si="10"/>
        <v>-4.613156180052304E-3</v>
      </c>
      <c r="E147" s="21">
        <f t="shared" ca="1" si="13"/>
        <v>1.4995124750403791E-4</v>
      </c>
      <c r="F147" s="11">
        <f t="shared" ca="1" si="14"/>
        <v>4.3316397368762649</v>
      </c>
      <c r="G147" s="10">
        <f t="shared" ca="1" si="11"/>
        <v>1</v>
      </c>
    </row>
    <row r="148" spans="1:7" x14ac:dyDescent="0.2">
      <c r="A148" s="2">
        <v>19901003</v>
      </c>
      <c r="B148" s="13">
        <v>2489.36</v>
      </c>
      <c r="C148" s="2">
        <f t="shared" si="12"/>
        <v>-6.32284847517152E-3</v>
      </c>
      <c r="D148" s="21">
        <f t="shared" ca="1" si="10"/>
        <v>-6.7068008902783872E-3</v>
      </c>
      <c r="E148" s="21">
        <f t="shared" ca="1" si="13"/>
        <v>1.4405671487547581E-4</v>
      </c>
      <c r="F148" s="11">
        <f t="shared" ca="1" si="14"/>
        <v>4.2665285844692153</v>
      </c>
      <c r="G148" s="10">
        <f t="shared" ca="1" si="11"/>
        <v>1</v>
      </c>
    </row>
    <row r="149" spans="1:7" x14ac:dyDescent="0.2">
      <c r="A149" s="2">
        <v>19901004</v>
      </c>
      <c r="B149" s="13">
        <v>2516.83</v>
      </c>
      <c r="C149" s="2">
        <f t="shared" si="12"/>
        <v>1.1034964810232268E-2</v>
      </c>
      <c r="D149" s="21">
        <f t="shared" ca="1" si="10"/>
        <v>1.0651012395125401E-2</v>
      </c>
      <c r="E149" s="21">
        <f t="shared" ca="1" si="13"/>
        <v>1.3933187780690686E-4</v>
      </c>
      <c r="F149" s="11">
        <f t="shared" ca="1" si="14"/>
        <v>4.0322257503652033</v>
      </c>
      <c r="G149" s="10">
        <f t="shared" ca="1" si="11"/>
        <v>1</v>
      </c>
    </row>
    <row r="150" spans="1:7" x14ac:dyDescent="0.2">
      <c r="A150" s="2">
        <v>19901005</v>
      </c>
      <c r="B150" s="13">
        <v>2510.64</v>
      </c>
      <c r="C150" s="2">
        <f t="shared" si="12"/>
        <v>-2.4594430295252581E-3</v>
      </c>
      <c r="D150" s="21">
        <f t="shared" ca="1" si="10"/>
        <v>-2.8433954446321253E-3</v>
      </c>
      <c r="E150" s="21">
        <f t="shared" ca="1" si="13"/>
        <v>1.3736357169059484E-4</v>
      </c>
      <c r="F150" s="11">
        <f t="shared" ca="1" si="14"/>
        <v>4.4170108423627505</v>
      </c>
      <c r="G150" s="10">
        <f t="shared" ca="1" si="11"/>
        <v>1</v>
      </c>
    </row>
    <row r="151" spans="1:7" x14ac:dyDescent="0.2">
      <c r="A151" s="2">
        <v>19901008</v>
      </c>
      <c r="B151" s="13">
        <v>2523.7600000000002</v>
      </c>
      <c r="C151" s="2">
        <f t="shared" si="12"/>
        <v>5.2257591689769721E-3</v>
      </c>
      <c r="D151" s="21">
        <f t="shared" ca="1" si="10"/>
        <v>4.8418067538701049E-3</v>
      </c>
      <c r="E151" s="21">
        <f t="shared" ca="1" si="13"/>
        <v>1.3162060228193165E-4</v>
      </c>
      <c r="F151" s="11">
        <f t="shared" ca="1" si="14"/>
        <v>4.3787379404492039</v>
      </c>
      <c r="G151" s="10">
        <f t="shared" ca="1" si="11"/>
        <v>1</v>
      </c>
    </row>
    <row r="152" spans="1:7" x14ac:dyDescent="0.2">
      <c r="A152" s="2">
        <v>19901009</v>
      </c>
      <c r="B152" s="13">
        <v>2445.54</v>
      </c>
      <c r="C152" s="2">
        <f t="shared" si="12"/>
        <v>-3.0993438361809462E-2</v>
      </c>
      <c r="D152" s="21">
        <f t="shared" ca="1" si="10"/>
        <v>-3.1377390776916328E-2</v>
      </c>
      <c r="E152" s="21">
        <f t="shared" ca="1" si="13"/>
        <v>1.2673291923242049E-4</v>
      </c>
      <c r="F152" s="11">
        <f t="shared" ca="1" si="14"/>
        <v>0.60240133982173028</v>
      </c>
      <c r="G152" s="10">
        <f t="shared" ca="1" si="11"/>
        <v>0</v>
      </c>
    </row>
    <row r="153" spans="1:7" x14ac:dyDescent="0.2">
      <c r="A153" s="2">
        <v>19901010</v>
      </c>
      <c r="B153" s="13">
        <v>2407.92</v>
      </c>
      <c r="C153" s="2">
        <f t="shared" si="12"/>
        <v>-1.5383105571775515E-2</v>
      </c>
      <c r="D153" s="21">
        <f t="shared" ca="1" si="10"/>
        <v>-1.5767057986882382E-2</v>
      </c>
      <c r="E153" s="21">
        <f t="shared" ca="1" si="13"/>
        <v>1.5743374105568986E-4</v>
      </c>
      <c r="F153" s="11">
        <f t="shared" ca="1" si="14"/>
        <v>3.5887140650845968</v>
      </c>
      <c r="G153" s="10">
        <f t="shared" ca="1" si="11"/>
        <v>0</v>
      </c>
    </row>
    <row r="154" spans="1:7" x14ac:dyDescent="0.2">
      <c r="A154" s="2">
        <v>19901011</v>
      </c>
      <c r="B154" s="13">
        <v>2365.1</v>
      </c>
      <c r="C154" s="2">
        <f t="shared" si="12"/>
        <v>-1.7782982823349679E-2</v>
      </c>
      <c r="D154" s="21">
        <f t="shared" ca="1" si="10"/>
        <v>-1.8166935238456548E-2</v>
      </c>
      <c r="E154" s="21">
        <f t="shared" ca="1" si="13"/>
        <v>1.5951957975733535E-4</v>
      </c>
      <c r="F154" s="11">
        <f t="shared" ca="1" si="14"/>
        <v>3.3371985058440172</v>
      </c>
      <c r="G154" s="10">
        <f t="shared" ca="1" si="11"/>
        <v>0</v>
      </c>
    </row>
    <row r="155" spans="1:7" x14ac:dyDescent="0.2">
      <c r="A155" s="2">
        <v>19901012</v>
      </c>
      <c r="B155" s="13">
        <v>2398.02</v>
      </c>
      <c r="C155" s="2">
        <f t="shared" si="12"/>
        <v>1.3919073189294353E-2</v>
      </c>
      <c r="D155" s="21">
        <f t="shared" ca="1" si="10"/>
        <v>1.3535120774187486E-2</v>
      </c>
      <c r="E155" s="21">
        <f t="shared" ca="1" si="13"/>
        <v>1.6449449126027899E-4</v>
      </c>
      <c r="F155" s="11">
        <f t="shared" ca="1" si="14"/>
        <v>3.799460721266664</v>
      </c>
      <c r="G155" s="10">
        <f t="shared" ca="1" si="11"/>
        <v>0</v>
      </c>
    </row>
    <row r="156" spans="1:7" x14ac:dyDescent="0.2">
      <c r="A156" s="2">
        <v>19901015</v>
      </c>
      <c r="B156" s="13">
        <v>2416.34</v>
      </c>
      <c r="C156" s="2">
        <f t="shared" si="12"/>
        <v>7.6396360330606766E-3</v>
      </c>
      <c r="D156" s="21">
        <f t="shared" ca="1" si="10"/>
        <v>7.2556836179538094E-3</v>
      </c>
      <c r="E156" s="21">
        <f t="shared" ca="1" si="13"/>
        <v>1.6381822917696406E-4</v>
      </c>
      <c r="F156" s="11">
        <f t="shared" ca="1" si="14"/>
        <v>4.1976955792227111</v>
      </c>
      <c r="G156" s="10">
        <f t="shared" ca="1" si="11"/>
        <v>1</v>
      </c>
    </row>
    <row r="157" spans="1:7" x14ac:dyDescent="0.2">
      <c r="A157" s="2">
        <v>19901016</v>
      </c>
      <c r="B157" s="13">
        <v>2381.19</v>
      </c>
      <c r="C157" s="2">
        <f t="shared" si="12"/>
        <v>-1.4546793911452895E-2</v>
      </c>
      <c r="D157" s="21">
        <f t="shared" ca="1" si="10"/>
        <v>-1.4930746326559762E-2</v>
      </c>
      <c r="E157" s="21">
        <f t="shared" ca="1" si="13"/>
        <v>1.5837546067163939E-4</v>
      </c>
      <c r="F157" s="11">
        <f t="shared" ca="1" si="14"/>
        <v>3.6714776748034188</v>
      </c>
      <c r="G157" s="10">
        <f t="shared" ca="1" si="11"/>
        <v>0</v>
      </c>
    </row>
    <row r="158" spans="1:7" x14ac:dyDescent="0.2">
      <c r="A158" s="2">
        <v>19901017</v>
      </c>
      <c r="B158" s="13">
        <v>2387.87</v>
      </c>
      <c r="C158" s="2">
        <f t="shared" si="12"/>
        <v>2.805320029061031E-3</v>
      </c>
      <c r="D158" s="21">
        <f t="shared" ca="1" si="10"/>
        <v>2.4213676139541638E-3</v>
      </c>
      <c r="E158" s="21">
        <f t="shared" ca="1" si="13"/>
        <v>1.5946961894331752E-4</v>
      </c>
      <c r="F158" s="11">
        <f t="shared" ca="1" si="14"/>
        <v>4.3534456872930933</v>
      </c>
      <c r="G158" s="10">
        <f t="shared" ca="1" si="11"/>
        <v>1</v>
      </c>
    </row>
    <row r="159" spans="1:7" x14ac:dyDescent="0.2">
      <c r="A159" s="2">
        <v>19901018</v>
      </c>
      <c r="B159" s="13">
        <v>2452.7199999999998</v>
      </c>
      <c r="C159" s="2">
        <f t="shared" si="12"/>
        <v>2.715809487116129E-2</v>
      </c>
      <c r="D159" s="21">
        <f t="shared" ca="1" si="10"/>
        <v>2.6774142456054421E-2</v>
      </c>
      <c r="E159" s="21">
        <f t="shared" ca="1" si="13"/>
        <v>1.5252659504580077E-4</v>
      </c>
      <c r="F159" s="11">
        <f t="shared" ca="1" si="14"/>
        <v>2.0441523127382126</v>
      </c>
      <c r="G159" s="10">
        <f t="shared" ca="1" si="11"/>
        <v>0</v>
      </c>
    </row>
    <row r="160" spans="1:7" x14ac:dyDescent="0.2">
      <c r="A160" s="2">
        <v>19901019</v>
      </c>
      <c r="B160" s="13">
        <v>2520.79</v>
      </c>
      <c r="C160" s="2">
        <f t="shared" si="12"/>
        <v>2.7752862128575691E-2</v>
      </c>
      <c r="D160" s="21">
        <f t="shared" ca="1" si="10"/>
        <v>2.7368909713468823E-2</v>
      </c>
      <c r="E160" s="21">
        <f t="shared" ca="1" si="13"/>
        <v>1.7207922662716823E-4</v>
      </c>
      <c r="F160" s="11">
        <f t="shared" ca="1" si="14"/>
        <v>2.1572884025968029</v>
      </c>
      <c r="G160" s="10">
        <f t="shared" ca="1" si="11"/>
        <v>0</v>
      </c>
    </row>
    <row r="161" spans="1:7" x14ac:dyDescent="0.2">
      <c r="A161" s="2">
        <v>19901022</v>
      </c>
      <c r="B161" s="13">
        <v>2516.09</v>
      </c>
      <c r="C161" s="2">
        <f t="shared" si="12"/>
        <v>-1.8644948607380299E-3</v>
      </c>
      <c r="D161" s="21">
        <f t="shared" ca="1" si="10"/>
        <v>-2.248447275844897E-3</v>
      </c>
      <c r="E161" s="21">
        <f t="shared" ca="1" si="13"/>
        <v>1.9182682682952407E-4</v>
      </c>
      <c r="F161" s="11">
        <f t="shared" ca="1" si="14"/>
        <v>4.2662814790503436</v>
      </c>
      <c r="G161" s="10">
        <f t="shared" ca="1" si="11"/>
        <v>1</v>
      </c>
    </row>
    <row r="162" spans="1:7" x14ac:dyDescent="0.2">
      <c r="A162" s="2">
        <v>19901023</v>
      </c>
      <c r="B162" s="13">
        <v>2494.06</v>
      </c>
      <c r="C162" s="2">
        <f t="shared" si="12"/>
        <v>-8.7556486453188084E-3</v>
      </c>
      <c r="D162" s="21">
        <f t="shared" ca="1" si="10"/>
        <v>-9.1396010604256755E-3</v>
      </c>
      <c r="E162" s="21">
        <f t="shared" ca="1" si="13"/>
        <v>1.8321714772652367E-4</v>
      </c>
      <c r="F162" s="11">
        <f t="shared" ca="1" si="14"/>
        <v>4.0744594030766308</v>
      </c>
      <c r="G162" s="10">
        <f t="shared" ca="1" si="11"/>
        <v>1</v>
      </c>
    </row>
    <row r="163" spans="1:7" x14ac:dyDescent="0.2">
      <c r="A163" s="2">
        <v>19901024</v>
      </c>
      <c r="B163" s="13">
        <v>2504.21</v>
      </c>
      <c r="C163" s="2">
        <f t="shared" si="12"/>
        <v>4.0696695348147564E-3</v>
      </c>
      <c r="D163" s="21">
        <f t="shared" ca="1" si="10"/>
        <v>3.6857171197078892E-3</v>
      </c>
      <c r="E163" s="21">
        <f t="shared" ca="1" si="13"/>
        <v>1.779287638046113E-4</v>
      </c>
      <c r="F163" s="11">
        <f t="shared" ca="1" si="14"/>
        <v>4.2788896303078596</v>
      </c>
      <c r="G163" s="10">
        <f t="shared" ca="1" si="11"/>
        <v>1</v>
      </c>
    </row>
    <row r="164" spans="1:7" x14ac:dyDescent="0.2">
      <c r="A164" s="2">
        <v>19901025</v>
      </c>
      <c r="B164" s="13">
        <v>2484.41</v>
      </c>
      <c r="C164" s="2">
        <f t="shared" si="12"/>
        <v>-7.906685142220574E-3</v>
      </c>
      <c r="D164" s="21">
        <f t="shared" ca="1" si="10"/>
        <v>-8.2906375573274411E-3</v>
      </c>
      <c r="E164" s="21">
        <f t="shared" ca="1" si="13"/>
        <v>1.7033581834399912E-4</v>
      </c>
      <c r="F164" s="11">
        <f t="shared" ca="1" si="14"/>
        <v>4.1371070978712146</v>
      </c>
      <c r="G164" s="10">
        <f t="shared" ca="1" si="11"/>
        <v>1</v>
      </c>
    </row>
    <row r="165" spans="1:7" x14ac:dyDescent="0.2">
      <c r="A165" s="2">
        <v>19901026</v>
      </c>
      <c r="B165" s="13">
        <v>2436.14</v>
      </c>
      <c r="C165" s="2">
        <f t="shared" si="12"/>
        <v>-1.942916024327707E-2</v>
      </c>
      <c r="D165" s="21">
        <f t="shared" ca="1" si="10"/>
        <v>-1.9813112658383938E-2</v>
      </c>
      <c r="E165" s="21">
        <f t="shared" ca="1" si="13"/>
        <v>1.6515497018776087E-4</v>
      </c>
      <c r="F165" s="11">
        <f t="shared" ca="1" si="14"/>
        <v>3.1658553310997108</v>
      </c>
      <c r="G165" s="10">
        <f t="shared" ca="1" si="11"/>
        <v>0</v>
      </c>
    </row>
    <row r="166" spans="1:7" x14ac:dyDescent="0.2">
      <c r="A166" s="2">
        <v>19901029</v>
      </c>
      <c r="B166" s="13">
        <v>2430.1999999999998</v>
      </c>
      <c r="C166" s="2">
        <f t="shared" si="12"/>
        <v>-2.438283514083778E-3</v>
      </c>
      <c r="D166" s="21">
        <f t="shared" ca="1" si="10"/>
        <v>-2.8222359291906452E-3</v>
      </c>
      <c r="E166" s="21">
        <f t="shared" ca="1" si="13"/>
        <v>1.7214382476155759E-4</v>
      </c>
      <c r="F166" s="11">
        <f t="shared" ca="1" si="14"/>
        <v>4.3104553498863938</v>
      </c>
      <c r="G166" s="10">
        <f t="shared" ca="1" si="11"/>
        <v>1</v>
      </c>
    </row>
    <row r="167" spans="1:7" x14ac:dyDescent="0.2">
      <c r="A167" s="2">
        <v>19901030</v>
      </c>
      <c r="B167" s="13">
        <v>2448.02</v>
      </c>
      <c r="C167" s="2">
        <f t="shared" si="12"/>
        <v>7.3327298164760782E-3</v>
      </c>
      <c r="D167" s="21">
        <f t="shared" ca="1" si="10"/>
        <v>6.948777401369211E-3</v>
      </c>
      <c r="E167" s="21">
        <f t="shared" ca="1" si="13"/>
        <v>1.6463690262714494E-4</v>
      </c>
      <c r="F167" s="11">
        <f t="shared" ca="1" si="14"/>
        <v>4.2092416303533655</v>
      </c>
      <c r="G167" s="10">
        <f t="shared" ca="1" si="11"/>
        <v>1</v>
      </c>
    </row>
    <row r="168" spans="1:7" x14ac:dyDescent="0.2">
      <c r="A168" s="2">
        <v>19901031</v>
      </c>
      <c r="B168" s="13">
        <v>2442.33</v>
      </c>
      <c r="C168" s="2">
        <f t="shared" si="12"/>
        <v>-2.3243274156257115E-3</v>
      </c>
      <c r="D168" s="21">
        <f t="shared" ca="1" si="10"/>
        <v>-2.7082798307325787E-3</v>
      </c>
      <c r="E168" s="21">
        <f t="shared" ca="1" si="13"/>
        <v>1.589924130378002E-4</v>
      </c>
      <c r="F168" s="11">
        <f t="shared" ca="1" si="14"/>
        <v>4.3502605913725434</v>
      </c>
      <c r="G168" s="10">
        <f t="shared" ca="1" si="11"/>
        <v>1</v>
      </c>
    </row>
    <row r="169" spans="1:7" x14ac:dyDescent="0.2">
      <c r="A169" s="2">
        <v>19901101</v>
      </c>
      <c r="B169" s="13">
        <v>2454.9499999999998</v>
      </c>
      <c r="C169" s="2">
        <f t="shared" si="12"/>
        <v>5.1671968980440365E-3</v>
      </c>
      <c r="D169" s="21">
        <f t="shared" ca="1" si="10"/>
        <v>4.7832444829371693E-3</v>
      </c>
      <c r="E169" s="21">
        <f t="shared" ca="1" si="13"/>
        <v>1.5212765027469748E-4</v>
      </c>
      <c r="F169" s="11">
        <f t="shared" ca="1" si="14"/>
        <v>4.3201971686732694</v>
      </c>
      <c r="G169" s="10">
        <f t="shared" ca="1" si="11"/>
        <v>1</v>
      </c>
    </row>
    <row r="170" spans="1:7" x14ac:dyDescent="0.2">
      <c r="A170" s="2">
        <v>19901102</v>
      </c>
      <c r="B170" s="13">
        <v>2490.84</v>
      </c>
      <c r="C170" s="2">
        <f t="shared" si="12"/>
        <v>1.4619442351168183E-2</v>
      </c>
      <c r="D170" s="21">
        <f t="shared" ca="1" si="10"/>
        <v>1.4235489936061316E-2</v>
      </c>
      <c r="E170" s="21">
        <f t="shared" ca="1" si="13"/>
        <v>1.4618178197396971E-4</v>
      </c>
      <c r="F170" s="11">
        <f t="shared" ca="1" si="14"/>
        <v>3.7221888121637545</v>
      </c>
      <c r="G170" s="10">
        <f t="shared" ca="1" si="11"/>
        <v>0</v>
      </c>
    </row>
    <row r="171" spans="1:7" x14ac:dyDescent="0.2">
      <c r="A171" s="2">
        <v>19901105</v>
      </c>
      <c r="B171" s="13">
        <v>2502.23</v>
      </c>
      <c r="C171" s="2">
        <f t="shared" si="12"/>
        <v>4.5727545727545209E-3</v>
      </c>
      <c r="D171" s="21">
        <f t="shared" ca="1" si="10"/>
        <v>4.1888021576476538E-3</v>
      </c>
      <c r="E171" s="21">
        <f t="shared" ca="1" si="13"/>
        <v>1.4714716455284664E-4</v>
      </c>
      <c r="F171" s="11">
        <f t="shared" ca="1" si="14"/>
        <v>4.3524178756733161</v>
      </c>
      <c r="G171" s="10">
        <f t="shared" ca="1" si="11"/>
        <v>1</v>
      </c>
    </row>
    <row r="172" spans="1:7" x14ac:dyDescent="0.2">
      <c r="A172" s="2">
        <v>19901106</v>
      </c>
      <c r="B172" s="13">
        <v>2485.15</v>
      </c>
      <c r="C172" s="2">
        <f t="shared" si="12"/>
        <v>-6.8259112871318492E-3</v>
      </c>
      <c r="D172" s="21">
        <f t="shared" ca="1" si="10"/>
        <v>-7.2098637022387163E-3</v>
      </c>
      <c r="E172" s="21">
        <f t="shared" ca="1" si="13"/>
        <v>1.4125714354825742E-4</v>
      </c>
      <c r="F172" s="11">
        <f t="shared" ca="1" si="14"/>
        <v>4.2484660570778194</v>
      </c>
      <c r="G172" s="10">
        <f t="shared" ca="1" si="11"/>
        <v>1</v>
      </c>
    </row>
    <row r="173" spans="1:7" x14ac:dyDescent="0.2">
      <c r="A173" s="2">
        <v>19901107</v>
      </c>
      <c r="B173" s="13">
        <v>2440.84</v>
      </c>
      <c r="C173" s="2">
        <f t="shared" si="12"/>
        <v>-1.7829909663400575E-2</v>
      </c>
      <c r="D173" s="21">
        <f t="shared" ca="1" si="10"/>
        <v>-1.8213862078507444E-2</v>
      </c>
      <c r="E173" s="21">
        <f t="shared" ca="1" si="13"/>
        <v>1.3693137510660517E-4</v>
      </c>
      <c r="F173" s="11">
        <f t="shared" ca="1" si="14"/>
        <v>3.23666121087295</v>
      </c>
      <c r="G173" s="10">
        <f t="shared" ca="1" si="11"/>
        <v>0</v>
      </c>
    </row>
    <row r="174" spans="1:7" x14ac:dyDescent="0.2">
      <c r="A174" s="2">
        <v>19901108</v>
      </c>
      <c r="B174" s="13">
        <v>2443.81</v>
      </c>
      <c r="C174" s="2">
        <f t="shared" si="12"/>
        <v>1.2167942183837531E-3</v>
      </c>
      <c r="D174" s="21">
        <f t="shared" ca="1" si="10"/>
        <v>8.3284180327688583E-4</v>
      </c>
      <c r="E174" s="21">
        <f t="shared" ca="1" si="13"/>
        <v>1.4311180936368026E-4</v>
      </c>
      <c r="F174" s="11">
        <f t="shared" ca="1" si="14"/>
        <v>4.4235188056911046</v>
      </c>
      <c r="G174" s="10">
        <f t="shared" ca="1" si="11"/>
        <v>1</v>
      </c>
    </row>
    <row r="175" spans="1:7" x14ac:dyDescent="0.2">
      <c r="A175" s="2">
        <v>19901109</v>
      </c>
      <c r="B175" s="13">
        <v>2488.61</v>
      </c>
      <c r="C175" s="2">
        <f t="shared" si="12"/>
        <v>1.8332030722519418E-2</v>
      </c>
      <c r="D175" s="21">
        <f t="shared" ca="1" si="10"/>
        <v>1.794807830741255E-2</v>
      </c>
      <c r="E175" s="21">
        <f t="shared" ca="1" si="13"/>
        <v>1.3680624473468489E-4</v>
      </c>
      <c r="F175" s="11">
        <f t="shared" ca="1" si="14"/>
        <v>3.2711376183695631</v>
      </c>
      <c r="G175" s="10">
        <f t="shared" ca="1" si="11"/>
        <v>0</v>
      </c>
    </row>
    <row r="176" spans="1:7" x14ac:dyDescent="0.2">
      <c r="A176" s="2">
        <v>19901112</v>
      </c>
      <c r="B176" s="13">
        <v>2540.35</v>
      </c>
      <c r="C176" s="2">
        <f t="shared" si="12"/>
        <v>2.0790722531855044E-2</v>
      </c>
      <c r="D176" s="21">
        <f t="shared" ca="1" si="10"/>
        <v>2.0406770116748175E-2</v>
      </c>
      <c r="E176" s="21">
        <f t="shared" ca="1" si="13"/>
        <v>1.4263958668107581E-4</v>
      </c>
      <c r="F176" s="11">
        <f t="shared" ca="1" si="14"/>
        <v>2.9678447645726731</v>
      </c>
      <c r="G176" s="10">
        <f t="shared" ca="1" si="11"/>
        <v>0</v>
      </c>
    </row>
    <row r="177" spans="1:7" x14ac:dyDescent="0.2">
      <c r="A177" s="2">
        <v>19901113</v>
      </c>
      <c r="B177" s="13">
        <v>2535.4</v>
      </c>
      <c r="C177" s="2">
        <f t="shared" si="12"/>
        <v>-1.9485503965988224E-3</v>
      </c>
      <c r="D177" s="21">
        <f t="shared" ca="1" si="10"/>
        <v>-2.3325028117056898E-3</v>
      </c>
      <c r="E177" s="21">
        <f t="shared" ca="1" si="13"/>
        <v>1.5164549477359148E-4</v>
      </c>
      <c r="F177" s="11">
        <f t="shared" ca="1" si="14"/>
        <v>4.3790440690799741</v>
      </c>
      <c r="G177" s="10">
        <f t="shared" ca="1" si="11"/>
        <v>1</v>
      </c>
    </row>
    <row r="178" spans="1:7" x14ac:dyDescent="0.2">
      <c r="A178" s="2">
        <v>19901114</v>
      </c>
      <c r="B178" s="13">
        <v>2559.65</v>
      </c>
      <c r="C178" s="2">
        <f t="shared" si="12"/>
        <v>9.5645657489942405E-3</v>
      </c>
      <c r="D178" s="21">
        <f t="shared" ca="1" si="10"/>
        <v>9.1806133338873733E-3</v>
      </c>
      <c r="E178" s="21">
        <f t="shared" ca="1" si="13"/>
        <v>1.450827616053631E-4</v>
      </c>
      <c r="F178" s="11">
        <f t="shared" ca="1" si="14"/>
        <v>4.1286355799630821</v>
      </c>
      <c r="G178" s="10">
        <f t="shared" ca="1" si="11"/>
        <v>1</v>
      </c>
    </row>
    <row r="179" spans="1:7" x14ac:dyDescent="0.2">
      <c r="A179" s="2">
        <v>19901115</v>
      </c>
      <c r="B179" s="13">
        <v>2545.0500000000002</v>
      </c>
      <c r="C179" s="2">
        <f t="shared" si="12"/>
        <v>-5.7039048307385414E-3</v>
      </c>
      <c r="D179" s="21">
        <f t="shared" ca="1" si="10"/>
        <v>-6.0878572458454086E-3</v>
      </c>
      <c r="E179" s="21">
        <f t="shared" ca="1" si="13"/>
        <v>1.4175123741894943E-4</v>
      </c>
      <c r="F179" s="11">
        <f t="shared" ca="1" si="14"/>
        <v>4.2999894047640517</v>
      </c>
      <c r="G179" s="10">
        <f t="shared" ca="1" si="11"/>
        <v>1</v>
      </c>
    </row>
    <row r="180" spans="1:7" x14ac:dyDescent="0.2">
      <c r="A180" s="2">
        <v>19901116</v>
      </c>
      <c r="B180" s="13">
        <v>2550.25</v>
      </c>
      <c r="C180" s="2">
        <f t="shared" si="12"/>
        <v>2.0431818628317E-3</v>
      </c>
      <c r="D180" s="21">
        <f t="shared" ca="1" si="10"/>
        <v>1.6592294477248328E-3</v>
      </c>
      <c r="E180" s="21">
        <f t="shared" ca="1" si="13"/>
        <v>1.3685183341997356E-4</v>
      </c>
      <c r="F180" s="11">
        <f t="shared" ca="1" si="14"/>
        <v>4.4382473844574264</v>
      </c>
      <c r="G180" s="10">
        <f t="shared" ca="1" si="11"/>
        <v>1</v>
      </c>
    </row>
    <row r="181" spans="1:7" x14ac:dyDescent="0.2">
      <c r="A181" s="2">
        <v>19901119</v>
      </c>
      <c r="B181" s="13">
        <v>2565.35</v>
      </c>
      <c r="C181" s="2">
        <f t="shared" si="12"/>
        <v>5.9209881384177663E-3</v>
      </c>
      <c r="D181" s="21">
        <f t="shared" ca="1" si="10"/>
        <v>5.5370357233108991E-3</v>
      </c>
      <c r="E181" s="21">
        <f t="shared" ca="1" si="13"/>
        <v>1.3093869139007444E-4</v>
      </c>
      <c r="F181" s="11">
        <f t="shared" ca="1" si="14"/>
        <v>4.353317698284914</v>
      </c>
      <c r="G181" s="10">
        <f t="shared" ca="1" si="11"/>
        <v>1</v>
      </c>
    </row>
    <row r="182" spans="1:7" x14ac:dyDescent="0.2">
      <c r="A182" s="2">
        <v>19901120</v>
      </c>
      <c r="B182" s="13">
        <v>2530.1999999999998</v>
      </c>
      <c r="C182" s="2">
        <f t="shared" si="12"/>
        <v>-1.370183405773095E-2</v>
      </c>
      <c r="D182" s="21">
        <f t="shared" ca="1" si="10"/>
        <v>-1.4085786472837817E-2</v>
      </c>
      <c r="E182" s="21">
        <f t="shared" ca="1" si="13"/>
        <v>1.2635083929396113E-4</v>
      </c>
      <c r="F182" s="11">
        <f t="shared" ca="1" si="14"/>
        <v>3.7030714384327479</v>
      </c>
      <c r="G182" s="10">
        <f t="shared" ca="1" si="11"/>
        <v>0</v>
      </c>
    </row>
    <row r="183" spans="1:7" x14ac:dyDescent="0.2">
      <c r="A183" s="2">
        <v>19901121</v>
      </c>
      <c r="B183" s="13">
        <v>2539.36</v>
      </c>
      <c r="C183" s="2">
        <f t="shared" si="12"/>
        <v>3.6202671725556516E-3</v>
      </c>
      <c r="D183" s="21">
        <f t="shared" ca="1" si="10"/>
        <v>3.2363147574487844E-3</v>
      </c>
      <c r="E183" s="21">
        <f t="shared" ca="1" si="13"/>
        <v>1.2816357119522064E-4</v>
      </c>
      <c r="F183" s="11">
        <f t="shared" ca="1" si="14"/>
        <v>4.4402408006221741</v>
      </c>
      <c r="G183" s="10">
        <f t="shared" ca="1" si="11"/>
        <v>1</v>
      </c>
    </row>
    <row r="184" spans="1:7" x14ac:dyDescent="0.2">
      <c r="A184" s="2">
        <v>19901123</v>
      </c>
      <c r="B184" s="13">
        <v>2527.23</v>
      </c>
      <c r="C184" s="2">
        <f t="shared" si="12"/>
        <v>-4.7767941528574559E-3</v>
      </c>
      <c r="D184" s="21">
        <f t="shared" ca="1" si="10"/>
        <v>-5.1607465679643231E-3</v>
      </c>
      <c r="E184" s="21">
        <f t="shared" ca="1" si="13"/>
        <v>1.229738744952166E-4</v>
      </c>
      <c r="F184" s="11">
        <f t="shared" ca="1" si="14"/>
        <v>4.3934808450323652</v>
      </c>
      <c r="G184" s="10">
        <f t="shared" ca="1" si="11"/>
        <v>1</v>
      </c>
    </row>
    <row r="185" spans="1:7" x14ac:dyDescent="0.2">
      <c r="A185" s="2">
        <v>19901126</v>
      </c>
      <c r="B185" s="13">
        <v>2533.17</v>
      </c>
      <c r="C185" s="2">
        <f t="shared" si="12"/>
        <v>2.3503994491993426E-3</v>
      </c>
      <c r="D185" s="21">
        <f t="shared" ca="1" si="10"/>
        <v>1.9664470340924754E-3</v>
      </c>
      <c r="E185" s="21">
        <f t="shared" ca="1" si="13"/>
        <v>1.1864094193526738E-4</v>
      </c>
      <c r="F185" s="11">
        <f t="shared" ca="1" si="14"/>
        <v>4.5034077508337846</v>
      </c>
      <c r="G185" s="10">
        <f t="shared" ca="1" si="11"/>
        <v>1</v>
      </c>
    </row>
    <row r="186" spans="1:7" x14ac:dyDescent="0.2">
      <c r="A186" s="2">
        <v>19901127</v>
      </c>
      <c r="B186" s="13">
        <v>2543.81</v>
      </c>
      <c r="C186" s="2">
        <f t="shared" si="12"/>
        <v>4.2002708069335546E-3</v>
      </c>
      <c r="D186" s="21">
        <f t="shared" ca="1" si="10"/>
        <v>3.8163183918266874E-3</v>
      </c>
      <c r="E186" s="21">
        <f t="shared" ca="1" si="13"/>
        <v>1.1369005390455972E-4</v>
      </c>
      <c r="F186" s="11">
        <f t="shared" ca="1" si="14"/>
        <v>4.4769647233542909</v>
      </c>
      <c r="G186" s="10">
        <f t="shared" ca="1" si="11"/>
        <v>1</v>
      </c>
    </row>
    <row r="187" spans="1:7" x14ac:dyDescent="0.2">
      <c r="A187" s="2">
        <v>19901128</v>
      </c>
      <c r="B187" s="13">
        <v>2535.15</v>
      </c>
      <c r="C187" s="2">
        <f t="shared" si="12"/>
        <v>-3.4043423054394215E-3</v>
      </c>
      <c r="D187" s="21">
        <f t="shared" ca="1" si="10"/>
        <v>-3.7882947205462886E-3</v>
      </c>
      <c r="E187" s="21">
        <f t="shared" ca="1" si="13"/>
        <v>1.0938299398080789E-4</v>
      </c>
      <c r="F187" s="11">
        <f t="shared" ca="1" si="14"/>
        <v>4.4947269786031692</v>
      </c>
      <c r="G187" s="10">
        <f t="shared" ca="1" si="11"/>
        <v>1</v>
      </c>
    </row>
    <row r="188" spans="1:7" x14ac:dyDescent="0.2">
      <c r="A188" s="2">
        <v>19901129</v>
      </c>
      <c r="B188" s="13">
        <v>2518.81</v>
      </c>
      <c r="C188" s="2">
        <f t="shared" si="12"/>
        <v>-6.4453779855235963E-3</v>
      </c>
      <c r="D188" s="21">
        <f t="shared" ca="1" si="10"/>
        <v>-6.8293304006304635E-3</v>
      </c>
      <c r="E188" s="21">
        <f t="shared" ca="1" si="13"/>
        <v>1.0528599324018317E-4</v>
      </c>
      <c r="F188" s="11">
        <f t="shared" ca="1" si="14"/>
        <v>4.3579243017680973</v>
      </c>
      <c r="G188" s="10">
        <f t="shared" ca="1" si="11"/>
        <v>1</v>
      </c>
    </row>
    <row r="189" spans="1:7" x14ac:dyDescent="0.2">
      <c r="A189" s="2">
        <v>19901130</v>
      </c>
      <c r="B189" s="13">
        <v>2559.65</v>
      </c>
      <c r="C189" s="2">
        <f t="shared" si="12"/>
        <v>1.6214005820208807E-2</v>
      </c>
      <c r="D189" s="21">
        <f t="shared" ca="1" si="10"/>
        <v>1.5830053405101938E-2</v>
      </c>
      <c r="E189" s="21">
        <f t="shared" ca="1" si="13"/>
        <v>1.0258356846348263E-4</v>
      </c>
      <c r="F189" s="11">
        <f t="shared" ca="1" si="14"/>
        <v>3.3710190766234307</v>
      </c>
      <c r="G189" s="10">
        <f t="shared" ca="1" si="11"/>
        <v>0</v>
      </c>
    </row>
    <row r="190" spans="1:7" x14ac:dyDescent="0.2">
      <c r="A190" s="2">
        <v>19901203</v>
      </c>
      <c r="B190" s="13">
        <v>2565.59</v>
      </c>
      <c r="C190" s="2">
        <f t="shared" si="12"/>
        <v>2.3206297736018807E-3</v>
      </c>
      <c r="D190" s="21">
        <f t="shared" ca="1" si="10"/>
        <v>1.9366773584950136E-3</v>
      </c>
      <c r="E190" s="21">
        <f t="shared" ca="1" si="13"/>
        <v>1.0751748863351068E-4</v>
      </c>
      <c r="F190" s="11">
        <f t="shared" ca="1" si="14"/>
        <v>4.5514861514045908</v>
      </c>
      <c r="G190" s="10">
        <f t="shared" ca="1" si="11"/>
        <v>1</v>
      </c>
    </row>
    <row r="191" spans="1:7" x14ac:dyDescent="0.2">
      <c r="A191" s="2">
        <v>19901204</v>
      </c>
      <c r="B191" s="13">
        <v>2579.6999999999998</v>
      </c>
      <c r="C191" s="2">
        <f t="shared" si="12"/>
        <v>5.4997096184502088E-3</v>
      </c>
      <c r="D191" s="21">
        <f t="shared" ca="1" si="10"/>
        <v>5.1157572033433416E-3</v>
      </c>
      <c r="E191" s="21">
        <f t="shared" ca="1" si="13"/>
        <v>1.031250670841667E-4</v>
      </c>
      <c r="F191" s="11">
        <f t="shared" ca="1" si="14"/>
        <v>4.4628945538757838</v>
      </c>
      <c r="G191" s="10">
        <f t="shared" ca="1" si="11"/>
        <v>1</v>
      </c>
    </row>
    <row r="192" spans="1:7" x14ac:dyDescent="0.2">
      <c r="A192" s="2">
        <v>19901205</v>
      </c>
      <c r="B192" s="13">
        <v>2610.4</v>
      </c>
      <c r="C192" s="2">
        <f t="shared" si="12"/>
        <v>1.1900608597899088E-2</v>
      </c>
      <c r="D192" s="21">
        <f t="shared" ca="1" si="10"/>
        <v>1.1516656182792221E-2</v>
      </c>
      <c r="E192" s="21">
        <f t="shared" ca="1" si="13"/>
        <v>9.9779291421184081E-5</v>
      </c>
      <c r="F192" s="11">
        <f t="shared" ca="1" si="14"/>
        <v>3.9416411966126139</v>
      </c>
      <c r="G192" s="10">
        <f t="shared" ca="1" si="11"/>
        <v>0</v>
      </c>
    </row>
    <row r="193" spans="1:7" x14ac:dyDescent="0.2">
      <c r="A193" s="2">
        <v>19901206</v>
      </c>
      <c r="B193" s="13">
        <v>2602.48</v>
      </c>
      <c r="C193" s="2">
        <f t="shared" si="12"/>
        <v>-3.0340177750536592E-3</v>
      </c>
      <c r="D193" s="21">
        <f t="shared" ca="1" si="10"/>
        <v>-3.4179701901605264E-3</v>
      </c>
      <c r="E193" s="21">
        <f t="shared" ca="1" si="13"/>
        <v>1.0051758790863933E-4</v>
      </c>
      <c r="F193" s="11">
        <f t="shared" ca="1" si="14"/>
        <v>4.5444770995118864</v>
      </c>
      <c r="G193" s="10">
        <f t="shared" ca="1" si="11"/>
        <v>1</v>
      </c>
    </row>
    <row r="194" spans="1:7" x14ac:dyDescent="0.2">
      <c r="A194" s="2">
        <v>19901207</v>
      </c>
      <c r="B194" s="13">
        <v>2590.1</v>
      </c>
      <c r="C194" s="2">
        <f t="shared" si="12"/>
        <v>-4.7570010144170598E-3</v>
      </c>
      <c r="D194" s="21">
        <f t="shared" ca="1" si="10"/>
        <v>-5.140953429523927E-3</v>
      </c>
      <c r="E194" s="21">
        <f t="shared" ca="1" si="13"/>
        <v>9.6770959814951879E-5</v>
      </c>
      <c r="F194" s="11">
        <f t="shared" ca="1" si="14"/>
        <v>4.4850253310499495</v>
      </c>
      <c r="G194" s="10">
        <f t="shared" ca="1" si="11"/>
        <v>1</v>
      </c>
    </row>
    <row r="195" spans="1:7" x14ac:dyDescent="0.2">
      <c r="A195" s="2">
        <v>19901210</v>
      </c>
      <c r="B195" s="13">
        <v>2596.7800000000002</v>
      </c>
      <c r="C195" s="2">
        <f t="shared" si="12"/>
        <v>2.5790510018919312E-3</v>
      </c>
      <c r="D195" s="21">
        <f t="shared" ca="1" si="10"/>
        <v>2.195098586785064E-3</v>
      </c>
      <c r="E195" s="21">
        <f t="shared" ca="1" si="13"/>
        <v>9.3756143467974901E-5</v>
      </c>
      <c r="F195" s="11">
        <f t="shared" ca="1" si="14"/>
        <v>4.6117099247543081</v>
      </c>
      <c r="G195" s="10">
        <f t="shared" ca="1" si="11"/>
        <v>1</v>
      </c>
    </row>
    <row r="196" spans="1:7" x14ac:dyDescent="0.2">
      <c r="A196" s="2">
        <v>19901211</v>
      </c>
      <c r="B196" s="13">
        <v>2586.14</v>
      </c>
      <c r="C196" s="2">
        <f t="shared" si="12"/>
        <v>-4.0973821424996832E-3</v>
      </c>
      <c r="D196" s="21">
        <f t="shared" ca="1" si="10"/>
        <v>-4.4813345576065504E-3</v>
      </c>
      <c r="E196" s="21">
        <f t="shared" ca="1" si="13"/>
        <v>9.0099175514862876E-5</v>
      </c>
      <c r="F196" s="11">
        <f t="shared" ca="1" si="14"/>
        <v>4.5458539164352993</v>
      </c>
      <c r="G196" s="10">
        <f t="shared" ca="1" si="11"/>
        <v>1</v>
      </c>
    </row>
    <row r="197" spans="1:7" x14ac:dyDescent="0.2">
      <c r="A197" s="2">
        <v>19901212</v>
      </c>
      <c r="B197" s="13">
        <v>2622.28</v>
      </c>
      <c r="C197" s="2">
        <f t="shared" si="12"/>
        <v>1.3974494806932466E-2</v>
      </c>
      <c r="D197" s="21">
        <f t="shared" ca="1" si="10"/>
        <v>1.3590542391825599E-2</v>
      </c>
      <c r="E197" s="21">
        <f t="shared" ca="1" si="13"/>
        <v>8.7188495088352862E-5</v>
      </c>
      <c r="F197" s="11">
        <f t="shared" ca="1" si="14"/>
        <v>3.614503404814827</v>
      </c>
      <c r="G197" s="10">
        <f t="shared" ca="1" si="11"/>
        <v>0</v>
      </c>
    </row>
    <row r="198" spans="1:7" x14ac:dyDescent="0.2">
      <c r="A198" s="2">
        <v>19901213</v>
      </c>
      <c r="B198" s="13">
        <v>2614.36</v>
      </c>
      <c r="C198" s="2">
        <f t="shared" si="12"/>
        <v>-3.0202724346751956E-3</v>
      </c>
      <c r="D198" s="21">
        <f t="shared" ca="1" si="10"/>
        <v>-3.4042248497820628E-3</v>
      </c>
      <c r="E198" s="21">
        <f t="shared" ca="1" si="13"/>
        <v>9.0478449541215623E-5</v>
      </c>
      <c r="F198" s="11">
        <f t="shared" ca="1" si="14"/>
        <v>4.5911579555674749</v>
      </c>
      <c r="G198" s="10">
        <f t="shared" ca="1" si="11"/>
        <v>1</v>
      </c>
    </row>
    <row r="199" spans="1:7" x14ac:dyDescent="0.2">
      <c r="A199" s="2">
        <v>19901214</v>
      </c>
      <c r="B199" s="13">
        <v>2593.81</v>
      </c>
      <c r="C199" s="2">
        <f t="shared" si="12"/>
        <v>-7.8604323811564524E-3</v>
      </c>
      <c r="D199" s="21">
        <f t="shared" ca="1" si="10"/>
        <v>-8.2443847962633196E-3</v>
      </c>
      <c r="E199" s="21">
        <f t="shared" ca="1" si="13"/>
        <v>8.7236256551674249E-5</v>
      </c>
      <c r="F199" s="11">
        <f t="shared" ca="1" si="14"/>
        <v>4.2838716886609713</v>
      </c>
      <c r="G199" s="10">
        <f t="shared" ca="1" si="11"/>
        <v>1</v>
      </c>
    </row>
    <row r="200" spans="1:7" x14ac:dyDescent="0.2">
      <c r="A200" s="2">
        <v>19901217</v>
      </c>
      <c r="B200" s="13">
        <v>2593.3200000000002</v>
      </c>
      <c r="C200" s="2">
        <f t="shared" si="12"/>
        <v>-1.8891129265435083E-4</v>
      </c>
      <c r="D200" s="21">
        <f t="shared" ca="1" si="10"/>
        <v>-5.7286370776121818E-4</v>
      </c>
      <c r="E200" s="21">
        <f t="shared" ca="1" si="13"/>
        <v>8.6231319908458117E-5</v>
      </c>
      <c r="F200" s="11">
        <f t="shared" ca="1" si="14"/>
        <v>4.6773356898421543</v>
      </c>
      <c r="G200" s="10">
        <f t="shared" ca="1" si="11"/>
        <v>1</v>
      </c>
    </row>
    <row r="201" spans="1:7" x14ac:dyDescent="0.2">
      <c r="A201" s="2">
        <v>19901218</v>
      </c>
      <c r="B201" s="13">
        <v>2626.73</v>
      </c>
      <c r="C201" s="2">
        <f t="shared" si="12"/>
        <v>1.2883099656039306E-2</v>
      </c>
      <c r="D201" s="21">
        <f t="shared" ca="1" si="10"/>
        <v>1.2499147240932439E-2</v>
      </c>
      <c r="E201" s="21">
        <f t="shared" ca="1" si="13"/>
        <v>8.2789919637986419E-5</v>
      </c>
      <c r="F201" s="11">
        <f t="shared" ca="1" si="14"/>
        <v>3.7560773417794149</v>
      </c>
      <c r="G201" s="10">
        <f t="shared" ca="1" si="11"/>
        <v>0</v>
      </c>
    </row>
    <row r="202" spans="1:7" x14ac:dyDescent="0.2">
      <c r="A202" s="2">
        <v>19901219</v>
      </c>
      <c r="B202" s="13">
        <v>2626.73</v>
      </c>
      <c r="C202" s="2">
        <f t="shared" si="12"/>
        <v>0</v>
      </c>
      <c r="D202" s="21">
        <f t="shared" ca="1" si="10"/>
        <v>-3.839524151068673E-4</v>
      </c>
      <c r="E202" s="21">
        <f t="shared" ca="1" si="13"/>
        <v>8.5255354863046157E-5</v>
      </c>
      <c r="F202" s="11">
        <f t="shared" ca="1" si="14"/>
        <v>4.6840652391257267</v>
      </c>
      <c r="G202" s="10">
        <f t="shared" ca="1" si="11"/>
        <v>1</v>
      </c>
    </row>
    <row r="203" spans="1:7" x14ac:dyDescent="0.2">
      <c r="A203" s="2">
        <v>19901220</v>
      </c>
      <c r="B203" s="13">
        <v>2629.46</v>
      </c>
      <c r="C203" s="2">
        <f t="shared" si="12"/>
        <v>1.0393150418962049E-3</v>
      </c>
      <c r="D203" s="21">
        <f t="shared" ca="1" si="10"/>
        <v>6.553626267893376E-4</v>
      </c>
      <c r="E203" s="21">
        <f t="shared" ca="1" si="13"/>
        <v>8.1856682368531305E-5</v>
      </c>
      <c r="F203" s="11">
        <f t="shared" ca="1" si="14"/>
        <v>4.7026468191559037</v>
      </c>
      <c r="G203" s="10">
        <f t="shared" ca="1" si="11"/>
        <v>1</v>
      </c>
    </row>
    <row r="204" spans="1:7" x14ac:dyDescent="0.2">
      <c r="A204" s="2">
        <v>19901221</v>
      </c>
      <c r="B204" s="13">
        <v>2633.66</v>
      </c>
      <c r="C204" s="2">
        <f t="shared" si="12"/>
        <v>1.5972861347956684E-3</v>
      </c>
      <c r="D204" s="21">
        <f t="shared" ca="1" si="10"/>
        <v>1.2133337196888012E-3</v>
      </c>
      <c r="E204" s="21">
        <f t="shared" ca="1" si="13"/>
        <v>7.8640322435011517E-5</v>
      </c>
      <c r="F204" s="11">
        <f t="shared" ca="1" si="14"/>
        <v>4.7159527883060042</v>
      </c>
      <c r="G204" s="10">
        <f t="shared" ca="1" si="11"/>
        <v>1</v>
      </c>
    </row>
    <row r="205" spans="1:7" x14ac:dyDescent="0.2">
      <c r="A205" s="2">
        <v>19901224</v>
      </c>
      <c r="B205" s="13">
        <v>2621.29</v>
      </c>
      <c r="C205" s="2">
        <f t="shared" si="12"/>
        <v>-4.6968857027861952E-3</v>
      </c>
      <c r="D205" s="21">
        <f t="shared" ca="1" si="10"/>
        <v>-5.0808381178930623E-3</v>
      </c>
      <c r="E205" s="21">
        <f t="shared" ca="1" si="13"/>
        <v>7.5625020320143363E-5</v>
      </c>
      <c r="F205" s="11">
        <f t="shared" ca="1" si="14"/>
        <v>4.5741846018710302</v>
      </c>
      <c r="G205" s="10">
        <f t="shared" ca="1" si="11"/>
        <v>1</v>
      </c>
    </row>
    <row r="206" spans="1:7" x14ac:dyDescent="0.2">
      <c r="A206" s="2">
        <v>19901226</v>
      </c>
      <c r="B206" s="13">
        <v>2637.13</v>
      </c>
      <c r="C206" s="2">
        <f t="shared" si="12"/>
        <v>6.0428262420411877E-3</v>
      </c>
      <c r="D206" s="21">
        <f t="shared" ref="D206:D269" ca="1" si="15">(C206-mu)</f>
        <v>5.6588738269343205E-3</v>
      </c>
      <c r="E206" s="21">
        <f t="shared" ca="1" si="13"/>
        <v>7.3657388284892943E-5</v>
      </c>
      <c r="F206" s="11">
        <f t="shared" ca="1" si="14"/>
        <v>4.5406659922107462</v>
      </c>
      <c r="G206" s="10">
        <f t="shared" ref="G206:G269" ca="1" si="16">IF(AND(C206&lt;=mu+zvalue*SQRT(E206),C206&gt;=mu-zvalue*SQRT(E206)),1,0)</f>
        <v>1</v>
      </c>
    </row>
    <row r="207" spans="1:7" x14ac:dyDescent="0.2">
      <c r="A207" s="2">
        <v>19901227</v>
      </c>
      <c r="B207" s="13">
        <v>2625.5</v>
      </c>
      <c r="C207" s="2">
        <f t="shared" ref="C207:C270" si="17">(B207-B206)/B206</f>
        <v>-4.4100973406696331E-3</v>
      </c>
      <c r="D207" s="21">
        <f t="shared" ca="1" si="15"/>
        <v>-4.7940497557765003E-3</v>
      </c>
      <c r="E207" s="21">
        <f t="shared" ref="E207:E270" ca="1" si="18">(1-alpha-beta)*longvar+alpha*D206^2+beta*E206</f>
        <v>7.2017576085345211E-5</v>
      </c>
      <c r="F207" s="11">
        <f t="shared" ref="F207:F270" ca="1" si="19">(-0.5)*(LN(E207)+D207^2/E207)</f>
        <v>4.6097355669821978</v>
      </c>
      <c r="G207" s="10">
        <f t="shared" ca="1" si="16"/>
        <v>1</v>
      </c>
    </row>
    <row r="208" spans="1:7" x14ac:dyDescent="0.2">
      <c r="A208" s="2">
        <v>19901228</v>
      </c>
      <c r="B208" s="13">
        <v>2629.21</v>
      </c>
      <c r="C208" s="2">
        <f t="shared" si="17"/>
        <v>1.4130641782517754E-3</v>
      </c>
      <c r="D208" s="21">
        <f t="shared" ca="1" si="15"/>
        <v>1.029111763144908E-3</v>
      </c>
      <c r="E208" s="21">
        <f t="shared" ca="1" si="18"/>
        <v>7.0128308149580007E-5</v>
      </c>
      <c r="F208" s="11">
        <f t="shared" ca="1" si="19"/>
        <v>4.7750410577863027</v>
      </c>
      <c r="G208" s="10">
        <f t="shared" ca="1" si="16"/>
        <v>1</v>
      </c>
    </row>
    <row r="209" spans="1:7" x14ac:dyDescent="0.2">
      <c r="A209" s="2">
        <v>19901231</v>
      </c>
      <c r="B209" s="13">
        <v>2633.66</v>
      </c>
      <c r="C209" s="2">
        <f t="shared" si="17"/>
        <v>1.6925236097534309E-3</v>
      </c>
      <c r="D209" s="21">
        <f t="shared" ca="1" si="15"/>
        <v>1.3085711946465638E-3</v>
      </c>
      <c r="E209" s="21">
        <f t="shared" ca="1" si="18"/>
        <v>6.7528440948889592E-5</v>
      </c>
      <c r="F209" s="11">
        <f t="shared" ca="1" si="19"/>
        <v>4.7888020553293558</v>
      </c>
      <c r="G209" s="10">
        <f t="shared" ca="1" si="16"/>
        <v>1</v>
      </c>
    </row>
    <row r="210" spans="1:7" x14ac:dyDescent="0.2">
      <c r="A210" s="2">
        <v>19910102</v>
      </c>
      <c r="B210" s="13">
        <v>2610.64</v>
      </c>
      <c r="C210" s="2">
        <f t="shared" si="17"/>
        <v>-8.7406878640371131E-3</v>
      </c>
      <c r="D210" s="21">
        <f t="shared" ca="1" si="15"/>
        <v>-9.1246402791439803E-3</v>
      </c>
      <c r="E210" s="21">
        <f t="shared" ca="1" si="18"/>
        <v>6.5084124409825109E-5</v>
      </c>
      <c r="F210" s="11">
        <f t="shared" ca="1" si="19"/>
        <v>4.1802884606451558</v>
      </c>
      <c r="G210" s="10">
        <f t="shared" ca="1" si="16"/>
        <v>0</v>
      </c>
    </row>
    <row r="211" spans="1:7" x14ac:dyDescent="0.2">
      <c r="A211" s="2">
        <v>19910103</v>
      </c>
      <c r="B211" s="13">
        <v>2573.5100000000002</v>
      </c>
      <c r="C211" s="2">
        <f t="shared" si="17"/>
        <v>-1.4222566114056192E-2</v>
      </c>
      <c r="D211" s="21">
        <f t="shared" ca="1" si="15"/>
        <v>-1.4606518529163059E-2</v>
      </c>
      <c r="E211" s="21">
        <f t="shared" ca="1" si="18"/>
        <v>6.5762081253432461E-5</v>
      </c>
      <c r="F211" s="11">
        <f t="shared" ca="1" si="19"/>
        <v>3.1925952627824161</v>
      </c>
      <c r="G211" s="10">
        <f t="shared" ca="1" si="16"/>
        <v>0</v>
      </c>
    </row>
    <row r="212" spans="1:7" x14ac:dyDescent="0.2">
      <c r="A212" s="2">
        <v>19910104</v>
      </c>
      <c r="B212" s="13">
        <v>2566.09</v>
      </c>
      <c r="C212" s="2">
        <f t="shared" si="17"/>
        <v>-2.8832217477297822E-3</v>
      </c>
      <c r="D212" s="21">
        <f t="shared" ca="1" si="15"/>
        <v>-3.2671741628366494E-3</v>
      </c>
      <c r="E212" s="21">
        <f t="shared" ca="1" si="18"/>
        <v>7.1189425141107254E-5</v>
      </c>
      <c r="F212" s="11">
        <f t="shared" ca="1" si="19"/>
        <v>4.7001111380129927</v>
      </c>
      <c r="G212" s="10">
        <f t="shared" ca="1" si="16"/>
        <v>1</v>
      </c>
    </row>
    <row r="213" spans="1:7" x14ac:dyDescent="0.2">
      <c r="A213" s="2">
        <v>19910107</v>
      </c>
      <c r="B213" s="13">
        <v>2522.77</v>
      </c>
      <c r="C213" s="2">
        <f t="shared" si="17"/>
        <v>-1.6881714982716959E-2</v>
      </c>
      <c r="D213" s="21">
        <f t="shared" ca="1" si="15"/>
        <v>-1.7265667397823828E-2</v>
      </c>
      <c r="E213" s="21">
        <f t="shared" ca="1" si="18"/>
        <v>6.8889449111016846E-5</v>
      </c>
      <c r="F213" s="11">
        <f t="shared" ca="1" si="19"/>
        <v>2.6278685866018905</v>
      </c>
      <c r="G213" s="10">
        <f t="shared" ca="1" si="16"/>
        <v>0</v>
      </c>
    </row>
    <row r="214" spans="1:7" x14ac:dyDescent="0.2">
      <c r="A214" s="2">
        <v>19910108</v>
      </c>
      <c r="B214" s="13">
        <v>2509.41</v>
      </c>
      <c r="C214" s="2">
        <f t="shared" si="17"/>
        <v>-5.295766161798391E-3</v>
      </c>
      <c r="D214" s="21">
        <f t="shared" ca="1" si="15"/>
        <v>-5.6797185769052582E-3</v>
      </c>
      <c r="E214" s="21">
        <f t="shared" ca="1" si="18"/>
        <v>7.7275090072062203E-5</v>
      </c>
      <c r="F214" s="11">
        <f t="shared" ca="1" si="19"/>
        <v>4.525339814439663</v>
      </c>
      <c r="G214" s="10">
        <f t="shared" ca="1" si="16"/>
        <v>1</v>
      </c>
    </row>
    <row r="215" spans="1:7" x14ac:dyDescent="0.2">
      <c r="A215" s="2">
        <v>19910109</v>
      </c>
      <c r="B215" s="13">
        <v>2470.3000000000002</v>
      </c>
      <c r="C215" s="2">
        <f t="shared" si="17"/>
        <v>-1.5585336792313602E-2</v>
      </c>
      <c r="D215" s="21">
        <f t="shared" ca="1" si="15"/>
        <v>-1.5969289207420471E-2</v>
      </c>
      <c r="E215" s="21">
        <f t="shared" ca="1" si="18"/>
        <v>7.5460948154647758E-5</v>
      </c>
      <c r="F215" s="11">
        <f t="shared" ca="1" si="19"/>
        <v>3.056211398016826</v>
      </c>
      <c r="G215" s="10">
        <f t="shared" ca="1" si="16"/>
        <v>0</v>
      </c>
    </row>
    <row r="216" spans="1:7" x14ac:dyDescent="0.2">
      <c r="A216" s="2">
        <v>19910110</v>
      </c>
      <c r="B216" s="13">
        <v>2498.7600000000002</v>
      </c>
      <c r="C216" s="2">
        <f t="shared" si="17"/>
        <v>1.152086791078008E-2</v>
      </c>
      <c r="D216" s="21">
        <f t="shared" ca="1" si="15"/>
        <v>1.1136915495673213E-2</v>
      </c>
      <c r="E216" s="21">
        <f t="shared" ca="1" si="18"/>
        <v>8.1929821456142984E-5</v>
      </c>
      <c r="F216" s="11">
        <f t="shared" ca="1" si="19"/>
        <v>3.9478900506142875</v>
      </c>
      <c r="G216" s="10">
        <f t="shared" ca="1" si="16"/>
        <v>0</v>
      </c>
    </row>
    <row r="217" spans="1:7" x14ac:dyDescent="0.2">
      <c r="A217" s="2">
        <v>19910111</v>
      </c>
      <c r="B217" s="13">
        <v>2501.4899999999998</v>
      </c>
      <c r="C217" s="2">
        <f t="shared" si="17"/>
        <v>1.0925419007826135E-3</v>
      </c>
      <c r="D217" s="21">
        <f t="shared" ca="1" si="15"/>
        <v>7.0858948567574618E-4</v>
      </c>
      <c r="E217" s="21">
        <f t="shared" ca="1" si="18"/>
        <v>8.3254800190673352E-5</v>
      </c>
      <c r="F217" s="11">
        <f t="shared" ca="1" si="19"/>
        <v>4.6937869493136439</v>
      </c>
      <c r="G217" s="10">
        <f t="shared" ca="1" si="16"/>
        <v>1</v>
      </c>
    </row>
    <row r="218" spans="1:7" x14ac:dyDescent="0.2">
      <c r="A218" s="2">
        <v>19910114</v>
      </c>
      <c r="B218" s="13">
        <v>2483.91</v>
      </c>
      <c r="C218" s="2">
        <f t="shared" si="17"/>
        <v>-7.0278114243910346E-3</v>
      </c>
      <c r="D218" s="21">
        <f t="shared" ca="1" si="15"/>
        <v>-7.4117638394979018E-3</v>
      </c>
      <c r="E218" s="21">
        <f t="shared" ca="1" si="18"/>
        <v>7.9970378604003151E-5</v>
      </c>
      <c r="F218" s="11">
        <f t="shared" ca="1" si="19"/>
        <v>4.3734609352231217</v>
      </c>
      <c r="G218" s="10">
        <f t="shared" ca="1" si="16"/>
        <v>1</v>
      </c>
    </row>
    <row r="219" spans="1:7" x14ac:dyDescent="0.2">
      <c r="A219" s="2">
        <v>19910115</v>
      </c>
      <c r="B219" s="13">
        <v>2490.59</v>
      </c>
      <c r="C219" s="2">
        <f t="shared" si="17"/>
        <v>2.6893083887903715E-3</v>
      </c>
      <c r="D219" s="21">
        <f t="shared" ca="1" si="15"/>
        <v>2.3053559736835043E-3</v>
      </c>
      <c r="E219" s="21">
        <f t="shared" ca="1" si="18"/>
        <v>7.8853681968446652E-5</v>
      </c>
      <c r="F219" s="11">
        <f t="shared" ca="1" si="19"/>
        <v>4.6902587314306263</v>
      </c>
      <c r="G219" s="10">
        <f t="shared" ca="1" si="16"/>
        <v>1</v>
      </c>
    </row>
    <row r="220" spans="1:7" x14ac:dyDescent="0.2">
      <c r="A220" s="2">
        <v>19910116</v>
      </c>
      <c r="B220" s="13">
        <v>2508.91</v>
      </c>
      <c r="C220" s="2">
        <f t="shared" si="17"/>
        <v>7.355686805134409E-3</v>
      </c>
      <c r="D220" s="21">
        <f t="shared" ca="1" si="15"/>
        <v>6.9717343900275418E-3</v>
      </c>
      <c r="E220" s="21">
        <f t="shared" ca="1" si="18"/>
        <v>7.596888089723313E-5</v>
      </c>
      <c r="F220" s="11">
        <f t="shared" ca="1" si="19"/>
        <v>4.4226921285133818</v>
      </c>
      <c r="G220" s="10">
        <f t="shared" ca="1" si="16"/>
        <v>1</v>
      </c>
    </row>
    <row r="221" spans="1:7" x14ac:dyDescent="0.2">
      <c r="A221" s="2">
        <v>19910117</v>
      </c>
      <c r="B221" s="13">
        <v>2623.51</v>
      </c>
      <c r="C221" s="2">
        <f t="shared" si="17"/>
        <v>4.567720643626131E-2</v>
      </c>
      <c r="D221" s="21">
        <f t="shared" ca="1" si="15"/>
        <v>4.5293254021154444E-2</v>
      </c>
      <c r="E221" s="21">
        <f t="shared" ca="1" si="18"/>
        <v>7.4821886980768341E-5</v>
      </c>
      <c r="F221" s="11">
        <f t="shared" ca="1" si="19"/>
        <v>-8.958882558889453</v>
      </c>
      <c r="G221" s="10">
        <f t="shared" ca="1" si="16"/>
        <v>0</v>
      </c>
    </row>
    <row r="222" spans="1:7" x14ac:dyDescent="0.2">
      <c r="A222" s="2">
        <v>19910118</v>
      </c>
      <c r="B222" s="13">
        <v>2646.78</v>
      </c>
      <c r="C222" s="2">
        <f t="shared" si="17"/>
        <v>8.8697965702436727E-3</v>
      </c>
      <c r="D222" s="21">
        <f t="shared" ca="1" si="15"/>
        <v>8.4858441551368055E-3</v>
      </c>
      <c r="E222" s="21">
        <f t="shared" ca="1" si="18"/>
        <v>1.4738208584533951E-4</v>
      </c>
      <c r="F222" s="11">
        <f t="shared" ca="1" si="19"/>
        <v>4.1669455927833114</v>
      </c>
      <c r="G222" s="10">
        <f t="shared" ca="1" si="16"/>
        <v>1</v>
      </c>
    </row>
    <row r="223" spans="1:7" x14ac:dyDescent="0.2">
      <c r="A223" s="2">
        <v>19910121</v>
      </c>
      <c r="B223" s="13">
        <v>2629.21</v>
      </c>
      <c r="C223" s="2">
        <f t="shared" si="17"/>
        <v>-6.6382547850596428E-3</v>
      </c>
      <c r="D223" s="21">
        <f t="shared" ca="1" si="15"/>
        <v>-7.02220720016651E-3</v>
      </c>
      <c r="E223" s="21">
        <f t="shared" ca="1" si="18"/>
        <v>1.4348289762674315E-4</v>
      </c>
      <c r="F223" s="11">
        <f t="shared" ca="1" si="19"/>
        <v>4.2528101717763889</v>
      </c>
      <c r="G223" s="10">
        <f t="shared" ca="1" si="16"/>
        <v>1</v>
      </c>
    </row>
    <row r="224" spans="1:7" x14ac:dyDescent="0.2">
      <c r="A224" s="2">
        <v>19910122</v>
      </c>
      <c r="B224" s="13">
        <v>2603.2199999999998</v>
      </c>
      <c r="C224" s="2">
        <f t="shared" si="17"/>
        <v>-9.8850985657289586E-3</v>
      </c>
      <c r="D224" s="21">
        <f t="shared" ca="1" si="15"/>
        <v>-1.0269050980835826E-2</v>
      </c>
      <c r="E224" s="21">
        <f t="shared" ca="1" si="18"/>
        <v>1.3894631975672477E-4</v>
      </c>
      <c r="F224" s="11">
        <f t="shared" ca="1" si="19"/>
        <v>4.061236089055428</v>
      </c>
      <c r="G224" s="10">
        <f t="shared" ca="1" si="16"/>
        <v>1</v>
      </c>
    </row>
    <row r="225" spans="1:7" x14ac:dyDescent="0.2">
      <c r="A225" s="2">
        <v>19910123</v>
      </c>
      <c r="B225" s="13">
        <v>2619.06</v>
      </c>
      <c r="C225" s="2">
        <f t="shared" si="17"/>
        <v>6.0847719362943382E-3</v>
      </c>
      <c r="D225" s="21">
        <f t="shared" ca="1" si="15"/>
        <v>5.700819521187471E-3</v>
      </c>
      <c r="E225" s="21">
        <f t="shared" ca="1" si="18"/>
        <v>1.3670368873938538E-4</v>
      </c>
      <c r="F225" s="11">
        <f t="shared" ca="1" si="19"/>
        <v>4.3299795795464622</v>
      </c>
      <c r="G225" s="10">
        <f t="shared" ca="1" si="16"/>
        <v>1</v>
      </c>
    </row>
    <row r="226" spans="1:7" x14ac:dyDescent="0.2">
      <c r="A226" s="2">
        <v>19910124</v>
      </c>
      <c r="B226" s="13">
        <v>2643.07</v>
      </c>
      <c r="C226" s="2">
        <f t="shared" si="17"/>
        <v>9.1674112086016432E-3</v>
      </c>
      <c r="D226" s="21">
        <f t="shared" ca="1" si="15"/>
        <v>8.783458793494776E-3</v>
      </c>
      <c r="E226" s="21">
        <f t="shared" ca="1" si="18"/>
        <v>1.3189186481846028E-4</v>
      </c>
      <c r="F226" s="11">
        <f t="shared" ca="1" si="19"/>
        <v>4.1742928717229217</v>
      </c>
      <c r="G226" s="10">
        <f t="shared" ca="1" si="16"/>
        <v>1</v>
      </c>
    </row>
    <row r="227" spans="1:7" x14ac:dyDescent="0.2">
      <c r="A227" s="2">
        <v>19910125</v>
      </c>
      <c r="B227" s="13">
        <v>2659.41</v>
      </c>
      <c r="C227" s="2">
        <f t="shared" si="17"/>
        <v>6.1822047845875019E-3</v>
      </c>
      <c r="D227" s="21">
        <f t="shared" ca="1" si="15"/>
        <v>5.7982523694806347E-3</v>
      </c>
      <c r="E227" s="21">
        <f t="shared" ca="1" si="18"/>
        <v>1.2896532395059306E-4</v>
      </c>
      <c r="F227" s="11">
        <f t="shared" ca="1" si="19"/>
        <v>4.3476394277151629</v>
      </c>
      <c r="G227" s="10">
        <f t="shared" ca="1" si="16"/>
        <v>1</v>
      </c>
    </row>
    <row r="228" spans="1:7" x14ac:dyDescent="0.2">
      <c r="A228" s="2">
        <v>19910128</v>
      </c>
      <c r="B228" s="13">
        <v>2654.46</v>
      </c>
      <c r="C228" s="2">
        <f t="shared" si="17"/>
        <v>-1.8613151037259461E-3</v>
      </c>
      <c r="D228" s="21">
        <f t="shared" ca="1" si="15"/>
        <v>-2.2452675188328135E-3</v>
      </c>
      <c r="E228" s="21">
        <f t="shared" ca="1" si="18"/>
        <v>1.2458618505056422E-4</v>
      </c>
      <c r="F228" s="11">
        <f t="shared" ca="1" si="19"/>
        <v>4.4750245331062164</v>
      </c>
      <c r="G228" s="10">
        <f t="shared" ca="1" si="16"/>
        <v>1</v>
      </c>
    </row>
    <row r="229" spans="1:7" x14ac:dyDescent="0.2">
      <c r="A229" s="2">
        <v>19910129</v>
      </c>
      <c r="B229" s="13">
        <v>2662.62</v>
      </c>
      <c r="C229" s="2">
        <f t="shared" si="17"/>
        <v>3.0740715625776445E-3</v>
      </c>
      <c r="D229" s="21">
        <f t="shared" ca="1" si="15"/>
        <v>2.6901191474707773E-3</v>
      </c>
      <c r="E229" s="21">
        <f t="shared" ca="1" si="18"/>
        <v>1.1937770672652423E-4</v>
      </c>
      <c r="F229" s="11">
        <f t="shared" ca="1" si="19"/>
        <v>4.4862987727117254</v>
      </c>
      <c r="G229" s="10">
        <f t="shared" ca="1" si="16"/>
        <v>1</v>
      </c>
    </row>
    <row r="230" spans="1:7" x14ac:dyDescent="0.2">
      <c r="A230" s="2">
        <v>19910130</v>
      </c>
      <c r="B230" s="13">
        <v>2713.12</v>
      </c>
      <c r="C230" s="2">
        <f t="shared" si="17"/>
        <v>1.896628133192119E-2</v>
      </c>
      <c r="D230" s="21">
        <f t="shared" ca="1" si="15"/>
        <v>1.8582328916814321E-2</v>
      </c>
      <c r="E230" s="21">
        <f t="shared" ca="1" si="18"/>
        <v>1.1451345994840143E-4</v>
      </c>
      <c r="F230" s="11">
        <f t="shared" ca="1" si="19"/>
        <v>3.0297131945069125</v>
      </c>
      <c r="G230" s="10">
        <f t="shared" ca="1" si="16"/>
        <v>0</v>
      </c>
    </row>
    <row r="231" spans="1:7" x14ac:dyDescent="0.2">
      <c r="A231" s="2">
        <v>19910131</v>
      </c>
      <c r="B231" s="13">
        <v>2736.39</v>
      </c>
      <c r="C231" s="2">
        <f t="shared" si="17"/>
        <v>8.5768414224214121E-3</v>
      </c>
      <c r="D231" s="21">
        <f t="shared" ca="1" si="15"/>
        <v>8.1928890073145449E-3</v>
      </c>
      <c r="E231" s="21">
        <f t="shared" ca="1" si="18"/>
        <v>1.2232658172528415E-4</v>
      </c>
      <c r="F231" s="11">
        <f t="shared" ca="1" si="19"/>
        <v>4.2300465077809566</v>
      </c>
      <c r="G231" s="10">
        <f t="shared" ca="1" si="16"/>
        <v>1</v>
      </c>
    </row>
    <row r="232" spans="1:7" x14ac:dyDescent="0.2">
      <c r="A232" s="2">
        <v>19910201</v>
      </c>
      <c r="B232" s="13">
        <v>2730.69</v>
      </c>
      <c r="C232" s="2">
        <f t="shared" si="17"/>
        <v>-2.083036409283698E-3</v>
      </c>
      <c r="D232" s="21">
        <f t="shared" ca="1" si="15"/>
        <v>-2.4669888243905652E-3</v>
      </c>
      <c r="E232" s="21">
        <f t="shared" ca="1" si="18"/>
        <v>1.1951528851903081E-4</v>
      </c>
      <c r="F232" s="11">
        <f t="shared" ca="1" si="19"/>
        <v>4.4905718093253748</v>
      </c>
      <c r="G232" s="10">
        <f t="shared" ca="1" si="16"/>
        <v>1</v>
      </c>
    </row>
    <row r="233" spans="1:7" x14ac:dyDescent="0.2">
      <c r="A233" s="2">
        <v>19910204</v>
      </c>
      <c r="B233" s="13">
        <v>2772.28</v>
      </c>
      <c r="C233" s="2">
        <f t="shared" si="17"/>
        <v>1.5230582746485373E-2</v>
      </c>
      <c r="D233" s="21">
        <f t="shared" ca="1" si="15"/>
        <v>1.4846630331378506E-2</v>
      </c>
      <c r="E233" s="21">
        <f t="shared" ca="1" si="18"/>
        <v>1.14601767920971E-4</v>
      </c>
      <c r="F233" s="11">
        <f t="shared" ca="1" si="19"/>
        <v>3.5753350429631823</v>
      </c>
      <c r="G233" s="10">
        <f t="shared" ca="1" si="16"/>
        <v>0</v>
      </c>
    </row>
    <row r="234" spans="1:7" x14ac:dyDescent="0.2">
      <c r="A234" s="2">
        <v>19910205</v>
      </c>
      <c r="B234" s="13">
        <v>2788.37</v>
      </c>
      <c r="C234" s="2">
        <f t="shared" si="17"/>
        <v>5.8038870532556922E-3</v>
      </c>
      <c r="D234" s="21">
        <f t="shared" ca="1" si="15"/>
        <v>5.419934638148825E-3</v>
      </c>
      <c r="E234" s="21">
        <f t="shared" ca="1" si="18"/>
        <v>1.1781834755610139E-4</v>
      </c>
      <c r="F234" s="11">
        <f t="shared" ca="1" si="19"/>
        <v>4.3985180915636235</v>
      </c>
      <c r="G234" s="10">
        <f t="shared" ca="1" si="16"/>
        <v>1</v>
      </c>
    </row>
    <row r="235" spans="1:7" x14ac:dyDescent="0.2">
      <c r="A235" s="2">
        <v>19910206</v>
      </c>
      <c r="B235" s="13">
        <v>2830.94</v>
      </c>
      <c r="C235" s="2">
        <f t="shared" si="17"/>
        <v>1.5266983936852056E-2</v>
      </c>
      <c r="D235" s="21">
        <f t="shared" ca="1" si="15"/>
        <v>1.4883031521745188E-2</v>
      </c>
      <c r="E235" s="21">
        <f t="shared" ca="1" si="18"/>
        <v>1.1384707713570246E-4</v>
      </c>
      <c r="F235" s="11">
        <f t="shared" ca="1" si="19"/>
        <v>3.5675107323249815</v>
      </c>
      <c r="G235" s="10">
        <f t="shared" ca="1" si="16"/>
        <v>0</v>
      </c>
    </row>
    <row r="236" spans="1:7" x14ac:dyDescent="0.2">
      <c r="A236" s="2">
        <v>19910207</v>
      </c>
      <c r="B236" s="13">
        <v>2810.64</v>
      </c>
      <c r="C236" s="2">
        <f t="shared" si="17"/>
        <v>-7.1707630680975867E-3</v>
      </c>
      <c r="D236" s="21">
        <f t="shared" ca="1" si="15"/>
        <v>-7.5547154832044539E-3</v>
      </c>
      <c r="E236" s="21">
        <f t="shared" ca="1" si="18"/>
        <v>1.1714163102883142E-4</v>
      </c>
      <c r="F236" s="11">
        <f t="shared" ca="1" si="19"/>
        <v>4.2824534997882102</v>
      </c>
      <c r="G236" s="10">
        <f t="shared" ca="1" si="16"/>
        <v>1</v>
      </c>
    </row>
    <row r="237" spans="1:7" x14ac:dyDescent="0.2">
      <c r="A237" s="2">
        <v>19910208</v>
      </c>
      <c r="B237" s="13">
        <v>2830.69</v>
      </c>
      <c r="C237" s="2">
        <f t="shared" si="17"/>
        <v>7.1336065807076623E-3</v>
      </c>
      <c r="D237" s="21">
        <f t="shared" ca="1" si="15"/>
        <v>6.7496541656007951E-3</v>
      </c>
      <c r="E237" s="21">
        <f t="shared" ca="1" si="18"/>
        <v>1.1422310101285434E-4</v>
      </c>
      <c r="F237" s="11">
        <f t="shared" ca="1" si="19"/>
        <v>4.3392537275536762</v>
      </c>
      <c r="G237" s="10">
        <f t="shared" ca="1" si="16"/>
        <v>1</v>
      </c>
    </row>
    <row r="238" spans="1:7" x14ac:dyDescent="0.2">
      <c r="A238" s="2">
        <v>19910211</v>
      </c>
      <c r="B238" s="13">
        <v>2902.23</v>
      </c>
      <c r="C238" s="2">
        <f t="shared" si="17"/>
        <v>2.5272989977708601E-2</v>
      </c>
      <c r="D238" s="21">
        <f t="shared" ca="1" si="15"/>
        <v>2.4889037562601732E-2</v>
      </c>
      <c r="E238" s="21">
        <f t="shared" ca="1" si="18"/>
        <v>1.1102876083678747E-4</v>
      </c>
      <c r="F238" s="11">
        <f t="shared" ca="1" si="19"/>
        <v>1.7632042224789823</v>
      </c>
      <c r="G238" s="10">
        <f t="shared" ca="1" si="16"/>
        <v>0</v>
      </c>
    </row>
    <row r="239" spans="1:7" x14ac:dyDescent="0.2">
      <c r="A239" s="2">
        <v>19910212</v>
      </c>
      <c r="B239" s="13">
        <v>2874.75</v>
      </c>
      <c r="C239" s="2">
        <f t="shared" si="17"/>
        <v>-9.4685810566357657E-3</v>
      </c>
      <c r="D239" s="21">
        <f t="shared" ca="1" si="15"/>
        <v>-9.8525334717426329E-3</v>
      </c>
      <c r="E239" s="21">
        <f t="shared" ca="1" si="18"/>
        <v>1.2909956228603442E-4</v>
      </c>
      <c r="F239" s="11">
        <f t="shared" ca="1" si="19"/>
        <v>4.1015038174200695</v>
      </c>
      <c r="G239" s="10">
        <f t="shared" ca="1" si="16"/>
        <v>1</v>
      </c>
    </row>
    <row r="240" spans="1:7" x14ac:dyDescent="0.2">
      <c r="A240" s="2">
        <v>19910213</v>
      </c>
      <c r="B240" s="13">
        <v>2909.16</v>
      </c>
      <c r="C240" s="2">
        <f t="shared" si="17"/>
        <v>1.1969736498825934E-2</v>
      </c>
      <c r="D240" s="21">
        <f t="shared" ca="1" si="15"/>
        <v>1.1585784083719066E-2</v>
      </c>
      <c r="E240" s="21">
        <f t="shared" ca="1" si="18"/>
        <v>1.2704689825322778E-4</v>
      </c>
      <c r="F240" s="11">
        <f t="shared" ca="1" si="19"/>
        <v>3.9572060961735196</v>
      </c>
      <c r="G240" s="10">
        <f t="shared" ca="1" si="16"/>
        <v>0</v>
      </c>
    </row>
    <row r="241" spans="1:7" x14ac:dyDescent="0.2">
      <c r="A241" s="2">
        <v>19910214</v>
      </c>
      <c r="B241" s="13">
        <v>2877.23</v>
      </c>
      <c r="C241" s="2">
        <f t="shared" si="17"/>
        <v>-1.0975676827675286E-2</v>
      </c>
      <c r="D241" s="21">
        <f t="shared" ca="1" si="15"/>
        <v>-1.1359629242782153E-2</v>
      </c>
      <c r="E241" s="21">
        <f t="shared" ca="1" si="18"/>
        <v>1.2646444286441283E-4</v>
      </c>
      <c r="F241" s="11">
        <f t="shared" ca="1" si="19"/>
        <v>3.9775871050655236</v>
      </c>
      <c r="G241" s="10">
        <f t="shared" ca="1" si="16"/>
        <v>0</v>
      </c>
    </row>
    <row r="242" spans="1:7" x14ac:dyDescent="0.2">
      <c r="A242" s="2">
        <v>19910215</v>
      </c>
      <c r="B242" s="13">
        <v>2934.65</v>
      </c>
      <c r="C242" s="2">
        <f t="shared" si="17"/>
        <v>1.9956694459601795E-2</v>
      </c>
      <c r="D242" s="21">
        <f t="shared" ca="1" si="15"/>
        <v>1.9572742044494926E-2</v>
      </c>
      <c r="E242" s="21">
        <f t="shared" ca="1" si="18"/>
        <v>1.2572063754149297E-4</v>
      </c>
      <c r="F242" s="11">
        <f t="shared" ca="1" si="19"/>
        <v>2.9671388350341603</v>
      </c>
      <c r="G242" s="10">
        <f t="shared" ca="1" si="16"/>
        <v>0</v>
      </c>
    </row>
    <row r="243" spans="1:7" x14ac:dyDescent="0.2">
      <c r="A243" s="2">
        <v>19910219</v>
      </c>
      <c r="B243" s="13">
        <v>2932.18</v>
      </c>
      <c r="C243" s="2">
        <f t="shared" si="17"/>
        <v>-8.4166766053882225E-4</v>
      </c>
      <c r="D243" s="21">
        <f t="shared" ca="1" si="15"/>
        <v>-1.2256200756456895E-3</v>
      </c>
      <c r="E243" s="21">
        <f t="shared" ca="1" si="18"/>
        <v>1.3435636243775971E-4</v>
      </c>
      <c r="F243" s="11">
        <f t="shared" ca="1" si="19"/>
        <v>4.4519172829327127</v>
      </c>
      <c r="G243" s="10">
        <f t="shared" ca="1" si="16"/>
        <v>1</v>
      </c>
    </row>
    <row r="244" spans="1:7" x14ac:dyDescent="0.2">
      <c r="A244" s="2">
        <v>19910220</v>
      </c>
      <c r="B244" s="13">
        <v>2899.01</v>
      </c>
      <c r="C244" s="2">
        <f t="shared" si="17"/>
        <v>-1.1312402376388768E-2</v>
      </c>
      <c r="D244" s="21">
        <f t="shared" ca="1" si="15"/>
        <v>-1.1696354791495635E-2</v>
      </c>
      <c r="E244" s="21">
        <f t="shared" ca="1" si="18"/>
        <v>1.2852346941064191E-4</v>
      </c>
      <c r="F244" s="11">
        <f t="shared" ca="1" si="19"/>
        <v>3.947482651546057</v>
      </c>
      <c r="G244" s="10">
        <f t="shared" ca="1" si="16"/>
        <v>0</v>
      </c>
    </row>
    <row r="245" spans="1:7" x14ac:dyDescent="0.2">
      <c r="A245" s="2">
        <v>19910221</v>
      </c>
      <c r="B245" s="13">
        <v>2891.83</v>
      </c>
      <c r="C245" s="2">
        <f t="shared" si="17"/>
        <v>-2.4767075656863171E-3</v>
      </c>
      <c r="D245" s="21">
        <f t="shared" ca="1" si="15"/>
        <v>-2.8606599807931843E-3</v>
      </c>
      <c r="E245" s="21">
        <f t="shared" ca="1" si="18"/>
        <v>1.2796097613672501E-4</v>
      </c>
      <c r="F245" s="11">
        <f t="shared" ca="1" si="19"/>
        <v>4.4499165479157599</v>
      </c>
      <c r="G245" s="10">
        <f t="shared" ca="1" si="16"/>
        <v>1</v>
      </c>
    </row>
    <row r="246" spans="1:7" x14ac:dyDescent="0.2">
      <c r="A246" s="2">
        <v>19910222</v>
      </c>
      <c r="B246" s="13">
        <v>2889.36</v>
      </c>
      <c r="C246" s="2">
        <f t="shared" si="17"/>
        <v>-8.5413042952033828E-4</v>
      </c>
      <c r="D246" s="21">
        <f t="shared" ca="1" si="15"/>
        <v>-1.2380828446272056E-3</v>
      </c>
      <c r="E246" s="21">
        <f t="shared" ca="1" si="18"/>
        <v>1.2269730833634046E-4</v>
      </c>
      <c r="F246" s="11">
        <f t="shared" ca="1" si="19"/>
        <v>4.4966486057164188</v>
      </c>
      <c r="G246" s="10">
        <f t="shared" ca="1" si="16"/>
        <v>1</v>
      </c>
    </row>
    <row r="247" spans="1:7" x14ac:dyDescent="0.2">
      <c r="A247" s="2">
        <v>19910225</v>
      </c>
      <c r="B247" s="13">
        <v>2887.87</v>
      </c>
      <c r="C247" s="2">
        <f t="shared" si="17"/>
        <v>-5.1568513442431412E-4</v>
      </c>
      <c r="D247" s="21">
        <f t="shared" ca="1" si="15"/>
        <v>-8.9963754953118142E-4</v>
      </c>
      <c r="E247" s="21">
        <f t="shared" ca="1" si="18"/>
        <v>1.1745537975541867E-4</v>
      </c>
      <c r="F247" s="11">
        <f t="shared" ca="1" si="19"/>
        <v>4.5212806804217838</v>
      </c>
      <c r="G247" s="10">
        <f t="shared" ca="1" si="16"/>
        <v>1</v>
      </c>
    </row>
    <row r="248" spans="1:7" x14ac:dyDescent="0.2">
      <c r="A248" s="2">
        <v>19910226</v>
      </c>
      <c r="B248" s="13">
        <v>2864.6</v>
      </c>
      <c r="C248" s="2">
        <f t="shared" si="17"/>
        <v>-8.057841938868434E-3</v>
      </c>
      <c r="D248" s="21">
        <f t="shared" ca="1" si="15"/>
        <v>-8.4417943539753012E-3</v>
      </c>
      <c r="E248" s="21">
        <f t="shared" ca="1" si="18"/>
        <v>1.1245203765728585E-4</v>
      </c>
      <c r="F248" s="11">
        <f t="shared" ca="1" si="19"/>
        <v>4.2296283820417919</v>
      </c>
      <c r="G248" s="10">
        <f t="shared" ca="1" si="16"/>
        <v>1</v>
      </c>
    </row>
    <row r="249" spans="1:7" x14ac:dyDescent="0.2">
      <c r="A249" s="2">
        <v>19910227</v>
      </c>
      <c r="B249" s="13">
        <v>2889.11</v>
      </c>
      <c r="C249" s="2">
        <f t="shared" si="17"/>
        <v>8.5561684004748367E-3</v>
      </c>
      <c r="D249" s="21">
        <f t="shared" ca="1" si="15"/>
        <v>8.1722159853679695E-3</v>
      </c>
      <c r="E249" s="21">
        <f t="shared" ca="1" si="18"/>
        <v>1.1029255289029296E-4</v>
      </c>
      <c r="F249" s="11">
        <f t="shared" ca="1" si="19"/>
        <v>4.2534235961059261</v>
      </c>
      <c r="G249" s="10">
        <f t="shared" ca="1" si="16"/>
        <v>1</v>
      </c>
    </row>
    <row r="250" spans="1:7" x14ac:dyDescent="0.2">
      <c r="A250" s="2">
        <v>19910228</v>
      </c>
      <c r="B250" s="13">
        <v>2882.18</v>
      </c>
      <c r="C250" s="2">
        <f t="shared" si="17"/>
        <v>-2.3986625639038635E-3</v>
      </c>
      <c r="D250" s="21">
        <f t="shared" ca="1" si="15"/>
        <v>-2.7826149790107307E-3</v>
      </c>
      <c r="E250" s="21">
        <f t="shared" ca="1" si="18"/>
        <v>1.080776246887191E-4</v>
      </c>
      <c r="F250" s="11">
        <f t="shared" ca="1" si="19"/>
        <v>4.5305091945675349</v>
      </c>
      <c r="G250" s="10">
        <f t="shared" ca="1" si="16"/>
        <v>1</v>
      </c>
    </row>
    <row r="251" spans="1:7" x14ac:dyDescent="0.2">
      <c r="A251" s="2">
        <v>19910301</v>
      </c>
      <c r="B251" s="13">
        <v>2909.9</v>
      </c>
      <c r="C251" s="2">
        <f t="shared" si="17"/>
        <v>9.6177199203381671E-3</v>
      </c>
      <c r="D251" s="21">
        <f t="shared" ca="1" si="15"/>
        <v>9.2337675052312999E-3</v>
      </c>
      <c r="E251" s="21">
        <f t="shared" ca="1" si="18"/>
        <v>1.038036668267602E-4</v>
      </c>
      <c r="F251" s="11">
        <f t="shared" ca="1" si="19"/>
        <v>4.1758136364042873</v>
      </c>
      <c r="G251" s="10">
        <f t="shared" ca="1" si="16"/>
        <v>1</v>
      </c>
    </row>
    <row r="252" spans="1:7" x14ac:dyDescent="0.2">
      <c r="A252" s="2">
        <v>19910304</v>
      </c>
      <c r="B252" s="13">
        <v>2914.11</v>
      </c>
      <c r="C252" s="2">
        <f t="shared" si="17"/>
        <v>1.4467851128904898E-3</v>
      </c>
      <c r="D252" s="21">
        <f t="shared" ca="1" si="15"/>
        <v>1.0628326977836226E-3</v>
      </c>
      <c r="E252" s="21">
        <f t="shared" ca="1" si="18"/>
        <v>1.0259645786440472E-4</v>
      </c>
      <c r="F252" s="11">
        <f t="shared" ca="1" si="19"/>
        <v>4.5868484464024979</v>
      </c>
      <c r="G252" s="10">
        <f t="shared" ca="1" si="16"/>
        <v>1</v>
      </c>
    </row>
    <row r="253" spans="1:7" x14ac:dyDescent="0.2">
      <c r="A253" s="2">
        <v>19910305</v>
      </c>
      <c r="B253" s="13">
        <v>2972.52</v>
      </c>
      <c r="C253" s="2">
        <f t="shared" si="17"/>
        <v>2.0043855585410247E-2</v>
      </c>
      <c r="D253" s="21">
        <f t="shared" ca="1" si="15"/>
        <v>1.9659903170303378E-2</v>
      </c>
      <c r="E253" s="21">
        <f t="shared" ca="1" si="18"/>
        <v>9.835661024340536E-5</v>
      </c>
      <c r="F253" s="11">
        <f t="shared" ca="1" si="19"/>
        <v>2.6486063099429873</v>
      </c>
      <c r="G253" s="10">
        <f t="shared" ca="1" si="16"/>
        <v>0</v>
      </c>
    </row>
    <row r="254" spans="1:7" x14ac:dyDescent="0.2">
      <c r="A254" s="2">
        <v>19910306</v>
      </c>
      <c r="B254" s="13">
        <v>2973.27</v>
      </c>
      <c r="C254" s="2">
        <f t="shared" si="17"/>
        <v>2.5231117032013242E-4</v>
      </c>
      <c r="D254" s="21">
        <f t="shared" ca="1" si="15"/>
        <v>-1.3164124478673488E-4</v>
      </c>
      <c r="E254" s="21">
        <f t="shared" ca="1" si="18"/>
        <v>1.0850243353868228E-4</v>
      </c>
      <c r="F254" s="11">
        <f t="shared" ca="1" si="19"/>
        <v>4.5642891208787493</v>
      </c>
      <c r="G254" s="10">
        <f t="shared" ca="1" si="16"/>
        <v>1</v>
      </c>
    </row>
    <row r="255" spans="1:7" x14ac:dyDescent="0.2">
      <c r="A255" s="2">
        <v>19910307</v>
      </c>
      <c r="B255" s="13">
        <v>2963.37</v>
      </c>
      <c r="C255" s="2">
        <f t="shared" si="17"/>
        <v>-3.3296673359634646E-3</v>
      </c>
      <c r="D255" s="21">
        <f t="shared" ca="1" si="15"/>
        <v>-3.7136197510703318E-3</v>
      </c>
      <c r="E255" s="21">
        <f t="shared" ca="1" si="18"/>
        <v>1.0392290004162978E-4</v>
      </c>
      <c r="F255" s="11">
        <f t="shared" ca="1" si="19"/>
        <v>4.519578701683086</v>
      </c>
      <c r="G255" s="10">
        <f t="shared" ca="1" si="16"/>
        <v>1</v>
      </c>
    </row>
    <row r="256" spans="1:7" x14ac:dyDescent="0.2">
      <c r="A256" s="2">
        <v>19910308</v>
      </c>
      <c r="B256" s="13">
        <v>2955.2</v>
      </c>
      <c r="C256" s="2">
        <f t="shared" si="17"/>
        <v>-2.7569962576391317E-3</v>
      </c>
      <c r="D256" s="21">
        <f t="shared" ca="1" si="15"/>
        <v>-3.1409486727459988E-3</v>
      </c>
      <c r="E256" s="21">
        <f t="shared" ca="1" si="18"/>
        <v>1.0008152752659654E-4</v>
      </c>
      <c r="F256" s="11">
        <f t="shared" ca="1" si="19"/>
        <v>4.5554751045783979</v>
      </c>
      <c r="G256" s="10">
        <f t="shared" ca="1" si="16"/>
        <v>1</v>
      </c>
    </row>
    <row r="257" spans="1:7" x14ac:dyDescent="0.2">
      <c r="A257" s="2">
        <v>19910311</v>
      </c>
      <c r="B257" s="13">
        <v>2939.36</v>
      </c>
      <c r="C257" s="2">
        <f t="shared" si="17"/>
        <v>-5.3600433134812168E-3</v>
      </c>
      <c r="D257" s="21">
        <f t="shared" ca="1" si="15"/>
        <v>-5.743995728588084E-3</v>
      </c>
      <c r="E257" s="21">
        <f t="shared" ca="1" si="18"/>
        <v>9.6290147018624029E-5</v>
      </c>
      <c r="F257" s="11">
        <f t="shared" ca="1" si="19"/>
        <v>4.4527490036160611</v>
      </c>
      <c r="G257" s="10">
        <f t="shared" ca="1" si="16"/>
        <v>1</v>
      </c>
    </row>
    <row r="258" spans="1:7" x14ac:dyDescent="0.2">
      <c r="A258" s="2">
        <v>19910312</v>
      </c>
      <c r="B258" s="13">
        <v>2922.52</v>
      </c>
      <c r="C258" s="2">
        <f t="shared" si="17"/>
        <v>-5.7291383158239017E-3</v>
      </c>
      <c r="D258" s="21">
        <f t="shared" ca="1" si="15"/>
        <v>-6.1130907309307689E-3</v>
      </c>
      <c r="E258" s="21">
        <f t="shared" ca="1" si="18"/>
        <v>9.3541028007356259E-5</v>
      </c>
      <c r="F258" s="11">
        <f t="shared" ca="1" si="19"/>
        <v>4.4388039378410227</v>
      </c>
      <c r="G258" s="10">
        <f t="shared" ca="1" si="16"/>
        <v>1</v>
      </c>
    </row>
    <row r="259" spans="1:7" x14ac:dyDescent="0.2">
      <c r="A259" s="2">
        <v>19910313</v>
      </c>
      <c r="B259" s="13">
        <v>2955.2</v>
      </c>
      <c r="C259" s="2">
        <f t="shared" si="17"/>
        <v>1.1182130490124904E-2</v>
      </c>
      <c r="D259" s="21">
        <f t="shared" ca="1" si="15"/>
        <v>1.0798178075018037E-2</v>
      </c>
      <c r="E259" s="21">
        <f t="shared" ca="1" si="18"/>
        <v>9.109191538354743E-5</v>
      </c>
      <c r="F259" s="11">
        <f t="shared" ca="1" si="19"/>
        <v>4.0118042948528183</v>
      </c>
      <c r="G259" s="10">
        <f t="shared" ca="1" si="16"/>
        <v>0</v>
      </c>
    </row>
    <row r="260" spans="1:7" x14ac:dyDescent="0.2">
      <c r="A260" s="2">
        <v>19910314</v>
      </c>
      <c r="B260" s="13">
        <v>2952.23</v>
      </c>
      <c r="C260" s="2">
        <f t="shared" si="17"/>
        <v>-1.0050081212776801E-3</v>
      </c>
      <c r="D260" s="21">
        <f t="shared" ca="1" si="15"/>
        <v>-1.3889605363845473E-3</v>
      </c>
      <c r="E260" s="21">
        <f t="shared" ca="1" si="18"/>
        <v>9.1680157980845992E-5</v>
      </c>
      <c r="F260" s="11">
        <f t="shared" ca="1" si="19"/>
        <v>4.6380808683149288</v>
      </c>
      <c r="G260" s="10">
        <f t="shared" ca="1" si="16"/>
        <v>1</v>
      </c>
    </row>
    <row r="261" spans="1:7" x14ac:dyDescent="0.2">
      <c r="A261" s="2">
        <v>19910315</v>
      </c>
      <c r="B261" s="13">
        <v>2948.27</v>
      </c>
      <c r="C261" s="2">
        <f t="shared" si="17"/>
        <v>-1.3413589049633789E-3</v>
      </c>
      <c r="D261" s="21">
        <f t="shared" ca="1" si="15"/>
        <v>-1.7253113200702461E-3</v>
      </c>
      <c r="E261" s="21">
        <f t="shared" ca="1" si="18"/>
        <v>8.8021972180934622E-5</v>
      </c>
      <c r="F261" s="11">
        <f t="shared" ca="1" si="19"/>
        <v>4.6520532038949955</v>
      </c>
      <c r="G261" s="10">
        <f t="shared" ca="1" si="16"/>
        <v>1</v>
      </c>
    </row>
    <row r="262" spans="1:7" x14ac:dyDescent="0.2">
      <c r="A262" s="2">
        <v>19910318</v>
      </c>
      <c r="B262" s="13">
        <v>2929.95</v>
      </c>
      <c r="C262" s="2">
        <f t="shared" si="17"/>
        <v>-6.2138135245415668E-3</v>
      </c>
      <c r="D262" s="21">
        <f t="shared" ca="1" si="15"/>
        <v>-6.5977659396484339E-3</v>
      </c>
      <c r="E262" s="21">
        <f t="shared" ca="1" si="18"/>
        <v>8.458737315976693E-5</v>
      </c>
      <c r="F262" s="11">
        <f t="shared" ca="1" si="19"/>
        <v>4.4315518238062186</v>
      </c>
      <c r="G262" s="10">
        <f t="shared" ca="1" si="16"/>
        <v>1</v>
      </c>
    </row>
    <row r="263" spans="1:7" x14ac:dyDescent="0.2">
      <c r="A263" s="2">
        <v>19910319</v>
      </c>
      <c r="B263" s="13">
        <v>2867.82</v>
      </c>
      <c r="C263" s="2">
        <f t="shared" si="17"/>
        <v>-2.120514001945414E-2</v>
      </c>
      <c r="D263" s="21">
        <f t="shared" ca="1" si="15"/>
        <v>-2.1589092434561009E-2</v>
      </c>
      <c r="E263" s="21">
        <f t="shared" ca="1" si="18"/>
        <v>8.2817766266105828E-5</v>
      </c>
      <c r="F263" s="11">
        <f t="shared" ca="1" si="19"/>
        <v>1.8854911879265428</v>
      </c>
      <c r="G263" s="10">
        <f t="shared" ca="1" si="16"/>
        <v>0</v>
      </c>
    </row>
    <row r="264" spans="1:7" x14ac:dyDescent="0.2">
      <c r="A264" s="2">
        <v>19910320</v>
      </c>
      <c r="B264" s="13">
        <v>2872.03</v>
      </c>
      <c r="C264" s="2">
        <f t="shared" si="17"/>
        <v>1.4680140315640577E-3</v>
      </c>
      <c r="D264" s="21">
        <f t="shared" ca="1" si="15"/>
        <v>1.0840616164571903E-3</v>
      </c>
      <c r="E264" s="21">
        <f t="shared" ca="1" si="18"/>
        <v>9.6675894423340912E-5</v>
      </c>
      <c r="F264" s="11">
        <f t="shared" ca="1" si="19"/>
        <v>4.6159952476939887</v>
      </c>
      <c r="G264" s="10">
        <f t="shared" ca="1" si="16"/>
        <v>1</v>
      </c>
    </row>
    <row r="265" spans="1:7" x14ac:dyDescent="0.2">
      <c r="A265" s="2">
        <v>19910321</v>
      </c>
      <c r="B265" s="13">
        <v>2855.45</v>
      </c>
      <c r="C265" s="2">
        <f t="shared" si="17"/>
        <v>-5.7729201993016723E-3</v>
      </c>
      <c r="D265" s="21">
        <f t="shared" ca="1" si="15"/>
        <v>-6.1568726144085395E-3</v>
      </c>
      <c r="E265" s="21">
        <f t="shared" ca="1" si="18"/>
        <v>9.2737245974354549E-5</v>
      </c>
      <c r="F265" s="11">
        <f t="shared" ca="1" si="19"/>
        <v>4.4384912460499217</v>
      </c>
      <c r="G265" s="10">
        <f t="shared" ca="1" si="16"/>
        <v>1</v>
      </c>
    </row>
    <row r="266" spans="1:7" x14ac:dyDescent="0.2">
      <c r="A266" s="2">
        <v>19910322</v>
      </c>
      <c r="B266" s="13">
        <v>2858.91</v>
      </c>
      <c r="C266" s="2">
        <f t="shared" si="17"/>
        <v>1.2117179428811698E-3</v>
      </c>
      <c r="D266" s="21">
        <f t="shared" ca="1" si="15"/>
        <v>8.2776552777430251E-4</v>
      </c>
      <c r="E266" s="21">
        <f t="shared" ca="1" si="18"/>
        <v>9.0348550807649989E-5</v>
      </c>
      <c r="F266" s="11">
        <f t="shared" ca="1" si="19"/>
        <v>4.6521258326901833</v>
      </c>
      <c r="G266" s="10">
        <f t="shared" ca="1" si="16"/>
        <v>1</v>
      </c>
    </row>
    <row r="267" spans="1:7" x14ac:dyDescent="0.2">
      <c r="A267" s="2">
        <v>19910325</v>
      </c>
      <c r="B267" s="13">
        <v>2865.84</v>
      </c>
      <c r="C267" s="2">
        <f t="shared" si="17"/>
        <v>2.4240007555328051E-3</v>
      </c>
      <c r="D267" s="21">
        <f t="shared" ca="1" si="15"/>
        <v>2.0400483404259379E-3</v>
      </c>
      <c r="E267" s="21">
        <f t="shared" ca="1" si="18"/>
        <v>8.6711986827261607E-5</v>
      </c>
      <c r="F267" s="11">
        <f t="shared" ca="1" si="19"/>
        <v>4.6524613940984105</v>
      </c>
      <c r="G267" s="10">
        <f t="shared" ca="1" si="16"/>
        <v>1</v>
      </c>
    </row>
    <row r="268" spans="1:7" x14ac:dyDescent="0.2">
      <c r="A268" s="2">
        <v>19910326</v>
      </c>
      <c r="B268" s="13">
        <v>2914.85</v>
      </c>
      <c r="C268" s="2">
        <f t="shared" si="17"/>
        <v>1.7101443206878179E-2</v>
      </c>
      <c r="D268" s="21">
        <f t="shared" ca="1" si="15"/>
        <v>1.671749079177131E-2</v>
      </c>
      <c r="E268" s="21">
        <f t="shared" ca="1" si="18"/>
        <v>8.3387238522110367E-5</v>
      </c>
      <c r="F268" s="11">
        <f t="shared" ca="1" si="19"/>
        <v>3.0202446354291337</v>
      </c>
      <c r="G268" s="10">
        <f t="shared" ca="1" si="16"/>
        <v>0</v>
      </c>
    </row>
    <row r="269" spans="1:7" x14ac:dyDescent="0.2">
      <c r="A269" s="2">
        <v>19910327</v>
      </c>
      <c r="B269" s="13">
        <v>2917.57</v>
      </c>
      <c r="C269" s="2">
        <f t="shared" si="17"/>
        <v>9.331526493645487E-4</v>
      </c>
      <c r="D269" s="21">
        <f t="shared" ca="1" si="15"/>
        <v>5.4920023425768141E-4</v>
      </c>
      <c r="E269" s="21">
        <f t="shared" ca="1" si="18"/>
        <v>9.0354419058349771E-5</v>
      </c>
      <c r="F269" s="11">
        <f t="shared" ca="1" si="19"/>
        <v>4.6542162170822587</v>
      </c>
      <c r="G269" s="10">
        <f t="shared" ca="1" si="16"/>
        <v>1</v>
      </c>
    </row>
    <row r="270" spans="1:7" x14ac:dyDescent="0.2">
      <c r="A270" s="2">
        <v>19910328</v>
      </c>
      <c r="B270" s="13">
        <v>2913.86</v>
      </c>
      <c r="C270" s="2">
        <f t="shared" si="17"/>
        <v>-1.2716061654047843E-3</v>
      </c>
      <c r="D270" s="21">
        <f t="shared" ref="D270:D333" ca="1" si="20">(C270-mu)</f>
        <v>-1.6555585805116515E-3</v>
      </c>
      <c r="E270" s="21">
        <f t="shared" ca="1" si="18"/>
        <v>8.6703453483455472E-5</v>
      </c>
      <c r="F270" s="11">
        <f t="shared" ca="1" si="19"/>
        <v>4.6607023944333026</v>
      </c>
      <c r="G270" s="10">
        <f t="shared" ref="G270:G333" ca="1" si="21">IF(AND(C270&lt;=mu+zvalue*SQRT(E270),C270&gt;=mu-zvalue*SQRT(E270)),1,0)</f>
        <v>1</v>
      </c>
    </row>
    <row r="271" spans="1:7" x14ac:dyDescent="0.2">
      <c r="A271" s="2">
        <v>19910401</v>
      </c>
      <c r="B271" s="13">
        <v>2881.19</v>
      </c>
      <c r="C271" s="2">
        <f t="shared" ref="C271:C334" si="22">(B271-B270)/B270</f>
        <v>-1.1211931939077399E-2</v>
      </c>
      <c r="D271" s="21">
        <f t="shared" ca="1" si="20"/>
        <v>-1.1595884354184266E-2</v>
      </c>
      <c r="E271" s="21">
        <f t="shared" ref="E271:E334" ca="1" si="23">(1-alpha-beta)*longvar+alpha*D270^2+beta*E270</f>
        <v>8.3326887062615292E-5</v>
      </c>
      <c r="F271" s="11">
        <f t="shared" ref="F271:F334" ca="1" si="24">(-0.5)*(LN(E271)+D271^2/E271)</f>
        <v>3.8895200257189395</v>
      </c>
      <c r="G271" s="10">
        <f t="shared" ca="1" si="21"/>
        <v>0</v>
      </c>
    </row>
    <row r="272" spans="1:7" x14ac:dyDescent="0.2">
      <c r="A272" s="2">
        <v>19910402</v>
      </c>
      <c r="B272" s="13">
        <v>2945.05</v>
      </c>
      <c r="C272" s="2">
        <f t="shared" si="22"/>
        <v>2.216445288231603E-2</v>
      </c>
      <c r="D272" s="21">
        <f t="shared" ca="1" si="20"/>
        <v>2.1780500467209161E-2</v>
      </c>
      <c r="E272" s="21">
        <f t="shared" ca="1" si="23"/>
        <v>8.4964851213214371E-5</v>
      </c>
      <c r="F272" s="11">
        <f t="shared" ca="1" si="24"/>
        <v>1.8949514552816247</v>
      </c>
      <c r="G272" s="10">
        <f t="shared" ca="1" si="21"/>
        <v>0</v>
      </c>
    </row>
    <row r="273" spans="1:7" x14ac:dyDescent="0.2">
      <c r="A273" s="2">
        <v>19910403</v>
      </c>
      <c r="B273" s="13">
        <v>2926.73</v>
      </c>
      <c r="C273" s="2">
        <f t="shared" si="22"/>
        <v>-6.2206074599752675E-3</v>
      </c>
      <c r="D273" s="21">
        <f t="shared" ca="1" si="20"/>
        <v>-6.6045598750821347E-3</v>
      </c>
      <c r="E273" s="21">
        <f t="shared" ca="1" si="23"/>
        <v>9.9019610506913627E-5</v>
      </c>
      <c r="F273" s="11">
        <f t="shared" ca="1" si="24"/>
        <v>4.3898358545732137</v>
      </c>
      <c r="G273" s="10">
        <f t="shared" ca="1" si="21"/>
        <v>1</v>
      </c>
    </row>
    <row r="274" spans="1:7" x14ac:dyDescent="0.2">
      <c r="A274" s="2">
        <v>19910404</v>
      </c>
      <c r="B274" s="13">
        <v>2924.5</v>
      </c>
      <c r="C274" s="2">
        <f t="shared" si="22"/>
        <v>-7.6194250921677719E-4</v>
      </c>
      <c r="D274" s="21">
        <f t="shared" ca="1" si="20"/>
        <v>-1.1458949243236445E-3</v>
      </c>
      <c r="E274" s="21">
        <f t="shared" ca="1" si="23"/>
        <v>9.6523170243149666E-5</v>
      </c>
      <c r="F274" s="11">
        <f t="shared" ca="1" si="24"/>
        <v>4.6160618709869352</v>
      </c>
      <c r="G274" s="10">
        <f t="shared" ca="1" si="21"/>
        <v>1</v>
      </c>
    </row>
    <row r="275" spans="1:7" x14ac:dyDescent="0.2">
      <c r="A275" s="2">
        <v>19910405</v>
      </c>
      <c r="B275" s="13">
        <v>2896.78</v>
      </c>
      <c r="C275" s="2">
        <f t="shared" si="22"/>
        <v>-9.4785433407419389E-3</v>
      </c>
      <c r="D275" s="21">
        <f t="shared" ca="1" si="20"/>
        <v>-9.8624957558488061E-3</v>
      </c>
      <c r="E275" s="21">
        <f t="shared" ca="1" si="23"/>
        <v>9.2597318454599626E-5</v>
      </c>
      <c r="F275" s="11">
        <f t="shared" ca="1" si="24"/>
        <v>4.1184003529811966</v>
      </c>
      <c r="G275" s="10">
        <f t="shared" ca="1" si="21"/>
        <v>0</v>
      </c>
    </row>
    <row r="276" spans="1:7" x14ac:dyDescent="0.2">
      <c r="A276" s="2">
        <v>19910408</v>
      </c>
      <c r="B276" s="13">
        <v>2918.56</v>
      </c>
      <c r="C276" s="2">
        <f t="shared" si="22"/>
        <v>7.5186931696572552E-3</v>
      </c>
      <c r="D276" s="21">
        <f t="shared" ca="1" si="20"/>
        <v>7.134740754550388E-3</v>
      </c>
      <c r="E276" s="21">
        <f t="shared" ca="1" si="23"/>
        <v>9.2398537174225842E-5</v>
      </c>
      <c r="F276" s="11">
        <f t="shared" ca="1" si="24"/>
        <v>4.3692379546886952</v>
      </c>
      <c r="G276" s="10">
        <f t="shared" ca="1" si="21"/>
        <v>1</v>
      </c>
    </row>
    <row r="277" spans="1:7" x14ac:dyDescent="0.2">
      <c r="A277" s="2">
        <v>19910409</v>
      </c>
      <c r="B277" s="13">
        <v>2873.02</v>
      </c>
      <c r="C277" s="2">
        <f t="shared" si="22"/>
        <v>-1.5603585329751646E-2</v>
      </c>
      <c r="D277" s="21">
        <f t="shared" ca="1" si="20"/>
        <v>-1.5987537744858515E-2</v>
      </c>
      <c r="E277" s="21">
        <f t="shared" ca="1" si="23"/>
        <v>9.0504916153039092E-5</v>
      </c>
      <c r="F277" s="11">
        <f t="shared" ca="1" si="24"/>
        <v>3.2429676734869188</v>
      </c>
      <c r="G277" s="10">
        <f t="shared" ca="1" si="21"/>
        <v>0</v>
      </c>
    </row>
    <row r="278" spans="1:7" x14ac:dyDescent="0.2">
      <c r="A278" s="2">
        <v>19910410</v>
      </c>
      <c r="B278" s="13">
        <v>2874.5</v>
      </c>
      <c r="C278" s="2">
        <f t="shared" si="22"/>
        <v>5.1513738157061846E-4</v>
      </c>
      <c r="D278" s="21">
        <f t="shared" ca="1" si="20"/>
        <v>1.3118496646375116E-4</v>
      </c>
      <c r="E278" s="21">
        <f t="shared" ca="1" si="23"/>
        <v>9.6234154168319753E-5</v>
      </c>
      <c r="F278" s="11">
        <f t="shared" ca="1" si="24"/>
        <v>4.6242737004868264</v>
      </c>
      <c r="G278" s="10">
        <f t="shared" ca="1" si="21"/>
        <v>1</v>
      </c>
    </row>
    <row r="279" spans="1:7" x14ac:dyDescent="0.2">
      <c r="A279" s="2">
        <v>19910411</v>
      </c>
      <c r="B279" s="13">
        <v>2905.45</v>
      </c>
      <c r="C279" s="2">
        <f t="shared" si="22"/>
        <v>1.0767089928683186E-2</v>
      </c>
      <c r="D279" s="21">
        <f t="shared" ca="1" si="20"/>
        <v>1.0383137513576319E-2</v>
      </c>
      <c r="E279" s="21">
        <f t="shared" ca="1" si="23"/>
        <v>9.2275272554382363E-5</v>
      </c>
      <c r="F279" s="11">
        <f t="shared" ca="1" si="24"/>
        <v>4.0611936410226122</v>
      </c>
      <c r="G279" s="10">
        <f t="shared" ca="1" si="21"/>
        <v>0</v>
      </c>
    </row>
    <row r="280" spans="1:7" x14ac:dyDescent="0.2">
      <c r="A280" s="2">
        <v>19910412</v>
      </c>
      <c r="B280" s="13">
        <v>2920.79</v>
      </c>
      <c r="C280" s="2">
        <f t="shared" si="22"/>
        <v>5.2797329157273903E-3</v>
      </c>
      <c r="D280" s="21">
        <f t="shared" ca="1" si="20"/>
        <v>4.8957805006205231E-3</v>
      </c>
      <c r="E280" s="21">
        <f t="shared" ca="1" si="23"/>
        <v>9.2480384438047432E-5</v>
      </c>
      <c r="F280" s="11">
        <f t="shared" ca="1" si="24"/>
        <v>4.5146691570212312</v>
      </c>
      <c r="G280" s="10">
        <f t="shared" ca="1" si="21"/>
        <v>1</v>
      </c>
    </row>
    <row r="281" spans="1:7" x14ac:dyDescent="0.2">
      <c r="A281" s="2">
        <v>19910415</v>
      </c>
      <c r="B281" s="13">
        <v>2933.17</v>
      </c>
      <c r="C281" s="2">
        <f t="shared" si="22"/>
        <v>4.2385792884802086E-3</v>
      </c>
      <c r="D281" s="21">
        <f t="shared" ca="1" si="20"/>
        <v>3.8546268733733414E-3</v>
      </c>
      <c r="E281" s="21">
        <f t="shared" ca="1" si="23"/>
        <v>8.9592144172907586E-5</v>
      </c>
      <c r="F281" s="11">
        <f t="shared" ca="1" si="24"/>
        <v>4.5772004148164287</v>
      </c>
      <c r="G281" s="10">
        <f t="shared" ca="1" si="21"/>
        <v>1</v>
      </c>
    </row>
    <row r="282" spans="1:7" x14ac:dyDescent="0.2">
      <c r="A282" s="2">
        <v>19910416</v>
      </c>
      <c r="B282" s="13">
        <v>2986.88</v>
      </c>
      <c r="C282" s="2">
        <f t="shared" si="22"/>
        <v>1.831124687624653E-2</v>
      </c>
      <c r="D282" s="21">
        <f t="shared" ca="1" si="20"/>
        <v>1.7927294461139661E-2</v>
      </c>
      <c r="E282" s="21">
        <f t="shared" ca="1" si="23"/>
        <v>8.6515011265647494E-5</v>
      </c>
      <c r="F282" s="11">
        <f t="shared" ca="1" si="24"/>
        <v>2.8201851964270173</v>
      </c>
      <c r="G282" s="10">
        <f t="shared" ca="1" si="21"/>
        <v>0</v>
      </c>
    </row>
    <row r="283" spans="1:7" x14ac:dyDescent="0.2">
      <c r="A283" s="2">
        <v>19910417</v>
      </c>
      <c r="B283" s="13">
        <v>3004.46</v>
      </c>
      <c r="C283" s="2">
        <f t="shared" si="22"/>
        <v>5.8857403042639565E-3</v>
      </c>
      <c r="D283" s="21">
        <f t="shared" ca="1" si="20"/>
        <v>5.5017878891570893E-3</v>
      </c>
      <c r="E283" s="21">
        <f t="shared" ca="1" si="23"/>
        <v>9.4865185220329221E-5</v>
      </c>
      <c r="F283" s="11">
        <f t="shared" ca="1" si="24"/>
        <v>4.471986431749972</v>
      </c>
      <c r="G283" s="10">
        <f t="shared" ca="1" si="21"/>
        <v>1</v>
      </c>
    </row>
    <row r="284" spans="1:7" x14ac:dyDescent="0.2">
      <c r="A284" s="2">
        <v>19910418</v>
      </c>
      <c r="B284" s="13">
        <v>2999.26</v>
      </c>
      <c r="C284" s="2">
        <f t="shared" si="22"/>
        <v>-1.7307602697322706E-3</v>
      </c>
      <c r="D284" s="21">
        <f t="shared" ca="1" si="20"/>
        <v>-2.114712684839138E-3</v>
      </c>
      <c r="E284" s="21">
        <f t="shared" ca="1" si="23"/>
        <v>9.2087995990360554E-5</v>
      </c>
      <c r="F284" s="11">
        <f t="shared" ca="1" si="24"/>
        <v>4.6221018036035133</v>
      </c>
      <c r="G284" s="10">
        <f t="shared" ca="1" si="21"/>
        <v>1</v>
      </c>
    </row>
    <row r="285" spans="1:7" x14ac:dyDescent="0.2">
      <c r="A285" s="2">
        <v>19910419</v>
      </c>
      <c r="B285" s="13">
        <v>2965.59</v>
      </c>
      <c r="C285" s="2">
        <f t="shared" si="22"/>
        <v>-1.1226102438601546E-2</v>
      </c>
      <c r="D285" s="21">
        <f t="shared" ca="1" si="20"/>
        <v>-1.1610054853708413E-2</v>
      </c>
      <c r="E285" s="21">
        <f t="shared" ca="1" si="23"/>
        <v>8.8502680667090455E-5</v>
      </c>
      <c r="F285" s="11">
        <f t="shared" ca="1" si="24"/>
        <v>3.9047174404791245</v>
      </c>
      <c r="G285" s="10">
        <f t="shared" ca="1" si="21"/>
        <v>0</v>
      </c>
    </row>
    <row r="286" spans="1:7" x14ac:dyDescent="0.2">
      <c r="A286" s="2">
        <v>19910422</v>
      </c>
      <c r="B286" s="13">
        <v>2927.72</v>
      </c>
      <c r="C286" s="2">
        <f t="shared" si="22"/>
        <v>-1.2769802973438792E-2</v>
      </c>
      <c r="D286" s="21">
        <f t="shared" ca="1" si="20"/>
        <v>-1.3153755388545659E-2</v>
      </c>
      <c r="E286" s="21">
        <f t="shared" ca="1" si="23"/>
        <v>8.9890891726830799E-5</v>
      </c>
      <c r="F286" s="11">
        <f t="shared" ca="1" si="24"/>
        <v>3.6960609043524211</v>
      </c>
      <c r="G286" s="10">
        <f t="shared" ca="1" si="21"/>
        <v>0</v>
      </c>
    </row>
    <row r="287" spans="1:7" x14ac:dyDescent="0.2">
      <c r="A287" s="2">
        <v>19910423</v>
      </c>
      <c r="B287" s="13">
        <v>2930.45</v>
      </c>
      <c r="C287" s="2">
        <f t="shared" si="22"/>
        <v>9.324662194472212E-4</v>
      </c>
      <c r="D287" s="21">
        <f t="shared" ca="1" si="20"/>
        <v>5.4851380434035391E-4</v>
      </c>
      <c r="E287" s="21">
        <f t="shared" ca="1" si="23"/>
        <v>9.2614579624335119E-5</v>
      </c>
      <c r="F287" s="11">
        <f t="shared" ca="1" si="24"/>
        <v>4.6419076924599034</v>
      </c>
      <c r="G287" s="10">
        <f t="shared" ca="1" si="21"/>
        <v>1</v>
      </c>
    </row>
    <row r="288" spans="1:7" x14ac:dyDescent="0.2">
      <c r="A288" s="2">
        <v>19910424</v>
      </c>
      <c r="B288" s="13">
        <v>2949.51</v>
      </c>
      <c r="C288" s="2">
        <f t="shared" si="22"/>
        <v>6.5041205275641629E-3</v>
      </c>
      <c r="D288" s="21">
        <f t="shared" ca="1" si="20"/>
        <v>6.1201681124572957E-3</v>
      </c>
      <c r="E288" s="21">
        <f t="shared" ca="1" si="23"/>
        <v>8.8849244074568664E-5</v>
      </c>
      <c r="F288" s="11">
        <f t="shared" ca="1" si="24"/>
        <v>4.4534981692452593</v>
      </c>
      <c r="G288" s="10">
        <f t="shared" ca="1" si="21"/>
        <v>1</v>
      </c>
    </row>
    <row r="289" spans="1:7" x14ac:dyDescent="0.2">
      <c r="A289" s="2">
        <v>19910425</v>
      </c>
      <c r="B289" s="13">
        <v>2921.04</v>
      </c>
      <c r="C289" s="2">
        <f t="shared" si="22"/>
        <v>-9.6524507460562098E-3</v>
      </c>
      <c r="D289" s="21">
        <f t="shared" ca="1" si="20"/>
        <v>-1.0036403161163077E-2</v>
      </c>
      <c r="E289" s="21">
        <f t="shared" ca="1" si="23"/>
        <v>8.664067402194245E-5</v>
      </c>
      <c r="F289" s="11">
        <f t="shared" ca="1" si="24"/>
        <v>4.0955651585712749</v>
      </c>
      <c r="G289" s="10">
        <f t="shared" ca="1" si="21"/>
        <v>0</v>
      </c>
    </row>
    <row r="290" spans="1:7" x14ac:dyDescent="0.2">
      <c r="A290" s="2">
        <v>19910426</v>
      </c>
      <c r="B290" s="13">
        <v>2912.38</v>
      </c>
      <c r="C290" s="2">
        <f t="shared" si="22"/>
        <v>-2.9646975049981701E-3</v>
      </c>
      <c r="D290" s="21">
        <f t="shared" ca="1" si="20"/>
        <v>-3.3486499201050373E-3</v>
      </c>
      <c r="E290" s="21">
        <f t="shared" ca="1" si="23"/>
        <v>8.6870492394418655E-5</v>
      </c>
      <c r="F290" s="11">
        <f t="shared" ca="1" si="24"/>
        <v>4.6110048440602025</v>
      </c>
      <c r="G290" s="10">
        <f t="shared" ca="1" si="21"/>
        <v>1</v>
      </c>
    </row>
    <row r="291" spans="1:7" x14ac:dyDescent="0.2">
      <c r="A291" s="2">
        <v>19910429</v>
      </c>
      <c r="B291" s="13">
        <v>2876.98</v>
      </c>
      <c r="C291" s="2">
        <f t="shared" si="22"/>
        <v>-1.2155007244933728E-2</v>
      </c>
      <c r="D291" s="21">
        <f t="shared" ca="1" si="20"/>
        <v>-1.2538959660040596E-2</v>
      </c>
      <c r="E291" s="21">
        <f t="shared" ca="1" si="23"/>
        <v>8.3797027056457725E-5</v>
      </c>
      <c r="F291" s="11">
        <f t="shared" ca="1" si="24"/>
        <v>3.7554235342320679</v>
      </c>
      <c r="G291" s="10">
        <f t="shared" ca="1" si="21"/>
        <v>0</v>
      </c>
    </row>
    <row r="292" spans="1:7" x14ac:dyDescent="0.2">
      <c r="A292" s="2">
        <v>19910430</v>
      </c>
      <c r="B292" s="13">
        <v>2887.87</v>
      </c>
      <c r="C292" s="2">
        <f t="shared" si="22"/>
        <v>3.7852192229351168E-3</v>
      </c>
      <c r="D292" s="21">
        <f t="shared" ca="1" si="20"/>
        <v>3.4012668078282496E-3</v>
      </c>
      <c r="E292" s="21">
        <f t="shared" ca="1" si="23"/>
        <v>8.6248167477178926E-5</v>
      </c>
      <c r="F292" s="11">
        <f t="shared" ca="1" si="24"/>
        <v>4.6120750095469747</v>
      </c>
      <c r="G292" s="10">
        <f t="shared" ca="1" si="21"/>
        <v>1</v>
      </c>
    </row>
    <row r="293" spans="1:7" x14ac:dyDescent="0.2">
      <c r="A293" s="2">
        <v>19910501</v>
      </c>
      <c r="B293" s="13">
        <v>2930.2</v>
      </c>
      <c r="C293" s="2">
        <f t="shared" si="22"/>
        <v>1.4657862022874966E-2</v>
      </c>
      <c r="D293" s="21">
        <f t="shared" ca="1" si="20"/>
        <v>1.4273909607768099E-2</v>
      </c>
      <c r="E293" s="21">
        <f t="shared" ca="1" si="23"/>
        <v>8.321924560069823E-5</v>
      </c>
      <c r="F293" s="11">
        <f t="shared" ca="1" si="24"/>
        <v>3.4728730706011883</v>
      </c>
      <c r="G293" s="10">
        <f t="shared" ca="1" si="21"/>
        <v>0</v>
      </c>
    </row>
    <row r="294" spans="1:7" x14ac:dyDescent="0.2">
      <c r="A294" s="2">
        <v>19910502</v>
      </c>
      <c r="B294" s="13">
        <v>2938.61</v>
      </c>
      <c r="C294" s="2">
        <f t="shared" si="22"/>
        <v>2.8701112552045288E-3</v>
      </c>
      <c r="D294" s="21">
        <f t="shared" ca="1" si="20"/>
        <v>2.4861588400976616E-3</v>
      </c>
      <c r="E294" s="21">
        <f t="shared" ca="1" si="23"/>
        <v>8.7410200520017669E-5</v>
      </c>
      <c r="F294" s="11">
        <f t="shared" ca="1" si="24"/>
        <v>4.6370930815892102</v>
      </c>
      <c r="G294" s="10">
        <f t="shared" ca="1" si="21"/>
        <v>1</v>
      </c>
    </row>
    <row r="295" spans="1:7" x14ac:dyDescent="0.2">
      <c r="A295" s="2">
        <v>19910503</v>
      </c>
      <c r="B295" s="13">
        <v>2938.86</v>
      </c>
      <c r="C295" s="2">
        <f t="shared" si="22"/>
        <v>8.5074235778140005E-5</v>
      </c>
      <c r="D295" s="21">
        <f t="shared" ca="1" si="20"/>
        <v>-2.988781793287273E-4</v>
      </c>
      <c r="E295" s="21">
        <f t="shared" ca="1" si="23"/>
        <v>8.4124378442721587E-5</v>
      </c>
      <c r="F295" s="11">
        <f t="shared" ca="1" si="24"/>
        <v>4.6910761501318756</v>
      </c>
      <c r="G295" s="10">
        <f t="shared" ca="1" si="21"/>
        <v>1</v>
      </c>
    </row>
    <row r="296" spans="1:7" x14ac:dyDescent="0.2">
      <c r="A296" s="2">
        <v>19910506</v>
      </c>
      <c r="B296" s="13">
        <v>2941.64</v>
      </c>
      <c r="C296" s="2">
        <f t="shared" si="22"/>
        <v>9.4594502630262936E-4</v>
      </c>
      <c r="D296" s="21">
        <f t="shared" ca="1" si="20"/>
        <v>5.6199261119576206E-4</v>
      </c>
      <c r="E296" s="21">
        <f t="shared" ca="1" si="23"/>
        <v>8.0780786299501363E-5</v>
      </c>
      <c r="F296" s="11">
        <f t="shared" ca="1" si="24"/>
        <v>4.7099308133521776</v>
      </c>
      <c r="G296" s="10">
        <f t="shared" ca="1" si="21"/>
        <v>1</v>
      </c>
    </row>
    <row r="297" spans="1:7" x14ac:dyDescent="0.2">
      <c r="A297" s="2">
        <v>19910507</v>
      </c>
      <c r="B297" s="13">
        <v>2917.49</v>
      </c>
      <c r="C297" s="2">
        <f t="shared" si="22"/>
        <v>-8.2097061503107419E-3</v>
      </c>
      <c r="D297" s="21">
        <f t="shared" ca="1" si="20"/>
        <v>-8.5936585654176091E-3</v>
      </c>
      <c r="E297" s="21">
        <f t="shared" ca="1" si="23"/>
        <v>7.7614676661064778E-5</v>
      </c>
      <c r="F297" s="11">
        <f t="shared" ca="1" si="24"/>
        <v>4.2561231255980561</v>
      </c>
      <c r="G297" s="10">
        <f t="shared" ca="1" si="21"/>
        <v>1</v>
      </c>
    </row>
    <row r="298" spans="1:7" x14ac:dyDescent="0.2">
      <c r="A298" s="2">
        <v>19910508</v>
      </c>
      <c r="B298" s="13">
        <v>2930.9</v>
      </c>
      <c r="C298" s="2">
        <f t="shared" si="22"/>
        <v>4.5964167829196708E-3</v>
      </c>
      <c r="D298" s="21">
        <f t="shared" ca="1" si="20"/>
        <v>4.2124643678128036E-3</v>
      </c>
      <c r="E298" s="21">
        <f t="shared" ca="1" si="23"/>
        <v>7.7312756745425866E-5</v>
      </c>
      <c r="F298" s="11">
        <f t="shared" ca="1" si="24"/>
        <v>4.6190655857293876</v>
      </c>
      <c r="G298" s="10">
        <f t="shared" ca="1" si="21"/>
        <v>1</v>
      </c>
    </row>
    <row r="299" spans="1:7" x14ac:dyDescent="0.2">
      <c r="A299" s="2">
        <v>19910509</v>
      </c>
      <c r="B299" s="13">
        <v>2971.15</v>
      </c>
      <c r="C299" s="2">
        <f t="shared" si="22"/>
        <v>1.3732983042751373E-2</v>
      </c>
      <c r="D299" s="21">
        <f t="shared" ca="1" si="20"/>
        <v>1.3349030627644505E-2</v>
      </c>
      <c r="E299" s="21">
        <f t="shared" ca="1" si="23"/>
        <v>7.4962991374373319E-5</v>
      </c>
      <c r="F299" s="11">
        <f t="shared" ca="1" si="24"/>
        <v>3.5606940543808534</v>
      </c>
      <c r="G299" s="10">
        <f t="shared" ca="1" si="21"/>
        <v>0</v>
      </c>
    </row>
    <row r="300" spans="1:7" x14ac:dyDescent="0.2">
      <c r="A300" s="2">
        <v>19910510</v>
      </c>
      <c r="B300" s="13">
        <v>2920.17</v>
      </c>
      <c r="C300" s="2">
        <f t="shared" si="22"/>
        <v>-1.7158339363546108E-2</v>
      </c>
      <c r="D300" s="21">
        <f t="shared" ca="1" si="20"/>
        <v>-1.7542291778652977E-2</v>
      </c>
      <c r="E300" s="21">
        <f t="shared" ca="1" si="23"/>
        <v>7.8632192876020482E-5</v>
      </c>
      <c r="F300" s="11">
        <f t="shared" ca="1" si="24"/>
        <v>2.768583434987856</v>
      </c>
      <c r="G300" s="10">
        <f t="shared" ca="1" si="21"/>
        <v>0</v>
      </c>
    </row>
    <row r="301" spans="1:7" x14ac:dyDescent="0.2">
      <c r="A301" s="2">
        <v>19910513</v>
      </c>
      <c r="B301" s="13">
        <v>2924.42</v>
      </c>
      <c r="C301" s="2">
        <f t="shared" si="22"/>
        <v>1.455394720170401E-3</v>
      </c>
      <c r="D301" s="21">
        <f t="shared" ca="1" si="20"/>
        <v>1.0714423050635336E-3</v>
      </c>
      <c r="E301" s="21">
        <f t="shared" ca="1" si="23"/>
        <v>8.687901044207645E-5</v>
      </c>
      <c r="F301" s="11">
        <f t="shared" ca="1" si="24"/>
        <v>4.6688902221762127</v>
      </c>
      <c r="G301" s="10">
        <f t="shared" ca="1" si="21"/>
        <v>1</v>
      </c>
    </row>
    <row r="302" spans="1:7" x14ac:dyDescent="0.2">
      <c r="A302" s="2">
        <v>19910514</v>
      </c>
      <c r="B302" s="13">
        <v>2886.85</v>
      </c>
      <c r="C302" s="2">
        <f t="shared" si="22"/>
        <v>-1.2846991882151047E-2</v>
      </c>
      <c r="D302" s="21">
        <f t="shared" ca="1" si="20"/>
        <v>-1.3230944297257914E-2</v>
      </c>
      <c r="E302" s="21">
        <f t="shared" ca="1" si="23"/>
        <v>8.343498935211411E-5</v>
      </c>
      <c r="F302" s="11">
        <f t="shared" ca="1" si="24"/>
        <v>3.6466538064292484</v>
      </c>
      <c r="G302" s="10">
        <f t="shared" ca="1" si="21"/>
        <v>0</v>
      </c>
    </row>
    <row r="303" spans="1:7" x14ac:dyDescent="0.2">
      <c r="A303" s="2">
        <v>19910515</v>
      </c>
      <c r="B303" s="13">
        <v>2865.38</v>
      </c>
      <c r="C303" s="2">
        <f t="shared" si="22"/>
        <v>-7.4371720040874315E-3</v>
      </c>
      <c r="D303" s="21">
        <f t="shared" ca="1" si="20"/>
        <v>-7.8211244191942995E-3</v>
      </c>
      <c r="E303" s="21">
        <f t="shared" ca="1" si="23"/>
        <v>8.6560173041534862E-5</v>
      </c>
      <c r="F303" s="11">
        <f t="shared" ca="1" si="24"/>
        <v>4.3239974277084734</v>
      </c>
      <c r="G303" s="10">
        <f t="shared" ca="1" si="21"/>
        <v>1</v>
      </c>
    </row>
    <row r="304" spans="1:7" x14ac:dyDescent="0.2">
      <c r="A304" s="2">
        <v>19910516</v>
      </c>
      <c r="B304" s="13">
        <v>2894.01</v>
      </c>
      <c r="C304" s="2">
        <f t="shared" si="22"/>
        <v>9.9916939463527022E-3</v>
      </c>
      <c r="D304" s="21">
        <f t="shared" ca="1" si="20"/>
        <v>9.607741531245835E-3</v>
      </c>
      <c r="E304" s="21">
        <f t="shared" ca="1" si="23"/>
        <v>8.5339395729206515E-5</v>
      </c>
      <c r="F304" s="11">
        <f t="shared" ca="1" si="24"/>
        <v>4.1436043298298593</v>
      </c>
      <c r="G304" s="10">
        <f t="shared" ca="1" si="21"/>
        <v>0</v>
      </c>
    </row>
    <row r="305" spans="1:7" x14ac:dyDescent="0.2">
      <c r="A305" s="2">
        <v>19910517</v>
      </c>
      <c r="B305" s="13">
        <v>2886.63</v>
      </c>
      <c r="C305" s="2">
        <f t="shared" si="22"/>
        <v>-2.550094851089011E-3</v>
      </c>
      <c r="D305" s="21">
        <f t="shared" ca="1" si="20"/>
        <v>-2.9340472661958782E-3</v>
      </c>
      <c r="E305" s="21">
        <f t="shared" ca="1" si="23"/>
        <v>8.5325402684962104E-5</v>
      </c>
      <c r="F305" s="11">
        <f t="shared" ca="1" si="24"/>
        <v>4.6340732724783784</v>
      </c>
      <c r="G305" s="10">
        <f t="shared" ca="1" si="21"/>
        <v>1</v>
      </c>
    </row>
    <row r="306" spans="1:7" x14ac:dyDescent="0.2">
      <c r="A306" s="2">
        <v>19910520</v>
      </c>
      <c r="B306" s="13">
        <v>2892.22</v>
      </c>
      <c r="C306" s="2">
        <f t="shared" si="22"/>
        <v>1.9365142051456857E-3</v>
      </c>
      <c r="D306" s="21">
        <f t="shared" ca="1" si="20"/>
        <v>1.5525617900388183E-3</v>
      </c>
      <c r="E306" s="21">
        <f t="shared" ca="1" si="23"/>
        <v>8.2234320056970793E-5</v>
      </c>
      <c r="F306" s="11">
        <f t="shared" ca="1" si="24"/>
        <v>4.688312938057571</v>
      </c>
      <c r="G306" s="10">
        <f t="shared" ca="1" si="21"/>
        <v>1</v>
      </c>
    </row>
    <row r="307" spans="1:7" x14ac:dyDescent="0.2">
      <c r="A307" s="2">
        <v>19910521</v>
      </c>
      <c r="B307" s="13">
        <v>2906.08</v>
      </c>
      <c r="C307" s="2">
        <f t="shared" si="22"/>
        <v>4.7921665710077823E-3</v>
      </c>
      <c r="D307" s="21">
        <f t="shared" ca="1" si="20"/>
        <v>4.4082141559009152E-3</v>
      </c>
      <c r="E307" s="21">
        <f t="shared" ca="1" si="23"/>
        <v>7.9071698223006501E-5</v>
      </c>
      <c r="F307" s="11">
        <f t="shared" ca="1" si="24"/>
        <v>4.5996997231552443</v>
      </c>
      <c r="G307" s="10">
        <f t="shared" ca="1" si="21"/>
        <v>1</v>
      </c>
    </row>
    <row r="308" spans="1:7" x14ac:dyDescent="0.2">
      <c r="A308" s="2">
        <v>19910522</v>
      </c>
      <c r="B308" s="13">
        <v>2910.33</v>
      </c>
      <c r="C308" s="2">
        <f t="shared" si="22"/>
        <v>1.4624511369267191E-3</v>
      </c>
      <c r="D308" s="21">
        <f t="shared" ca="1" si="20"/>
        <v>1.0784987218198519E-3</v>
      </c>
      <c r="E308" s="21">
        <f t="shared" ca="1" si="23"/>
        <v>7.6694999597600434E-5</v>
      </c>
      <c r="F308" s="11">
        <f t="shared" ca="1" si="24"/>
        <v>4.7302540026060385</v>
      </c>
      <c r="G308" s="10">
        <f t="shared" ca="1" si="21"/>
        <v>1</v>
      </c>
    </row>
    <row r="309" spans="1:7" x14ac:dyDescent="0.2">
      <c r="A309" s="2">
        <v>19910523</v>
      </c>
      <c r="B309" s="13">
        <v>2900.04</v>
      </c>
      <c r="C309" s="2">
        <f t="shared" si="22"/>
        <v>-3.5356815206522849E-3</v>
      </c>
      <c r="D309" s="21">
        <f t="shared" ca="1" si="20"/>
        <v>-3.9196339357591521E-3</v>
      </c>
      <c r="E309" s="21">
        <f t="shared" ca="1" si="23"/>
        <v>7.3766748829233713E-5</v>
      </c>
      <c r="F309" s="11">
        <f t="shared" ca="1" si="24"/>
        <v>4.6531653657113177</v>
      </c>
      <c r="G309" s="10">
        <f t="shared" ca="1" si="21"/>
        <v>1</v>
      </c>
    </row>
    <row r="310" spans="1:7" x14ac:dyDescent="0.2">
      <c r="A310" s="2">
        <v>19910524</v>
      </c>
      <c r="B310" s="13">
        <v>2913.91</v>
      </c>
      <c r="C310" s="2">
        <f t="shared" si="22"/>
        <v>4.7826926525151E-3</v>
      </c>
      <c r="D310" s="21">
        <f t="shared" ca="1" si="20"/>
        <v>4.3987402374082328E-3</v>
      </c>
      <c r="E310" s="21">
        <f t="shared" ca="1" si="23"/>
        <v>7.1508811656465515E-5</v>
      </c>
      <c r="F310" s="11">
        <f t="shared" ca="1" si="24"/>
        <v>4.6375545085086909</v>
      </c>
      <c r="G310" s="10">
        <f t="shared" ca="1" si="21"/>
        <v>1</v>
      </c>
    </row>
    <row r="311" spans="1:7" x14ac:dyDescent="0.2">
      <c r="A311" s="2">
        <v>19910528</v>
      </c>
      <c r="B311" s="13">
        <v>2958.86</v>
      </c>
      <c r="C311" s="2">
        <f t="shared" si="22"/>
        <v>1.5426008353037765E-2</v>
      </c>
      <c r="D311" s="21">
        <f t="shared" ca="1" si="20"/>
        <v>1.5042055937930898E-2</v>
      </c>
      <c r="E311" s="21">
        <f t="shared" ca="1" si="23"/>
        <v>6.9511653851710655E-5</v>
      </c>
      <c r="F311" s="11">
        <f t="shared" ca="1" si="24"/>
        <v>3.1594863924662202</v>
      </c>
      <c r="G311" s="10">
        <f t="shared" ca="1" si="21"/>
        <v>0</v>
      </c>
    </row>
    <row r="312" spans="1:7" x14ac:dyDescent="0.2">
      <c r="A312" s="2">
        <v>19910529</v>
      </c>
      <c r="B312" s="13">
        <v>2969.59</v>
      </c>
      <c r="C312" s="2">
        <f t="shared" si="22"/>
        <v>3.626396652764922E-3</v>
      </c>
      <c r="D312" s="21">
        <f t="shared" ca="1" si="20"/>
        <v>3.2424442376580548E-3</v>
      </c>
      <c r="E312" s="21">
        <f t="shared" ca="1" si="23"/>
        <v>7.5224141511287263E-5</v>
      </c>
      <c r="F312" s="11">
        <f t="shared" ca="1" si="24"/>
        <v>4.6776383854745198</v>
      </c>
      <c r="G312" s="10">
        <f t="shared" ca="1" si="21"/>
        <v>1</v>
      </c>
    </row>
    <row r="313" spans="1:7" x14ac:dyDescent="0.2">
      <c r="A313" s="2">
        <v>19910530</v>
      </c>
      <c r="B313" s="13">
        <v>3000.45</v>
      </c>
      <c r="C313" s="2">
        <f t="shared" si="22"/>
        <v>1.0392006977394074E-2</v>
      </c>
      <c r="D313" s="21">
        <f t="shared" ca="1" si="20"/>
        <v>1.0008054562287207E-2</v>
      </c>
      <c r="E313" s="21">
        <f t="shared" ca="1" si="23"/>
        <v>7.2714128248493662E-5</v>
      </c>
      <c r="F313" s="11">
        <f t="shared" ca="1" si="24"/>
        <v>4.075755000523877</v>
      </c>
      <c r="G313" s="10">
        <f t="shared" ca="1" si="21"/>
        <v>0</v>
      </c>
    </row>
    <row r="314" spans="1:7" x14ac:dyDescent="0.2">
      <c r="A314" s="2">
        <v>19910531</v>
      </c>
      <c r="B314" s="13">
        <v>3027.5</v>
      </c>
      <c r="C314" s="2">
        <f t="shared" si="22"/>
        <v>9.0153143695113017E-3</v>
      </c>
      <c r="D314" s="21">
        <f t="shared" ca="1" si="20"/>
        <v>8.6313619544044345E-3</v>
      </c>
      <c r="E314" s="21">
        <f t="shared" ca="1" si="23"/>
        <v>7.3627600263637141E-5</v>
      </c>
      <c r="F314" s="11">
        <f t="shared" ca="1" si="24"/>
        <v>4.2523181137345798</v>
      </c>
      <c r="G314" s="10">
        <f t="shared" ca="1" si="21"/>
        <v>0</v>
      </c>
    </row>
    <row r="315" spans="1:7" x14ac:dyDescent="0.2">
      <c r="A315" s="2">
        <v>19910603</v>
      </c>
      <c r="B315" s="13">
        <v>3035.33</v>
      </c>
      <c r="C315" s="2">
        <f t="shared" si="22"/>
        <v>2.5862923203963427E-3</v>
      </c>
      <c r="D315" s="21">
        <f t="shared" ca="1" si="20"/>
        <v>2.2023399052894755E-3</v>
      </c>
      <c r="E315" s="21">
        <f t="shared" ca="1" si="23"/>
        <v>7.3551268959134072E-5</v>
      </c>
      <c r="F315" s="11">
        <f t="shared" ca="1" si="24"/>
        <v>4.725791683087559</v>
      </c>
      <c r="G315" s="10">
        <f t="shared" ca="1" si="21"/>
        <v>1</v>
      </c>
    </row>
    <row r="316" spans="1:7" x14ac:dyDescent="0.2">
      <c r="A316" s="2">
        <v>19910604</v>
      </c>
      <c r="B316" s="13">
        <v>3027.95</v>
      </c>
      <c r="C316" s="2">
        <f t="shared" si="22"/>
        <v>-2.4313666059374464E-3</v>
      </c>
      <c r="D316" s="21">
        <f t="shared" ca="1" si="20"/>
        <v>-2.8153190210443136E-3</v>
      </c>
      <c r="E316" s="21">
        <f t="shared" ca="1" si="23"/>
        <v>7.0917643192170367E-5</v>
      </c>
      <c r="F316" s="11">
        <f t="shared" ca="1" si="24"/>
        <v>4.7211137835220729</v>
      </c>
      <c r="G316" s="10">
        <f t="shared" ca="1" si="21"/>
        <v>1</v>
      </c>
    </row>
    <row r="317" spans="1:7" x14ac:dyDescent="0.2">
      <c r="A317" s="2">
        <v>19910605</v>
      </c>
      <c r="B317" s="13">
        <v>3005.37</v>
      </c>
      <c r="C317" s="2">
        <f t="shared" si="22"/>
        <v>-7.4571905084297721E-3</v>
      </c>
      <c r="D317" s="21">
        <f t="shared" ca="1" si="20"/>
        <v>-7.8411429235366401E-3</v>
      </c>
      <c r="E317" s="21">
        <f t="shared" ca="1" si="23"/>
        <v>6.8530353019515499E-5</v>
      </c>
      <c r="F317" s="11">
        <f t="shared" ca="1" si="24"/>
        <v>4.3455308387495437</v>
      </c>
      <c r="G317" s="10">
        <f t="shared" ca="1" si="21"/>
        <v>1</v>
      </c>
    </row>
    <row r="318" spans="1:7" x14ac:dyDescent="0.2">
      <c r="A318" s="2">
        <v>19910606</v>
      </c>
      <c r="B318" s="13">
        <v>2994.86</v>
      </c>
      <c r="C318" s="2">
        <f t="shared" si="22"/>
        <v>-3.497073571640019E-3</v>
      </c>
      <c r="D318" s="21">
        <f t="shared" ca="1" si="20"/>
        <v>-3.8810259867468862E-3</v>
      </c>
      <c r="E318" s="21">
        <f t="shared" ca="1" si="23"/>
        <v>6.8233239474207725E-5</v>
      </c>
      <c r="F318" s="11">
        <f t="shared" ca="1" si="24"/>
        <v>4.6859152800369577</v>
      </c>
      <c r="G318" s="10">
        <f t="shared" ca="1" si="21"/>
        <v>1</v>
      </c>
    </row>
    <row r="319" spans="1:7" x14ac:dyDescent="0.2">
      <c r="A319" s="2">
        <v>19910607</v>
      </c>
      <c r="B319" s="13">
        <v>2976.74</v>
      </c>
      <c r="C319" s="2">
        <f t="shared" si="22"/>
        <v>-6.0503662942509315E-3</v>
      </c>
      <c r="D319" s="21">
        <f t="shared" ca="1" si="20"/>
        <v>-6.4343187093577987E-3</v>
      </c>
      <c r="E319" s="21">
        <f t="shared" ca="1" si="23"/>
        <v>6.6244169907584866E-5</v>
      </c>
      <c r="F319" s="11">
        <f t="shared" ca="1" si="24"/>
        <v>4.4985977690148831</v>
      </c>
      <c r="G319" s="10">
        <f t="shared" ca="1" si="21"/>
        <v>1</v>
      </c>
    </row>
    <row r="320" spans="1:7" x14ac:dyDescent="0.2">
      <c r="A320" s="2">
        <v>19910610</v>
      </c>
      <c r="B320" s="13">
        <v>2975.4</v>
      </c>
      <c r="C320" s="2">
        <f t="shared" si="22"/>
        <v>-4.5015688303301293E-4</v>
      </c>
      <c r="D320" s="21">
        <f t="shared" ca="1" si="20"/>
        <v>-8.3410929813988017E-4</v>
      </c>
      <c r="E320" s="21">
        <f t="shared" ca="1" si="23"/>
        <v>6.5324225749194634E-5</v>
      </c>
      <c r="F320" s="11">
        <f t="shared" ca="1" si="24"/>
        <v>4.8127485291376635</v>
      </c>
      <c r="G320" s="10">
        <f t="shared" ca="1" si="21"/>
        <v>1</v>
      </c>
    </row>
    <row r="321" spans="1:7" x14ac:dyDescent="0.2">
      <c r="A321" s="2">
        <v>19910611</v>
      </c>
      <c r="B321" s="13">
        <v>2985.91</v>
      </c>
      <c r="C321" s="2">
        <f t="shared" si="22"/>
        <v>3.5322981783961023E-3</v>
      </c>
      <c r="D321" s="21">
        <f t="shared" ca="1" si="20"/>
        <v>3.1483457632892351E-3</v>
      </c>
      <c r="E321" s="21">
        <f t="shared" ca="1" si="23"/>
        <v>6.2954038281184843E-5</v>
      </c>
      <c r="F321" s="11">
        <f t="shared" ca="1" si="24"/>
        <v>4.7578280808530771</v>
      </c>
      <c r="G321" s="10">
        <f t="shared" ca="1" si="21"/>
        <v>1</v>
      </c>
    </row>
    <row r="322" spans="1:7" x14ac:dyDescent="0.2">
      <c r="A322" s="2">
        <v>19910612</v>
      </c>
      <c r="B322" s="13">
        <v>2961.99</v>
      </c>
      <c r="C322" s="2">
        <f t="shared" si="22"/>
        <v>-8.0109581333664016E-3</v>
      </c>
      <c r="D322" s="21">
        <f t="shared" ca="1" si="20"/>
        <v>-8.3949105484732688E-3</v>
      </c>
      <c r="E322" s="21">
        <f t="shared" ca="1" si="23"/>
        <v>6.1042660391728542E-5</v>
      </c>
      <c r="F322" s="11">
        <f t="shared" ca="1" si="24"/>
        <v>4.2747124728241541</v>
      </c>
      <c r="G322" s="10">
        <f t="shared" ca="1" si="21"/>
        <v>0</v>
      </c>
    </row>
    <row r="323" spans="1:7" x14ac:dyDescent="0.2">
      <c r="A323" s="2">
        <v>19910613</v>
      </c>
      <c r="B323" s="13">
        <v>2965.12</v>
      </c>
      <c r="C323" s="2">
        <f t="shared" si="22"/>
        <v>1.056722001087144E-3</v>
      </c>
      <c r="D323" s="21">
        <f t="shared" ca="1" si="20"/>
        <v>6.7276958598027671E-4</v>
      </c>
      <c r="E323" s="21">
        <f t="shared" ca="1" si="23"/>
        <v>6.1454966478896681E-5</v>
      </c>
      <c r="F323" s="11">
        <f t="shared" ca="1" si="24"/>
        <v>4.8449204267559205</v>
      </c>
      <c r="G323" s="10">
        <f t="shared" ca="1" si="21"/>
        <v>1</v>
      </c>
    </row>
    <row r="324" spans="1:7" x14ac:dyDescent="0.2">
      <c r="A324" s="2">
        <v>19910614</v>
      </c>
      <c r="B324" s="13">
        <v>3000.45</v>
      </c>
      <c r="C324" s="2">
        <f t="shared" si="22"/>
        <v>1.1915200733865722E-2</v>
      </c>
      <c r="D324" s="21">
        <f t="shared" ca="1" si="20"/>
        <v>1.1531248318758855E-2</v>
      </c>
      <c r="E324" s="21">
        <f t="shared" ca="1" si="23"/>
        <v>5.9271586186344814E-5</v>
      </c>
      <c r="F324" s="11">
        <f t="shared" ca="1" si="24"/>
        <v>3.7449918517402505</v>
      </c>
      <c r="G324" s="10">
        <f t="shared" ca="1" si="21"/>
        <v>0</v>
      </c>
    </row>
    <row r="325" spans="1:7" x14ac:dyDescent="0.2">
      <c r="A325" s="2">
        <v>19910617</v>
      </c>
      <c r="B325" s="13">
        <v>2993.96</v>
      </c>
      <c r="C325" s="2">
        <f t="shared" si="22"/>
        <v>-2.1630088820009607E-3</v>
      </c>
      <c r="D325" s="21">
        <f t="shared" ca="1" si="20"/>
        <v>-2.5469612971078279E-3</v>
      </c>
      <c r="E325" s="21">
        <f t="shared" ca="1" si="23"/>
        <v>6.2071547825203193E-5</v>
      </c>
      <c r="F325" s="11">
        <f t="shared" ca="1" si="24"/>
        <v>4.7913571101823358</v>
      </c>
      <c r="G325" s="10">
        <f t="shared" ca="1" si="21"/>
        <v>1</v>
      </c>
    </row>
    <row r="326" spans="1:7" x14ac:dyDescent="0.2">
      <c r="A326" s="2">
        <v>19910618</v>
      </c>
      <c r="B326" s="13">
        <v>2986.81</v>
      </c>
      <c r="C326" s="2">
        <f t="shared" si="22"/>
        <v>-2.3881414581357436E-3</v>
      </c>
      <c r="D326" s="21">
        <f t="shared" ca="1" si="20"/>
        <v>-2.7720938732426108E-3</v>
      </c>
      <c r="E326" s="21">
        <f t="shared" ca="1" si="23"/>
        <v>6.0078869643809252E-5</v>
      </c>
      <c r="F326" s="11">
        <f t="shared" ca="1" si="24"/>
        <v>4.7959727118749722</v>
      </c>
      <c r="G326" s="10">
        <f t="shared" ca="1" si="21"/>
        <v>1</v>
      </c>
    </row>
    <row r="327" spans="1:7" x14ac:dyDescent="0.2">
      <c r="A327" s="2">
        <v>19910619</v>
      </c>
      <c r="B327" s="13">
        <v>2955.5</v>
      </c>
      <c r="C327" s="2">
        <f t="shared" si="22"/>
        <v>-1.048275584988665E-2</v>
      </c>
      <c r="D327" s="21">
        <f t="shared" ca="1" si="20"/>
        <v>-1.0866708264993518E-2</v>
      </c>
      <c r="E327" s="21">
        <f t="shared" ca="1" si="23"/>
        <v>5.8231035601256642E-5</v>
      </c>
      <c r="F327" s="11">
        <f t="shared" ca="1" si="24"/>
        <v>3.8616077950901042</v>
      </c>
      <c r="G327" s="10">
        <f t="shared" ca="1" si="21"/>
        <v>0</v>
      </c>
    </row>
    <row r="328" spans="1:7" x14ac:dyDescent="0.2">
      <c r="A328" s="2">
        <v>19910620</v>
      </c>
      <c r="B328" s="13">
        <v>2953.94</v>
      </c>
      <c r="C328" s="2">
        <f t="shared" si="22"/>
        <v>-5.2782947047874998E-4</v>
      </c>
      <c r="D328" s="21">
        <f t="shared" ca="1" si="20"/>
        <v>-9.1178188558561728E-4</v>
      </c>
      <c r="E328" s="21">
        <f t="shared" ca="1" si="23"/>
        <v>6.0536315893027784E-5</v>
      </c>
      <c r="F328" s="11">
        <f t="shared" ca="1" si="24"/>
        <v>4.849267047058909</v>
      </c>
      <c r="G328" s="10">
        <f t="shared" ca="1" si="21"/>
        <v>1</v>
      </c>
    </row>
    <row r="329" spans="1:7" x14ac:dyDescent="0.2">
      <c r="A329" s="2">
        <v>19910621</v>
      </c>
      <c r="B329" s="13">
        <v>2965.56</v>
      </c>
      <c r="C329" s="2">
        <f t="shared" si="22"/>
        <v>3.9337291888121937E-3</v>
      </c>
      <c r="D329" s="21">
        <f t="shared" ca="1" si="20"/>
        <v>3.5497767737053265E-3</v>
      </c>
      <c r="E329" s="21">
        <f t="shared" ca="1" si="23"/>
        <v>5.8413336899861881E-5</v>
      </c>
      <c r="F329" s="11">
        <f t="shared" ca="1" si="24"/>
        <v>4.7661232459951179</v>
      </c>
      <c r="G329" s="10">
        <f t="shared" ca="1" si="21"/>
        <v>1</v>
      </c>
    </row>
    <row r="330" spans="1:7" x14ac:dyDescent="0.2">
      <c r="A330" s="2">
        <v>19910624</v>
      </c>
      <c r="B330" s="13">
        <v>2913.01</v>
      </c>
      <c r="C330" s="2">
        <f t="shared" si="22"/>
        <v>-1.7720093338188986E-2</v>
      </c>
      <c r="D330" s="21">
        <f t="shared" ca="1" si="20"/>
        <v>-1.8104045753295855E-2</v>
      </c>
      <c r="E330" s="21">
        <f t="shared" ca="1" si="23"/>
        <v>5.6830547712988756E-5</v>
      </c>
      <c r="F330" s="11">
        <f t="shared" ca="1" si="24"/>
        <v>2.0040889156399464</v>
      </c>
      <c r="G330" s="10">
        <f t="shared" ca="1" si="21"/>
        <v>0</v>
      </c>
    </row>
    <row r="331" spans="1:7" x14ac:dyDescent="0.2">
      <c r="A331" s="2">
        <v>19910625</v>
      </c>
      <c r="B331" s="13">
        <v>2910.11</v>
      </c>
      <c r="C331" s="2">
        <f t="shared" si="22"/>
        <v>-9.9553382926941231E-4</v>
      </c>
      <c r="D331" s="21">
        <f t="shared" ca="1" si="20"/>
        <v>-1.3794862443762797E-3</v>
      </c>
      <c r="E331" s="21">
        <f t="shared" ca="1" si="23"/>
        <v>6.6916652477735261E-5</v>
      </c>
      <c r="F331" s="11">
        <f t="shared" ca="1" si="24"/>
        <v>4.7918123040908256</v>
      </c>
      <c r="G331" s="10">
        <f t="shared" ca="1" si="21"/>
        <v>1</v>
      </c>
    </row>
    <row r="332" spans="1:7" x14ac:dyDescent="0.2">
      <c r="A332" s="2">
        <v>19910626</v>
      </c>
      <c r="B332" s="13">
        <v>2913.01</v>
      </c>
      <c r="C332" s="2">
        <f t="shared" si="22"/>
        <v>9.9652590451910442E-4</v>
      </c>
      <c r="D332" s="21">
        <f t="shared" ca="1" si="20"/>
        <v>6.1257348941223713E-4</v>
      </c>
      <c r="E332" s="21">
        <f t="shared" ca="1" si="23"/>
        <v>6.4510296086145067E-5</v>
      </c>
      <c r="F332" s="11">
        <f t="shared" ca="1" si="24"/>
        <v>4.8214344372078948</v>
      </c>
      <c r="G332" s="10">
        <f t="shared" ca="1" si="21"/>
        <v>1</v>
      </c>
    </row>
    <row r="333" spans="1:7" x14ac:dyDescent="0.2">
      <c r="A333" s="2">
        <v>19910627</v>
      </c>
      <c r="B333" s="13">
        <v>2934.93</v>
      </c>
      <c r="C333" s="2">
        <f t="shared" si="22"/>
        <v>7.524862599167053E-3</v>
      </c>
      <c r="D333" s="21">
        <f t="shared" ca="1" si="20"/>
        <v>7.1409101840601858E-3</v>
      </c>
      <c r="E333" s="21">
        <f t="shared" ca="1" si="23"/>
        <v>6.2169500535833668E-5</v>
      </c>
      <c r="F333" s="11">
        <f t="shared" ca="1" si="24"/>
        <v>4.4327135705164205</v>
      </c>
      <c r="G333" s="10">
        <f t="shared" ca="1" si="21"/>
        <v>1</v>
      </c>
    </row>
    <row r="334" spans="1:7" x14ac:dyDescent="0.2">
      <c r="A334" s="2">
        <v>19910628</v>
      </c>
      <c r="B334" s="13">
        <v>2906.75</v>
      </c>
      <c r="C334" s="2">
        <f t="shared" si="22"/>
        <v>-9.6015918607938993E-3</v>
      </c>
      <c r="D334" s="21">
        <f t="shared" ref="D334:D397" ca="1" si="25">(C334-mu)</f>
        <v>-9.9855442759007665E-3</v>
      </c>
      <c r="E334" s="21">
        <f t="shared" ca="1" si="23"/>
        <v>6.1808415015621521E-5</v>
      </c>
      <c r="F334" s="11">
        <f t="shared" ca="1" si="24"/>
        <v>4.0391212861839989</v>
      </c>
      <c r="G334" s="10">
        <f t="shared" ref="G334:G397" ca="1" si="26">IF(AND(C334&lt;=mu+zvalue*SQRT(E334),C334&gt;=mu-zvalue*SQRT(E334)),1,0)</f>
        <v>0</v>
      </c>
    </row>
    <row r="335" spans="1:7" x14ac:dyDescent="0.2">
      <c r="A335" s="2">
        <v>19910701</v>
      </c>
      <c r="B335" s="13">
        <v>2958.41</v>
      </c>
      <c r="C335" s="2">
        <f t="shared" ref="C335:C398" si="27">(B335-B334)/B334</f>
        <v>1.7772426249247391E-2</v>
      </c>
      <c r="D335" s="21">
        <f t="shared" ca="1" si="25"/>
        <v>1.7388473834140522E-2</v>
      </c>
      <c r="E335" s="21">
        <f t="shared" ref="E335:E398" ca="1" si="28">(1-alpha-beta)*longvar+alpha*D334^2+beta*E334</f>
        <v>6.3257061101902815E-5</v>
      </c>
      <c r="F335" s="11">
        <f t="shared" ref="F335:F398" ca="1" si="29">(-0.5)*(LN(E335)+D335^2/E335)</f>
        <v>2.4442288060291117</v>
      </c>
      <c r="G335" s="10">
        <f t="shared" ca="1" si="26"/>
        <v>0</v>
      </c>
    </row>
    <row r="336" spans="1:7" x14ac:dyDescent="0.2">
      <c r="A336" s="2">
        <v>19910702</v>
      </c>
      <c r="B336" s="13">
        <v>2972.72</v>
      </c>
      <c r="C336" s="2">
        <f t="shared" si="27"/>
        <v>4.8370577438556338E-3</v>
      </c>
      <c r="D336" s="21">
        <f t="shared" ca="1" si="25"/>
        <v>4.4531053287487667E-3</v>
      </c>
      <c r="E336" s="21">
        <f t="shared" ca="1" si="28"/>
        <v>7.208413784351828E-5</v>
      </c>
      <c r="F336" s="11">
        <f t="shared" ca="1" si="29"/>
        <v>4.6312896521020033</v>
      </c>
      <c r="G336" s="10">
        <f t="shared" ca="1" si="26"/>
        <v>1</v>
      </c>
    </row>
    <row r="337" spans="1:7" x14ac:dyDescent="0.2">
      <c r="A337" s="2">
        <v>19910703</v>
      </c>
      <c r="B337" s="13">
        <v>2934.7</v>
      </c>
      <c r="C337" s="2">
        <f t="shared" si="27"/>
        <v>-1.2789633736106995E-2</v>
      </c>
      <c r="D337" s="21">
        <f t="shared" ca="1" si="25"/>
        <v>-1.3173586151213862E-2</v>
      </c>
      <c r="E337" s="21">
        <f t="shared" ca="1" si="28"/>
        <v>7.007556981608964E-5</v>
      </c>
      <c r="F337" s="11">
        <f t="shared" ca="1" si="29"/>
        <v>3.5447094353248358</v>
      </c>
      <c r="G337" s="10">
        <f t="shared" ca="1" si="26"/>
        <v>0</v>
      </c>
    </row>
    <row r="338" spans="1:7" x14ac:dyDescent="0.2">
      <c r="A338" s="2">
        <v>19910705</v>
      </c>
      <c r="B338" s="13">
        <v>2932.47</v>
      </c>
      <c r="C338" s="2">
        <f t="shared" si="27"/>
        <v>-7.5987324087641614E-4</v>
      </c>
      <c r="D338" s="21">
        <f t="shared" ca="1" si="25"/>
        <v>-1.1438256559832835E-3</v>
      </c>
      <c r="E338" s="21">
        <f t="shared" ca="1" si="28"/>
        <v>7.3820919580826981E-5</v>
      </c>
      <c r="F338" s="11">
        <f t="shared" ca="1" si="29"/>
        <v>4.7480726409063383</v>
      </c>
      <c r="G338" s="10">
        <f t="shared" ca="1" si="26"/>
        <v>1</v>
      </c>
    </row>
    <row r="339" spans="1:7" x14ac:dyDescent="0.2">
      <c r="A339" s="2">
        <v>19910708</v>
      </c>
      <c r="B339" s="13">
        <v>2961.99</v>
      </c>
      <c r="C339" s="2">
        <f t="shared" si="27"/>
        <v>1.0066599146794334E-2</v>
      </c>
      <c r="D339" s="21">
        <f t="shared" ca="1" si="25"/>
        <v>9.6826467316874672E-3</v>
      </c>
      <c r="E339" s="21">
        <f t="shared" ca="1" si="28"/>
        <v>7.1043407902088683E-5</v>
      </c>
      <c r="F339" s="11">
        <f t="shared" ca="1" si="29"/>
        <v>4.1162761968786485</v>
      </c>
      <c r="G339" s="10">
        <f t="shared" ca="1" si="26"/>
        <v>0</v>
      </c>
    </row>
    <row r="340" spans="1:7" x14ac:dyDescent="0.2">
      <c r="A340" s="2">
        <v>19910709</v>
      </c>
      <c r="B340" s="13">
        <v>2947.23</v>
      </c>
      <c r="C340" s="2">
        <f t="shared" si="27"/>
        <v>-4.9831363373947129E-3</v>
      </c>
      <c r="D340" s="21">
        <f t="shared" ca="1" si="25"/>
        <v>-5.36708875250158E-3</v>
      </c>
      <c r="E340" s="21">
        <f t="shared" ca="1" si="28"/>
        <v>7.180578693831488E-5</v>
      </c>
      <c r="F340" s="11">
        <f t="shared" ca="1" si="29"/>
        <v>4.5701925194259401</v>
      </c>
      <c r="G340" s="10">
        <f t="shared" ca="1" si="26"/>
        <v>1</v>
      </c>
    </row>
    <row r="341" spans="1:7" x14ac:dyDescent="0.2">
      <c r="A341" s="2">
        <v>19910710</v>
      </c>
      <c r="B341" s="13">
        <v>2944.77</v>
      </c>
      <c r="C341" s="2">
        <f t="shared" si="27"/>
        <v>-8.3468205738949333E-4</v>
      </c>
      <c r="D341" s="21">
        <f t="shared" ca="1" si="25"/>
        <v>-1.2186344724963607E-3</v>
      </c>
      <c r="E341" s="21">
        <f t="shared" ca="1" si="28"/>
        <v>7.0141345383214587E-5</v>
      </c>
      <c r="F341" s="11">
        <f t="shared" ca="1" si="29"/>
        <v>4.7719127993214663</v>
      </c>
      <c r="G341" s="10">
        <f t="shared" ca="1" si="26"/>
        <v>1</v>
      </c>
    </row>
    <row r="342" spans="1:7" x14ac:dyDescent="0.2">
      <c r="A342" s="2">
        <v>19910711</v>
      </c>
      <c r="B342" s="13">
        <v>2959.75</v>
      </c>
      <c r="C342" s="2">
        <f t="shared" si="27"/>
        <v>5.0869847220665855E-3</v>
      </c>
      <c r="D342" s="21">
        <f t="shared" ca="1" si="25"/>
        <v>4.7030323069597183E-3</v>
      </c>
      <c r="E342" s="21">
        <f t="shared" ca="1" si="28"/>
        <v>6.7556483350027119E-5</v>
      </c>
      <c r="F342" s="11">
        <f t="shared" ca="1" si="29"/>
        <v>4.6375694094696511</v>
      </c>
      <c r="G342" s="10">
        <f t="shared" ca="1" si="26"/>
        <v>1</v>
      </c>
    </row>
    <row r="343" spans="1:7" x14ac:dyDescent="0.2">
      <c r="A343" s="2">
        <v>19910712</v>
      </c>
      <c r="B343" s="13">
        <v>2980.77</v>
      </c>
      <c r="C343" s="2">
        <f t="shared" si="27"/>
        <v>7.1019511783089731E-3</v>
      </c>
      <c r="D343" s="21">
        <f t="shared" ca="1" si="25"/>
        <v>6.7179987632021059E-3</v>
      </c>
      <c r="E343" s="21">
        <f t="shared" ca="1" si="28"/>
        <v>6.5861118060697813E-5</v>
      </c>
      <c r="F343" s="11">
        <f t="shared" ca="1" si="29"/>
        <v>4.4713548145172313</v>
      </c>
      <c r="G343" s="10">
        <f t="shared" ca="1" si="26"/>
        <v>1</v>
      </c>
    </row>
    <row r="344" spans="1:7" x14ac:dyDescent="0.2">
      <c r="A344" s="2">
        <v>19910715</v>
      </c>
      <c r="B344" s="13">
        <v>2990.61</v>
      </c>
      <c r="C344" s="2">
        <f t="shared" si="27"/>
        <v>3.3011604384102582E-3</v>
      </c>
      <c r="D344" s="21">
        <f t="shared" ca="1" si="25"/>
        <v>2.917208023303391E-3</v>
      </c>
      <c r="E344" s="21">
        <f t="shared" ca="1" si="28"/>
        <v>6.5097749849191735E-5</v>
      </c>
      <c r="F344" s="11">
        <f t="shared" ca="1" si="29"/>
        <v>4.7544462561461334</v>
      </c>
      <c r="G344" s="10">
        <f t="shared" ca="1" si="26"/>
        <v>1</v>
      </c>
    </row>
    <row r="345" spans="1:7" x14ac:dyDescent="0.2">
      <c r="A345" s="2">
        <v>19910716</v>
      </c>
      <c r="B345" s="13">
        <v>2983.9</v>
      </c>
      <c r="C345" s="2">
        <f t="shared" si="27"/>
        <v>-2.2436894145341705E-3</v>
      </c>
      <c r="D345" s="21">
        <f t="shared" ca="1" si="25"/>
        <v>-2.6276418296410377E-3</v>
      </c>
      <c r="E345" s="21">
        <f t="shared" ca="1" si="28"/>
        <v>6.3026367692194823E-5</v>
      </c>
      <c r="F345" s="11">
        <f t="shared" ca="1" si="29"/>
        <v>4.7812039856632556</v>
      </c>
      <c r="G345" s="10">
        <f t="shared" ca="1" si="26"/>
        <v>1</v>
      </c>
    </row>
    <row r="346" spans="1:7" x14ac:dyDescent="0.2">
      <c r="A346" s="2">
        <v>19910717</v>
      </c>
      <c r="B346" s="13">
        <v>2978.76</v>
      </c>
      <c r="C346" s="2">
        <f t="shared" si="27"/>
        <v>-1.7225778343777851E-3</v>
      </c>
      <c r="D346" s="21">
        <f t="shared" ca="1" si="25"/>
        <v>-2.1065302494846522E-3</v>
      </c>
      <c r="E346" s="21">
        <f t="shared" ca="1" si="28"/>
        <v>6.1000736685887977E-5</v>
      </c>
      <c r="F346" s="11">
        <f t="shared" ca="1" si="29"/>
        <v>4.8159400453908292</v>
      </c>
      <c r="G346" s="10">
        <f t="shared" ca="1" si="26"/>
        <v>1</v>
      </c>
    </row>
    <row r="347" spans="1:7" x14ac:dyDescent="0.2">
      <c r="A347" s="2">
        <v>19910718</v>
      </c>
      <c r="B347" s="13">
        <v>3016.32</v>
      </c>
      <c r="C347" s="2">
        <f t="shared" si="27"/>
        <v>1.2609273657495045E-2</v>
      </c>
      <c r="D347" s="21">
        <f t="shared" ca="1" si="25"/>
        <v>1.2225321242388178E-2</v>
      </c>
      <c r="E347" s="21">
        <f t="shared" ca="1" si="28"/>
        <v>5.8986865948902964E-5</v>
      </c>
      <c r="F347" s="11">
        <f t="shared" ca="1" si="29"/>
        <v>3.6022185698984841</v>
      </c>
      <c r="G347" s="10">
        <f t="shared" ca="1" si="26"/>
        <v>0</v>
      </c>
    </row>
    <row r="348" spans="1:7" x14ac:dyDescent="0.2">
      <c r="A348" s="2">
        <v>19910719</v>
      </c>
      <c r="B348" s="13">
        <v>3016.32</v>
      </c>
      <c r="C348" s="2">
        <f t="shared" si="27"/>
        <v>0</v>
      </c>
      <c r="D348" s="21">
        <f t="shared" ca="1" si="25"/>
        <v>-3.839524151068673E-4</v>
      </c>
      <c r="E348" s="21">
        <f t="shared" ca="1" si="28"/>
        <v>6.2407553338995352E-5</v>
      </c>
      <c r="F348" s="11">
        <f t="shared" ca="1" si="29"/>
        <v>4.8397310187270914</v>
      </c>
      <c r="G348" s="10">
        <f t="shared" ca="1" si="26"/>
        <v>1</v>
      </c>
    </row>
    <row r="349" spans="1:7" x14ac:dyDescent="0.2">
      <c r="A349" s="2">
        <v>19910722</v>
      </c>
      <c r="B349" s="13">
        <v>3012.97</v>
      </c>
      <c r="C349" s="2">
        <f t="shared" si="27"/>
        <v>-1.1106248673881962E-3</v>
      </c>
      <c r="D349" s="21">
        <f t="shared" ca="1" si="25"/>
        <v>-1.4945772824950633E-3</v>
      </c>
      <c r="E349" s="21">
        <f t="shared" ca="1" si="28"/>
        <v>6.0164758646547271E-5</v>
      </c>
      <c r="F349" s="11">
        <f t="shared" ca="1" si="29"/>
        <v>4.8406481891986264</v>
      </c>
      <c r="G349" s="10">
        <f t="shared" ca="1" si="26"/>
        <v>1</v>
      </c>
    </row>
    <row r="350" spans="1:7" x14ac:dyDescent="0.2">
      <c r="A350" s="2">
        <v>19910723</v>
      </c>
      <c r="B350" s="13">
        <v>2983.23</v>
      </c>
      <c r="C350" s="2">
        <f t="shared" si="27"/>
        <v>-9.8706591834634202E-3</v>
      </c>
      <c r="D350" s="21">
        <f t="shared" ca="1" si="25"/>
        <v>-1.0254611598570287E-2</v>
      </c>
      <c r="E350" s="21">
        <f t="shared" ca="1" si="28"/>
        <v>5.811214610676265E-5</v>
      </c>
      <c r="F350" s="11">
        <f t="shared" ca="1" si="29"/>
        <v>3.9717909940382468</v>
      </c>
      <c r="G350" s="10">
        <f t="shared" ca="1" si="26"/>
        <v>0</v>
      </c>
    </row>
    <row r="351" spans="1:7" x14ac:dyDescent="0.2">
      <c r="A351" s="2">
        <v>19910724</v>
      </c>
      <c r="B351" s="13">
        <v>2966.23</v>
      </c>
      <c r="C351" s="2">
        <f t="shared" si="27"/>
        <v>-5.6985214012999332E-3</v>
      </c>
      <c r="D351" s="21">
        <f t="shared" ca="1" si="25"/>
        <v>-6.0824738164068004E-3</v>
      </c>
      <c r="E351" s="21">
        <f t="shared" ca="1" si="28"/>
        <v>5.994804527966362E-5</v>
      </c>
      <c r="F351" s="11">
        <f t="shared" ca="1" si="29"/>
        <v>4.5524448814805405</v>
      </c>
      <c r="G351" s="10">
        <f t="shared" ca="1" si="26"/>
        <v>1</v>
      </c>
    </row>
    <row r="352" spans="1:7" x14ac:dyDescent="0.2">
      <c r="A352" s="2">
        <v>19910725</v>
      </c>
      <c r="B352" s="13">
        <v>2980.1</v>
      </c>
      <c r="C352" s="2">
        <f t="shared" si="27"/>
        <v>4.6759691595054638E-3</v>
      </c>
      <c r="D352" s="21">
        <f t="shared" ca="1" si="25"/>
        <v>4.2920167443985966E-3</v>
      </c>
      <c r="E352" s="21">
        <f t="shared" ca="1" si="28"/>
        <v>5.9184682490268159E-5</v>
      </c>
      <c r="F352" s="11">
        <f t="shared" ca="1" si="29"/>
        <v>4.7117974146016817</v>
      </c>
      <c r="G352" s="10">
        <f t="shared" ca="1" si="26"/>
        <v>1</v>
      </c>
    </row>
    <row r="353" spans="1:7" x14ac:dyDescent="0.2">
      <c r="A353" s="2">
        <v>19910726</v>
      </c>
      <c r="B353" s="13">
        <v>2972.5</v>
      </c>
      <c r="C353" s="2">
        <f t="shared" si="27"/>
        <v>-2.5502499916109892E-3</v>
      </c>
      <c r="D353" s="21">
        <f t="shared" ca="1" si="25"/>
        <v>-2.9342024067178563E-3</v>
      </c>
      <c r="E353" s="21">
        <f t="shared" ca="1" si="28"/>
        <v>5.7776900351427084E-5</v>
      </c>
      <c r="F353" s="11">
        <f t="shared" ca="1" si="29"/>
        <v>4.8049539563708823</v>
      </c>
      <c r="G353" s="10">
        <f t="shared" ca="1" si="26"/>
        <v>1</v>
      </c>
    </row>
    <row r="354" spans="1:7" x14ac:dyDescent="0.2">
      <c r="A354" s="2">
        <v>19910729</v>
      </c>
      <c r="B354" s="13">
        <v>2985.24</v>
      </c>
      <c r="C354" s="2">
        <f t="shared" si="27"/>
        <v>4.2859545836836941E-3</v>
      </c>
      <c r="D354" s="21">
        <f t="shared" ca="1" si="25"/>
        <v>3.9020021685768269E-3</v>
      </c>
      <c r="E354" s="21">
        <f t="shared" ca="1" si="28"/>
        <v>5.6079539004346828E-5</v>
      </c>
      <c r="F354" s="11">
        <f t="shared" ca="1" si="29"/>
        <v>4.7586195352351917</v>
      </c>
      <c r="G354" s="10">
        <f t="shared" ca="1" si="26"/>
        <v>1</v>
      </c>
    </row>
    <row r="355" spans="1:7" x14ac:dyDescent="0.2">
      <c r="A355" s="2">
        <v>19910730</v>
      </c>
      <c r="B355" s="13">
        <v>3016.32</v>
      </c>
      <c r="C355" s="2">
        <f t="shared" si="27"/>
        <v>1.0411223218233838E-2</v>
      </c>
      <c r="D355" s="21">
        <f t="shared" ca="1" si="25"/>
        <v>1.0027270803126971E-2</v>
      </c>
      <c r="E355" s="21">
        <f t="shared" ca="1" si="28"/>
        <v>5.4711332435850717E-5</v>
      </c>
      <c r="F355" s="11">
        <f t="shared" ca="1" si="29"/>
        <v>3.9878411139139915</v>
      </c>
      <c r="G355" s="10">
        <f t="shared" ca="1" si="26"/>
        <v>0</v>
      </c>
    </row>
    <row r="356" spans="1:7" x14ac:dyDescent="0.2">
      <c r="A356" s="2">
        <v>19910731</v>
      </c>
      <c r="B356" s="13">
        <v>3024.82</v>
      </c>
      <c r="C356" s="2">
        <f t="shared" si="27"/>
        <v>2.8180033948652663E-3</v>
      </c>
      <c r="D356" s="21">
        <f t="shared" ca="1" si="25"/>
        <v>2.4340509797583991E-3</v>
      </c>
      <c r="E356" s="21">
        <f t="shared" ca="1" si="28"/>
        <v>5.6549729074819766E-5</v>
      </c>
      <c r="F356" s="11">
        <f t="shared" ca="1" si="29"/>
        <v>4.837811054088931</v>
      </c>
      <c r="G356" s="10">
        <f t="shared" ca="1" si="26"/>
        <v>1</v>
      </c>
    </row>
    <row r="357" spans="1:7" x14ac:dyDescent="0.2">
      <c r="A357" s="2">
        <v>19910801</v>
      </c>
      <c r="B357" s="13">
        <v>3017.67</v>
      </c>
      <c r="C357" s="2">
        <f t="shared" si="27"/>
        <v>-2.3637770181366463E-3</v>
      </c>
      <c r="D357" s="21">
        <f t="shared" ca="1" si="25"/>
        <v>-2.7477294332435135E-3</v>
      </c>
      <c r="E357" s="21">
        <f t="shared" ca="1" si="28"/>
        <v>5.4815720809875454E-5</v>
      </c>
      <c r="F357" s="11">
        <f t="shared" ca="1" si="29"/>
        <v>4.8368995041270297</v>
      </c>
      <c r="G357" s="10">
        <f t="shared" ca="1" si="26"/>
        <v>1</v>
      </c>
    </row>
    <row r="358" spans="1:7" x14ac:dyDescent="0.2">
      <c r="A358" s="2">
        <v>19910802</v>
      </c>
      <c r="B358" s="13">
        <v>3006.26</v>
      </c>
      <c r="C358" s="2">
        <f t="shared" si="27"/>
        <v>-3.7810628730112483E-3</v>
      </c>
      <c r="D358" s="21">
        <f t="shared" ca="1" si="25"/>
        <v>-4.1650152881181155E-3</v>
      </c>
      <c r="E358" s="21">
        <f t="shared" ca="1" si="28"/>
        <v>5.3229205863141029E-5</v>
      </c>
      <c r="F358" s="11">
        <f t="shared" ca="1" si="29"/>
        <v>4.7575020955270082</v>
      </c>
      <c r="G358" s="10">
        <f t="shared" ca="1" si="26"/>
        <v>1</v>
      </c>
    </row>
    <row r="359" spans="1:7" x14ac:dyDescent="0.2">
      <c r="A359" s="2">
        <v>19910805</v>
      </c>
      <c r="B359" s="13">
        <v>2989.04</v>
      </c>
      <c r="C359" s="2">
        <f t="shared" si="27"/>
        <v>-5.7280474742704398E-3</v>
      </c>
      <c r="D359" s="21">
        <f t="shared" ca="1" si="25"/>
        <v>-6.1119998893773069E-3</v>
      </c>
      <c r="E359" s="21">
        <f t="shared" ca="1" si="28"/>
        <v>5.208321835597334E-5</v>
      </c>
      <c r="F359" s="11">
        <f t="shared" ca="1" si="29"/>
        <v>4.5727102816884058</v>
      </c>
      <c r="G359" s="10">
        <f t="shared" ca="1" si="26"/>
        <v>1</v>
      </c>
    </row>
    <row r="360" spans="1:7" x14ac:dyDescent="0.2">
      <c r="A360" s="2">
        <v>19910806</v>
      </c>
      <c r="B360" s="13">
        <v>3027.28</v>
      </c>
      <c r="C360" s="2">
        <f t="shared" si="27"/>
        <v>1.2793405240478627E-2</v>
      </c>
      <c r="D360" s="21">
        <f t="shared" ca="1" si="25"/>
        <v>1.240945282537176E-2</v>
      </c>
      <c r="E360" s="21">
        <f t="shared" ca="1" si="28"/>
        <v>5.1730979598352652E-5</v>
      </c>
      <c r="F360" s="11">
        <f t="shared" ca="1" si="29"/>
        <v>3.4463100571281906</v>
      </c>
      <c r="G360" s="10">
        <f t="shared" ca="1" si="26"/>
        <v>0</v>
      </c>
    </row>
    <row r="361" spans="1:7" x14ac:dyDescent="0.2">
      <c r="A361" s="2">
        <v>19910807</v>
      </c>
      <c r="B361" s="13">
        <v>3026.61</v>
      </c>
      <c r="C361" s="2">
        <f t="shared" si="27"/>
        <v>-2.2132078961974866E-4</v>
      </c>
      <c r="D361" s="21">
        <f t="shared" ca="1" si="25"/>
        <v>-6.0527320472661601E-4</v>
      </c>
      <c r="E361" s="21">
        <f t="shared" ca="1" si="28"/>
        <v>5.5685542776960313E-5</v>
      </c>
      <c r="F361" s="11">
        <f t="shared" ca="1" si="29"/>
        <v>4.8946054957582144</v>
      </c>
      <c r="G361" s="10">
        <f t="shared" ca="1" si="26"/>
        <v>1</v>
      </c>
    </row>
    <row r="362" spans="1:7" x14ac:dyDescent="0.2">
      <c r="A362" s="2">
        <v>19910808</v>
      </c>
      <c r="B362" s="13">
        <v>3013.86</v>
      </c>
      <c r="C362" s="2">
        <f t="shared" si="27"/>
        <v>-4.2126339369789965E-3</v>
      </c>
      <c r="D362" s="21">
        <f t="shared" ca="1" si="25"/>
        <v>-4.5965863520858637E-3</v>
      </c>
      <c r="E362" s="21">
        <f t="shared" ca="1" si="28"/>
        <v>5.3790867478337432E-5</v>
      </c>
      <c r="F362" s="11">
        <f t="shared" ca="1" si="29"/>
        <v>4.7188075790972599</v>
      </c>
      <c r="G362" s="10">
        <f t="shared" ca="1" si="26"/>
        <v>1</v>
      </c>
    </row>
    <row r="363" spans="1:7" x14ac:dyDescent="0.2">
      <c r="A363" s="2">
        <v>19910809</v>
      </c>
      <c r="B363" s="13">
        <v>2996.2</v>
      </c>
      <c r="C363" s="2">
        <f t="shared" si="27"/>
        <v>-5.8595953362134629E-3</v>
      </c>
      <c r="D363" s="21">
        <f t="shared" ca="1" si="25"/>
        <v>-6.2435477513203301E-3</v>
      </c>
      <c r="E363" s="21">
        <f t="shared" ca="1" si="28"/>
        <v>5.275550862745939E-5</v>
      </c>
      <c r="F363" s="11">
        <f t="shared" ca="1" si="29"/>
        <v>4.5554631894865931</v>
      </c>
      <c r="G363" s="10">
        <f t="shared" ca="1" si="26"/>
        <v>1</v>
      </c>
    </row>
    <row r="364" spans="1:7" x14ac:dyDescent="0.2">
      <c r="A364" s="2">
        <v>19910812</v>
      </c>
      <c r="B364" s="13">
        <v>3001.34</v>
      </c>
      <c r="C364" s="2">
        <f t="shared" si="27"/>
        <v>1.7155063079902302E-3</v>
      </c>
      <c r="D364" s="21">
        <f t="shared" ca="1" si="25"/>
        <v>1.3315538928833628E-3</v>
      </c>
      <c r="E364" s="21">
        <f t="shared" ca="1" si="28"/>
        <v>5.2429025289407066E-5</v>
      </c>
      <c r="F364" s="11">
        <f t="shared" ca="1" si="29"/>
        <v>4.9111161870308004</v>
      </c>
      <c r="G364" s="10">
        <f t="shared" ca="1" si="26"/>
        <v>1</v>
      </c>
    </row>
    <row r="365" spans="1:7" x14ac:dyDescent="0.2">
      <c r="A365" s="2">
        <v>19910813</v>
      </c>
      <c r="B365" s="13">
        <v>3008.72</v>
      </c>
      <c r="C365" s="2">
        <f t="shared" si="27"/>
        <v>2.4589016905780933E-3</v>
      </c>
      <c r="D365" s="21">
        <f t="shared" ca="1" si="25"/>
        <v>2.0749492754712261E-3</v>
      </c>
      <c r="E365" s="21">
        <f t="shared" ca="1" si="28"/>
        <v>5.0750824366776949E-5</v>
      </c>
      <c r="F365" s="11">
        <f t="shared" ca="1" si="29"/>
        <v>4.9018741604525244</v>
      </c>
      <c r="G365" s="10">
        <f t="shared" ca="1" si="26"/>
        <v>1</v>
      </c>
    </row>
    <row r="366" spans="1:7" x14ac:dyDescent="0.2">
      <c r="A366" s="2">
        <v>19910814</v>
      </c>
      <c r="B366" s="13">
        <v>3005.37</v>
      </c>
      <c r="C366" s="2">
        <f t="shared" si="27"/>
        <v>-1.1134302959397715E-3</v>
      </c>
      <c r="D366" s="21">
        <f t="shared" ca="1" si="25"/>
        <v>-1.4973827110466389E-3</v>
      </c>
      <c r="E366" s="21">
        <f t="shared" ca="1" si="28"/>
        <v>4.9250644168806388E-5</v>
      </c>
      <c r="F366" s="11">
        <f t="shared" ca="1" si="29"/>
        <v>4.9365313584025676</v>
      </c>
      <c r="G366" s="10">
        <f t="shared" ca="1" si="26"/>
        <v>1</v>
      </c>
    </row>
    <row r="367" spans="1:7" x14ac:dyDescent="0.2">
      <c r="A367" s="2">
        <v>19910815</v>
      </c>
      <c r="B367" s="13">
        <v>2998.43</v>
      </c>
      <c r="C367" s="2">
        <f t="shared" si="27"/>
        <v>-2.3091998655739741E-3</v>
      </c>
      <c r="D367" s="21">
        <f t="shared" ca="1" si="25"/>
        <v>-2.6931522806808413E-3</v>
      </c>
      <c r="E367" s="21">
        <f t="shared" ca="1" si="28"/>
        <v>4.7750488926186404E-5</v>
      </c>
      <c r="F367" s="11">
        <f t="shared" ca="1" si="29"/>
        <v>4.898813034889578</v>
      </c>
      <c r="G367" s="10">
        <f t="shared" ca="1" si="26"/>
        <v>1</v>
      </c>
    </row>
    <row r="368" spans="1:7" x14ac:dyDescent="0.2">
      <c r="A368" s="2">
        <v>19910816</v>
      </c>
      <c r="B368" s="13">
        <v>2968.02</v>
      </c>
      <c r="C368" s="2">
        <f t="shared" si="27"/>
        <v>-1.0141974299883557E-2</v>
      </c>
      <c r="D368" s="21">
        <f t="shared" ca="1" si="25"/>
        <v>-1.0525926714990424E-2</v>
      </c>
      <c r="E368" s="21">
        <f t="shared" ca="1" si="28"/>
        <v>4.6510487096531743E-5</v>
      </c>
      <c r="F368" s="11">
        <f t="shared" ca="1" si="29"/>
        <v>3.7968394748713372</v>
      </c>
      <c r="G368" s="10">
        <f t="shared" ca="1" si="26"/>
        <v>0</v>
      </c>
    </row>
    <row r="369" spans="1:7" x14ac:dyDescent="0.2">
      <c r="A369" s="2">
        <v>19910819</v>
      </c>
      <c r="B369" s="13">
        <v>2898.03</v>
      </c>
      <c r="C369" s="2">
        <f t="shared" si="27"/>
        <v>-2.3581377483979146E-2</v>
      </c>
      <c r="D369" s="21">
        <f t="shared" ca="1" si="25"/>
        <v>-2.3965329899086014E-2</v>
      </c>
      <c r="E369" s="21">
        <f t="shared" ca="1" si="28"/>
        <v>4.9140639850412787E-5</v>
      </c>
      <c r="F369" s="11">
        <f t="shared" ca="1" si="29"/>
        <v>-0.88339702006027743</v>
      </c>
      <c r="G369" s="10">
        <f t="shared" ca="1" si="26"/>
        <v>0</v>
      </c>
    </row>
    <row r="370" spans="1:7" x14ac:dyDescent="0.2">
      <c r="A370" s="2">
        <v>19910820</v>
      </c>
      <c r="B370" s="13">
        <v>2913.69</v>
      </c>
      <c r="C370" s="2">
        <f t="shared" si="27"/>
        <v>5.4036707694536815E-3</v>
      </c>
      <c r="D370" s="21">
        <f t="shared" ca="1" si="25"/>
        <v>5.0197183543468143E-3</v>
      </c>
      <c r="E370" s="21">
        <f t="shared" ca="1" si="28"/>
        <v>6.8682977485145917E-5</v>
      </c>
      <c r="F370" s="11">
        <f t="shared" ca="1" si="29"/>
        <v>4.6095706884997592</v>
      </c>
      <c r="G370" s="10">
        <f t="shared" ca="1" si="26"/>
        <v>1</v>
      </c>
    </row>
    <row r="371" spans="1:7" x14ac:dyDescent="0.2">
      <c r="A371" s="2">
        <v>19910821</v>
      </c>
      <c r="B371" s="13">
        <v>3001.79</v>
      </c>
      <c r="C371" s="2">
        <f t="shared" si="27"/>
        <v>3.0236572868081336E-2</v>
      </c>
      <c r="D371" s="21">
        <f t="shared" ca="1" si="25"/>
        <v>2.9852620452974467E-2</v>
      </c>
      <c r="E371" s="21">
        <f t="shared" ca="1" si="28"/>
        <v>6.7043844879746177E-5</v>
      </c>
      <c r="F371" s="11">
        <f t="shared" ca="1" si="29"/>
        <v>-1.8411579805249829</v>
      </c>
      <c r="G371" s="10">
        <f t="shared" ca="1" si="26"/>
        <v>0</v>
      </c>
    </row>
    <row r="372" spans="1:7" x14ac:dyDescent="0.2">
      <c r="A372" s="2">
        <v>19910822</v>
      </c>
      <c r="B372" s="13">
        <v>3007.38</v>
      </c>
      <c r="C372" s="2">
        <f t="shared" si="27"/>
        <v>1.8622222074162901E-3</v>
      </c>
      <c r="D372" s="21">
        <f t="shared" ca="1" si="25"/>
        <v>1.4782697923094229E-3</v>
      </c>
      <c r="E372" s="21">
        <f t="shared" ca="1" si="28"/>
        <v>9.7331283755857495E-5</v>
      </c>
      <c r="F372" s="11">
        <f t="shared" ca="1" si="29"/>
        <v>4.607469053019873</v>
      </c>
      <c r="G372" s="10">
        <f t="shared" ca="1" si="26"/>
        <v>1</v>
      </c>
    </row>
    <row r="373" spans="1:7" x14ac:dyDescent="0.2">
      <c r="A373" s="2">
        <v>19910823</v>
      </c>
      <c r="B373" s="13">
        <v>3040.25</v>
      </c>
      <c r="C373" s="2">
        <f t="shared" si="27"/>
        <v>1.0929779409319704E-2</v>
      </c>
      <c r="D373" s="21">
        <f t="shared" ca="1" si="25"/>
        <v>1.0545826994212837E-2</v>
      </c>
      <c r="E373" s="21">
        <f t="shared" ca="1" si="28"/>
        <v>9.3396621790904543E-5</v>
      </c>
      <c r="F373" s="11">
        <f t="shared" ca="1" si="29"/>
        <v>4.043939630923628</v>
      </c>
      <c r="G373" s="10">
        <f t="shared" ca="1" si="26"/>
        <v>0</v>
      </c>
    </row>
    <row r="374" spans="1:7" x14ac:dyDescent="0.2">
      <c r="A374" s="2">
        <v>19910826</v>
      </c>
      <c r="B374" s="13">
        <v>3039.36</v>
      </c>
      <c r="C374" s="2">
        <f t="shared" si="27"/>
        <v>-2.9273908395686954E-4</v>
      </c>
      <c r="D374" s="21">
        <f t="shared" ca="1" si="25"/>
        <v>-6.7669149906373683E-4</v>
      </c>
      <c r="E374" s="21">
        <f t="shared" ca="1" si="28"/>
        <v>9.367020918802739E-5</v>
      </c>
      <c r="F374" s="11">
        <f t="shared" ca="1" si="29"/>
        <v>4.6354209043709078</v>
      </c>
      <c r="G374" s="10">
        <f t="shared" ca="1" si="26"/>
        <v>1</v>
      </c>
    </row>
    <row r="375" spans="1:7" x14ac:dyDescent="0.2">
      <c r="A375" s="2">
        <v>19910827</v>
      </c>
      <c r="B375" s="13">
        <v>3026.16</v>
      </c>
      <c r="C375" s="2">
        <f t="shared" si="27"/>
        <v>-4.3430195830702093E-3</v>
      </c>
      <c r="D375" s="21">
        <f t="shared" ca="1" si="25"/>
        <v>-4.7269719981770765E-3</v>
      </c>
      <c r="E375" s="21">
        <f t="shared" ca="1" si="28"/>
        <v>8.9857243772820903E-5</v>
      </c>
      <c r="F375" s="11">
        <f t="shared" ca="1" si="29"/>
        <v>4.5343121491249887</v>
      </c>
      <c r="G375" s="10">
        <f t="shared" ca="1" si="26"/>
        <v>1</v>
      </c>
    </row>
    <row r="376" spans="1:7" x14ac:dyDescent="0.2">
      <c r="A376" s="2">
        <v>19910828</v>
      </c>
      <c r="B376" s="13">
        <v>3055.23</v>
      </c>
      <c r="C376" s="2">
        <f t="shared" si="27"/>
        <v>9.6062336426362676E-3</v>
      </c>
      <c r="D376" s="21">
        <f t="shared" ca="1" si="25"/>
        <v>9.2222812275294004E-3</v>
      </c>
      <c r="E376" s="21">
        <f t="shared" ca="1" si="28"/>
        <v>8.704197694368709E-5</v>
      </c>
      <c r="F376" s="11">
        <f t="shared" ca="1" si="29"/>
        <v>4.1859999475769198</v>
      </c>
      <c r="G376" s="10">
        <f t="shared" ca="1" si="26"/>
        <v>1</v>
      </c>
    </row>
    <row r="377" spans="1:7" x14ac:dyDescent="0.2">
      <c r="A377" s="2">
        <v>19910829</v>
      </c>
      <c r="B377" s="13">
        <v>3049.64</v>
      </c>
      <c r="C377" s="2">
        <f t="shared" si="27"/>
        <v>-1.8296494862907688E-3</v>
      </c>
      <c r="D377" s="21">
        <f t="shared" ca="1" si="25"/>
        <v>-2.2136019013976362E-3</v>
      </c>
      <c r="E377" s="21">
        <f t="shared" ca="1" si="28"/>
        <v>8.6674952101256671E-5</v>
      </c>
      <c r="F377" s="11">
        <f t="shared" ca="1" si="29"/>
        <v>4.648406088506686</v>
      </c>
      <c r="G377" s="10">
        <f t="shared" ca="1" si="26"/>
        <v>1</v>
      </c>
    </row>
    <row r="378" spans="1:7" x14ac:dyDescent="0.2">
      <c r="A378" s="2">
        <v>19910830</v>
      </c>
      <c r="B378" s="13">
        <v>3043.6</v>
      </c>
      <c r="C378" s="2">
        <f t="shared" si="27"/>
        <v>-1.9805616400624219E-3</v>
      </c>
      <c r="D378" s="21">
        <f t="shared" ca="1" si="25"/>
        <v>-2.3645140551692891E-3</v>
      </c>
      <c r="E378" s="21">
        <f t="shared" ca="1" si="28"/>
        <v>8.3379223627193643E-5</v>
      </c>
      <c r="F378" s="11">
        <f t="shared" ca="1" si="29"/>
        <v>4.6625286009248823</v>
      </c>
      <c r="G378" s="10">
        <f t="shared" ca="1" si="26"/>
        <v>1</v>
      </c>
    </row>
    <row r="379" spans="1:7" x14ac:dyDescent="0.2">
      <c r="A379" s="2">
        <v>19910903</v>
      </c>
      <c r="B379" s="13">
        <v>3017.67</v>
      </c>
      <c r="C379" s="2">
        <f t="shared" si="27"/>
        <v>-8.5195163622026008E-3</v>
      </c>
      <c r="D379" s="21">
        <f t="shared" ca="1" si="25"/>
        <v>-8.903468777309468E-3</v>
      </c>
      <c r="E379" s="21">
        <f t="shared" ca="1" si="28"/>
        <v>8.0275632496214623E-5</v>
      </c>
      <c r="F379" s="11">
        <f t="shared" ca="1" si="29"/>
        <v>4.2212749028396921</v>
      </c>
      <c r="G379" s="10">
        <f t="shared" ca="1" si="26"/>
        <v>1</v>
      </c>
    </row>
    <row r="380" spans="1:7" x14ac:dyDescent="0.2">
      <c r="A380" s="2">
        <v>19910904</v>
      </c>
      <c r="B380" s="13">
        <v>3008.5</v>
      </c>
      <c r="C380" s="2">
        <f t="shared" si="27"/>
        <v>-3.038768321254502E-3</v>
      </c>
      <c r="D380" s="21">
        <f t="shared" ca="1" si="25"/>
        <v>-3.4227207363613692E-3</v>
      </c>
      <c r="E380" s="21">
        <f t="shared" ca="1" si="28"/>
        <v>8.0038425815255487E-5</v>
      </c>
      <c r="F380" s="11">
        <f t="shared" ca="1" si="29"/>
        <v>4.6433181520089271</v>
      </c>
      <c r="G380" s="10">
        <f t="shared" ca="1" si="26"/>
        <v>1</v>
      </c>
    </row>
    <row r="381" spans="1:7" x14ac:dyDescent="0.2">
      <c r="A381" s="2">
        <v>19910905</v>
      </c>
      <c r="B381" s="13">
        <v>3008.5</v>
      </c>
      <c r="C381" s="2">
        <f t="shared" si="27"/>
        <v>0</v>
      </c>
      <c r="D381" s="21">
        <f t="shared" ca="1" si="25"/>
        <v>-3.839524151068673E-4</v>
      </c>
      <c r="E381" s="21">
        <f t="shared" ca="1" si="28"/>
        <v>7.7329040247032924E-5</v>
      </c>
      <c r="F381" s="11">
        <f t="shared" ca="1" si="29"/>
        <v>4.7327672993198693</v>
      </c>
      <c r="G381" s="10">
        <f t="shared" ca="1" si="26"/>
        <v>1</v>
      </c>
    </row>
    <row r="382" spans="1:7" x14ac:dyDescent="0.2">
      <c r="A382" s="2">
        <v>19910906</v>
      </c>
      <c r="B382" s="13">
        <v>3011.63</v>
      </c>
      <c r="C382" s="2">
        <f t="shared" si="27"/>
        <v>1.0403855742064515E-3</v>
      </c>
      <c r="D382" s="21">
        <f t="shared" ca="1" si="25"/>
        <v>6.564331590995842E-4</v>
      </c>
      <c r="E382" s="21">
        <f t="shared" ca="1" si="28"/>
        <v>7.4331362618794492E-5</v>
      </c>
      <c r="F382" s="11">
        <f t="shared" ca="1" si="29"/>
        <v>4.7505902561326616</v>
      </c>
      <c r="G382" s="10">
        <f t="shared" ca="1" si="26"/>
        <v>1</v>
      </c>
    </row>
    <row r="383" spans="1:7" x14ac:dyDescent="0.2">
      <c r="A383" s="2">
        <v>19910909</v>
      </c>
      <c r="B383" s="13">
        <v>3007.16</v>
      </c>
      <c r="C383" s="2">
        <f t="shared" si="27"/>
        <v>-1.4842460727248217E-3</v>
      </c>
      <c r="D383" s="21">
        <f t="shared" ca="1" si="25"/>
        <v>-1.8681984878316888E-3</v>
      </c>
      <c r="E383" s="21">
        <f t="shared" ca="1" si="28"/>
        <v>7.1495762728522992E-5</v>
      </c>
      <c r="F383" s="11">
        <f t="shared" ca="1" si="29"/>
        <v>4.7485279874102773</v>
      </c>
      <c r="G383" s="10">
        <f t="shared" ca="1" si="26"/>
        <v>1</v>
      </c>
    </row>
    <row r="384" spans="1:7" x14ac:dyDescent="0.2">
      <c r="A384" s="2">
        <v>19910910</v>
      </c>
      <c r="B384" s="13">
        <v>2982.56</v>
      </c>
      <c r="C384" s="2">
        <f t="shared" si="27"/>
        <v>-8.1804759307785128E-3</v>
      </c>
      <c r="D384" s="21">
        <f t="shared" ca="1" si="25"/>
        <v>-8.56442834588538E-3</v>
      </c>
      <c r="E384" s="21">
        <f t="shared" ca="1" si="28"/>
        <v>6.8916111142533628E-5</v>
      </c>
      <c r="F384" s="11">
        <f t="shared" ca="1" si="29"/>
        <v>4.2591456617378096</v>
      </c>
      <c r="G384" s="10">
        <f t="shared" ca="1" si="26"/>
        <v>0</v>
      </c>
    </row>
    <row r="385" spans="1:7" x14ac:dyDescent="0.2">
      <c r="A385" s="2">
        <v>19910911</v>
      </c>
      <c r="B385" s="13">
        <v>2987.03</v>
      </c>
      <c r="C385" s="2">
        <f t="shared" si="27"/>
        <v>1.4987125154230778E-3</v>
      </c>
      <c r="D385" s="21">
        <f t="shared" ca="1" si="25"/>
        <v>1.1147601003162104E-3</v>
      </c>
      <c r="E385" s="21">
        <f t="shared" ca="1" si="28"/>
        <v>6.9035812215924595E-5</v>
      </c>
      <c r="F385" s="11">
        <f t="shared" ca="1" si="29"/>
        <v>4.7814422559346612</v>
      </c>
      <c r="G385" s="10">
        <f t="shared" ca="1" si="26"/>
        <v>1</v>
      </c>
    </row>
    <row r="386" spans="1:7" x14ac:dyDescent="0.2">
      <c r="A386" s="2">
        <v>19910912</v>
      </c>
      <c r="B386" s="13">
        <v>3007.83</v>
      </c>
      <c r="C386" s="2">
        <f t="shared" si="27"/>
        <v>6.963438599545276E-3</v>
      </c>
      <c r="D386" s="21">
        <f t="shared" ca="1" si="25"/>
        <v>6.5794861844384088E-3</v>
      </c>
      <c r="E386" s="21">
        <f t="shared" ca="1" si="28"/>
        <v>6.6497966737689288E-5</v>
      </c>
      <c r="F386" s="11">
        <f t="shared" ca="1" si="29"/>
        <v>4.4836736375186153</v>
      </c>
      <c r="G386" s="10">
        <f t="shared" ca="1" si="26"/>
        <v>1</v>
      </c>
    </row>
    <row r="387" spans="1:7" x14ac:dyDescent="0.2">
      <c r="A387" s="2">
        <v>19910913</v>
      </c>
      <c r="B387" s="13">
        <v>2985.69</v>
      </c>
      <c r="C387" s="2">
        <f t="shared" si="27"/>
        <v>-7.3607883424262254E-3</v>
      </c>
      <c r="D387" s="21">
        <f t="shared" ca="1" si="25"/>
        <v>-7.7447407575330926E-3</v>
      </c>
      <c r="E387" s="21">
        <f t="shared" ca="1" si="28"/>
        <v>6.5634651405333756E-5</v>
      </c>
      <c r="F387" s="11">
        <f t="shared" ca="1" si="29"/>
        <v>4.3587724229441305</v>
      </c>
      <c r="G387" s="10">
        <f t="shared" ca="1" si="26"/>
        <v>1</v>
      </c>
    </row>
    <row r="388" spans="1:7" x14ac:dyDescent="0.2">
      <c r="A388" s="2">
        <v>19910916</v>
      </c>
      <c r="B388" s="13">
        <v>3015.21</v>
      </c>
      <c r="C388" s="2">
        <f t="shared" si="27"/>
        <v>9.88716176160284E-3</v>
      </c>
      <c r="D388" s="21">
        <f t="shared" ca="1" si="25"/>
        <v>9.5032093464959728E-3</v>
      </c>
      <c r="E388" s="21">
        <f t="shared" ca="1" si="28"/>
        <v>6.5428782333658235E-5</v>
      </c>
      <c r="F388" s="11">
        <f t="shared" ca="1" si="29"/>
        <v>4.1271269036594482</v>
      </c>
      <c r="G388" s="10">
        <f t="shared" ca="1" si="26"/>
        <v>0</v>
      </c>
    </row>
    <row r="389" spans="1:7" x14ac:dyDescent="0.2">
      <c r="A389" s="2">
        <v>19910917</v>
      </c>
      <c r="B389" s="13">
        <v>3013.19</v>
      </c>
      <c r="C389" s="2">
        <f t="shared" si="27"/>
        <v>-6.6993675399059499E-4</v>
      </c>
      <c r="D389" s="21">
        <f t="shared" ca="1" si="25"/>
        <v>-1.0538891690974623E-3</v>
      </c>
      <c r="E389" s="21">
        <f t="shared" ca="1" si="28"/>
        <v>6.6348614512454589E-5</v>
      </c>
      <c r="F389" s="11">
        <f t="shared" ca="1" si="29"/>
        <v>4.8019237899123315</v>
      </c>
      <c r="G389" s="10">
        <f t="shared" ca="1" si="26"/>
        <v>1</v>
      </c>
    </row>
    <row r="390" spans="1:7" x14ac:dyDescent="0.2">
      <c r="A390" s="2">
        <v>19910918</v>
      </c>
      <c r="B390" s="13">
        <v>3017.89</v>
      </c>
      <c r="C390" s="2">
        <f t="shared" si="27"/>
        <v>1.559808707715019E-3</v>
      </c>
      <c r="D390" s="21">
        <f t="shared" ca="1" si="25"/>
        <v>1.1758562926081515E-3</v>
      </c>
      <c r="E390" s="21">
        <f t="shared" ca="1" si="28"/>
        <v>6.3941861097196412E-5</v>
      </c>
      <c r="F390" s="11">
        <f t="shared" ca="1" si="29"/>
        <v>4.8179564728231634</v>
      </c>
      <c r="G390" s="10">
        <f t="shared" ca="1" si="26"/>
        <v>1</v>
      </c>
    </row>
    <row r="391" spans="1:7" x14ac:dyDescent="0.2">
      <c r="A391" s="2">
        <v>19910919</v>
      </c>
      <c r="B391" s="13">
        <v>3024.37</v>
      </c>
      <c r="C391" s="2">
        <f t="shared" si="27"/>
        <v>2.1471955571608038E-3</v>
      </c>
      <c r="D391" s="21">
        <f t="shared" ca="1" si="25"/>
        <v>1.7632431420539366E-3</v>
      </c>
      <c r="E391" s="21">
        <f t="shared" ca="1" si="28"/>
        <v>6.1666866413408847E-5</v>
      </c>
      <c r="F391" s="11">
        <f t="shared" ca="1" si="29"/>
        <v>4.8216736508806148</v>
      </c>
      <c r="G391" s="10">
        <f t="shared" ca="1" si="26"/>
        <v>1</v>
      </c>
    </row>
    <row r="392" spans="1:7" x14ac:dyDescent="0.2">
      <c r="A392" s="2">
        <v>19910920</v>
      </c>
      <c r="B392" s="13">
        <v>3019.23</v>
      </c>
      <c r="C392" s="2">
        <f t="shared" si="27"/>
        <v>-1.6995275049018052E-3</v>
      </c>
      <c r="D392" s="21">
        <f t="shared" ca="1" si="25"/>
        <v>-2.0834799200086726E-3</v>
      </c>
      <c r="E392" s="21">
        <f t="shared" ca="1" si="28"/>
        <v>5.9570446773995736E-5</v>
      </c>
      <c r="F392" s="11">
        <f t="shared" ca="1" si="29"/>
        <v>4.827740566105831</v>
      </c>
      <c r="G392" s="10">
        <f t="shared" ca="1" si="26"/>
        <v>1</v>
      </c>
    </row>
    <row r="393" spans="1:7" x14ac:dyDescent="0.2">
      <c r="A393" s="2">
        <v>19910923</v>
      </c>
      <c r="B393" s="13">
        <v>3010.51</v>
      </c>
      <c r="C393" s="2">
        <f t="shared" si="27"/>
        <v>-2.8881536020772844E-3</v>
      </c>
      <c r="D393" s="21">
        <f t="shared" ca="1" si="25"/>
        <v>-3.2721060171841516E-3</v>
      </c>
      <c r="E393" s="21">
        <f t="shared" ca="1" si="28"/>
        <v>5.7625383418366153E-5</v>
      </c>
      <c r="F393" s="11">
        <f t="shared" ca="1" si="29"/>
        <v>4.7878747292656909</v>
      </c>
      <c r="G393" s="10">
        <f t="shared" ca="1" si="26"/>
        <v>1</v>
      </c>
    </row>
    <row r="394" spans="1:7" x14ac:dyDescent="0.2">
      <c r="A394" s="2">
        <v>19910924</v>
      </c>
      <c r="B394" s="13">
        <v>3029.07</v>
      </c>
      <c r="C394" s="2">
        <f t="shared" si="27"/>
        <v>6.1650683771188085E-3</v>
      </c>
      <c r="D394" s="21">
        <f t="shared" ca="1" si="25"/>
        <v>5.7811159620119413E-3</v>
      </c>
      <c r="E394" s="21">
        <f t="shared" ca="1" si="28"/>
        <v>5.6012802642579562E-5</v>
      </c>
      <c r="F394" s="11">
        <f t="shared" ca="1" si="29"/>
        <v>4.5966288625415235</v>
      </c>
      <c r="G394" s="10">
        <f t="shared" ca="1" si="26"/>
        <v>1</v>
      </c>
    </row>
    <row r="395" spans="1:7" x14ac:dyDescent="0.2">
      <c r="A395" s="2">
        <v>19910925</v>
      </c>
      <c r="B395" s="13">
        <v>3021.02</v>
      </c>
      <c r="C395" s="2">
        <f t="shared" si="27"/>
        <v>-2.6575813698594556E-3</v>
      </c>
      <c r="D395" s="21">
        <f t="shared" ca="1" si="25"/>
        <v>-3.0415337849663228E-3</v>
      </c>
      <c r="E395" s="21">
        <f t="shared" ca="1" si="28"/>
        <v>5.5317059243698481E-5</v>
      </c>
      <c r="F395" s="11">
        <f t="shared" ca="1" si="29"/>
        <v>4.8175972923327155</v>
      </c>
      <c r="G395" s="10">
        <f t="shared" ca="1" si="26"/>
        <v>1</v>
      </c>
    </row>
    <row r="396" spans="1:7" x14ac:dyDescent="0.2">
      <c r="A396" s="2">
        <v>19910926</v>
      </c>
      <c r="B396" s="13">
        <v>3017.22</v>
      </c>
      <c r="C396" s="2">
        <f t="shared" si="27"/>
        <v>-1.2578533078232458E-3</v>
      </c>
      <c r="D396" s="21">
        <f t="shared" ca="1" si="25"/>
        <v>-1.641805722930113E-3</v>
      </c>
      <c r="E396" s="21">
        <f t="shared" ca="1" si="28"/>
        <v>5.3767726877817941E-5</v>
      </c>
      <c r="F396" s="11">
        <f t="shared" ca="1" si="29"/>
        <v>4.8903521776705983</v>
      </c>
      <c r="G396" s="10">
        <f t="shared" ca="1" si="26"/>
        <v>1</v>
      </c>
    </row>
    <row r="397" spans="1:7" x14ac:dyDescent="0.2">
      <c r="A397" s="2">
        <v>19910927</v>
      </c>
      <c r="B397" s="13">
        <v>3006.04</v>
      </c>
      <c r="C397" s="2">
        <f t="shared" si="27"/>
        <v>-3.7053976839606781E-3</v>
      </c>
      <c r="D397" s="21">
        <f t="shared" ca="1" si="25"/>
        <v>-4.0893500990675452E-3</v>
      </c>
      <c r="E397" s="21">
        <f t="shared" ca="1" si="28"/>
        <v>5.2055722178695753E-5</v>
      </c>
      <c r="F397" s="11">
        <f t="shared" ca="1" si="29"/>
        <v>4.7709740355359198</v>
      </c>
      <c r="G397" s="10">
        <f t="shared" ca="1" si="26"/>
        <v>1</v>
      </c>
    </row>
    <row r="398" spans="1:7" x14ac:dyDescent="0.2">
      <c r="A398" s="2">
        <v>19910930</v>
      </c>
      <c r="B398" s="13">
        <v>3016.77</v>
      </c>
      <c r="C398" s="2">
        <f t="shared" si="27"/>
        <v>3.5694801133717511E-3</v>
      </c>
      <c r="D398" s="21">
        <f t="shared" ref="D398:D461" ca="1" si="30">(C398-mu)</f>
        <v>3.1855276982648839E-3</v>
      </c>
      <c r="E398" s="21">
        <f t="shared" ca="1" si="28"/>
        <v>5.0946135137304114E-5</v>
      </c>
      <c r="F398" s="11">
        <f t="shared" ca="1" si="29"/>
        <v>4.8427794985515433</v>
      </c>
      <c r="G398" s="10">
        <f t="shared" ref="G398:G461" ca="1" si="31">IF(AND(C398&lt;=mu+zvalue*SQRT(E398),C398&gt;=mu-zvalue*SQRT(E398)),1,0)</f>
        <v>1</v>
      </c>
    </row>
    <row r="399" spans="1:7" x14ac:dyDescent="0.2">
      <c r="A399" s="2">
        <v>19911001</v>
      </c>
      <c r="B399" s="13">
        <v>3018.34</v>
      </c>
      <c r="C399" s="2">
        <f t="shared" ref="C399:C462" si="32">(B399-B398)/B398</f>
        <v>5.2042416226631921E-4</v>
      </c>
      <c r="D399" s="21">
        <f t="shared" ca="1" si="30"/>
        <v>1.3647174715945192E-4</v>
      </c>
      <c r="E399" s="21">
        <f t="shared" ref="E399:E462" ca="1" si="33">(1-alpha-beta)*longvar+alpha*D398^2+beta*E398</f>
        <v>4.965090097640408E-5</v>
      </c>
      <c r="F399" s="11">
        <f t="shared" ref="F399:F462" ca="1" si="34">(-0.5)*(LN(E399)+D399^2/E399)</f>
        <v>4.9550594556596375</v>
      </c>
      <c r="G399" s="10">
        <f t="shared" ca="1" si="31"/>
        <v>1</v>
      </c>
    </row>
    <row r="400" spans="1:7" x14ac:dyDescent="0.2">
      <c r="A400" s="2">
        <v>19911002</v>
      </c>
      <c r="B400" s="13">
        <v>3012.52</v>
      </c>
      <c r="C400" s="2">
        <f t="shared" si="32"/>
        <v>-1.9282121961078484E-3</v>
      </c>
      <c r="D400" s="21">
        <f t="shared" ca="1" si="30"/>
        <v>-2.3121646112147158E-3</v>
      </c>
      <c r="E400" s="21">
        <f t="shared" ca="1" si="33"/>
        <v>4.8048733513225093E-5</v>
      </c>
      <c r="F400" s="11">
        <f t="shared" ca="1" si="34"/>
        <v>4.9160152768248748</v>
      </c>
      <c r="G400" s="10">
        <f t="shared" ca="1" si="31"/>
        <v>1</v>
      </c>
    </row>
    <row r="401" spans="1:7" x14ac:dyDescent="0.2">
      <c r="A401" s="2">
        <v>19911003</v>
      </c>
      <c r="B401" s="13">
        <v>2984.79</v>
      </c>
      <c r="C401" s="2">
        <f t="shared" si="32"/>
        <v>-9.2049181416223019E-3</v>
      </c>
      <c r="D401" s="21">
        <f t="shared" ca="1" si="30"/>
        <v>-9.588870556729169E-3</v>
      </c>
      <c r="E401" s="21">
        <f t="shared" ca="1" si="33"/>
        <v>4.672352099513542E-5</v>
      </c>
      <c r="F401" s="11">
        <f t="shared" ca="1" si="34"/>
        <v>4.0016897592458607</v>
      </c>
      <c r="G401" s="10">
        <f t="shared" ca="1" si="31"/>
        <v>0</v>
      </c>
    </row>
    <row r="402" spans="1:7" x14ac:dyDescent="0.2">
      <c r="A402" s="2">
        <v>19911004</v>
      </c>
      <c r="B402" s="13">
        <v>2961.76</v>
      </c>
      <c r="C402" s="2">
        <f t="shared" si="32"/>
        <v>-7.7157857001664259E-3</v>
      </c>
      <c r="D402" s="21">
        <f t="shared" ca="1" si="30"/>
        <v>-8.0997381152732931E-3</v>
      </c>
      <c r="E402" s="21">
        <f t="shared" ca="1" si="33"/>
        <v>4.8649796880745826E-5</v>
      </c>
      <c r="F402" s="11">
        <f t="shared" ca="1" si="34"/>
        <v>4.2911659797130302</v>
      </c>
      <c r="G402" s="10">
        <f t="shared" ca="1" si="31"/>
        <v>0</v>
      </c>
    </row>
    <row r="403" spans="1:7" x14ac:dyDescent="0.2">
      <c r="A403" s="2">
        <v>19911007</v>
      </c>
      <c r="B403" s="13">
        <v>2942.75</v>
      </c>
      <c r="C403" s="2">
        <f t="shared" si="32"/>
        <v>-6.4184809032467914E-3</v>
      </c>
      <c r="D403" s="21">
        <f t="shared" ca="1" si="30"/>
        <v>-6.8024333183536586E-3</v>
      </c>
      <c r="E403" s="21">
        <f t="shared" ca="1" si="33"/>
        <v>4.9510029001959992E-5</v>
      </c>
      <c r="F403" s="11">
        <f t="shared" ca="1" si="34"/>
        <v>4.4893572904198225</v>
      </c>
      <c r="G403" s="10">
        <f t="shared" ca="1" si="31"/>
        <v>1</v>
      </c>
    </row>
    <row r="404" spans="1:7" x14ac:dyDescent="0.2">
      <c r="A404" s="2">
        <v>19911008</v>
      </c>
      <c r="B404" s="13">
        <v>2963.77</v>
      </c>
      <c r="C404" s="2">
        <f t="shared" si="32"/>
        <v>7.1429785064990167E-3</v>
      </c>
      <c r="D404" s="21">
        <f t="shared" ca="1" si="30"/>
        <v>6.7590260913921495E-3</v>
      </c>
      <c r="E404" s="21">
        <f t="shared" ca="1" si="33"/>
        <v>4.961584608867991E-5</v>
      </c>
      <c r="F404" s="11">
        <f t="shared" ca="1" si="34"/>
        <v>4.4952186648338373</v>
      </c>
      <c r="G404" s="10">
        <f t="shared" ca="1" si="31"/>
        <v>1</v>
      </c>
    </row>
    <row r="405" spans="1:7" x14ac:dyDescent="0.2">
      <c r="A405" s="2">
        <v>19911009</v>
      </c>
      <c r="B405" s="13">
        <v>2946.33</v>
      </c>
      <c r="C405" s="2">
        <f t="shared" si="32"/>
        <v>-5.8843972373025079E-3</v>
      </c>
      <c r="D405" s="21">
        <f t="shared" ca="1" si="30"/>
        <v>-6.2683496524093751E-3</v>
      </c>
      <c r="E405" s="21">
        <f t="shared" ca="1" si="33"/>
        <v>4.9694663601511641E-5</v>
      </c>
      <c r="F405" s="11">
        <f t="shared" ca="1" si="34"/>
        <v>4.5594702166183048</v>
      </c>
      <c r="G405" s="10">
        <f t="shared" ca="1" si="31"/>
        <v>1</v>
      </c>
    </row>
    <row r="406" spans="1:7" x14ac:dyDescent="0.2">
      <c r="A406" s="2">
        <v>19911010</v>
      </c>
      <c r="B406" s="13">
        <v>2976.52</v>
      </c>
      <c r="C406" s="2">
        <f t="shared" si="32"/>
        <v>1.0246645827181631E-2</v>
      </c>
      <c r="D406" s="21">
        <f t="shared" ca="1" si="30"/>
        <v>9.8626934120747637E-3</v>
      </c>
      <c r="E406" s="21">
        <f t="shared" ca="1" si="33"/>
        <v>4.9534440386794852E-5</v>
      </c>
      <c r="F406" s="11">
        <f t="shared" ca="1" si="34"/>
        <v>3.9745515925301813</v>
      </c>
      <c r="G406" s="10">
        <f t="shared" ca="1" si="31"/>
        <v>0</v>
      </c>
    </row>
    <row r="407" spans="1:7" x14ac:dyDescent="0.2">
      <c r="A407" s="2">
        <v>19911011</v>
      </c>
      <c r="B407" s="13">
        <v>2983.68</v>
      </c>
      <c r="C407" s="2">
        <f t="shared" si="32"/>
        <v>2.4054936637415017E-3</v>
      </c>
      <c r="D407" s="21">
        <f t="shared" ca="1" si="30"/>
        <v>2.0215412486346345E-3</v>
      </c>
      <c r="E407" s="21">
        <f t="shared" ca="1" si="33"/>
        <v>5.1514367652859649E-5</v>
      </c>
      <c r="F407" s="11">
        <f t="shared" ca="1" si="34"/>
        <v>4.8971599587909713</v>
      </c>
      <c r="G407" s="10">
        <f t="shared" ca="1" si="31"/>
        <v>1</v>
      </c>
    </row>
    <row r="408" spans="1:7" x14ac:dyDescent="0.2">
      <c r="A408" s="2">
        <v>19911014</v>
      </c>
      <c r="B408" s="13">
        <v>3019.45</v>
      </c>
      <c r="C408" s="2">
        <f t="shared" si="32"/>
        <v>1.1988551051051045E-2</v>
      </c>
      <c r="D408" s="21">
        <f t="shared" ca="1" si="30"/>
        <v>1.1604598635944178E-2</v>
      </c>
      <c r="E408" s="21">
        <f t="shared" ca="1" si="33"/>
        <v>4.9967514424681988E-5</v>
      </c>
      <c r="F408" s="11">
        <f t="shared" ca="1" si="34"/>
        <v>3.6045261286463148</v>
      </c>
      <c r="G408" s="10">
        <f t="shared" ca="1" si="31"/>
        <v>0</v>
      </c>
    </row>
    <row r="409" spans="1:7" x14ac:dyDescent="0.2">
      <c r="A409" s="2">
        <v>19911015</v>
      </c>
      <c r="B409" s="13">
        <v>3041.37</v>
      </c>
      <c r="C409" s="2">
        <f t="shared" si="32"/>
        <v>7.259600258325216E-3</v>
      </c>
      <c r="D409" s="21">
        <f t="shared" ca="1" si="30"/>
        <v>6.8756478432183488E-3</v>
      </c>
      <c r="E409" s="21">
        <f t="shared" ca="1" si="33"/>
        <v>5.330057456890904E-5</v>
      </c>
      <c r="F409" s="11">
        <f t="shared" ca="1" si="34"/>
        <v>4.4763105822489049</v>
      </c>
      <c r="G409" s="10">
        <f t="shared" ca="1" si="31"/>
        <v>1</v>
      </c>
    </row>
    <row r="410" spans="1:7" x14ac:dyDescent="0.2">
      <c r="A410" s="2">
        <v>19911016</v>
      </c>
      <c r="B410" s="13">
        <v>3061.72</v>
      </c>
      <c r="C410" s="2">
        <f t="shared" si="32"/>
        <v>6.6910635667478506E-3</v>
      </c>
      <c r="D410" s="21">
        <f t="shared" ca="1" si="30"/>
        <v>6.3071111516409834E-3</v>
      </c>
      <c r="E410" s="21">
        <f t="shared" ca="1" si="33"/>
        <v>5.3251451191880226E-5</v>
      </c>
      <c r="F410" s="11">
        <f t="shared" ca="1" si="34"/>
        <v>4.5467350791412651</v>
      </c>
      <c r="G410" s="10">
        <f t="shared" ca="1" si="31"/>
        <v>1</v>
      </c>
    </row>
    <row r="411" spans="1:7" x14ac:dyDescent="0.2">
      <c r="A411" s="2">
        <v>19911017</v>
      </c>
      <c r="B411" s="13">
        <v>3053</v>
      </c>
      <c r="C411" s="2">
        <f t="shared" si="32"/>
        <v>-2.8480723253595367E-3</v>
      </c>
      <c r="D411" s="21">
        <f t="shared" ca="1" si="30"/>
        <v>-3.2320247404664039E-3</v>
      </c>
      <c r="E411" s="21">
        <f t="shared" ca="1" si="33"/>
        <v>5.2929213078317802E-5</v>
      </c>
      <c r="F411" s="11">
        <f t="shared" ca="1" si="34"/>
        <v>4.8245987559182328</v>
      </c>
      <c r="G411" s="10">
        <f t="shared" ca="1" si="31"/>
        <v>1</v>
      </c>
    </row>
    <row r="412" spans="1:7" x14ac:dyDescent="0.2">
      <c r="A412" s="2">
        <v>19911018</v>
      </c>
      <c r="B412" s="13">
        <v>3077.15</v>
      </c>
      <c r="C412" s="2">
        <f t="shared" si="32"/>
        <v>7.9102522109400896E-3</v>
      </c>
      <c r="D412" s="21">
        <f t="shared" ca="1" si="30"/>
        <v>7.5262997958332224E-3</v>
      </c>
      <c r="E412" s="21">
        <f t="shared" ca="1" si="33"/>
        <v>5.1544626937726431E-5</v>
      </c>
      <c r="F412" s="11">
        <f t="shared" ca="1" si="34"/>
        <v>4.3870541492670903</v>
      </c>
      <c r="G412" s="10">
        <f t="shared" ca="1" si="31"/>
        <v>0</v>
      </c>
    </row>
    <row r="413" spans="1:7" x14ac:dyDescent="0.2">
      <c r="A413" s="2">
        <v>19911021</v>
      </c>
      <c r="B413" s="13">
        <v>3060.38</v>
      </c>
      <c r="C413" s="2">
        <f t="shared" si="32"/>
        <v>-5.4498480737045583E-3</v>
      </c>
      <c r="D413" s="21">
        <f t="shared" ca="1" si="30"/>
        <v>-5.8338004888114255E-3</v>
      </c>
      <c r="E413" s="21">
        <f t="shared" ca="1" si="33"/>
        <v>5.1928912888457896E-5</v>
      </c>
      <c r="F413" s="11">
        <f t="shared" ca="1" si="34"/>
        <v>4.6051268663577449</v>
      </c>
      <c r="G413" s="10">
        <f t="shared" ca="1" si="31"/>
        <v>1</v>
      </c>
    </row>
    <row r="414" spans="1:7" x14ac:dyDescent="0.2">
      <c r="A414" s="2">
        <v>19911022</v>
      </c>
      <c r="B414" s="13">
        <v>3039.8</v>
      </c>
      <c r="C414" s="2">
        <f t="shared" si="32"/>
        <v>-6.7246551081891551E-3</v>
      </c>
      <c r="D414" s="21">
        <f t="shared" ca="1" si="30"/>
        <v>-7.1086075232960223E-3</v>
      </c>
      <c r="E414" s="21">
        <f t="shared" ca="1" si="33"/>
        <v>5.1462276418252412E-5</v>
      </c>
      <c r="F414" s="11">
        <f t="shared" ca="1" si="34"/>
        <v>4.4463662645264126</v>
      </c>
      <c r="G414" s="10">
        <f t="shared" ca="1" si="31"/>
        <v>1</v>
      </c>
    </row>
    <row r="415" spans="1:7" x14ac:dyDescent="0.2">
      <c r="A415" s="2">
        <v>19911023</v>
      </c>
      <c r="B415" s="13">
        <v>3040.92</v>
      </c>
      <c r="C415" s="2">
        <f t="shared" si="32"/>
        <v>3.6844529245341496E-4</v>
      </c>
      <c r="D415" s="21">
        <f t="shared" ca="1" si="30"/>
        <v>-1.5507122653452335E-5</v>
      </c>
      <c r="E415" s="21">
        <f t="shared" ca="1" si="33"/>
        <v>5.1625946954889314E-5</v>
      </c>
      <c r="F415" s="11">
        <f t="shared" ca="1" si="34"/>
        <v>4.9357407529769235</v>
      </c>
      <c r="G415" s="10">
        <f t="shared" ca="1" si="31"/>
        <v>1</v>
      </c>
    </row>
    <row r="416" spans="1:7" x14ac:dyDescent="0.2">
      <c r="A416" s="2">
        <v>19911024</v>
      </c>
      <c r="B416" s="13">
        <v>3016.32</v>
      </c>
      <c r="C416" s="2">
        <f t="shared" si="32"/>
        <v>-8.0896570774633692E-3</v>
      </c>
      <c r="D416" s="21">
        <f t="shared" ca="1" si="30"/>
        <v>-8.4736094925702363E-3</v>
      </c>
      <c r="E416" s="21">
        <f t="shared" ca="1" si="33"/>
        <v>4.9923185251106572E-5</v>
      </c>
      <c r="F416" s="11">
        <f t="shared" ca="1" si="34"/>
        <v>4.2333871473970195</v>
      </c>
      <c r="G416" s="10">
        <f t="shared" ca="1" si="31"/>
        <v>0</v>
      </c>
    </row>
    <row r="417" spans="1:7" x14ac:dyDescent="0.2">
      <c r="A417" s="2">
        <v>19911025</v>
      </c>
      <c r="B417" s="13">
        <v>3004.92</v>
      </c>
      <c r="C417" s="2">
        <f t="shared" si="32"/>
        <v>-3.7794398472310929E-3</v>
      </c>
      <c r="D417" s="21">
        <f t="shared" ca="1" si="30"/>
        <v>-4.1633922623379605E-3</v>
      </c>
      <c r="E417" s="21">
        <f t="shared" ca="1" si="33"/>
        <v>5.09468450163195E-5</v>
      </c>
      <c r="F417" s="11">
        <f t="shared" ca="1" si="34"/>
        <v>4.772246996492278</v>
      </c>
      <c r="G417" s="10">
        <f t="shared" ca="1" si="31"/>
        <v>1</v>
      </c>
    </row>
    <row r="418" spans="1:7" x14ac:dyDescent="0.2">
      <c r="A418" s="2">
        <v>19911028</v>
      </c>
      <c r="B418" s="13">
        <v>3045.62</v>
      </c>
      <c r="C418" s="2">
        <f t="shared" si="32"/>
        <v>1.3544453762496113E-2</v>
      </c>
      <c r="D418" s="21">
        <f t="shared" ca="1" si="30"/>
        <v>1.3160501347389246E-2</v>
      </c>
      <c r="E418" s="21">
        <f t="shared" ca="1" si="33"/>
        <v>4.9915825844105367E-5</v>
      </c>
      <c r="F418" s="11">
        <f t="shared" ca="1" si="34"/>
        <v>3.2176775805881475</v>
      </c>
      <c r="G418" s="10">
        <f t="shared" ca="1" si="31"/>
        <v>0</v>
      </c>
    </row>
    <row r="419" spans="1:7" x14ac:dyDescent="0.2">
      <c r="A419" s="2">
        <v>19911029</v>
      </c>
      <c r="B419" s="13">
        <v>3061.94</v>
      </c>
      <c r="C419" s="2">
        <f t="shared" si="32"/>
        <v>5.3585148508350231E-3</v>
      </c>
      <c r="D419" s="21">
        <f t="shared" ca="1" si="30"/>
        <v>4.9745624357281559E-3</v>
      </c>
      <c r="E419" s="21">
        <f t="shared" ca="1" si="33"/>
        <v>5.4668393019541031E-5</v>
      </c>
      <c r="F419" s="11">
        <f t="shared" ca="1" si="34"/>
        <v>4.6807817188620673</v>
      </c>
      <c r="G419" s="10">
        <f t="shared" ca="1" si="31"/>
        <v>1</v>
      </c>
    </row>
    <row r="420" spans="1:7" x14ac:dyDescent="0.2">
      <c r="A420" s="2">
        <v>19911030</v>
      </c>
      <c r="B420" s="13">
        <v>3071.78</v>
      </c>
      <c r="C420" s="2">
        <f t="shared" si="32"/>
        <v>3.2136488631391031E-3</v>
      </c>
      <c r="D420" s="21">
        <f t="shared" ca="1" si="30"/>
        <v>2.8296964480322359E-3</v>
      </c>
      <c r="E420" s="21">
        <f t="shared" ca="1" si="33"/>
        <v>5.37216677335693E-5</v>
      </c>
      <c r="F420" s="11">
        <f t="shared" ca="1" si="34"/>
        <v>4.8413223742323188</v>
      </c>
      <c r="G420" s="10">
        <f t="shared" ca="1" si="31"/>
        <v>1</v>
      </c>
    </row>
    <row r="421" spans="1:7" x14ac:dyDescent="0.2">
      <c r="A421" s="2">
        <v>19911031</v>
      </c>
      <c r="B421" s="13">
        <v>3069.1</v>
      </c>
      <c r="C421" s="2">
        <f t="shared" si="32"/>
        <v>-8.7245831407206599E-4</v>
      </c>
      <c r="D421" s="21">
        <f t="shared" ca="1" si="30"/>
        <v>-1.2564107291789333E-3</v>
      </c>
      <c r="E421" s="21">
        <f t="shared" ca="1" si="33"/>
        <v>5.220731204562956E-5</v>
      </c>
      <c r="F421" s="11">
        <f t="shared" ca="1" si="34"/>
        <v>4.9150257330410501</v>
      </c>
      <c r="G421" s="10">
        <f t="shared" ca="1" si="31"/>
        <v>1</v>
      </c>
    </row>
    <row r="422" spans="1:7" x14ac:dyDescent="0.2">
      <c r="A422" s="2">
        <v>19911101</v>
      </c>
      <c r="B422" s="13">
        <v>3056.35</v>
      </c>
      <c r="C422" s="2">
        <f t="shared" si="32"/>
        <v>-4.1543123391222184E-3</v>
      </c>
      <c r="D422" s="21">
        <f t="shared" ca="1" si="30"/>
        <v>-4.5382647542290856E-3</v>
      </c>
      <c r="E422" s="21">
        <f t="shared" ca="1" si="33"/>
        <v>5.0533176746637202E-5</v>
      </c>
      <c r="F422" s="11">
        <f t="shared" ca="1" si="34"/>
        <v>4.7426548389610339</v>
      </c>
      <c r="G422" s="10">
        <f t="shared" ca="1" si="31"/>
        <v>1</v>
      </c>
    </row>
    <row r="423" spans="1:7" x14ac:dyDescent="0.2">
      <c r="A423" s="2">
        <v>19911104</v>
      </c>
      <c r="B423" s="13">
        <v>3045.62</v>
      </c>
      <c r="C423" s="2">
        <f t="shared" si="32"/>
        <v>-3.5107235755067381E-3</v>
      </c>
      <c r="D423" s="21">
        <f t="shared" ca="1" si="30"/>
        <v>-3.8946759906136053E-3</v>
      </c>
      <c r="E423" s="21">
        <f t="shared" ca="1" si="33"/>
        <v>4.9643035059720479E-5</v>
      </c>
      <c r="F423" s="11">
        <f t="shared" ca="1" si="34"/>
        <v>4.802550506792171</v>
      </c>
      <c r="G423" s="10">
        <f t="shared" ca="1" si="31"/>
        <v>1</v>
      </c>
    </row>
    <row r="424" spans="1:7" x14ac:dyDescent="0.2">
      <c r="A424" s="2">
        <v>19911105</v>
      </c>
      <c r="B424" s="13">
        <v>3031.31</v>
      </c>
      <c r="C424" s="2">
        <f t="shared" si="32"/>
        <v>-4.6985507056034386E-3</v>
      </c>
      <c r="D424" s="21">
        <f t="shared" ca="1" si="30"/>
        <v>-5.0825031207103058E-3</v>
      </c>
      <c r="E424" s="21">
        <f t="shared" ca="1" si="33"/>
        <v>4.8598352948412336E-5</v>
      </c>
      <c r="F424" s="11">
        <f t="shared" ca="1" si="34"/>
        <v>4.7001918019866418</v>
      </c>
      <c r="G424" s="10">
        <f t="shared" ca="1" si="31"/>
        <v>1</v>
      </c>
    </row>
    <row r="425" spans="1:7" x14ac:dyDescent="0.2">
      <c r="A425" s="2">
        <v>19911106</v>
      </c>
      <c r="B425" s="13">
        <v>3038.46</v>
      </c>
      <c r="C425" s="2">
        <f t="shared" si="32"/>
        <v>2.3587161986072329E-3</v>
      </c>
      <c r="D425" s="21">
        <f t="shared" ca="1" si="30"/>
        <v>1.9747637835003658E-3</v>
      </c>
      <c r="E425" s="21">
        <f t="shared" ca="1" si="33"/>
        <v>4.7998631165598996E-5</v>
      </c>
      <c r="F425" s="11">
        <f t="shared" ca="1" si="34"/>
        <v>4.931546082289767</v>
      </c>
      <c r="G425" s="10">
        <f t="shared" ca="1" si="31"/>
        <v>1</v>
      </c>
    </row>
    <row r="426" spans="1:7" x14ac:dyDescent="0.2">
      <c r="A426" s="2">
        <v>19911107</v>
      </c>
      <c r="B426" s="13">
        <v>3054.11</v>
      </c>
      <c r="C426" s="2">
        <f t="shared" si="32"/>
        <v>5.1506355193091536E-3</v>
      </c>
      <c r="D426" s="21">
        <f t="shared" ca="1" si="30"/>
        <v>4.7666831042022864E-3</v>
      </c>
      <c r="E426" s="21">
        <f t="shared" ca="1" si="33"/>
        <v>4.6622766203317578E-5</v>
      </c>
      <c r="F426" s="11">
        <f t="shared" ca="1" si="34"/>
        <v>4.7430394127578346</v>
      </c>
      <c r="G426" s="10">
        <f t="shared" ca="1" si="31"/>
        <v>1</v>
      </c>
    </row>
    <row r="427" spans="1:7" x14ac:dyDescent="0.2">
      <c r="A427" s="2">
        <v>19911108</v>
      </c>
      <c r="B427" s="13">
        <v>3045.62</v>
      </c>
      <c r="C427" s="2">
        <f t="shared" si="32"/>
        <v>-2.7798605813150923E-3</v>
      </c>
      <c r="D427" s="21">
        <f t="shared" ca="1" si="30"/>
        <v>-3.1638129964219595E-3</v>
      </c>
      <c r="E427" s="21">
        <f t="shared" ca="1" si="33"/>
        <v>4.6008608908585504E-5</v>
      </c>
      <c r="F427" s="11">
        <f t="shared" ca="1" si="34"/>
        <v>4.8845601480162202</v>
      </c>
      <c r="G427" s="10">
        <f t="shared" ca="1" si="31"/>
        <v>1</v>
      </c>
    </row>
    <row r="428" spans="1:7" x14ac:dyDescent="0.2">
      <c r="A428" s="2">
        <v>19911111</v>
      </c>
      <c r="B428" s="13">
        <v>3042.26</v>
      </c>
      <c r="C428" s="2">
        <f t="shared" si="32"/>
        <v>-1.1032236457600333E-3</v>
      </c>
      <c r="D428" s="21">
        <f t="shared" ca="1" si="30"/>
        <v>-1.4871760608669007E-3</v>
      </c>
      <c r="E428" s="21">
        <f t="shared" ca="1" si="33"/>
        <v>4.4958095956158925E-5</v>
      </c>
      <c r="F428" s="11">
        <f t="shared" ca="1" si="34"/>
        <v>4.980292583880618</v>
      </c>
      <c r="G428" s="10">
        <f t="shared" ca="1" si="31"/>
        <v>1</v>
      </c>
    </row>
    <row r="429" spans="1:7" x14ac:dyDescent="0.2">
      <c r="A429" s="2">
        <v>19911112</v>
      </c>
      <c r="B429" s="13">
        <v>3054.11</v>
      </c>
      <c r="C429" s="2">
        <f t="shared" si="32"/>
        <v>3.8951305937033349E-3</v>
      </c>
      <c r="D429" s="21">
        <f t="shared" ca="1" si="30"/>
        <v>3.5111781785964677E-3</v>
      </c>
      <c r="E429" s="21">
        <f t="shared" ca="1" si="33"/>
        <v>4.367398198729973E-5</v>
      </c>
      <c r="F429" s="11">
        <f t="shared" ca="1" si="34"/>
        <v>4.8782380831553604</v>
      </c>
      <c r="G429" s="10">
        <f t="shared" ca="1" si="31"/>
        <v>1</v>
      </c>
    </row>
    <row r="430" spans="1:7" x14ac:dyDescent="0.2">
      <c r="A430" s="2">
        <v>19911113</v>
      </c>
      <c r="B430" s="13">
        <v>3065.3</v>
      </c>
      <c r="C430" s="2">
        <f t="shared" si="32"/>
        <v>3.6639151831466626E-3</v>
      </c>
      <c r="D430" s="21">
        <f t="shared" ca="1" si="30"/>
        <v>3.2799627680397954E-3</v>
      </c>
      <c r="E430" s="21">
        <f t="shared" ca="1" si="33"/>
        <v>4.2826839738772407E-5</v>
      </c>
      <c r="F430" s="11">
        <f t="shared" ca="1" si="34"/>
        <v>4.903572151631268</v>
      </c>
      <c r="G430" s="10">
        <f t="shared" ca="1" si="31"/>
        <v>1</v>
      </c>
    </row>
    <row r="431" spans="1:7" x14ac:dyDescent="0.2">
      <c r="A431" s="2">
        <v>19911114</v>
      </c>
      <c r="B431" s="13">
        <v>3063.51</v>
      </c>
      <c r="C431" s="2">
        <f t="shared" si="32"/>
        <v>-5.8395589338725853E-4</v>
      </c>
      <c r="D431" s="21">
        <f t="shared" ca="1" si="30"/>
        <v>-9.6790830849412582E-4</v>
      </c>
      <c r="E431" s="21">
        <f t="shared" ca="1" si="33"/>
        <v>4.1964815095283044E-5</v>
      </c>
      <c r="F431" s="11">
        <f t="shared" ca="1" si="34"/>
        <v>5.0281772278074248</v>
      </c>
      <c r="G431" s="10">
        <f t="shared" ca="1" si="31"/>
        <v>1</v>
      </c>
    </row>
    <row r="432" spans="1:7" x14ac:dyDescent="0.2">
      <c r="A432" s="2">
        <v>19911115</v>
      </c>
      <c r="B432" s="13">
        <v>2943.2</v>
      </c>
      <c r="C432" s="2">
        <f t="shared" si="32"/>
        <v>-3.9271946231610275E-2</v>
      </c>
      <c r="D432" s="21">
        <f t="shared" ca="1" si="30"/>
        <v>-3.965589864671714E-2</v>
      </c>
      <c r="E432" s="21">
        <f t="shared" ca="1" si="33"/>
        <v>4.0785253872159972E-5</v>
      </c>
      <c r="F432" s="11">
        <f t="shared" ca="1" si="34"/>
        <v>-14.225312810292689</v>
      </c>
      <c r="G432" s="10">
        <f t="shared" ca="1" si="31"/>
        <v>0</v>
      </c>
    </row>
    <row r="433" spans="1:7" x14ac:dyDescent="0.2">
      <c r="A433" s="2">
        <v>19911118</v>
      </c>
      <c r="B433" s="13">
        <v>2972.72</v>
      </c>
      <c r="C433" s="2">
        <f t="shared" si="32"/>
        <v>1.0029899429192709E-2</v>
      </c>
      <c r="D433" s="21">
        <f t="shared" ca="1" si="30"/>
        <v>9.6459470140858421E-3</v>
      </c>
      <c r="E433" s="21">
        <f t="shared" ca="1" si="33"/>
        <v>9.7457808613310031E-5</v>
      </c>
      <c r="F433" s="11">
        <f t="shared" ca="1" si="34"/>
        <v>4.1406887106445245</v>
      </c>
      <c r="G433" s="10">
        <f t="shared" ca="1" si="31"/>
        <v>1</v>
      </c>
    </row>
    <row r="434" spans="1:7" x14ac:dyDescent="0.2">
      <c r="A434" s="2">
        <v>19911119</v>
      </c>
      <c r="B434" s="13">
        <v>2931.57</v>
      </c>
      <c r="C434" s="2">
        <f t="shared" si="32"/>
        <v>-1.3842541510804798E-2</v>
      </c>
      <c r="D434" s="21">
        <f t="shared" ca="1" si="30"/>
        <v>-1.4226493925911665E-2</v>
      </c>
      <c r="E434" s="21">
        <f t="shared" ca="1" si="33"/>
        <v>9.6857790237587875E-5</v>
      </c>
      <c r="F434" s="11">
        <f t="shared" ca="1" si="34"/>
        <v>3.5763380603542956</v>
      </c>
      <c r="G434" s="10">
        <f t="shared" ca="1" si="31"/>
        <v>0</v>
      </c>
    </row>
    <row r="435" spans="1:7" x14ac:dyDescent="0.2">
      <c r="A435" s="2">
        <v>19911120</v>
      </c>
      <c r="B435" s="13">
        <v>2930.01</v>
      </c>
      <c r="C435" s="2">
        <f t="shared" si="32"/>
        <v>-5.3213806936213207E-4</v>
      </c>
      <c r="D435" s="21">
        <f t="shared" ca="1" si="30"/>
        <v>-9.1609048446899936E-4</v>
      </c>
      <c r="E435" s="21">
        <f t="shared" ca="1" si="33"/>
        <v>1.003090746032189E-4</v>
      </c>
      <c r="F435" s="11">
        <f t="shared" ca="1" si="34"/>
        <v>4.5994440165077881</v>
      </c>
      <c r="G435" s="10">
        <f t="shared" ca="1" si="31"/>
        <v>1</v>
      </c>
    </row>
    <row r="436" spans="1:7" x14ac:dyDescent="0.2">
      <c r="A436" s="2">
        <v>19911121</v>
      </c>
      <c r="B436" s="13">
        <v>2932.69</v>
      </c>
      <c r="C436" s="2">
        <f t="shared" si="32"/>
        <v>9.1467264616838719E-4</v>
      </c>
      <c r="D436" s="21">
        <f t="shared" ca="1" si="30"/>
        <v>5.3072023106151989E-4</v>
      </c>
      <c r="E436" s="21">
        <f t="shared" ca="1" si="33"/>
        <v>9.6174268249573275E-5</v>
      </c>
      <c r="F436" s="11">
        <f t="shared" ca="1" si="34"/>
        <v>4.6232100173429025</v>
      </c>
      <c r="G436" s="10">
        <f t="shared" ca="1" si="31"/>
        <v>1</v>
      </c>
    </row>
    <row r="437" spans="1:7" x14ac:dyDescent="0.2">
      <c r="A437" s="2">
        <v>19911122</v>
      </c>
      <c r="B437" s="13">
        <v>2902.73</v>
      </c>
      <c r="C437" s="2">
        <f t="shared" si="32"/>
        <v>-1.0215876891181828E-2</v>
      </c>
      <c r="D437" s="21">
        <f t="shared" ca="1" si="30"/>
        <v>-1.0599829306288696E-2</v>
      </c>
      <c r="E437" s="21">
        <f t="shared" ca="1" si="33"/>
        <v>9.2228140736530406E-5</v>
      </c>
      <c r="F437" s="11">
        <f t="shared" ca="1" si="34"/>
        <v>4.0365006178154532</v>
      </c>
      <c r="G437" s="10">
        <f t="shared" ca="1" si="31"/>
        <v>0</v>
      </c>
    </row>
    <row r="438" spans="1:7" x14ac:dyDescent="0.2">
      <c r="A438" s="2">
        <v>19911125</v>
      </c>
      <c r="B438" s="13">
        <v>2902.06</v>
      </c>
      <c r="C438" s="2">
        <f t="shared" si="32"/>
        <v>-2.3081719622564716E-4</v>
      </c>
      <c r="D438" s="21">
        <f t="shared" ca="1" si="30"/>
        <v>-6.1476961133251449E-4</v>
      </c>
      <c r="E438" s="21">
        <f t="shared" ca="1" si="33"/>
        <v>9.2602832158705014E-5</v>
      </c>
      <c r="F438" s="11">
        <f t="shared" ca="1" si="34"/>
        <v>4.6415547565822539</v>
      </c>
      <c r="G438" s="10">
        <f t="shared" ca="1" si="31"/>
        <v>1</v>
      </c>
    </row>
    <row r="439" spans="1:7" x14ac:dyDescent="0.2">
      <c r="A439" s="2">
        <v>19911126</v>
      </c>
      <c r="B439" s="13">
        <v>2916.14</v>
      </c>
      <c r="C439" s="2">
        <f t="shared" si="32"/>
        <v>4.8517260153132348E-3</v>
      </c>
      <c r="D439" s="21">
        <f t="shared" ca="1" si="30"/>
        <v>4.4677736002063676E-3</v>
      </c>
      <c r="E439" s="21">
        <f t="shared" ca="1" si="33"/>
        <v>8.8840925072997652E-5</v>
      </c>
      <c r="F439" s="11">
        <f t="shared" ca="1" si="34"/>
        <v>4.5519903242508191</v>
      </c>
      <c r="G439" s="10">
        <f t="shared" ca="1" si="31"/>
        <v>1</v>
      </c>
    </row>
    <row r="440" spans="1:7" x14ac:dyDescent="0.2">
      <c r="A440" s="2">
        <v>19911127</v>
      </c>
      <c r="B440" s="13">
        <v>2900.04</v>
      </c>
      <c r="C440" s="2">
        <f t="shared" si="32"/>
        <v>-5.5209969343035349E-3</v>
      </c>
      <c r="D440" s="21">
        <f t="shared" ca="1" si="30"/>
        <v>-5.9049493494104021E-3</v>
      </c>
      <c r="E440" s="21">
        <f t="shared" ca="1" si="33"/>
        <v>8.5989437387633632E-5</v>
      </c>
      <c r="F440" s="11">
        <f t="shared" ca="1" si="34"/>
        <v>4.4778947316593705</v>
      </c>
      <c r="G440" s="10">
        <f t="shared" ca="1" si="31"/>
        <v>1</v>
      </c>
    </row>
    <row r="441" spans="1:7" x14ac:dyDescent="0.2">
      <c r="A441" s="2">
        <v>19911129</v>
      </c>
      <c r="B441" s="13">
        <v>2894.68</v>
      </c>
      <c r="C441" s="2">
        <f t="shared" si="32"/>
        <v>-1.8482503689604721E-3</v>
      </c>
      <c r="D441" s="21">
        <f t="shared" ca="1" si="30"/>
        <v>-2.2322027840673392E-3</v>
      </c>
      <c r="E441" s="21">
        <f t="shared" ca="1" si="33"/>
        <v>8.3830379481707629E-5</v>
      </c>
      <c r="F441" s="11">
        <f t="shared" ca="1" si="34"/>
        <v>4.6636384319027142</v>
      </c>
      <c r="G441" s="10">
        <f t="shared" ca="1" si="31"/>
        <v>1</v>
      </c>
    </row>
    <row r="442" spans="1:7" x14ac:dyDescent="0.2">
      <c r="A442" s="2">
        <v>19911202</v>
      </c>
      <c r="B442" s="13">
        <v>2935.38</v>
      </c>
      <c r="C442" s="2">
        <f t="shared" si="32"/>
        <v>1.4060276092694279E-2</v>
      </c>
      <c r="D442" s="21">
        <f t="shared" ca="1" si="30"/>
        <v>1.3676323677587412E-2</v>
      </c>
      <c r="E442" s="21">
        <f t="shared" ca="1" si="33"/>
        <v>8.0681599745398766E-5</v>
      </c>
      <c r="F442" s="11">
        <f t="shared" ca="1" si="34"/>
        <v>3.5533644066980177</v>
      </c>
      <c r="G442" s="10">
        <f t="shared" ca="1" si="31"/>
        <v>0</v>
      </c>
    </row>
    <row r="443" spans="1:7" x14ac:dyDescent="0.2">
      <c r="A443" s="2">
        <v>19911203</v>
      </c>
      <c r="B443" s="13">
        <v>2929.56</v>
      </c>
      <c r="C443" s="2">
        <f t="shared" si="32"/>
        <v>-1.9827075199804331E-3</v>
      </c>
      <c r="D443" s="21">
        <f t="shared" ca="1" si="30"/>
        <v>-2.3666599350873002E-3</v>
      </c>
      <c r="E443" s="21">
        <f t="shared" ca="1" si="33"/>
        <v>8.4386748805874757E-5</v>
      </c>
      <c r="F443" s="11">
        <f t="shared" ca="1" si="34"/>
        <v>4.6568631270700918</v>
      </c>
      <c r="G443" s="10">
        <f t="shared" ca="1" si="31"/>
        <v>1</v>
      </c>
    </row>
    <row r="444" spans="1:7" x14ac:dyDescent="0.2">
      <c r="A444" s="2">
        <v>19911204</v>
      </c>
      <c r="B444" s="13">
        <v>2911.67</v>
      </c>
      <c r="C444" s="2">
        <f t="shared" si="32"/>
        <v>-6.106719097748424E-3</v>
      </c>
      <c r="D444" s="21">
        <f t="shared" ca="1" si="30"/>
        <v>-6.4906715128552912E-3</v>
      </c>
      <c r="E444" s="21">
        <f t="shared" ca="1" si="33"/>
        <v>8.1232559970665212E-5</v>
      </c>
      <c r="F444" s="11">
        <f t="shared" ca="1" si="34"/>
        <v>4.4497872866444794</v>
      </c>
      <c r="G444" s="10">
        <f t="shared" ca="1" si="31"/>
        <v>1</v>
      </c>
    </row>
    <row r="445" spans="1:7" x14ac:dyDescent="0.2">
      <c r="A445" s="2">
        <v>19911205</v>
      </c>
      <c r="B445" s="13">
        <v>2889.09</v>
      </c>
      <c r="C445" s="2">
        <f t="shared" si="32"/>
        <v>-7.7549997080712876E-3</v>
      </c>
      <c r="D445" s="21">
        <f t="shared" ca="1" si="30"/>
        <v>-8.1389521231781548E-3</v>
      </c>
      <c r="E445" s="21">
        <f t="shared" ca="1" si="33"/>
        <v>7.9581131271987566E-5</v>
      </c>
      <c r="F445" s="11">
        <f t="shared" ca="1" si="34"/>
        <v>4.3031717448680862</v>
      </c>
      <c r="G445" s="10">
        <f t="shared" ca="1" si="31"/>
        <v>1</v>
      </c>
    </row>
    <row r="446" spans="1:7" x14ac:dyDescent="0.2">
      <c r="A446" s="2">
        <v>19911206</v>
      </c>
      <c r="B446" s="13">
        <v>2886.4</v>
      </c>
      <c r="C446" s="2">
        <f t="shared" si="32"/>
        <v>-9.3108902803306726E-4</v>
      </c>
      <c r="D446" s="21">
        <f t="shared" ca="1" si="30"/>
        <v>-1.3150414431399346E-3</v>
      </c>
      <c r="E446" s="21">
        <f t="shared" ca="1" si="33"/>
        <v>7.8899952665983743E-5</v>
      </c>
      <c r="F446" s="11">
        <f t="shared" ca="1" si="34"/>
        <v>4.7127059343805886</v>
      </c>
      <c r="G446" s="10">
        <f t="shared" ca="1" si="31"/>
        <v>1</v>
      </c>
    </row>
    <row r="447" spans="1:7" x14ac:dyDescent="0.2">
      <c r="A447" s="2">
        <v>19911209</v>
      </c>
      <c r="B447" s="13">
        <v>2871.65</v>
      </c>
      <c r="C447" s="2">
        <f t="shared" si="32"/>
        <v>-5.1101718403547668E-3</v>
      </c>
      <c r="D447" s="21">
        <f t="shared" ca="1" si="30"/>
        <v>-5.494124255461634E-3</v>
      </c>
      <c r="E447" s="21">
        <f t="shared" ca="1" si="33"/>
        <v>7.5880971820962284E-5</v>
      </c>
      <c r="F447" s="11">
        <f t="shared" ca="1" si="34"/>
        <v>4.544272627380181</v>
      </c>
      <c r="G447" s="10">
        <f t="shared" ca="1" si="31"/>
        <v>1</v>
      </c>
    </row>
    <row r="448" spans="1:7" x14ac:dyDescent="0.2">
      <c r="A448" s="2">
        <v>19911210</v>
      </c>
      <c r="B448" s="13">
        <v>2863.82</v>
      </c>
      <c r="C448" s="2">
        <f t="shared" si="32"/>
        <v>-2.7266554071700686E-3</v>
      </c>
      <c r="D448" s="21">
        <f t="shared" ca="1" si="30"/>
        <v>-3.1106078222769358E-3</v>
      </c>
      <c r="E448" s="21">
        <f t="shared" ca="1" si="33"/>
        <v>7.4061101492557395E-5</v>
      </c>
      <c r="F448" s="11">
        <f t="shared" ca="1" si="34"/>
        <v>4.6899864177761525</v>
      </c>
      <c r="G448" s="10">
        <f t="shared" ca="1" si="31"/>
        <v>1</v>
      </c>
    </row>
    <row r="449" spans="1:7" x14ac:dyDescent="0.2">
      <c r="A449" s="2">
        <v>19911211</v>
      </c>
      <c r="B449" s="13">
        <v>2865.38</v>
      </c>
      <c r="C449" s="2">
        <f t="shared" si="32"/>
        <v>5.4472697306393047E-4</v>
      </c>
      <c r="D449" s="21">
        <f t="shared" ca="1" si="30"/>
        <v>1.6077455795706318E-4</v>
      </c>
      <c r="E449" s="21">
        <f t="shared" ca="1" si="33"/>
        <v>7.1579128130882247E-5</v>
      </c>
      <c r="F449" s="11">
        <f t="shared" ca="1" si="34"/>
        <v>4.7721729578939067</v>
      </c>
      <c r="G449" s="10">
        <f t="shared" ca="1" si="31"/>
        <v>1</v>
      </c>
    </row>
    <row r="450" spans="1:7" x14ac:dyDescent="0.2">
      <c r="A450" s="2">
        <v>19911212</v>
      </c>
      <c r="B450" s="13">
        <v>2895.13</v>
      </c>
      <c r="C450" s="2">
        <f t="shared" si="32"/>
        <v>1.0382567059168417E-2</v>
      </c>
      <c r="D450" s="21">
        <f t="shared" ca="1" si="30"/>
        <v>9.99861464406155E-3</v>
      </c>
      <c r="E450" s="21">
        <f t="shared" ca="1" si="33"/>
        <v>6.8867870071954117E-5</v>
      </c>
      <c r="F450" s="11">
        <f t="shared" ca="1" si="34"/>
        <v>4.065833583979666</v>
      </c>
      <c r="G450" s="10">
        <f t="shared" ca="1" si="31"/>
        <v>0</v>
      </c>
    </row>
    <row r="451" spans="1:7" x14ac:dyDescent="0.2">
      <c r="A451" s="2">
        <v>19911213</v>
      </c>
      <c r="B451" s="13">
        <v>2914.36</v>
      </c>
      <c r="C451" s="2">
        <f t="shared" si="32"/>
        <v>6.6421887790876462E-3</v>
      </c>
      <c r="D451" s="21">
        <f t="shared" ca="1" si="30"/>
        <v>6.258236363980779E-3</v>
      </c>
      <c r="E451" s="21">
        <f t="shared" ca="1" si="33"/>
        <v>6.9968980794140123E-5</v>
      </c>
      <c r="F451" s="11">
        <f t="shared" ca="1" si="34"/>
        <v>4.5038515188281725</v>
      </c>
      <c r="G451" s="10">
        <f t="shared" ca="1" si="31"/>
        <v>1</v>
      </c>
    </row>
    <row r="452" spans="1:7" x14ac:dyDescent="0.2">
      <c r="A452" s="2">
        <v>19911216</v>
      </c>
      <c r="B452" s="13">
        <v>2919.05</v>
      </c>
      <c r="C452" s="2">
        <f t="shared" si="32"/>
        <v>1.6092727048134254E-3</v>
      </c>
      <c r="D452" s="21">
        <f t="shared" ca="1" si="30"/>
        <v>1.225320289706558E-3</v>
      </c>
      <c r="E452" s="21">
        <f t="shared" ca="1" si="33"/>
        <v>6.8778414769222424E-5</v>
      </c>
      <c r="F452" s="11">
        <f t="shared" ca="1" si="34"/>
        <v>4.7813954676084656</v>
      </c>
      <c r="G452" s="10">
        <f t="shared" ca="1" si="31"/>
        <v>1</v>
      </c>
    </row>
    <row r="453" spans="1:7" x14ac:dyDescent="0.2">
      <c r="A453" s="2">
        <v>19911217</v>
      </c>
      <c r="B453" s="13">
        <v>2902.28</v>
      </c>
      <c r="C453" s="2">
        <f t="shared" si="32"/>
        <v>-5.7450197838337753E-3</v>
      </c>
      <c r="D453" s="21">
        <f t="shared" ca="1" si="30"/>
        <v>-6.1289721989406425E-3</v>
      </c>
      <c r="E453" s="21">
        <f t="shared" ca="1" si="33"/>
        <v>6.6263104688817293E-5</v>
      </c>
      <c r="F453" s="11">
        <f t="shared" ca="1" si="34"/>
        <v>4.5274905683573667</v>
      </c>
      <c r="G453" s="10">
        <f t="shared" ca="1" si="31"/>
        <v>1</v>
      </c>
    </row>
    <row r="454" spans="1:7" x14ac:dyDescent="0.2">
      <c r="A454" s="2">
        <v>19911218</v>
      </c>
      <c r="B454" s="13">
        <v>2908.09</v>
      </c>
      <c r="C454" s="2">
        <f t="shared" si="32"/>
        <v>2.0018743884118503E-3</v>
      </c>
      <c r="D454" s="21">
        <f t="shared" ca="1" si="30"/>
        <v>1.6179219733049831E-3</v>
      </c>
      <c r="E454" s="21">
        <f t="shared" ca="1" si="33"/>
        <v>6.5201140421204464E-5</v>
      </c>
      <c r="F454" s="11">
        <f t="shared" ca="1" si="34"/>
        <v>4.7989429821099963</v>
      </c>
      <c r="G454" s="10">
        <f t="shared" ca="1" si="31"/>
        <v>1</v>
      </c>
    </row>
    <row r="455" spans="1:7" x14ac:dyDescent="0.2">
      <c r="A455" s="2">
        <v>19911219</v>
      </c>
      <c r="B455" s="13">
        <v>2914.36</v>
      </c>
      <c r="C455" s="2">
        <f t="shared" si="32"/>
        <v>2.1560543174385873E-3</v>
      </c>
      <c r="D455" s="21">
        <f t="shared" ca="1" si="30"/>
        <v>1.7721019023317201E-3</v>
      </c>
      <c r="E455" s="21">
        <f t="shared" ca="1" si="33"/>
        <v>6.2907852719664301E-5</v>
      </c>
      <c r="F455" s="11">
        <f t="shared" ca="1" si="34"/>
        <v>4.8119598968439075</v>
      </c>
      <c r="G455" s="10">
        <f t="shared" ca="1" si="31"/>
        <v>1</v>
      </c>
    </row>
    <row r="456" spans="1:7" x14ac:dyDescent="0.2">
      <c r="A456" s="2">
        <v>19911220</v>
      </c>
      <c r="B456" s="13">
        <v>2934.48</v>
      </c>
      <c r="C456" s="2">
        <f t="shared" si="32"/>
        <v>6.9037455907986281E-3</v>
      </c>
      <c r="D456" s="21">
        <f t="shared" ca="1" si="30"/>
        <v>6.5197931756917609E-3</v>
      </c>
      <c r="E456" s="21">
        <f t="shared" ca="1" si="33"/>
        <v>6.0749802820418391E-5</v>
      </c>
      <c r="F456" s="11">
        <f t="shared" ca="1" si="34"/>
        <v>4.5045145868931371</v>
      </c>
      <c r="G456" s="10">
        <f t="shared" ca="1" si="31"/>
        <v>1</v>
      </c>
    </row>
    <row r="457" spans="1:7" x14ac:dyDescent="0.2">
      <c r="A457" s="2">
        <v>19911223</v>
      </c>
      <c r="B457" s="13">
        <v>3022.58</v>
      </c>
      <c r="C457" s="2">
        <f t="shared" si="32"/>
        <v>3.0022354897630894E-2</v>
      </c>
      <c r="D457" s="21">
        <f t="shared" ca="1" si="30"/>
        <v>2.9638402482524025E-2</v>
      </c>
      <c r="E457" s="21">
        <f t="shared" ca="1" si="33"/>
        <v>6.0148535863443578E-5</v>
      </c>
      <c r="F457" s="11">
        <f t="shared" ca="1" si="34"/>
        <v>-2.4428667758705966</v>
      </c>
      <c r="G457" s="10">
        <f t="shared" ca="1" si="31"/>
        <v>0</v>
      </c>
    </row>
    <row r="458" spans="1:7" x14ac:dyDescent="0.2">
      <c r="A458" s="2">
        <v>19911224</v>
      </c>
      <c r="B458" s="13">
        <v>3050.98</v>
      </c>
      <c r="C458" s="2">
        <f t="shared" si="32"/>
        <v>9.3959465092735648E-3</v>
      </c>
      <c r="D458" s="21">
        <f t="shared" ca="1" si="30"/>
        <v>9.0119940941666976E-3</v>
      </c>
      <c r="E458" s="21">
        <f t="shared" ca="1" si="33"/>
        <v>9.0316189862837956E-5</v>
      </c>
      <c r="F458" s="11">
        <f t="shared" ca="1" si="34"/>
        <v>4.206476319681336</v>
      </c>
      <c r="G458" s="10">
        <f t="shared" ca="1" si="31"/>
        <v>1</v>
      </c>
    </row>
    <row r="459" spans="1:7" x14ac:dyDescent="0.2">
      <c r="A459" s="2">
        <v>19911226</v>
      </c>
      <c r="B459" s="13">
        <v>3082.96</v>
      </c>
      <c r="C459" s="2">
        <f t="shared" si="32"/>
        <v>1.0481877953968894E-2</v>
      </c>
      <c r="D459" s="21">
        <f t="shared" ca="1" si="30"/>
        <v>1.0097925538862027E-2</v>
      </c>
      <c r="E459" s="21">
        <f t="shared" ca="1" si="33"/>
        <v>8.9642522696352069E-5</v>
      </c>
      <c r="F459" s="11">
        <f t="shared" ca="1" si="34"/>
        <v>4.0910918859652519</v>
      </c>
      <c r="G459" s="10">
        <f t="shared" ca="1" si="31"/>
        <v>0</v>
      </c>
    </row>
    <row r="460" spans="1:7" x14ac:dyDescent="0.2">
      <c r="A460" s="2">
        <v>19911227</v>
      </c>
      <c r="B460" s="13">
        <v>3101.52</v>
      </c>
      <c r="C460" s="2">
        <f t="shared" si="32"/>
        <v>6.0201883903780607E-3</v>
      </c>
      <c r="D460" s="21">
        <f t="shared" ca="1" si="30"/>
        <v>5.6362359752711935E-3</v>
      </c>
      <c r="E460" s="21">
        <f t="shared" ca="1" si="33"/>
        <v>8.976602615080405E-5</v>
      </c>
      <c r="F460" s="11">
        <f t="shared" ca="1" si="34"/>
        <v>4.4822077877486803</v>
      </c>
      <c r="G460" s="10">
        <f t="shared" ca="1" si="31"/>
        <v>1</v>
      </c>
    </row>
    <row r="461" spans="1:7" x14ac:dyDescent="0.2">
      <c r="A461" s="2">
        <v>19911230</v>
      </c>
      <c r="B461" s="13">
        <v>3163.91</v>
      </c>
      <c r="C461" s="2">
        <f t="shared" si="32"/>
        <v>2.0115943150455218E-2</v>
      </c>
      <c r="D461" s="21">
        <f t="shared" ca="1" si="30"/>
        <v>1.973199073534835E-2</v>
      </c>
      <c r="E461" s="21">
        <f t="shared" ca="1" si="33"/>
        <v>8.7301870231728187E-5</v>
      </c>
      <c r="F461" s="11">
        <f t="shared" ca="1" si="34"/>
        <v>2.4431545740376519</v>
      </c>
      <c r="G461" s="10">
        <f t="shared" ca="1" si="31"/>
        <v>0</v>
      </c>
    </row>
    <row r="462" spans="1:7" x14ac:dyDescent="0.2">
      <c r="A462" s="2">
        <v>19911231</v>
      </c>
      <c r="B462" s="13">
        <v>3168.83</v>
      </c>
      <c r="C462" s="2">
        <f t="shared" si="32"/>
        <v>1.5550379119507424E-3</v>
      </c>
      <c r="D462" s="21">
        <f t="shared" ref="D462:D525" ca="1" si="35">(C462-mu)</f>
        <v>1.1710854968438752E-3</v>
      </c>
      <c r="E462" s="21">
        <f t="shared" ca="1" si="33"/>
        <v>9.8111375930626861E-5</v>
      </c>
      <c r="F462" s="11">
        <f t="shared" ca="1" si="34"/>
        <v>4.6077144117282884</v>
      </c>
      <c r="G462" s="10">
        <f t="shared" ref="G462:G525" ca="1" si="36">IF(AND(C462&lt;=mu+zvalue*SQRT(E462),C462&gt;=mu-zvalue*SQRT(E462)),1,0)</f>
        <v>1</v>
      </c>
    </row>
    <row r="463" spans="1:7" x14ac:dyDescent="0.2">
      <c r="A463" s="2">
        <v>19920102</v>
      </c>
      <c r="B463" s="13">
        <v>3172.41</v>
      </c>
      <c r="C463" s="2">
        <f t="shared" ref="C463:C526" si="37">(B463-B462)/B462</f>
        <v>1.1297545150733637E-3</v>
      </c>
      <c r="D463" s="21">
        <f t="shared" ca="1" si="35"/>
        <v>7.458020999664964E-4</v>
      </c>
      <c r="E463" s="21">
        <f t="shared" ref="E463:E526" ca="1" si="38">(1-alpha-beta)*longvar+alpha*D462^2+beta*E462</f>
        <v>9.4107322515466385E-5</v>
      </c>
      <c r="F463" s="11">
        <f t="shared" ref="F463:F526" ca="1" si="39">(-0.5)*(LN(E463)+D463^2/E463)</f>
        <v>4.6325821020031244</v>
      </c>
      <c r="G463" s="10">
        <f t="shared" ca="1" si="36"/>
        <v>1</v>
      </c>
    </row>
    <row r="464" spans="1:7" x14ac:dyDescent="0.2">
      <c r="A464" s="2">
        <v>19920103</v>
      </c>
      <c r="B464" s="13">
        <v>3201.48</v>
      </c>
      <c r="C464" s="2">
        <f t="shared" si="37"/>
        <v>9.1633805214332842E-3</v>
      </c>
      <c r="D464" s="21">
        <f t="shared" ca="1" si="35"/>
        <v>8.779428106326417E-3</v>
      </c>
      <c r="E464" s="21">
        <f t="shared" ca="1" si="38"/>
        <v>9.0275858400926795E-5</v>
      </c>
      <c r="F464" s="11">
        <f t="shared" ca="1" si="39"/>
        <v>4.2294156441935264</v>
      </c>
      <c r="G464" s="10">
        <f t="shared" ca="1" si="36"/>
        <v>1</v>
      </c>
    </row>
    <row r="465" spans="1:7" x14ac:dyDescent="0.2">
      <c r="A465" s="2">
        <v>19920106</v>
      </c>
      <c r="B465" s="13">
        <v>3200.13</v>
      </c>
      <c r="C465" s="2">
        <f t="shared" si="37"/>
        <v>-4.2167997301245332E-4</v>
      </c>
      <c r="D465" s="21">
        <f t="shared" ca="1" si="35"/>
        <v>-8.0563238811932067E-4</v>
      </c>
      <c r="E465" s="21">
        <f t="shared" ca="1" si="38"/>
        <v>8.945208190999323E-5</v>
      </c>
      <c r="F465" s="11">
        <f t="shared" ca="1" si="39"/>
        <v>4.6572758529052924</v>
      </c>
      <c r="G465" s="10">
        <f t="shared" ca="1" si="36"/>
        <v>1</v>
      </c>
    </row>
    <row r="466" spans="1:7" x14ac:dyDescent="0.2">
      <c r="A466" s="2">
        <v>19920107</v>
      </c>
      <c r="B466" s="13">
        <v>3204.83</v>
      </c>
      <c r="C466" s="2">
        <f t="shared" si="37"/>
        <v>1.4686903344551059E-3</v>
      </c>
      <c r="D466" s="21">
        <f t="shared" ca="1" si="35"/>
        <v>1.0847379193482387E-3</v>
      </c>
      <c r="E466" s="21">
        <f t="shared" ca="1" si="38"/>
        <v>8.585954120590574E-5</v>
      </c>
      <c r="F466" s="11">
        <f t="shared" ca="1" si="39"/>
        <v>4.6745467027093381</v>
      </c>
      <c r="G466" s="10">
        <f t="shared" ca="1" si="36"/>
        <v>1</v>
      </c>
    </row>
    <row r="467" spans="1:7" x14ac:dyDescent="0.2">
      <c r="A467" s="2">
        <v>19920108</v>
      </c>
      <c r="B467" s="13">
        <v>3203.94</v>
      </c>
      <c r="C467" s="2">
        <f t="shared" si="37"/>
        <v>-2.7770583775110465E-4</v>
      </c>
      <c r="D467" s="21">
        <f t="shared" ca="1" si="35"/>
        <v>-6.6165825285797195E-4</v>
      </c>
      <c r="E467" s="21">
        <f t="shared" ca="1" si="38"/>
        <v>8.2468149563152889E-5</v>
      </c>
      <c r="F467" s="11">
        <f t="shared" ca="1" si="39"/>
        <v>4.6988948951077996</v>
      </c>
      <c r="G467" s="10">
        <f t="shared" ca="1" si="36"/>
        <v>1</v>
      </c>
    </row>
    <row r="468" spans="1:7" x14ac:dyDescent="0.2">
      <c r="A468" s="2">
        <v>19920109</v>
      </c>
      <c r="B468" s="13">
        <v>3209.53</v>
      </c>
      <c r="C468" s="2">
        <f t="shared" si="37"/>
        <v>1.7447268051212399E-3</v>
      </c>
      <c r="D468" s="21">
        <f t="shared" ca="1" si="35"/>
        <v>1.3607743900143727E-3</v>
      </c>
      <c r="E468" s="21">
        <f t="shared" ca="1" si="38"/>
        <v>7.9221160194788227E-5</v>
      </c>
      <c r="F468" s="11">
        <f t="shared" ca="1" si="39"/>
        <v>4.709946613707376</v>
      </c>
      <c r="G468" s="10">
        <f t="shared" ca="1" si="36"/>
        <v>1</v>
      </c>
    </row>
    <row r="469" spans="1:7" x14ac:dyDescent="0.2">
      <c r="A469" s="2">
        <v>19920110</v>
      </c>
      <c r="B469" s="13">
        <v>3199.46</v>
      </c>
      <c r="C469" s="2">
        <f t="shared" si="37"/>
        <v>-3.1375310403704477E-3</v>
      </c>
      <c r="D469" s="21">
        <f t="shared" ca="1" si="35"/>
        <v>-3.5214834554773149E-3</v>
      </c>
      <c r="E469" s="21">
        <f t="shared" ca="1" si="38"/>
        <v>7.6190429221918046E-5</v>
      </c>
      <c r="F469" s="11">
        <f t="shared" ca="1" si="39"/>
        <v>4.6597567517083425</v>
      </c>
      <c r="G469" s="10">
        <f t="shared" ca="1" si="36"/>
        <v>1</v>
      </c>
    </row>
    <row r="470" spans="1:7" x14ac:dyDescent="0.2">
      <c r="A470" s="2">
        <v>19920113</v>
      </c>
      <c r="B470" s="13">
        <v>3185.6</v>
      </c>
      <c r="C470" s="2">
        <f t="shared" si="37"/>
        <v>-4.3319810217974678E-3</v>
      </c>
      <c r="D470" s="21">
        <f t="shared" ca="1" si="35"/>
        <v>-4.715933436904335E-3</v>
      </c>
      <c r="E470" s="21">
        <f t="shared" ca="1" si="38"/>
        <v>7.3700934179355876E-5</v>
      </c>
      <c r="F470" s="11">
        <f t="shared" ca="1" si="39"/>
        <v>4.6068673091243104</v>
      </c>
      <c r="G470" s="10">
        <f t="shared" ca="1" si="36"/>
        <v>1</v>
      </c>
    </row>
    <row r="471" spans="1:7" x14ac:dyDescent="0.2">
      <c r="A471" s="2">
        <v>19920114</v>
      </c>
      <c r="B471" s="13">
        <v>3246.2</v>
      </c>
      <c r="C471" s="2">
        <f t="shared" si="37"/>
        <v>1.902310396785532E-2</v>
      </c>
      <c r="D471" s="21">
        <f t="shared" ca="1" si="35"/>
        <v>1.8639151552748451E-2</v>
      </c>
      <c r="E471" s="21">
        <f t="shared" ca="1" si="38"/>
        <v>7.1699187429212022E-5</v>
      </c>
      <c r="F471" s="11">
        <f t="shared" ca="1" si="39"/>
        <v>2.3487686545679436</v>
      </c>
      <c r="G471" s="10">
        <f t="shared" ca="1" si="36"/>
        <v>0</v>
      </c>
    </row>
    <row r="472" spans="1:7" x14ac:dyDescent="0.2">
      <c r="A472" s="2">
        <v>19920115</v>
      </c>
      <c r="B472" s="13">
        <v>3258.5</v>
      </c>
      <c r="C472" s="2">
        <f t="shared" si="37"/>
        <v>3.7890456533793923E-3</v>
      </c>
      <c r="D472" s="21">
        <f t="shared" ca="1" si="35"/>
        <v>3.4050932382725251E-3</v>
      </c>
      <c r="E472" s="21">
        <f t="shared" ca="1" si="38"/>
        <v>8.1756070425219768E-5</v>
      </c>
      <c r="F472" s="11">
        <f t="shared" ca="1" si="39"/>
        <v>4.6349751615403703</v>
      </c>
      <c r="G472" s="10">
        <f t="shared" ca="1" si="36"/>
        <v>1</v>
      </c>
    </row>
    <row r="473" spans="1:7" x14ac:dyDescent="0.2">
      <c r="A473" s="2">
        <v>19920116</v>
      </c>
      <c r="B473" s="13">
        <v>3249.55</v>
      </c>
      <c r="C473" s="2">
        <f t="shared" si="37"/>
        <v>-2.7466625748043022E-3</v>
      </c>
      <c r="D473" s="21">
        <f t="shared" ca="1" si="35"/>
        <v>-3.1306149899111694E-3</v>
      </c>
      <c r="E473" s="21">
        <f t="shared" ca="1" si="38"/>
        <v>7.8955362903366326E-5</v>
      </c>
      <c r="F473" s="11">
        <f t="shared" ca="1" si="39"/>
        <v>4.661248812762639</v>
      </c>
      <c r="G473" s="10">
        <f t="shared" ca="1" si="36"/>
        <v>1</v>
      </c>
    </row>
    <row r="474" spans="1:7" x14ac:dyDescent="0.2">
      <c r="A474" s="2">
        <v>19920117</v>
      </c>
      <c r="B474" s="13">
        <v>3264.98</v>
      </c>
      <c r="C474" s="2">
        <f t="shared" si="37"/>
        <v>4.7483497715067732E-3</v>
      </c>
      <c r="D474" s="21">
        <f t="shared" ca="1" si="35"/>
        <v>4.364397356399906E-3</v>
      </c>
      <c r="E474" s="21">
        <f t="shared" ca="1" si="38"/>
        <v>7.6230378903595125E-5</v>
      </c>
      <c r="F474" s="11">
        <f t="shared" ca="1" si="39"/>
        <v>4.6159384174121039</v>
      </c>
      <c r="G474" s="10">
        <f t="shared" ca="1" si="36"/>
        <v>1</v>
      </c>
    </row>
    <row r="475" spans="1:7" x14ac:dyDescent="0.2">
      <c r="A475" s="2">
        <v>19920120</v>
      </c>
      <c r="B475" s="13">
        <v>3254.03</v>
      </c>
      <c r="C475" s="2">
        <f t="shared" si="37"/>
        <v>-3.3537724580241894E-3</v>
      </c>
      <c r="D475" s="21">
        <f t="shared" ca="1" si="35"/>
        <v>-3.7377248731310566E-3</v>
      </c>
      <c r="E475" s="21">
        <f t="shared" ca="1" si="38"/>
        <v>7.398328894901848E-5</v>
      </c>
      <c r="F475" s="11">
        <f t="shared" ca="1" si="39"/>
        <v>4.6614184762331989</v>
      </c>
      <c r="G475" s="10">
        <f t="shared" ca="1" si="36"/>
        <v>1</v>
      </c>
    </row>
    <row r="476" spans="1:7" x14ac:dyDescent="0.2">
      <c r="A476" s="2">
        <v>19920121</v>
      </c>
      <c r="B476" s="13">
        <v>3223.39</v>
      </c>
      <c r="C476" s="2">
        <f t="shared" si="37"/>
        <v>-9.4160164472977589E-3</v>
      </c>
      <c r="D476" s="21">
        <f t="shared" ca="1" si="35"/>
        <v>-9.7999688624046261E-3</v>
      </c>
      <c r="E476" s="21">
        <f t="shared" ca="1" si="38"/>
        <v>7.1663175995393113E-5</v>
      </c>
      <c r="F476" s="11">
        <f t="shared" ca="1" si="39"/>
        <v>4.1016918722512381</v>
      </c>
      <c r="G476" s="10">
        <f t="shared" ca="1" si="36"/>
        <v>0</v>
      </c>
    </row>
    <row r="477" spans="1:7" x14ac:dyDescent="0.2">
      <c r="A477" s="2">
        <v>19920122</v>
      </c>
      <c r="B477" s="13">
        <v>3255.81</v>
      </c>
      <c r="C477" s="2">
        <f t="shared" si="37"/>
        <v>1.0057734248725744E-2</v>
      </c>
      <c r="D477" s="21">
        <f t="shared" ca="1" si="35"/>
        <v>9.6737818336188764E-3</v>
      </c>
      <c r="E477" s="21">
        <f t="shared" ca="1" si="38"/>
        <v>7.2478251483088063E-5</v>
      </c>
      <c r="F477" s="11">
        <f t="shared" ca="1" si="39"/>
        <v>4.1205248648743256</v>
      </c>
      <c r="G477" s="10">
        <f t="shared" ca="1" si="36"/>
        <v>0</v>
      </c>
    </row>
    <row r="478" spans="1:7" x14ac:dyDescent="0.2">
      <c r="A478" s="2">
        <v>19920123</v>
      </c>
      <c r="B478" s="13">
        <v>3226.74</v>
      </c>
      <c r="C478" s="2">
        <f t="shared" si="37"/>
        <v>-8.9286536990795425E-3</v>
      </c>
      <c r="D478" s="21">
        <f t="shared" ca="1" si="35"/>
        <v>-9.3126061141864096E-3</v>
      </c>
      <c r="E478" s="21">
        <f t="shared" ca="1" si="38"/>
        <v>7.3161731544486418E-5</v>
      </c>
      <c r="F478" s="11">
        <f t="shared" ca="1" si="39"/>
        <v>4.1687278080386623</v>
      </c>
      <c r="G478" s="10">
        <f t="shared" ca="1" si="36"/>
        <v>0</v>
      </c>
    </row>
    <row r="479" spans="1:7" x14ac:dyDescent="0.2">
      <c r="A479" s="2">
        <v>19920124</v>
      </c>
      <c r="B479" s="13">
        <v>3232.78</v>
      </c>
      <c r="C479" s="2">
        <f t="shared" si="37"/>
        <v>1.8718582842126787E-3</v>
      </c>
      <c r="D479" s="21">
        <f t="shared" ca="1" si="35"/>
        <v>1.4879058691058115E-3</v>
      </c>
      <c r="E479" s="21">
        <f t="shared" ca="1" si="38"/>
        <v>7.3558474732206565E-5</v>
      </c>
      <c r="F479" s="11">
        <f t="shared" ca="1" si="39"/>
        <v>4.7436666203241922</v>
      </c>
      <c r="G479" s="10">
        <f t="shared" ca="1" si="36"/>
        <v>1</v>
      </c>
    </row>
    <row r="480" spans="1:7" x14ac:dyDescent="0.2">
      <c r="A480" s="2">
        <v>19920127</v>
      </c>
      <c r="B480" s="13">
        <v>3240.61</v>
      </c>
      <c r="C480" s="2">
        <f t="shared" si="37"/>
        <v>2.422063982083509E-3</v>
      </c>
      <c r="D480" s="21">
        <f t="shared" ca="1" si="35"/>
        <v>2.0381115669766419E-3</v>
      </c>
      <c r="E480" s="21">
        <f t="shared" ca="1" si="38"/>
        <v>7.0827538024244139E-5</v>
      </c>
      <c r="F480" s="11">
        <f t="shared" ca="1" si="39"/>
        <v>4.7483073013905051</v>
      </c>
      <c r="G480" s="10">
        <f t="shared" ca="1" si="36"/>
        <v>1</v>
      </c>
    </row>
    <row r="481" spans="1:7" x14ac:dyDescent="0.2">
      <c r="A481" s="2">
        <v>19920128</v>
      </c>
      <c r="B481" s="13">
        <v>3272.14</v>
      </c>
      <c r="C481" s="2">
        <f t="shared" si="37"/>
        <v>9.7296496647235383E-3</v>
      </c>
      <c r="D481" s="21">
        <f t="shared" ca="1" si="35"/>
        <v>9.3456972496166711E-3</v>
      </c>
      <c r="E481" s="21">
        <f t="shared" ca="1" si="38"/>
        <v>6.8306098773618902E-5</v>
      </c>
      <c r="F481" s="11">
        <f t="shared" ca="1" si="39"/>
        <v>4.1564127151230617</v>
      </c>
      <c r="G481" s="10">
        <f t="shared" ca="1" si="36"/>
        <v>0</v>
      </c>
    </row>
    <row r="482" spans="1:7" x14ac:dyDescent="0.2">
      <c r="A482" s="2">
        <v>19920129</v>
      </c>
      <c r="B482" s="13">
        <v>3224.96</v>
      </c>
      <c r="C482" s="2">
        <f t="shared" si="37"/>
        <v>-1.4418698466446986E-2</v>
      </c>
      <c r="D482" s="21">
        <f t="shared" ca="1" si="35"/>
        <v>-1.4802650881553853E-2</v>
      </c>
      <c r="E482" s="21">
        <f t="shared" ca="1" si="38"/>
        <v>6.8971193796843713E-5</v>
      </c>
      <c r="F482" s="11">
        <f t="shared" ca="1" si="39"/>
        <v>3.2024326284677413</v>
      </c>
      <c r="G482" s="10">
        <f t="shared" ca="1" si="36"/>
        <v>0</v>
      </c>
    </row>
    <row r="483" spans="1:7" x14ac:dyDescent="0.2">
      <c r="A483" s="2">
        <v>19920130</v>
      </c>
      <c r="B483" s="13">
        <v>3244.86</v>
      </c>
      <c r="C483" s="2">
        <f t="shared" si="37"/>
        <v>6.1706191704703596E-3</v>
      </c>
      <c r="D483" s="21">
        <f t="shared" ca="1" si="35"/>
        <v>5.7866667553634924E-3</v>
      </c>
      <c r="E483" s="21">
        <f t="shared" ca="1" si="38"/>
        <v>7.4448290349454186E-5</v>
      </c>
      <c r="F483" s="11">
        <f t="shared" ca="1" si="39"/>
        <v>4.5278118061481409</v>
      </c>
      <c r="G483" s="10">
        <f t="shared" ca="1" si="36"/>
        <v>1</v>
      </c>
    </row>
    <row r="484" spans="1:7" x14ac:dyDescent="0.2">
      <c r="A484" s="2">
        <v>19920131</v>
      </c>
      <c r="B484" s="13">
        <v>3223.39</v>
      </c>
      <c r="C484" s="2">
        <f t="shared" si="37"/>
        <v>-6.6166182824529424E-3</v>
      </c>
      <c r="D484" s="21">
        <f t="shared" ca="1" si="35"/>
        <v>-7.0005706975598096E-3</v>
      </c>
      <c r="E484" s="21">
        <f t="shared" ca="1" si="38"/>
        <v>7.282225068480534E-5</v>
      </c>
      <c r="F484" s="11">
        <f t="shared" ca="1" si="39"/>
        <v>4.4272540109353447</v>
      </c>
      <c r="G484" s="10">
        <f t="shared" ca="1" si="36"/>
        <v>1</v>
      </c>
    </row>
    <row r="485" spans="1:7" x14ac:dyDescent="0.2">
      <c r="A485" s="2">
        <v>19920203</v>
      </c>
      <c r="B485" s="13">
        <v>3234.12</v>
      </c>
      <c r="C485" s="2">
        <f t="shared" si="37"/>
        <v>3.3287935992852304E-3</v>
      </c>
      <c r="D485" s="21">
        <f t="shared" ca="1" si="35"/>
        <v>2.9448411841783632E-3</v>
      </c>
      <c r="E485" s="21">
        <f t="shared" ca="1" si="38"/>
        <v>7.1849261519529918E-5</v>
      </c>
      <c r="F485" s="11">
        <f t="shared" ca="1" si="39"/>
        <v>4.7101209208813071</v>
      </c>
      <c r="G485" s="10">
        <f t="shared" ca="1" si="36"/>
        <v>1</v>
      </c>
    </row>
    <row r="486" spans="1:7" x14ac:dyDescent="0.2">
      <c r="A486" s="2">
        <v>19920204</v>
      </c>
      <c r="B486" s="13">
        <v>3272.81</v>
      </c>
      <c r="C486" s="2">
        <f t="shared" si="37"/>
        <v>1.1963068779142412E-2</v>
      </c>
      <c r="D486" s="21">
        <f t="shared" ca="1" si="35"/>
        <v>1.1579116364035545E-2</v>
      </c>
      <c r="E486" s="21">
        <f t="shared" ca="1" si="38"/>
        <v>6.9442274707043426E-5</v>
      </c>
      <c r="F486" s="11">
        <f t="shared" ca="1" si="39"/>
        <v>3.8221304651310124</v>
      </c>
      <c r="G486" s="10">
        <f t="shared" ca="1" si="36"/>
        <v>0</v>
      </c>
    </row>
    <row r="487" spans="1:7" x14ac:dyDescent="0.2">
      <c r="A487" s="2">
        <v>19920205</v>
      </c>
      <c r="B487" s="13">
        <v>3257.6</v>
      </c>
      <c r="C487" s="2">
        <f t="shared" si="37"/>
        <v>-4.6473825244973087E-3</v>
      </c>
      <c r="D487" s="21">
        <f t="shared" ca="1" si="35"/>
        <v>-5.0313349396041759E-3</v>
      </c>
      <c r="E487" s="21">
        <f t="shared" ca="1" si="38"/>
        <v>7.1768376534691008E-5</v>
      </c>
      <c r="F487" s="11">
        <f t="shared" ca="1" si="39"/>
        <v>4.5946719883420908</v>
      </c>
      <c r="G487" s="10">
        <f t="shared" ca="1" si="36"/>
        <v>1</v>
      </c>
    </row>
    <row r="488" spans="1:7" x14ac:dyDescent="0.2">
      <c r="A488" s="2">
        <v>19920206</v>
      </c>
      <c r="B488" s="13">
        <v>3255.59</v>
      </c>
      <c r="C488" s="2">
        <f t="shared" si="37"/>
        <v>-6.1701866404707871E-4</v>
      </c>
      <c r="D488" s="21">
        <f t="shared" ca="1" si="35"/>
        <v>-1.000971079153946E-3</v>
      </c>
      <c r="E488" s="21">
        <f t="shared" ca="1" si="38"/>
        <v>6.9977446004726679E-5</v>
      </c>
      <c r="F488" s="11">
        <f t="shared" ca="1" si="39"/>
        <v>4.776509740801397</v>
      </c>
      <c r="G488" s="10">
        <f t="shared" ca="1" si="36"/>
        <v>1</v>
      </c>
    </row>
    <row r="489" spans="1:7" x14ac:dyDescent="0.2">
      <c r="A489" s="2">
        <v>19920207</v>
      </c>
      <c r="B489" s="13">
        <v>3225.4</v>
      </c>
      <c r="C489" s="2">
        <f t="shared" si="37"/>
        <v>-9.2732807263814099E-3</v>
      </c>
      <c r="D489" s="21">
        <f t="shared" ca="1" si="35"/>
        <v>-9.6572331414882771E-3</v>
      </c>
      <c r="E489" s="21">
        <f t="shared" ca="1" si="38"/>
        <v>6.7383110276261025E-5</v>
      </c>
      <c r="F489" s="11">
        <f t="shared" ca="1" si="39"/>
        <v>4.1105289386370858</v>
      </c>
      <c r="G489" s="10">
        <f t="shared" ca="1" si="36"/>
        <v>0</v>
      </c>
    </row>
    <row r="490" spans="1:7" x14ac:dyDescent="0.2">
      <c r="A490" s="2">
        <v>19920210</v>
      </c>
      <c r="B490" s="13">
        <v>3245.08</v>
      </c>
      <c r="C490" s="2">
        <f t="shared" si="37"/>
        <v>6.1015687976684555E-3</v>
      </c>
      <c r="D490" s="21">
        <f t="shared" ca="1" si="35"/>
        <v>5.7176163825615883E-3</v>
      </c>
      <c r="E490" s="21">
        <f t="shared" ca="1" si="38"/>
        <v>6.8312591816518988E-5</v>
      </c>
      <c r="F490" s="11">
        <f t="shared" ca="1" si="39"/>
        <v>4.55643215328291</v>
      </c>
      <c r="G490" s="10">
        <f t="shared" ca="1" si="36"/>
        <v>1</v>
      </c>
    </row>
    <row r="491" spans="1:7" x14ac:dyDescent="0.2">
      <c r="A491" s="2">
        <v>19920211</v>
      </c>
      <c r="B491" s="13">
        <v>3251.57</v>
      </c>
      <c r="C491" s="2">
        <f t="shared" si="37"/>
        <v>1.9999506945900369E-3</v>
      </c>
      <c r="D491" s="21">
        <f t="shared" ca="1" si="35"/>
        <v>1.6159982794831697E-3</v>
      </c>
      <c r="E491" s="21">
        <f t="shared" ca="1" si="38"/>
        <v>6.6967748603699373E-5</v>
      </c>
      <c r="F491" s="11">
        <f t="shared" ca="1" si="39"/>
        <v>4.7861518876290825</v>
      </c>
      <c r="G491" s="10">
        <f t="shared" ca="1" si="36"/>
        <v>1</v>
      </c>
    </row>
    <row r="492" spans="1:7" x14ac:dyDescent="0.2">
      <c r="A492" s="2">
        <v>19920212</v>
      </c>
      <c r="B492" s="13">
        <v>3276.83</v>
      </c>
      <c r="C492" s="2">
        <f t="shared" si="37"/>
        <v>7.7685548827181213E-3</v>
      </c>
      <c r="D492" s="21">
        <f t="shared" ca="1" si="35"/>
        <v>7.3846024676112541E-3</v>
      </c>
      <c r="E492" s="21">
        <f t="shared" ca="1" si="38"/>
        <v>6.4584858852830994E-5</v>
      </c>
      <c r="F492" s="11">
        <f t="shared" ca="1" si="39"/>
        <v>4.4015892876713165</v>
      </c>
      <c r="G492" s="10">
        <f t="shared" ca="1" si="36"/>
        <v>1</v>
      </c>
    </row>
    <row r="493" spans="1:7" x14ac:dyDescent="0.2">
      <c r="A493" s="2">
        <v>19920213</v>
      </c>
      <c r="B493" s="13">
        <v>3246.65</v>
      </c>
      <c r="C493" s="2">
        <f t="shared" si="37"/>
        <v>-9.2101207569510284E-3</v>
      </c>
      <c r="D493" s="21">
        <f t="shared" ca="1" si="35"/>
        <v>-9.5940731720578955E-3</v>
      </c>
      <c r="E493" s="21">
        <f t="shared" ca="1" si="38"/>
        <v>6.4231742544790062E-5</v>
      </c>
      <c r="F493" s="11">
        <f t="shared" ca="1" si="39"/>
        <v>4.1099897593019632</v>
      </c>
      <c r="G493" s="10">
        <f t="shared" ca="1" si="36"/>
        <v>0</v>
      </c>
    </row>
    <row r="494" spans="1:7" x14ac:dyDescent="0.2">
      <c r="A494" s="2">
        <v>19920214</v>
      </c>
      <c r="B494" s="13">
        <v>3245.97</v>
      </c>
      <c r="C494" s="2">
        <f t="shared" si="37"/>
        <v>-2.0944666040389047E-4</v>
      </c>
      <c r="D494" s="21">
        <f t="shared" ca="1" si="35"/>
        <v>-5.9339907551075779E-4</v>
      </c>
      <c r="E494" s="21">
        <f t="shared" ca="1" si="38"/>
        <v>6.5275941611942187E-5</v>
      </c>
      <c r="F494" s="11">
        <f t="shared" ca="1" si="39"/>
        <v>4.8157463249942811</v>
      </c>
      <c r="G494" s="10">
        <f t="shared" ca="1" si="36"/>
        <v>1</v>
      </c>
    </row>
    <row r="495" spans="1:7" x14ac:dyDescent="0.2">
      <c r="A495" s="2">
        <v>19920218</v>
      </c>
      <c r="B495" s="13">
        <v>3224.73</v>
      </c>
      <c r="C495" s="2">
        <f t="shared" si="37"/>
        <v>-6.5434985535910012E-3</v>
      </c>
      <c r="D495" s="21">
        <f t="shared" ca="1" si="35"/>
        <v>-6.9274509686978684E-3</v>
      </c>
      <c r="E495" s="21">
        <f t="shared" ca="1" si="38"/>
        <v>6.2895561499250443E-5</v>
      </c>
      <c r="F495" s="11">
        <f t="shared" ca="1" si="39"/>
        <v>4.4555153858330501</v>
      </c>
      <c r="G495" s="10">
        <f t="shared" ca="1" si="36"/>
        <v>1</v>
      </c>
    </row>
    <row r="496" spans="1:7" x14ac:dyDescent="0.2">
      <c r="A496" s="2">
        <v>19920219</v>
      </c>
      <c r="B496" s="13">
        <v>3230.32</v>
      </c>
      <c r="C496" s="2">
        <f t="shared" si="37"/>
        <v>1.7334784617627354E-3</v>
      </c>
      <c r="D496" s="21">
        <f t="shared" ca="1" si="35"/>
        <v>1.3495260466558682E-3</v>
      </c>
      <c r="E496" s="21">
        <f t="shared" ca="1" si="38"/>
        <v>6.2387317977998394E-5</v>
      </c>
      <c r="F496" s="11">
        <f t="shared" ca="1" si="39"/>
        <v>4.8264781905307705</v>
      </c>
      <c r="G496" s="10">
        <f t="shared" ca="1" si="36"/>
        <v>1</v>
      </c>
    </row>
    <row r="497" spans="1:7" x14ac:dyDescent="0.2">
      <c r="A497" s="2">
        <v>19920220</v>
      </c>
      <c r="B497" s="13">
        <v>3280.64</v>
      </c>
      <c r="C497" s="2">
        <f t="shared" si="37"/>
        <v>1.5577404096188522E-2</v>
      </c>
      <c r="D497" s="21">
        <f t="shared" ca="1" si="35"/>
        <v>1.5193451681081655E-2</v>
      </c>
      <c r="E497" s="21">
        <f t="shared" ca="1" si="38"/>
        <v>6.0207095587870736E-5</v>
      </c>
      <c r="F497" s="11">
        <f t="shared" ca="1" si="39"/>
        <v>2.9418022934408139</v>
      </c>
      <c r="G497" s="10">
        <f t="shared" ca="1" si="36"/>
        <v>0</v>
      </c>
    </row>
    <row r="498" spans="1:7" x14ac:dyDescent="0.2">
      <c r="A498" s="2">
        <v>19920221</v>
      </c>
      <c r="B498" s="13">
        <v>3280.19</v>
      </c>
      <c r="C498" s="2">
        <f t="shared" si="37"/>
        <v>-1.3716835739362385E-4</v>
      </c>
      <c r="D498" s="21">
        <f t="shared" ca="1" si="35"/>
        <v>-5.2112077250049112E-4</v>
      </c>
      <c r="E498" s="21">
        <f t="shared" ca="1" si="38"/>
        <v>6.6558627579392339E-5</v>
      </c>
      <c r="F498" s="11">
        <f t="shared" ca="1" si="39"/>
        <v>4.8066736329461497</v>
      </c>
      <c r="G498" s="10">
        <f t="shared" ca="1" si="36"/>
        <v>1</v>
      </c>
    </row>
    <row r="499" spans="1:7" x14ac:dyDescent="0.2">
      <c r="A499" s="2">
        <v>19920224</v>
      </c>
      <c r="B499" s="13">
        <v>3282.42</v>
      </c>
      <c r="C499" s="2">
        <f t="shared" si="37"/>
        <v>6.7983866788204892E-4</v>
      </c>
      <c r="D499" s="21">
        <f t="shared" ca="1" si="35"/>
        <v>2.9588625277518162E-4</v>
      </c>
      <c r="E499" s="21">
        <f t="shared" ca="1" si="38"/>
        <v>6.411039379107792E-5</v>
      </c>
      <c r="F499" s="11">
        <f t="shared" ca="1" si="39"/>
        <v>4.8267692325149856</v>
      </c>
      <c r="G499" s="10">
        <f t="shared" ca="1" si="36"/>
        <v>1</v>
      </c>
    </row>
    <row r="500" spans="1:7" x14ac:dyDescent="0.2">
      <c r="A500" s="2">
        <v>19920225</v>
      </c>
      <c r="B500" s="13">
        <v>3257.83</v>
      </c>
      <c r="C500" s="2">
        <f t="shared" si="37"/>
        <v>-7.4914240103338831E-3</v>
      </c>
      <c r="D500" s="21">
        <f t="shared" ca="1" si="35"/>
        <v>-7.8753764254407502E-3</v>
      </c>
      <c r="E500" s="21">
        <f t="shared" ca="1" si="38"/>
        <v>6.1779250286265257E-5</v>
      </c>
      <c r="F500" s="11">
        <f t="shared" ca="1" si="39"/>
        <v>4.3440104596923987</v>
      </c>
      <c r="G500" s="10">
        <f t="shared" ca="1" si="36"/>
        <v>0</v>
      </c>
    </row>
    <row r="501" spans="1:7" x14ac:dyDescent="0.2">
      <c r="A501" s="2">
        <v>19920226</v>
      </c>
      <c r="B501" s="13">
        <v>3283.32</v>
      </c>
      <c r="C501" s="2">
        <f t="shared" si="37"/>
        <v>7.8242265557135378E-3</v>
      </c>
      <c r="D501" s="21">
        <f t="shared" ca="1" si="35"/>
        <v>7.4402741406066706E-3</v>
      </c>
      <c r="E501" s="21">
        <f t="shared" ca="1" si="38"/>
        <v>6.1843461608631254E-5</v>
      </c>
      <c r="F501" s="11">
        <f t="shared" ca="1" si="39"/>
        <v>4.3978891791722319</v>
      </c>
      <c r="G501" s="10">
        <f t="shared" ca="1" si="36"/>
        <v>1</v>
      </c>
    </row>
    <row r="502" spans="1:7" x14ac:dyDescent="0.2">
      <c r="A502" s="2">
        <v>19920227</v>
      </c>
      <c r="B502" s="13">
        <v>3269.45</v>
      </c>
      <c r="C502" s="2">
        <f t="shared" si="37"/>
        <v>-4.2243826370869566E-3</v>
      </c>
      <c r="D502" s="21">
        <f t="shared" ca="1" si="35"/>
        <v>-4.6083350521938238E-3</v>
      </c>
      <c r="E502" s="21">
        <f t="shared" ca="1" si="38"/>
        <v>6.1659382156230069E-5</v>
      </c>
      <c r="F502" s="11">
        <f t="shared" ca="1" si="39"/>
        <v>4.6747323544508301</v>
      </c>
      <c r="G502" s="10">
        <f t="shared" ca="1" si="36"/>
        <v>1</v>
      </c>
    </row>
    <row r="503" spans="1:7" x14ac:dyDescent="0.2">
      <c r="A503" s="2">
        <v>19920228</v>
      </c>
      <c r="B503" s="13">
        <v>3267.67</v>
      </c>
      <c r="C503" s="2">
        <f t="shared" si="37"/>
        <v>-5.4443407912638069E-4</v>
      </c>
      <c r="D503" s="21">
        <f t="shared" ca="1" si="35"/>
        <v>-9.2838649423324798E-4</v>
      </c>
      <c r="E503" s="21">
        <f t="shared" ca="1" si="38"/>
        <v>6.0229929269116852E-5</v>
      </c>
      <c r="F503" s="11">
        <f t="shared" ca="1" si="39"/>
        <v>4.8515154896937203</v>
      </c>
      <c r="G503" s="10">
        <f t="shared" ca="1" si="36"/>
        <v>1</v>
      </c>
    </row>
    <row r="504" spans="1:7" x14ac:dyDescent="0.2">
      <c r="A504" s="2">
        <v>19920302</v>
      </c>
      <c r="B504" s="13">
        <v>3275.27</v>
      </c>
      <c r="C504" s="2">
        <f t="shared" si="37"/>
        <v>2.3258162543953057E-3</v>
      </c>
      <c r="D504" s="21">
        <f t="shared" ca="1" si="35"/>
        <v>1.9418638392884385E-3</v>
      </c>
      <c r="E504" s="21">
        <f t="shared" ca="1" si="38"/>
        <v>5.8123574046978611E-5</v>
      </c>
      <c r="F504" s="11">
        <f t="shared" ca="1" si="39"/>
        <v>4.8440315258653559</v>
      </c>
      <c r="G504" s="10">
        <f t="shared" ca="1" si="36"/>
        <v>1</v>
      </c>
    </row>
    <row r="505" spans="1:7" x14ac:dyDescent="0.2">
      <c r="A505" s="2">
        <v>19920303</v>
      </c>
      <c r="B505" s="13">
        <v>3290.25</v>
      </c>
      <c r="C505" s="2">
        <f t="shared" si="37"/>
        <v>4.5736687357072906E-3</v>
      </c>
      <c r="D505" s="21">
        <f t="shared" ca="1" si="35"/>
        <v>4.1897163206004234E-3</v>
      </c>
      <c r="E505" s="21">
        <f t="shared" ca="1" si="38"/>
        <v>5.6230746599906317E-5</v>
      </c>
      <c r="F505" s="11">
        <f t="shared" ca="1" si="39"/>
        <v>4.7369369113860449</v>
      </c>
      <c r="G505" s="10">
        <f t="shared" ca="1" si="36"/>
        <v>1</v>
      </c>
    </row>
    <row r="506" spans="1:7" x14ac:dyDescent="0.2">
      <c r="A506" s="2">
        <v>19920304</v>
      </c>
      <c r="B506" s="13">
        <v>3268.56</v>
      </c>
      <c r="C506" s="2">
        <f t="shared" si="37"/>
        <v>-6.5922042397994242E-3</v>
      </c>
      <c r="D506" s="21">
        <f t="shared" ca="1" si="35"/>
        <v>-6.9761566549062914E-3</v>
      </c>
      <c r="E506" s="21">
        <f t="shared" ca="1" si="38"/>
        <v>5.4940498762067209E-5</v>
      </c>
      <c r="F506" s="11">
        <f t="shared" ca="1" si="39"/>
        <v>4.4617256415434579</v>
      </c>
      <c r="G506" s="10">
        <f t="shared" ca="1" si="36"/>
        <v>1</v>
      </c>
    </row>
    <row r="507" spans="1:7" x14ac:dyDescent="0.2">
      <c r="A507" s="2">
        <v>19920305</v>
      </c>
      <c r="B507" s="13">
        <v>3241.5</v>
      </c>
      <c r="C507" s="2">
        <f t="shared" si="37"/>
        <v>-8.2788751009618741E-3</v>
      </c>
      <c r="D507" s="21">
        <f t="shared" ca="1" si="35"/>
        <v>-8.6628275160687412E-3</v>
      </c>
      <c r="E507" s="21">
        <f t="shared" ca="1" si="38"/>
        <v>5.4859605749664199E-5</v>
      </c>
      <c r="F507" s="11">
        <f t="shared" ca="1" si="39"/>
        <v>4.2213972539478126</v>
      </c>
      <c r="G507" s="10">
        <f t="shared" ca="1" si="36"/>
        <v>0</v>
      </c>
    </row>
    <row r="508" spans="1:7" x14ac:dyDescent="0.2">
      <c r="A508" s="2">
        <v>19920306</v>
      </c>
      <c r="B508" s="13">
        <v>3221.6</v>
      </c>
      <c r="C508" s="2">
        <f t="shared" si="37"/>
        <v>-6.1391331173839556E-3</v>
      </c>
      <c r="D508" s="21">
        <f t="shared" ca="1" si="35"/>
        <v>-6.5230855324908228E-3</v>
      </c>
      <c r="E508" s="21">
        <f t="shared" ca="1" si="38"/>
        <v>5.5752763599236607E-5</v>
      </c>
      <c r="F508" s="11">
        <f t="shared" ca="1" si="39"/>
        <v>4.5156905719351688</v>
      </c>
      <c r="G508" s="10">
        <f t="shared" ca="1" si="36"/>
        <v>1</v>
      </c>
    </row>
    <row r="509" spans="1:7" x14ac:dyDescent="0.2">
      <c r="A509" s="2">
        <v>19920309</v>
      </c>
      <c r="B509" s="13">
        <v>3215.12</v>
      </c>
      <c r="C509" s="2">
        <f t="shared" si="37"/>
        <v>-2.0114228954556798E-3</v>
      </c>
      <c r="D509" s="21">
        <f t="shared" ca="1" si="35"/>
        <v>-2.395375310562547E-3</v>
      </c>
      <c r="E509" s="21">
        <f t="shared" ca="1" si="38"/>
        <v>5.5405877547154547E-5</v>
      </c>
      <c r="F509" s="11">
        <f t="shared" ca="1" si="39"/>
        <v>4.8486325269060373</v>
      </c>
      <c r="G509" s="10">
        <f t="shared" ca="1" si="36"/>
        <v>1</v>
      </c>
    </row>
    <row r="510" spans="1:7" x14ac:dyDescent="0.2">
      <c r="A510" s="2">
        <v>19920310</v>
      </c>
      <c r="B510" s="13">
        <v>3230.99</v>
      </c>
      <c r="C510" s="2">
        <f t="shared" si="37"/>
        <v>4.9360521535743275E-3</v>
      </c>
      <c r="D510" s="21">
        <f t="shared" ca="1" si="35"/>
        <v>4.5520997384674603E-3</v>
      </c>
      <c r="E510" s="21">
        <f t="shared" ca="1" si="38"/>
        <v>5.3722868833329295E-5</v>
      </c>
      <c r="F510" s="11">
        <f t="shared" ca="1" si="39"/>
        <v>4.7229793630800829</v>
      </c>
      <c r="G510" s="10">
        <f t="shared" ca="1" si="36"/>
        <v>1</v>
      </c>
    </row>
    <row r="511" spans="1:7" x14ac:dyDescent="0.2">
      <c r="A511" s="2">
        <v>19920311</v>
      </c>
      <c r="B511" s="13">
        <v>3208.63</v>
      </c>
      <c r="C511" s="2">
        <f t="shared" si="37"/>
        <v>-6.9204794815210429E-3</v>
      </c>
      <c r="D511" s="21">
        <f t="shared" ca="1" si="35"/>
        <v>-7.3044318966279101E-3</v>
      </c>
      <c r="E511" s="21">
        <f t="shared" ca="1" si="38"/>
        <v>5.267598417395611E-5</v>
      </c>
      <c r="F511" s="11">
        <f t="shared" ca="1" si="39"/>
        <v>4.4192328518945576</v>
      </c>
      <c r="G511" s="10">
        <f t="shared" ca="1" si="36"/>
        <v>0</v>
      </c>
    </row>
    <row r="512" spans="1:7" x14ac:dyDescent="0.2">
      <c r="A512" s="2">
        <v>19920312</v>
      </c>
      <c r="B512" s="13">
        <v>3208.63</v>
      </c>
      <c r="C512" s="2">
        <f t="shared" si="37"/>
        <v>0</v>
      </c>
      <c r="D512" s="21">
        <f t="shared" ca="1" si="35"/>
        <v>-3.839524151068673E-4</v>
      </c>
      <c r="E512" s="21">
        <f t="shared" ca="1" si="38"/>
        <v>5.2882038309324313E-5</v>
      </c>
      <c r="F512" s="11">
        <f t="shared" ca="1" si="39"/>
        <v>4.9223295567313663</v>
      </c>
      <c r="G512" s="10">
        <f t="shared" ca="1" si="36"/>
        <v>1</v>
      </c>
    </row>
    <row r="513" spans="1:7" x14ac:dyDescent="0.2">
      <c r="A513" s="2">
        <v>19920313</v>
      </c>
      <c r="B513" s="13">
        <v>3235.91</v>
      </c>
      <c r="C513" s="2">
        <f t="shared" si="37"/>
        <v>8.5020709773329251E-3</v>
      </c>
      <c r="D513" s="21">
        <f t="shared" ca="1" si="35"/>
        <v>8.1181185622260579E-3</v>
      </c>
      <c r="E513" s="21">
        <f t="shared" ca="1" si="38"/>
        <v>5.112114255863919E-5</v>
      </c>
      <c r="F513" s="11">
        <f t="shared" ca="1" si="39"/>
        <v>4.296071143667926</v>
      </c>
      <c r="G513" s="10">
        <f t="shared" ca="1" si="36"/>
        <v>0</v>
      </c>
    </row>
    <row r="514" spans="1:7" x14ac:dyDescent="0.2">
      <c r="A514" s="2">
        <v>19920316</v>
      </c>
      <c r="B514" s="13">
        <v>3236.36</v>
      </c>
      <c r="C514" s="2">
        <f t="shared" si="37"/>
        <v>1.3906443627921446E-4</v>
      </c>
      <c r="D514" s="21">
        <f t="shared" ca="1" si="35"/>
        <v>-2.4488797882765283E-4</v>
      </c>
      <c r="E514" s="21">
        <f t="shared" ca="1" si="38"/>
        <v>5.186730983154096E-5</v>
      </c>
      <c r="F514" s="11">
        <f t="shared" ca="1" si="39"/>
        <v>4.9328328063313904</v>
      </c>
      <c r="G514" s="10">
        <f t="shared" ca="1" si="36"/>
        <v>1</v>
      </c>
    </row>
    <row r="515" spans="1:7" x14ac:dyDescent="0.2">
      <c r="A515" s="2">
        <v>19920317</v>
      </c>
      <c r="B515" s="13">
        <v>3256.04</v>
      </c>
      <c r="C515" s="2">
        <f t="shared" si="37"/>
        <v>6.0809057088827678E-3</v>
      </c>
      <c r="D515" s="21">
        <f t="shared" ca="1" si="35"/>
        <v>5.6969532937759006E-3</v>
      </c>
      <c r="E515" s="21">
        <f t="shared" ca="1" si="38"/>
        <v>5.0154533863926104E-5</v>
      </c>
      <c r="F515" s="11">
        <f t="shared" ca="1" si="39"/>
        <v>4.6266480496746372</v>
      </c>
      <c r="G515" s="10">
        <f t="shared" ca="1" si="36"/>
        <v>1</v>
      </c>
    </row>
    <row r="516" spans="1:7" x14ac:dyDescent="0.2">
      <c r="A516" s="2">
        <v>19920318</v>
      </c>
      <c r="B516" s="13">
        <v>3254.25</v>
      </c>
      <c r="C516" s="2">
        <f t="shared" si="37"/>
        <v>-5.4974754609893111E-4</v>
      </c>
      <c r="D516" s="21">
        <f t="shared" ca="1" si="35"/>
        <v>-9.3369996120579841E-4</v>
      </c>
      <c r="E516" s="21">
        <f t="shared" ca="1" si="38"/>
        <v>4.971963978789946E-5</v>
      </c>
      <c r="F516" s="11">
        <f t="shared" ca="1" si="39"/>
        <v>4.945788152899496</v>
      </c>
      <c r="G516" s="10">
        <f t="shared" ca="1" si="36"/>
        <v>1</v>
      </c>
    </row>
    <row r="517" spans="1:7" x14ac:dyDescent="0.2">
      <c r="A517" s="2">
        <v>19920319</v>
      </c>
      <c r="B517" s="13">
        <v>3261.4</v>
      </c>
      <c r="C517" s="2">
        <f t="shared" si="37"/>
        <v>2.1971268341399986E-3</v>
      </c>
      <c r="D517" s="21">
        <f t="shared" ca="1" si="35"/>
        <v>1.8131744190331314E-3</v>
      </c>
      <c r="E517" s="21">
        <f t="shared" ca="1" si="38"/>
        <v>4.8145367395894165E-5</v>
      </c>
      <c r="F517" s="11">
        <f t="shared" ca="1" si="39"/>
        <v>4.9365003694264633</v>
      </c>
      <c r="G517" s="10">
        <f t="shared" ca="1" si="36"/>
        <v>1</v>
      </c>
    </row>
    <row r="518" spans="1:7" x14ac:dyDescent="0.2">
      <c r="A518" s="2">
        <v>19920320</v>
      </c>
      <c r="B518" s="13">
        <v>3276.39</v>
      </c>
      <c r="C518" s="2">
        <f t="shared" si="37"/>
        <v>4.59618568712816E-3</v>
      </c>
      <c r="D518" s="21">
        <f t="shared" ca="1" si="35"/>
        <v>4.2122332720212928E-3</v>
      </c>
      <c r="E518" s="21">
        <f t="shared" ca="1" si="38"/>
        <v>4.6739571361998235E-5</v>
      </c>
      <c r="F518" s="11">
        <f t="shared" ca="1" si="39"/>
        <v>4.7956536251868469</v>
      </c>
      <c r="G518" s="10">
        <f t="shared" ca="1" si="36"/>
        <v>1</v>
      </c>
    </row>
    <row r="519" spans="1:7" x14ac:dyDescent="0.2">
      <c r="A519" s="2">
        <v>19920323</v>
      </c>
      <c r="B519" s="13">
        <v>3272.14</v>
      </c>
      <c r="C519" s="2">
        <f t="shared" si="37"/>
        <v>-1.2971593735788475E-3</v>
      </c>
      <c r="D519" s="21">
        <f t="shared" ca="1" si="35"/>
        <v>-1.6811117886857147E-3</v>
      </c>
      <c r="E519" s="21">
        <f t="shared" ca="1" si="38"/>
        <v>4.5936441914791458E-5</v>
      </c>
      <c r="F519" s="11">
        <f t="shared" ca="1" si="39"/>
        <v>4.9633645255161296</v>
      </c>
      <c r="G519" s="10">
        <f t="shared" ca="1" si="36"/>
        <v>1</v>
      </c>
    </row>
    <row r="520" spans="1:7" x14ac:dyDescent="0.2">
      <c r="A520" s="2">
        <v>19920324</v>
      </c>
      <c r="B520" s="13">
        <v>3260.96</v>
      </c>
      <c r="C520" s="2">
        <f t="shared" si="37"/>
        <v>-3.4167242232911294E-3</v>
      </c>
      <c r="D520" s="21">
        <f t="shared" ca="1" si="35"/>
        <v>-3.8006766383979966E-3</v>
      </c>
      <c r="E520" s="21">
        <f t="shared" ca="1" si="38"/>
        <v>4.4625427288202427E-5</v>
      </c>
      <c r="F520" s="11">
        <f t="shared" ca="1" si="39"/>
        <v>4.8467545804037968</v>
      </c>
      <c r="G520" s="10">
        <f t="shared" ca="1" si="36"/>
        <v>1</v>
      </c>
    </row>
    <row r="521" spans="1:7" x14ac:dyDescent="0.2">
      <c r="A521" s="2">
        <v>19920325</v>
      </c>
      <c r="B521" s="13">
        <v>3259.39</v>
      </c>
      <c r="C521" s="2">
        <f t="shared" si="37"/>
        <v>-4.8145331436146526E-4</v>
      </c>
      <c r="D521" s="21">
        <f t="shared" ca="1" si="35"/>
        <v>-8.6540572946833261E-4</v>
      </c>
      <c r="E521" s="21">
        <f t="shared" ca="1" si="38"/>
        <v>4.3807988463533012E-5</v>
      </c>
      <c r="F521" s="11">
        <f t="shared" ca="1" si="39"/>
        <v>5.0092993492456843</v>
      </c>
      <c r="G521" s="10">
        <f t="shared" ca="1" si="36"/>
        <v>1</v>
      </c>
    </row>
    <row r="522" spans="1:7" x14ac:dyDescent="0.2">
      <c r="A522" s="2">
        <v>19920326</v>
      </c>
      <c r="B522" s="13">
        <v>3267.67</v>
      </c>
      <c r="C522" s="2">
        <f t="shared" si="37"/>
        <v>2.5403526426724635E-3</v>
      </c>
      <c r="D522" s="21">
        <f t="shared" ca="1" si="35"/>
        <v>2.1564002275655963E-3</v>
      </c>
      <c r="E522" s="21">
        <f t="shared" ca="1" si="38"/>
        <v>4.2528270367737743E-5</v>
      </c>
      <c r="F522" s="11">
        <f t="shared" ca="1" si="39"/>
        <v>4.9780005137821091</v>
      </c>
      <c r="G522" s="10">
        <f t="shared" ca="1" si="36"/>
        <v>1</v>
      </c>
    </row>
    <row r="523" spans="1:7" x14ac:dyDescent="0.2">
      <c r="A523" s="2">
        <v>19920327</v>
      </c>
      <c r="B523" s="13">
        <v>3231.44</v>
      </c>
      <c r="C523" s="2">
        <f t="shared" si="37"/>
        <v>-1.1087410907466181E-2</v>
      </c>
      <c r="D523" s="21">
        <f t="shared" ca="1" si="35"/>
        <v>-1.1471363322573048E-2</v>
      </c>
      <c r="E523" s="21">
        <f t="shared" ca="1" si="38"/>
        <v>4.1456745172319755E-5</v>
      </c>
      <c r="F523" s="11">
        <f t="shared" ca="1" si="39"/>
        <v>3.4583278575228986</v>
      </c>
      <c r="G523" s="10">
        <f t="shared" ca="1" si="36"/>
        <v>0</v>
      </c>
    </row>
    <row r="524" spans="1:7" x14ac:dyDescent="0.2">
      <c r="A524" s="2">
        <v>19920330</v>
      </c>
      <c r="B524" s="13">
        <v>3235.24</v>
      </c>
      <c r="C524" s="2">
        <f t="shared" si="37"/>
        <v>1.1759463273338596E-3</v>
      </c>
      <c r="D524" s="21">
        <f t="shared" ca="1" si="35"/>
        <v>7.9199391222699235E-4</v>
      </c>
      <c r="E524" s="21">
        <f t="shared" ca="1" si="38"/>
        <v>4.5107311987785392E-5</v>
      </c>
      <c r="F524" s="11">
        <f t="shared" ca="1" si="39"/>
        <v>4.9962801859617878</v>
      </c>
      <c r="G524" s="10">
        <f t="shared" ca="1" si="36"/>
        <v>1</v>
      </c>
    </row>
    <row r="525" spans="1:7" x14ac:dyDescent="0.2">
      <c r="A525" s="2">
        <v>19920331</v>
      </c>
      <c r="B525" s="13">
        <v>3235.47</v>
      </c>
      <c r="C525" s="2">
        <f t="shared" si="37"/>
        <v>7.1092098267831199E-5</v>
      </c>
      <c r="D525" s="21">
        <f t="shared" ca="1" si="35"/>
        <v>-3.1286031683903611E-4</v>
      </c>
      <c r="E525" s="21">
        <f t="shared" ca="1" si="38"/>
        <v>4.3757386568731671E-5</v>
      </c>
      <c r="F525" s="11">
        <f t="shared" ca="1" si="39"/>
        <v>5.0173066040092937</v>
      </c>
      <c r="G525" s="10">
        <f t="shared" ca="1" si="36"/>
        <v>1</v>
      </c>
    </row>
    <row r="526" spans="1:7" x14ac:dyDescent="0.2">
      <c r="A526" s="2">
        <v>19920401</v>
      </c>
      <c r="B526" s="13">
        <v>3249.33</v>
      </c>
      <c r="C526" s="2">
        <f t="shared" si="37"/>
        <v>4.2837671188421245E-3</v>
      </c>
      <c r="D526" s="21">
        <f t="shared" ref="D526:D589" ca="1" si="40">(C526-mu)</f>
        <v>3.8998147037352573E-3</v>
      </c>
      <c r="E526" s="21">
        <f t="shared" ca="1" si="38"/>
        <v>4.2456288359710907E-5</v>
      </c>
      <c r="F526" s="11">
        <f t="shared" ca="1" si="39"/>
        <v>4.8544093724088597</v>
      </c>
      <c r="G526" s="10">
        <f t="shared" ref="G526:G589" ca="1" si="41">IF(AND(C526&lt;=mu+zvalue*SQRT(E526),C526&gt;=mu-zvalue*SQRT(E526)),1,0)</f>
        <v>1</v>
      </c>
    </row>
    <row r="527" spans="1:7" x14ac:dyDescent="0.2">
      <c r="A527" s="2">
        <v>19920402</v>
      </c>
      <c r="B527" s="13">
        <v>3234.12</v>
      </c>
      <c r="C527" s="2">
        <f t="shared" ref="C527:C590" si="42">(B527-B526)/B526</f>
        <v>-4.6809649989382543E-3</v>
      </c>
      <c r="D527" s="21">
        <f t="shared" ca="1" si="40"/>
        <v>-5.0649174140451215E-3</v>
      </c>
      <c r="E527" s="21">
        <f t="shared" ref="E527:E590" ca="1" si="43">(1-alpha-beta)*longvar+alpha*D526^2+beta*E526</f>
        <v>4.1776658973000436E-5</v>
      </c>
      <c r="F527" s="11">
        <f t="shared" ref="F527:F590" ca="1" si="44">(-0.5)*(LN(E527)+D527^2/E527)</f>
        <v>4.7345562280768574</v>
      </c>
      <c r="G527" s="10">
        <f t="shared" ca="1" si="41"/>
        <v>1</v>
      </c>
    </row>
    <row r="528" spans="1:7" x14ac:dyDescent="0.2">
      <c r="A528" s="2">
        <v>19920403</v>
      </c>
      <c r="B528" s="13">
        <v>3249.11</v>
      </c>
      <c r="C528" s="2">
        <f t="shared" si="42"/>
        <v>4.6349547945036783E-3</v>
      </c>
      <c r="D528" s="21">
        <f t="shared" ca="1" si="40"/>
        <v>4.2510023793968111E-3</v>
      </c>
      <c r="E528" s="21">
        <f t="shared" ca="1" si="43"/>
        <v>4.1515487032606557E-5</v>
      </c>
      <c r="F528" s="11">
        <f t="shared" ca="1" si="44"/>
        <v>4.8270800820147377</v>
      </c>
      <c r="G528" s="10">
        <f t="shared" ca="1" si="41"/>
        <v>1</v>
      </c>
    </row>
    <row r="529" spans="1:7" x14ac:dyDescent="0.2">
      <c r="A529" s="2">
        <v>19920406</v>
      </c>
      <c r="B529" s="13">
        <v>3275.49</v>
      </c>
      <c r="C529" s="2">
        <f t="shared" si="42"/>
        <v>8.1191464739573775E-3</v>
      </c>
      <c r="D529" s="21">
        <f t="shared" ca="1" si="40"/>
        <v>7.7351940588505103E-3</v>
      </c>
      <c r="E529" s="21">
        <f t="shared" ca="1" si="43"/>
        <v>4.0988710986239583E-5</v>
      </c>
      <c r="F529" s="11">
        <f t="shared" ca="1" si="44"/>
        <v>4.3212324689756736</v>
      </c>
      <c r="G529" s="10">
        <f t="shared" ca="1" si="41"/>
        <v>0</v>
      </c>
    </row>
    <row r="530" spans="1:7" x14ac:dyDescent="0.2">
      <c r="A530" s="2">
        <v>19920407</v>
      </c>
      <c r="B530" s="13">
        <v>3213.55</v>
      </c>
      <c r="C530" s="2">
        <f t="shared" si="42"/>
        <v>-1.8910147794680979E-2</v>
      </c>
      <c r="D530" s="21">
        <f t="shared" ca="1" si="40"/>
        <v>-1.9294100209787848E-2</v>
      </c>
      <c r="E530" s="21">
        <f t="shared" ca="1" si="43"/>
        <v>4.2024253943169277E-5</v>
      </c>
      <c r="F530" s="11">
        <f t="shared" ca="1" si="44"/>
        <v>0.6094954483560393</v>
      </c>
      <c r="G530" s="10">
        <f t="shared" ca="1" si="41"/>
        <v>0</v>
      </c>
    </row>
    <row r="531" spans="1:7" x14ac:dyDescent="0.2">
      <c r="A531" s="2">
        <v>19920408</v>
      </c>
      <c r="B531" s="13">
        <v>3181.35</v>
      </c>
      <c r="C531" s="2">
        <f t="shared" si="42"/>
        <v>-1.0020071260755324E-2</v>
      </c>
      <c r="D531" s="21">
        <f t="shared" ca="1" si="40"/>
        <v>-1.0404023675862191E-2</v>
      </c>
      <c r="E531" s="21">
        <f t="shared" ca="1" si="43"/>
        <v>5.4495971073139678E-5</v>
      </c>
      <c r="F531" s="11">
        <f t="shared" ca="1" si="44"/>
        <v>3.9155569271531676</v>
      </c>
      <c r="G531" s="10">
        <f t="shared" ca="1" si="41"/>
        <v>0</v>
      </c>
    </row>
    <row r="532" spans="1:7" x14ac:dyDescent="0.2">
      <c r="A532" s="2">
        <v>19920409</v>
      </c>
      <c r="B532" s="13">
        <v>3224.96</v>
      </c>
      <c r="C532" s="2">
        <f t="shared" si="42"/>
        <v>1.3708017036792596E-2</v>
      </c>
      <c r="D532" s="21">
        <f t="shared" ca="1" si="40"/>
        <v>1.3324064621685729E-2</v>
      </c>
      <c r="E532" s="21">
        <f t="shared" ca="1" si="43"/>
        <v>5.6628315227277658E-5</v>
      </c>
      <c r="F532" s="11">
        <f t="shared" ca="1" si="44"/>
        <v>3.3219925046863601</v>
      </c>
      <c r="G532" s="10">
        <f t="shared" ca="1" si="41"/>
        <v>0</v>
      </c>
    </row>
    <row r="533" spans="1:7" x14ac:dyDescent="0.2">
      <c r="A533" s="2">
        <v>19920410</v>
      </c>
      <c r="B533" s="13">
        <v>3255.37</v>
      </c>
      <c r="C533" s="2">
        <f t="shared" si="42"/>
        <v>9.4295743203016025E-3</v>
      </c>
      <c r="D533" s="21">
        <f t="shared" ca="1" si="40"/>
        <v>9.0456219051947354E-3</v>
      </c>
      <c r="E533" s="21">
        <f t="shared" ca="1" si="43"/>
        <v>6.1200586966949705E-5</v>
      </c>
      <c r="F533" s="11">
        <f t="shared" ca="1" si="44"/>
        <v>4.182192486025512</v>
      </c>
      <c r="G533" s="10">
        <f t="shared" ca="1" si="41"/>
        <v>0</v>
      </c>
    </row>
    <row r="534" spans="1:7" x14ac:dyDescent="0.2">
      <c r="A534" s="2">
        <v>19920413</v>
      </c>
      <c r="B534" s="13">
        <v>3269.9</v>
      </c>
      <c r="C534" s="2">
        <f t="shared" si="42"/>
        <v>4.4633943299840573E-3</v>
      </c>
      <c r="D534" s="21">
        <f t="shared" ca="1" si="40"/>
        <v>4.0794419148771901E-3</v>
      </c>
      <c r="E534" s="21">
        <f t="shared" ca="1" si="43"/>
        <v>6.2022216942841035E-5</v>
      </c>
      <c r="F534" s="11">
        <f t="shared" ca="1" si="44"/>
        <v>4.709848586186931</v>
      </c>
      <c r="G534" s="10">
        <f t="shared" ca="1" si="41"/>
        <v>1</v>
      </c>
    </row>
    <row r="535" spans="1:7" x14ac:dyDescent="0.2">
      <c r="A535" s="2">
        <v>19920414</v>
      </c>
      <c r="B535" s="13">
        <v>3306.13</v>
      </c>
      <c r="C535" s="2">
        <f t="shared" si="42"/>
        <v>1.1079849536683084E-2</v>
      </c>
      <c r="D535" s="21">
        <f t="shared" ca="1" si="40"/>
        <v>1.0695897121576217E-2</v>
      </c>
      <c r="E535" s="21">
        <f t="shared" ca="1" si="43"/>
        <v>6.0405445421967371E-5</v>
      </c>
      <c r="F535" s="11">
        <f t="shared" ca="1" si="44"/>
        <v>3.9102628184294042</v>
      </c>
      <c r="G535" s="10">
        <f t="shared" ca="1" si="41"/>
        <v>0</v>
      </c>
    </row>
    <row r="536" spans="1:7" x14ac:dyDescent="0.2">
      <c r="A536" s="2">
        <v>19920415</v>
      </c>
      <c r="B536" s="13">
        <v>3353.76</v>
      </c>
      <c r="C536" s="2">
        <f t="shared" si="42"/>
        <v>1.4406572034372546E-2</v>
      </c>
      <c r="D536" s="21">
        <f t="shared" ca="1" si="40"/>
        <v>1.4022619619265679E-2</v>
      </c>
      <c r="E536" s="21">
        <f t="shared" ca="1" si="43"/>
        <v>6.2465286363281848E-5</v>
      </c>
      <c r="F536" s="11">
        <f t="shared" ca="1" si="44"/>
        <v>3.2665047012360322</v>
      </c>
      <c r="G536" s="10">
        <f t="shared" ca="1" si="41"/>
        <v>0</v>
      </c>
    </row>
    <row r="537" spans="1:7" x14ac:dyDescent="0.2">
      <c r="A537" s="2">
        <v>19920416</v>
      </c>
      <c r="B537" s="13">
        <v>3366.5</v>
      </c>
      <c r="C537" s="2">
        <f t="shared" si="42"/>
        <v>3.7987214350459725E-3</v>
      </c>
      <c r="D537" s="21">
        <f t="shared" ca="1" si="40"/>
        <v>3.4147690199391053E-3</v>
      </c>
      <c r="E537" s="21">
        <f t="shared" ca="1" si="43"/>
        <v>6.7444720467740765E-5</v>
      </c>
      <c r="F537" s="11">
        <f t="shared" ca="1" si="44"/>
        <v>4.7156551640145512</v>
      </c>
      <c r="G537" s="10">
        <f t="shared" ca="1" si="41"/>
        <v>1</v>
      </c>
    </row>
    <row r="538" spans="1:7" x14ac:dyDescent="0.2">
      <c r="A538" s="2">
        <v>19920420</v>
      </c>
      <c r="B538" s="13">
        <v>3336.31</v>
      </c>
      <c r="C538" s="2">
        <f t="shared" si="42"/>
        <v>-8.9677706817169328E-3</v>
      </c>
      <c r="D538" s="21">
        <f t="shared" ca="1" si="40"/>
        <v>-9.3517230968238E-3</v>
      </c>
      <c r="E538" s="21">
        <f t="shared" ca="1" si="43"/>
        <v>6.5370455327978927E-5</v>
      </c>
      <c r="F538" s="11">
        <f t="shared" ca="1" si="44"/>
        <v>4.1488037876942458</v>
      </c>
      <c r="G538" s="10">
        <f t="shared" ca="1" si="41"/>
        <v>0</v>
      </c>
    </row>
    <row r="539" spans="1:7" x14ac:dyDescent="0.2">
      <c r="A539" s="2">
        <v>19920421</v>
      </c>
      <c r="B539" s="13">
        <v>3343.25</v>
      </c>
      <c r="C539" s="2">
        <f t="shared" si="42"/>
        <v>2.0801424328075191E-3</v>
      </c>
      <c r="D539" s="21">
        <f t="shared" ca="1" si="40"/>
        <v>1.6961900177006519E-3</v>
      </c>
      <c r="E539" s="21">
        <f t="shared" ca="1" si="43"/>
        <v>6.6188208511383382E-5</v>
      </c>
      <c r="F539" s="11">
        <f t="shared" ca="1" si="44"/>
        <v>4.7897701790198788</v>
      </c>
      <c r="G539" s="10">
        <f t="shared" ca="1" si="41"/>
        <v>1</v>
      </c>
    </row>
    <row r="540" spans="1:7" x14ac:dyDescent="0.2">
      <c r="A540" s="2">
        <v>19920422</v>
      </c>
      <c r="B540" s="13">
        <v>3338.77</v>
      </c>
      <c r="C540" s="2">
        <f t="shared" si="42"/>
        <v>-1.3400134599566346E-3</v>
      </c>
      <c r="D540" s="21">
        <f t="shared" ca="1" si="40"/>
        <v>-1.7239658750635017E-3</v>
      </c>
      <c r="E540" s="21">
        <f t="shared" ca="1" si="43"/>
        <v>6.3854522898959933E-5</v>
      </c>
      <c r="F540" s="11">
        <f t="shared" ca="1" si="44"/>
        <v>4.806179465719385</v>
      </c>
      <c r="G540" s="10">
        <f t="shared" ca="1" si="41"/>
        <v>1</v>
      </c>
    </row>
    <row r="541" spans="1:7" x14ac:dyDescent="0.2">
      <c r="A541" s="2">
        <v>19920423</v>
      </c>
      <c r="B541" s="13">
        <v>3348.61</v>
      </c>
      <c r="C541" s="2">
        <f t="shared" si="42"/>
        <v>2.9471931280082623E-3</v>
      </c>
      <c r="D541" s="21">
        <f t="shared" ca="1" si="40"/>
        <v>2.5632407129013951E-3</v>
      </c>
      <c r="E541" s="21">
        <f t="shared" ca="1" si="43"/>
        <v>6.1642392443656284E-5</v>
      </c>
      <c r="F541" s="11">
        <f t="shared" ca="1" si="44"/>
        <v>4.7937874737155237</v>
      </c>
      <c r="G541" s="10">
        <f t="shared" ca="1" si="41"/>
        <v>1</v>
      </c>
    </row>
    <row r="542" spans="1:7" x14ac:dyDescent="0.2">
      <c r="A542" s="2">
        <v>19920424</v>
      </c>
      <c r="B542" s="13">
        <v>3324.46</v>
      </c>
      <c r="C542" s="2">
        <f t="shared" si="42"/>
        <v>-7.2119476439478141E-3</v>
      </c>
      <c r="D542" s="21">
        <f t="shared" ca="1" si="40"/>
        <v>-7.5959000590546813E-3</v>
      </c>
      <c r="E542" s="21">
        <f t="shared" ca="1" si="43"/>
        <v>5.9674484456444631E-5</v>
      </c>
      <c r="F542" s="11">
        <f t="shared" ca="1" si="44"/>
        <v>4.3798660944035008</v>
      </c>
      <c r="G542" s="10">
        <f t="shared" ca="1" si="41"/>
        <v>1</v>
      </c>
    </row>
    <row r="543" spans="1:7" x14ac:dyDescent="0.2">
      <c r="A543" s="2">
        <v>19920427</v>
      </c>
      <c r="B543" s="13">
        <v>3304.56</v>
      </c>
      <c r="C543" s="2">
        <f t="shared" si="42"/>
        <v>-5.9859345577928718E-3</v>
      </c>
      <c r="D543" s="21">
        <f t="shared" ca="1" si="40"/>
        <v>-6.369886972899739E-3</v>
      </c>
      <c r="E543" s="21">
        <f t="shared" ca="1" si="43"/>
        <v>5.9686180835416375E-5</v>
      </c>
      <c r="F543" s="11">
        <f t="shared" ca="1" si="44"/>
        <v>4.5232983664774018</v>
      </c>
      <c r="G543" s="10">
        <f t="shared" ca="1" si="41"/>
        <v>1</v>
      </c>
    </row>
    <row r="544" spans="1:7" x14ac:dyDescent="0.2">
      <c r="A544" s="2">
        <v>19920428</v>
      </c>
      <c r="B544" s="13">
        <v>3307.92</v>
      </c>
      <c r="C544" s="2">
        <f t="shared" si="42"/>
        <v>1.0167768174885999E-3</v>
      </c>
      <c r="D544" s="21">
        <f t="shared" ca="1" si="40"/>
        <v>6.3282440238173257E-4</v>
      </c>
      <c r="E544" s="21">
        <f t="shared" ca="1" si="43"/>
        <v>5.9067670915747446E-5</v>
      </c>
      <c r="F544" s="11">
        <f t="shared" ca="1" si="44"/>
        <v>4.8650235056173523</v>
      </c>
      <c r="G544" s="10">
        <f t="shared" ca="1" si="41"/>
        <v>1</v>
      </c>
    </row>
    <row r="545" spans="1:7" x14ac:dyDescent="0.2">
      <c r="A545" s="2">
        <v>19920429</v>
      </c>
      <c r="B545" s="13">
        <v>3333.18</v>
      </c>
      <c r="C545" s="2">
        <f t="shared" si="42"/>
        <v>7.6362185300732069E-3</v>
      </c>
      <c r="D545" s="21">
        <f t="shared" ca="1" si="40"/>
        <v>7.2522661149663397E-3</v>
      </c>
      <c r="E545" s="21">
        <f t="shared" ca="1" si="43"/>
        <v>5.7003146964642248E-5</v>
      </c>
      <c r="F545" s="11">
        <f t="shared" ca="1" si="44"/>
        <v>4.424864670895742</v>
      </c>
      <c r="G545" s="10">
        <f t="shared" ca="1" si="41"/>
        <v>1</v>
      </c>
    </row>
    <row r="546" spans="1:7" x14ac:dyDescent="0.2">
      <c r="A546" s="2">
        <v>19920430</v>
      </c>
      <c r="B546" s="13">
        <v>3359.12</v>
      </c>
      <c r="C546" s="2">
        <f t="shared" si="42"/>
        <v>7.782357988467486E-3</v>
      </c>
      <c r="D546" s="21">
        <f t="shared" ca="1" si="40"/>
        <v>7.3984055733606188E-3</v>
      </c>
      <c r="E546" s="21">
        <f t="shared" ca="1" si="43"/>
        <v>5.6962365460303561E-5</v>
      </c>
      <c r="F546" s="11">
        <f t="shared" ca="1" si="44"/>
        <v>4.4060987509810365</v>
      </c>
      <c r="G546" s="10">
        <f t="shared" ca="1" si="41"/>
        <v>1</v>
      </c>
    </row>
    <row r="547" spans="1:7" x14ac:dyDescent="0.2">
      <c r="A547" s="2">
        <v>19920501</v>
      </c>
      <c r="B547" s="13">
        <v>3336.09</v>
      </c>
      <c r="C547" s="2">
        <f t="shared" si="42"/>
        <v>-6.855962275834071E-3</v>
      </c>
      <c r="D547" s="21">
        <f t="shared" ca="1" si="40"/>
        <v>-7.2399146909409382E-3</v>
      </c>
      <c r="E547" s="21">
        <f t="shared" ca="1" si="43"/>
        <v>5.7002376929922944E-5</v>
      </c>
      <c r="F547" s="11">
        <f t="shared" ca="1" si="44"/>
        <v>4.4264352949448096</v>
      </c>
      <c r="G547" s="10">
        <f t="shared" ca="1" si="41"/>
        <v>1</v>
      </c>
    </row>
    <row r="548" spans="1:7" x14ac:dyDescent="0.2">
      <c r="A548" s="2">
        <v>19920504</v>
      </c>
      <c r="B548" s="13">
        <v>3378.13</v>
      </c>
      <c r="C548" s="2">
        <f t="shared" si="42"/>
        <v>1.2601578494584967E-2</v>
      </c>
      <c r="D548" s="21">
        <f t="shared" ca="1" si="40"/>
        <v>1.22176260794781E-2</v>
      </c>
      <c r="E548" s="21">
        <f t="shared" ca="1" si="43"/>
        <v>5.6955052273542692E-5</v>
      </c>
      <c r="F548" s="11">
        <f t="shared" ca="1" si="44"/>
        <v>3.5762013766211593</v>
      </c>
      <c r="G548" s="10">
        <f t="shared" ca="1" si="41"/>
        <v>0</v>
      </c>
    </row>
    <row r="549" spans="1:7" x14ac:dyDescent="0.2">
      <c r="A549" s="2">
        <v>19920505</v>
      </c>
      <c r="B549" s="13">
        <v>3359.35</v>
      </c>
      <c r="C549" s="2">
        <f t="shared" si="42"/>
        <v>-5.5592887189066728E-3</v>
      </c>
      <c r="D549" s="21">
        <f t="shared" ca="1" si="40"/>
        <v>-5.94324113401354E-3</v>
      </c>
      <c r="E549" s="21">
        <f t="shared" ca="1" si="43"/>
        <v>6.0471613298242287E-5</v>
      </c>
      <c r="F549" s="11">
        <f t="shared" ca="1" si="44"/>
        <v>4.5646129122545043</v>
      </c>
      <c r="G549" s="10">
        <f t="shared" ca="1" si="41"/>
        <v>1</v>
      </c>
    </row>
    <row r="550" spans="1:7" x14ac:dyDescent="0.2">
      <c r="A550" s="2">
        <v>19920506</v>
      </c>
      <c r="B550" s="13">
        <v>3369.41</v>
      </c>
      <c r="C550" s="2">
        <f t="shared" si="42"/>
        <v>2.9946269367585828E-3</v>
      </c>
      <c r="D550" s="21">
        <f t="shared" ca="1" si="40"/>
        <v>2.6106745216517156E-3</v>
      </c>
      <c r="E550" s="21">
        <f t="shared" ca="1" si="43"/>
        <v>5.9620193428188948E-5</v>
      </c>
      <c r="F550" s="11">
        <f t="shared" ca="1" si="44"/>
        <v>4.8065994465840935</v>
      </c>
      <c r="G550" s="10">
        <f t="shared" ca="1" si="41"/>
        <v>1</v>
      </c>
    </row>
    <row r="551" spans="1:7" x14ac:dyDescent="0.2">
      <c r="A551" s="2">
        <v>19920507</v>
      </c>
      <c r="B551" s="13">
        <v>3363.37</v>
      </c>
      <c r="C551" s="2">
        <f t="shared" si="42"/>
        <v>-1.792598704224171E-3</v>
      </c>
      <c r="D551" s="21">
        <f t="shared" ca="1" si="40"/>
        <v>-2.1765511193310382E-3</v>
      </c>
      <c r="E551" s="21">
        <f t="shared" ca="1" si="43"/>
        <v>5.7763613621975513E-5</v>
      </c>
      <c r="F551" s="11">
        <f t="shared" ca="1" si="44"/>
        <v>4.8385691861258602</v>
      </c>
      <c r="G551" s="10">
        <f t="shared" ca="1" si="41"/>
        <v>1</v>
      </c>
    </row>
    <row r="552" spans="1:7" x14ac:dyDescent="0.2">
      <c r="A552" s="2">
        <v>19920508</v>
      </c>
      <c r="B552" s="13">
        <v>3369.41</v>
      </c>
      <c r="C552" s="2">
        <f t="shared" si="42"/>
        <v>1.7958178850379124E-3</v>
      </c>
      <c r="D552" s="21">
        <f t="shared" ca="1" si="40"/>
        <v>1.411865469931045E-3</v>
      </c>
      <c r="E552" s="21">
        <f t="shared" ca="1" si="43"/>
        <v>5.5924538040215613E-5</v>
      </c>
      <c r="F552" s="11">
        <f t="shared" ca="1" si="44"/>
        <v>4.8779317460405567</v>
      </c>
      <c r="G552" s="10">
        <f t="shared" ca="1" si="41"/>
        <v>1</v>
      </c>
    </row>
    <row r="553" spans="1:7" x14ac:dyDescent="0.2">
      <c r="A553" s="2">
        <v>19920511</v>
      </c>
      <c r="B553" s="13">
        <v>3397.58</v>
      </c>
      <c r="C553" s="2">
        <f t="shared" si="42"/>
        <v>8.3605141552972398E-3</v>
      </c>
      <c r="D553" s="21">
        <f t="shared" ca="1" si="40"/>
        <v>7.9765617401903726E-3</v>
      </c>
      <c r="E553" s="21">
        <f t="shared" ca="1" si="43"/>
        <v>5.4077599834175695E-5</v>
      </c>
      <c r="F553" s="11">
        <f t="shared" ca="1" si="44"/>
        <v>4.3242652883836374</v>
      </c>
      <c r="G553" s="10">
        <f t="shared" ca="1" si="41"/>
        <v>0</v>
      </c>
    </row>
    <row r="554" spans="1:7" x14ac:dyDescent="0.2">
      <c r="A554" s="2">
        <v>19920512</v>
      </c>
      <c r="B554" s="13">
        <v>3385.12</v>
      </c>
      <c r="C554" s="2">
        <f t="shared" si="42"/>
        <v>-3.6673161485528041E-3</v>
      </c>
      <c r="D554" s="21">
        <f t="shared" ca="1" si="40"/>
        <v>-4.0512685636596713E-3</v>
      </c>
      <c r="E554" s="21">
        <f t="shared" ca="1" si="43"/>
        <v>5.4590421457299836E-5</v>
      </c>
      <c r="F554" s="11">
        <f t="shared" ca="1" si="44"/>
        <v>4.757499533485511</v>
      </c>
      <c r="G554" s="10">
        <f t="shared" ca="1" si="41"/>
        <v>1</v>
      </c>
    </row>
    <row r="555" spans="1:7" x14ac:dyDescent="0.2">
      <c r="A555" s="2">
        <v>19920513</v>
      </c>
      <c r="B555" s="13">
        <v>3391.98</v>
      </c>
      <c r="C555" s="2">
        <f t="shared" si="42"/>
        <v>2.0265160466985299E-3</v>
      </c>
      <c r="D555" s="21">
        <f t="shared" ca="1" si="40"/>
        <v>1.6425636315916627E-3</v>
      </c>
      <c r="E555" s="21">
        <f t="shared" ca="1" si="43"/>
        <v>5.3341203636659384E-5</v>
      </c>
      <c r="F555" s="11">
        <f t="shared" ca="1" si="44"/>
        <v>4.8941105757865255</v>
      </c>
      <c r="G555" s="10">
        <f t="shared" ca="1" si="41"/>
        <v>1</v>
      </c>
    </row>
    <row r="556" spans="1:7" x14ac:dyDescent="0.2">
      <c r="A556" s="2">
        <v>19920514</v>
      </c>
      <c r="B556" s="13">
        <v>3368.88</v>
      </c>
      <c r="C556" s="2">
        <f t="shared" si="42"/>
        <v>-6.8101816638069532E-3</v>
      </c>
      <c r="D556" s="21">
        <f t="shared" ca="1" si="40"/>
        <v>-7.1941340789138204E-3</v>
      </c>
      <c r="E556" s="21">
        <f t="shared" ca="1" si="43"/>
        <v>5.1650868422887985E-5</v>
      </c>
      <c r="F556" s="11">
        <f t="shared" ca="1" si="44"/>
        <v>4.4344882704753203</v>
      </c>
      <c r="G556" s="10">
        <f t="shared" ca="1" si="41"/>
        <v>0</v>
      </c>
    </row>
    <row r="557" spans="1:7" x14ac:dyDescent="0.2">
      <c r="A557" s="2">
        <v>19920515</v>
      </c>
      <c r="B557" s="13">
        <v>3353.09</v>
      </c>
      <c r="C557" s="2">
        <f t="shared" si="42"/>
        <v>-4.6870176438460146E-3</v>
      </c>
      <c r="D557" s="21">
        <f t="shared" ca="1" si="40"/>
        <v>-5.0709700589528818E-3</v>
      </c>
      <c r="E557" s="21">
        <f t="shared" ca="1" si="43"/>
        <v>5.1849979589348627E-5</v>
      </c>
      <c r="F557" s="11">
        <f t="shared" ca="1" si="44"/>
        <v>4.685605516073478</v>
      </c>
      <c r="G557" s="10">
        <f t="shared" ca="1" si="41"/>
        <v>1</v>
      </c>
    </row>
    <row r="558" spans="1:7" x14ac:dyDescent="0.2">
      <c r="A558" s="2">
        <v>19920518</v>
      </c>
      <c r="B558" s="13">
        <v>3376.03</v>
      </c>
      <c r="C558" s="2">
        <f t="shared" si="42"/>
        <v>6.8414507215732515E-3</v>
      </c>
      <c r="D558" s="21">
        <f t="shared" ca="1" si="40"/>
        <v>6.4574983064663843E-3</v>
      </c>
      <c r="E558" s="21">
        <f t="shared" ca="1" si="43"/>
        <v>5.1081450949378588E-5</v>
      </c>
      <c r="F558" s="11">
        <f t="shared" ca="1" si="44"/>
        <v>4.5328799179191765</v>
      </c>
      <c r="G558" s="10">
        <f t="shared" ca="1" si="41"/>
        <v>1</v>
      </c>
    </row>
    <row r="559" spans="1:7" x14ac:dyDescent="0.2">
      <c r="A559" s="2">
        <v>19920519</v>
      </c>
      <c r="B559" s="13">
        <v>3397.99</v>
      </c>
      <c r="C559" s="2">
        <f t="shared" si="42"/>
        <v>6.5046815342279483E-3</v>
      </c>
      <c r="D559" s="21">
        <f t="shared" ca="1" si="40"/>
        <v>6.1207291191210812E-3</v>
      </c>
      <c r="E559" s="21">
        <f t="shared" ca="1" si="43"/>
        <v>5.093958213075714E-5</v>
      </c>
      <c r="F559" s="11">
        <f t="shared" ca="1" si="44"/>
        <v>4.5747120179101524</v>
      </c>
      <c r="G559" s="10">
        <f t="shared" ca="1" si="41"/>
        <v>1</v>
      </c>
    </row>
    <row r="560" spans="1:7" x14ac:dyDescent="0.2">
      <c r="A560" s="2">
        <v>19920520</v>
      </c>
      <c r="B560" s="13">
        <v>3393.84</v>
      </c>
      <c r="C560" s="2">
        <f t="shared" si="42"/>
        <v>-1.2213102451742461E-3</v>
      </c>
      <c r="D560" s="21">
        <f t="shared" ca="1" si="40"/>
        <v>-1.6052626602811133E-3</v>
      </c>
      <c r="E560" s="21">
        <f t="shared" ca="1" si="43"/>
        <v>5.0649126878016796E-5</v>
      </c>
      <c r="F560" s="11">
        <f t="shared" ca="1" si="44"/>
        <v>4.9198558561255794</v>
      </c>
      <c r="G560" s="10">
        <f t="shared" ca="1" si="41"/>
        <v>1</v>
      </c>
    </row>
    <row r="561" spans="1:7" x14ac:dyDescent="0.2">
      <c r="A561" s="2">
        <v>19920521</v>
      </c>
      <c r="B561" s="13">
        <v>3378.71</v>
      </c>
      <c r="C561" s="2">
        <f t="shared" si="42"/>
        <v>-4.4580769865403521E-3</v>
      </c>
      <c r="D561" s="21">
        <f t="shared" ca="1" si="40"/>
        <v>-4.8420294016472193E-3</v>
      </c>
      <c r="E561" s="21">
        <f t="shared" ca="1" si="43"/>
        <v>4.9090529924381305E-5</v>
      </c>
      <c r="F561" s="11">
        <f t="shared" ca="1" si="44"/>
        <v>4.7221261631031446</v>
      </c>
      <c r="G561" s="10">
        <f t="shared" ca="1" si="41"/>
        <v>1</v>
      </c>
    </row>
    <row r="562" spans="1:7" x14ac:dyDescent="0.2">
      <c r="A562" s="2">
        <v>19920522</v>
      </c>
      <c r="B562" s="13">
        <v>3386.77</v>
      </c>
      <c r="C562" s="2">
        <f t="shared" si="42"/>
        <v>2.3855258367838452E-3</v>
      </c>
      <c r="D562" s="21">
        <f t="shared" ca="1" si="40"/>
        <v>2.001573421676978E-3</v>
      </c>
      <c r="E562" s="21">
        <f t="shared" ca="1" si="43"/>
        <v>4.8378149692639039E-5</v>
      </c>
      <c r="F562" s="11">
        <f t="shared" ca="1" si="44"/>
        <v>4.9268250994848612</v>
      </c>
      <c r="G562" s="10">
        <f t="shared" ca="1" si="41"/>
        <v>1</v>
      </c>
    </row>
    <row r="563" spans="1:7" x14ac:dyDescent="0.2">
      <c r="A563" s="2">
        <v>19920526</v>
      </c>
      <c r="B563" s="13">
        <v>3364.21</v>
      </c>
      <c r="C563" s="2">
        <f t="shared" si="42"/>
        <v>-6.6612140771295202E-3</v>
      </c>
      <c r="D563" s="21">
        <f t="shared" ca="1" si="40"/>
        <v>-7.0451664922363873E-3</v>
      </c>
      <c r="E563" s="21">
        <f t="shared" ca="1" si="43"/>
        <v>4.6987004784275795E-5</v>
      </c>
      <c r="F563" s="11">
        <f t="shared" ca="1" si="44"/>
        <v>4.4546484856844097</v>
      </c>
      <c r="G563" s="10">
        <f t="shared" ca="1" si="41"/>
        <v>0</v>
      </c>
    </row>
    <row r="564" spans="1:7" x14ac:dyDescent="0.2">
      <c r="A564" s="2">
        <v>19920527</v>
      </c>
      <c r="B564" s="13">
        <v>3370.44</v>
      </c>
      <c r="C564" s="2">
        <f t="shared" si="42"/>
        <v>1.8518463472851035E-3</v>
      </c>
      <c r="D564" s="21">
        <f t="shared" ca="1" si="40"/>
        <v>1.4678939321782361E-3</v>
      </c>
      <c r="E564" s="21">
        <f t="shared" ca="1" si="43"/>
        <v>4.7344062331872085E-5</v>
      </c>
      <c r="F564" s="11">
        <f t="shared" ca="1" si="44"/>
        <v>4.9562786823706588</v>
      </c>
      <c r="G564" s="10">
        <f t="shared" ca="1" si="41"/>
        <v>1</v>
      </c>
    </row>
    <row r="565" spans="1:7" x14ac:dyDescent="0.2">
      <c r="A565" s="2">
        <v>19920528</v>
      </c>
      <c r="B565" s="13">
        <v>3398.43</v>
      </c>
      <c r="C565" s="2">
        <f t="shared" si="42"/>
        <v>8.3045537081211304E-3</v>
      </c>
      <c r="D565" s="21">
        <f t="shared" ca="1" si="40"/>
        <v>7.9206012930142632E-3</v>
      </c>
      <c r="E565" s="21">
        <f t="shared" ca="1" si="43"/>
        <v>4.5937146282895462E-5</v>
      </c>
      <c r="F565" s="11">
        <f t="shared" ca="1" si="44"/>
        <v>4.3112729843184496</v>
      </c>
      <c r="G565" s="10">
        <f t="shared" ca="1" si="41"/>
        <v>0</v>
      </c>
    </row>
    <row r="566" spans="1:7" x14ac:dyDescent="0.2">
      <c r="A566" s="2">
        <v>19920529</v>
      </c>
      <c r="B566" s="13">
        <v>3396.88</v>
      </c>
      <c r="C566" s="2">
        <f t="shared" si="42"/>
        <v>-4.5609296057289017E-4</v>
      </c>
      <c r="D566" s="21">
        <f t="shared" ca="1" si="40"/>
        <v>-8.4004537567975747E-4</v>
      </c>
      <c r="E566" s="21">
        <f t="shared" ca="1" si="43"/>
        <v>4.6829083532045181E-5</v>
      </c>
      <c r="F566" s="11">
        <f t="shared" ca="1" si="44"/>
        <v>4.9769684588566987</v>
      </c>
      <c r="G566" s="10">
        <f t="shared" ca="1" si="41"/>
        <v>1</v>
      </c>
    </row>
    <row r="567" spans="1:7" x14ac:dyDescent="0.2">
      <c r="A567" s="2">
        <v>19920601</v>
      </c>
      <c r="B567" s="13">
        <v>3413.21</v>
      </c>
      <c r="C567" s="2">
        <f t="shared" si="42"/>
        <v>4.8073526294717291E-3</v>
      </c>
      <c r="D567" s="21">
        <f t="shared" ca="1" si="40"/>
        <v>4.4234002143648619E-3</v>
      </c>
      <c r="E567" s="21">
        <f t="shared" ca="1" si="43"/>
        <v>4.5394936832965505E-5</v>
      </c>
      <c r="F567" s="11">
        <f t="shared" ca="1" si="44"/>
        <v>4.7845412047442135</v>
      </c>
      <c r="G567" s="10">
        <f t="shared" ca="1" si="41"/>
        <v>1</v>
      </c>
    </row>
    <row r="568" spans="1:7" x14ac:dyDescent="0.2">
      <c r="A568" s="2">
        <v>19920602</v>
      </c>
      <c r="B568" s="13">
        <v>3396.1</v>
      </c>
      <c r="C568" s="2">
        <f t="shared" si="42"/>
        <v>-5.0128764418245954E-3</v>
      </c>
      <c r="D568" s="21">
        <f t="shared" ca="1" si="40"/>
        <v>-5.3968288569314626E-3</v>
      </c>
      <c r="E568" s="21">
        <f t="shared" ca="1" si="43"/>
        <v>4.4726888386256728E-5</v>
      </c>
      <c r="F568" s="11">
        <f t="shared" ca="1" si="44"/>
        <v>4.6818721911528121</v>
      </c>
      <c r="G568" s="10">
        <f t="shared" ca="1" si="41"/>
        <v>1</v>
      </c>
    </row>
    <row r="569" spans="1:7" x14ac:dyDescent="0.2">
      <c r="A569" s="2">
        <v>19920603</v>
      </c>
      <c r="B569" s="13">
        <v>3406.99</v>
      </c>
      <c r="C569" s="2">
        <f t="shared" si="42"/>
        <v>3.2066193574982697E-3</v>
      </c>
      <c r="D569" s="21">
        <f t="shared" ca="1" si="40"/>
        <v>2.8226669423914025E-3</v>
      </c>
      <c r="E569" s="21">
        <f t="shared" ca="1" si="43"/>
        <v>4.4444148597605944E-5</v>
      </c>
      <c r="F569" s="11">
        <f t="shared" ca="1" si="44"/>
        <v>4.9210042282168143</v>
      </c>
      <c r="G569" s="10">
        <f t="shared" ca="1" si="41"/>
        <v>1</v>
      </c>
    </row>
    <row r="570" spans="1:7" x14ac:dyDescent="0.2">
      <c r="A570" s="2">
        <v>19920604</v>
      </c>
      <c r="B570" s="13">
        <v>3399.73</v>
      </c>
      <c r="C570" s="2">
        <f t="shared" si="42"/>
        <v>-2.1309132107812951E-3</v>
      </c>
      <c r="D570" s="21">
        <f t="shared" ca="1" si="40"/>
        <v>-2.5148656258881623E-3</v>
      </c>
      <c r="E570" s="21">
        <f t="shared" ca="1" si="43"/>
        <v>4.3397684593945251E-5</v>
      </c>
      <c r="F570" s="11">
        <f t="shared" ca="1" si="44"/>
        <v>4.9496848777435858</v>
      </c>
      <c r="G570" s="10">
        <f t="shared" ca="1" si="41"/>
        <v>1</v>
      </c>
    </row>
    <row r="571" spans="1:7" x14ac:dyDescent="0.2">
      <c r="A571" s="2">
        <v>19920605</v>
      </c>
      <c r="B571" s="13">
        <v>3398.69</v>
      </c>
      <c r="C571" s="2">
        <f t="shared" si="42"/>
        <v>-3.0590664552772236E-4</v>
      </c>
      <c r="D571" s="21">
        <f t="shared" ca="1" si="40"/>
        <v>-6.8985906063458971E-4</v>
      </c>
      <c r="E571" s="21">
        <f t="shared" ca="1" si="43"/>
        <v>4.2343749263708238E-5</v>
      </c>
      <c r="F571" s="11">
        <f t="shared" ca="1" si="44"/>
        <v>5.0292253237041624</v>
      </c>
      <c r="G571" s="10">
        <f t="shared" ca="1" si="41"/>
        <v>1</v>
      </c>
    </row>
    <row r="572" spans="1:7" x14ac:dyDescent="0.2">
      <c r="A572" s="2">
        <v>19920608</v>
      </c>
      <c r="B572" s="13">
        <v>3404.14</v>
      </c>
      <c r="C572" s="2">
        <f t="shared" si="42"/>
        <v>1.6035590183275962E-3</v>
      </c>
      <c r="D572" s="21">
        <f t="shared" ca="1" si="40"/>
        <v>1.2196066032207288E-3</v>
      </c>
      <c r="E572" s="21">
        <f t="shared" ca="1" si="43"/>
        <v>4.1128068031939392E-5</v>
      </c>
      <c r="F572" s="11">
        <f t="shared" ca="1" si="44"/>
        <v>5.0313268434303824</v>
      </c>
      <c r="G572" s="10">
        <f t="shared" ca="1" si="41"/>
        <v>1</v>
      </c>
    </row>
    <row r="573" spans="1:7" x14ac:dyDescent="0.2">
      <c r="A573" s="2">
        <v>19920609</v>
      </c>
      <c r="B573" s="13">
        <v>3369.92</v>
      </c>
      <c r="C573" s="2">
        <f t="shared" si="42"/>
        <v>-1.0052465527269678E-2</v>
      </c>
      <c r="D573" s="21">
        <f t="shared" ca="1" si="40"/>
        <v>-1.0436417942376545E-2</v>
      </c>
      <c r="E573" s="21">
        <f t="shared" ca="1" si="43"/>
        <v>4.0011084412656458E-5</v>
      </c>
      <c r="F573" s="11">
        <f t="shared" ca="1" si="44"/>
        <v>3.7020689496983734</v>
      </c>
      <c r="G573" s="10">
        <f t="shared" ca="1" si="41"/>
        <v>0</v>
      </c>
    </row>
    <row r="574" spans="1:7" x14ac:dyDescent="0.2">
      <c r="A574" s="2">
        <v>19920610</v>
      </c>
      <c r="B574" s="13">
        <v>3343.22</v>
      </c>
      <c r="C574" s="2">
        <f t="shared" si="42"/>
        <v>-7.9230367486469323E-3</v>
      </c>
      <c r="D574" s="21">
        <f t="shared" ca="1" si="40"/>
        <v>-8.3069891637537994E-3</v>
      </c>
      <c r="E574" s="21">
        <f t="shared" ca="1" si="43"/>
        <v>4.2901048755932934E-5</v>
      </c>
      <c r="F574" s="11">
        <f t="shared" ca="1" si="44"/>
        <v>4.2240602658698219</v>
      </c>
      <c r="G574" s="10">
        <f t="shared" ca="1" si="41"/>
        <v>0</v>
      </c>
    </row>
    <row r="575" spans="1:7" x14ac:dyDescent="0.2">
      <c r="A575" s="2">
        <v>19920611</v>
      </c>
      <c r="B575" s="13">
        <v>3351.51</v>
      </c>
      <c r="C575" s="2">
        <f t="shared" si="42"/>
        <v>2.4796453718272859E-3</v>
      </c>
      <c r="D575" s="21">
        <f t="shared" ca="1" si="40"/>
        <v>2.0956929567204187E-3</v>
      </c>
      <c r="E575" s="21">
        <f t="shared" ca="1" si="43"/>
        <v>4.4177147326049886E-5</v>
      </c>
      <c r="F575" s="11">
        <f t="shared" ca="1" si="44"/>
        <v>4.9639433107567115</v>
      </c>
      <c r="G575" s="10">
        <f t="shared" ca="1" si="41"/>
        <v>1</v>
      </c>
    </row>
    <row r="576" spans="1:7" x14ac:dyDescent="0.2">
      <c r="A576" s="2">
        <v>19920612</v>
      </c>
      <c r="B576" s="13">
        <v>3354.36</v>
      </c>
      <c r="C576" s="2">
        <f t="shared" si="42"/>
        <v>8.5036297072063301E-4</v>
      </c>
      <c r="D576" s="21">
        <f t="shared" ca="1" si="40"/>
        <v>4.6641055561376572E-4</v>
      </c>
      <c r="E576" s="21">
        <f t="shared" ca="1" si="43"/>
        <v>4.3012712902279867E-5</v>
      </c>
      <c r="F576" s="11">
        <f t="shared" ca="1" si="44"/>
        <v>5.0244786451625334</v>
      </c>
      <c r="G576" s="10">
        <f t="shared" ca="1" si="41"/>
        <v>1</v>
      </c>
    </row>
    <row r="577" spans="1:7" x14ac:dyDescent="0.2">
      <c r="A577" s="2">
        <v>19920615</v>
      </c>
      <c r="B577" s="13">
        <v>3354.9</v>
      </c>
      <c r="C577" s="2">
        <f t="shared" si="42"/>
        <v>1.6098450971272122E-4</v>
      </c>
      <c r="D577" s="21">
        <f t="shared" ca="1" si="40"/>
        <v>-2.2296790539414607E-4</v>
      </c>
      <c r="E577" s="21">
        <f t="shared" ca="1" si="43"/>
        <v>4.1753687984459737E-5</v>
      </c>
      <c r="F577" s="11">
        <f t="shared" ca="1" si="44"/>
        <v>5.0412660549234127</v>
      </c>
      <c r="G577" s="10">
        <f t="shared" ca="1" si="41"/>
        <v>1</v>
      </c>
    </row>
    <row r="578" spans="1:7" x14ac:dyDescent="0.2">
      <c r="A578" s="2">
        <v>19920616</v>
      </c>
      <c r="B578" s="13">
        <v>3329.49</v>
      </c>
      <c r="C578" s="2">
        <f t="shared" si="42"/>
        <v>-7.5739962442994751E-3</v>
      </c>
      <c r="D578" s="21">
        <f t="shared" ca="1" si="40"/>
        <v>-7.9579486594063432E-3</v>
      </c>
      <c r="E578" s="21">
        <f t="shared" ca="1" si="43"/>
        <v>4.055218636587932E-5</v>
      </c>
      <c r="F578" s="11">
        <f t="shared" ca="1" si="44"/>
        <v>4.2756277240810441</v>
      </c>
      <c r="G578" s="10">
        <f t="shared" ca="1" si="41"/>
        <v>0</v>
      </c>
    </row>
    <row r="579" spans="1:7" x14ac:dyDescent="0.2">
      <c r="A579" s="2">
        <v>19920617</v>
      </c>
      <c r="B579" s="13">
        <v>3287.76</v>
      </c>
      <c r="C579" s="2">
        <f t="shared" si="42"/>
        <v>-1.2533451069082522E-2</v>
      </c>
      <c r="D579" s="21">
        <f t="shared" ca="1" si="40"/>
        <v>-1.2917403484189389E-2</v>
      </c>
      <c r="E579" s="21">
        <f t="shared" ca="1" si="43"/>
        <v>4.1738356965530342E-5</v>
      </c>
      <c r="F579" s="11">
        <f t="shared" ca="1" si="44"/>
        <v>3.0431724515456207</v>
      </c>
      <c r="G579" s="10">
        <f t="shared" ca="1" si="41"/>
        <v>0</v>
      </c>
    </row>
    <row r="580" spans="1:7" x14ac:dyDescent="0.2">
      <c r="A580" s="2">
        <v>19920618</v>
      </c>
      <c r="B580" s="13">
        <v>3274.12</v>
      </c>
      <c r="C580" s="2">
        <f t="shared" si="42"/>
        <v>-4.1487213178578505E-3</v>
      </c>
      <c r="D580" s="21">
        <f t="shared" ca="1" si="40"/>
        <v>-4.5326737329647176E-3</v>
      </c>
      <c r="E580" s="21">
        <f t="shared" ca="1" si="43"/>
        <v>4.6671511127294922E-5</v>
      </c>
      <c r="F580" s="11">
        <f t="shared" ca="1" si="44"/>
        <v>4.7660847533043</v>
      </c>
      <c r="G580" s="10">
        <f t="shared" ca="1" si="41"/>
        <v>1</v>
      </c>
    </row>
    <row r="581" spans="1:7" x14ac:dyDescent="0.2">
      <c r="A581" s="2">
        <v>19920619</v>
      </c>
      <c r="B581" s="13">
        <v>3285.35</v>
      </c>
      <c r="C581" s="2">
        <f t="shared" si="42"/>
        <v>3.4299292634356769E-3</v>
      </c>
      <c r="D581" s="21">
        <f t="shared" ca="1" si="40"/>
        <v>3.0459768483288097E-3</v>
      </c>
      <c r="E581" s="21">
        <f t="shared" ca="1" si="43"/>
        <v>4.5974867466684514E-5</v>
      </c>
      <c r="F581" s="11">
        <f t="shared" ca="1" si="44"/>
        <v>4.8928051520514328</v>
      </c>
      <c r="G581" s="10">
        <f t="shared" ca="1" si="41"/>
        <v>1</v>
      </c>
    </row>
    <row r="582" spans="1:7" x14ac:dyDescent="0.2">
      <c r="A582" s="2">
        <v>19920622</v>
      </c>
      <c r="B582" s="13">
        <v>3280.8</v>
      </c>
      <c r="C582" s="2">
        <f t="shared" si="42"/>
        <v>-1.384936155965035E-3</v>
      </c>
      <c r="D582" s="21">
        <f t="shared" ca="1" si="40"/>
        <v>-1.7688885710719022E-3</v>
      </c>
      <c r="E582" s="21">
        <f t="shared" ca="1" si="43"/>
        <v>4.4899154231456082E-5</v>
      </c>
      <c r="F582" s="11">
        <f t="shared" ca="1" si="44"/>
        <v>4.9707014156734282</v>
      </c>
      <c r="G582" s="10">
        <f t="shared" ca="1" si="41"/>
        <v>1</v>
      </c>
    </row>
    <row r="583" spans="1:7" x14ac:dyDescent="0.2">
      <c r="A583" s="2">
        <v>19920623</v>
      </c>
      <c r="B583" s="13">
        <v>3285.62</v>
      </c>
      <c r="C583" s="2">
        <f t="shared" si="42"/>
        <v>1.4691538649109085E-3</v>
      </c>
      <c r="D583" s="21">
        <f t="shared" ca="1" si="40"/>
        <v>1.0852014498040413E-3</v>
      </c>
      <c r="E583" s="21">
        <f t="shared" ca="1" si="43"/>
        <v>4.3651751915619997E-5</v>
      </c>
      <c r="F583" s="11">
        <f t="shared" ca="1" si="44"/>
        <v>5.0061442815629418</v>
      </c>
      <c r="G583" s="10">
        <f t="shared" ca="1" si="41"/>
        <v>1</v>
      </c>
    </row>
    <row r="584" spans="1:7" x14ac:dyDescent="0.2">
      <c r="A584" s="2">
        <v>19920624</v>
      </c>
      <c r="B584" s="13">
        <v>3290.7</v>
      </c>
      <c r="C584" s="2">
        <f t="shared" si="42"/>
        <v>1.5461313237683991E-3</v>
      </c>
      <c r="D584" s="21">
        <f t="shared" ca="1" si="40"/>
        <v>1.1621789086615317E-3</v>
      </c>
      <c r="E584" s="21">
        <f t="shared" ca="1" si="43"/>
        <v>4.2395703216815355E-5</v>
      </c>
      <c r="F584" s="11">
        <f t="shared" ca="1" si="44"/>
        <v>5.0183025636236218</v>
      </c>
      <c r="G584" s="10">
        <f t="shared" ca="1" si="41"/>
        <v>1</v>
      </c>
    </row>
    <row r="585" spans="1:7" x14ac:dyDescent="0.2">
      <c r="A585" s="2">
        <v>19920625</v>
      </c>
      <c r="B585" s="13">
        <v>3284.01</v>
      </c>
      <c r="C585" s="2">
        <f t="shared" si="42"/>
        <v>-2.0330020968181844E-3</v>
      </c>
      <c r="D585" s="21">
        <f t="shared" ca="1" si="40"/>
        <v>-2.4169545119250516E-3</v>
      </c>
      <c r="E585" s="21">
        <f t="shared" ca="1" si="43"/>
        <v>4.1209559860138526E-5</v>
      </c>
      <c r="F585" s="11">
        <f t="shared" ca="1" si="44"/>
        <v>4.9775425500265751</v>
      </c>
      <c r="G585" s="10">
        <f t="shared" ca="1" si="41"/>
        <v>1</v>
      </c>
    </row>
    <row r="586" spans="1:7" x14ac:dyDescent="0.2">
      <c r="A586" s="2">
        <v>19920626</v>
      </c>
      <c r="B586" s="13">
        <v>3282.41</v>
      </c>
      <c r="C586" s="2">
        <f t="shared" si="42"/>
        <v>-4.8720923505116116E-4</v>
      </c>
      <c r="D586" s="21">
        <f t="shared" ca="1" si="40"/>
        <v>-8.711616501580284E-4</v>
      </c>
      <c r="E586" s="21">
        <f t="shared" ca="1" si="43"/>
        <v>4.0248566139794046E-5</v>
      </c>
      <c r="F586" s="11">
        <f t="shared" ca="1" si="44"/>
        <v>5.0507901432402473</v>
      </c>
      <c r="G586" s="10">
        <f t="shared" ca="1" si="41"/>
        <v>1</v>
      </c>
    </row>
    <row r="587" spans="1:7" x14ac:dyDescent="0.2">
      <c r="A587" s="2">
        <v>19920629</v>
      </c>
      <c r="B587" s="13">
        <v>3319.86</v>
      </c>
      <c r="C587" s="2">
        <f t="shared" si="42"/>
        <v>1.1409299874177898E-2</v>
      </c>
      <c r="D587" s="21">
        <f t="shared" ca="1" si="40"/>
        <v>1.1025347459071031E-2</v>
      </c>
      <c r="E587" s="21">
        <f t="shared" ca="1" si="43"/>
        <v>3.9149287944956969E-5</v>
      </c>
      <c r="F587" s="11">
        <f t="shared" ca="1" si="44"/>
        <v>3.5215673863072552</v>
      </c>
      <c r="G587" s="10">
        <f t="shared" ca="1" si="41"/>
        <v>0</v>
      </c>
    </row>
    <row r="588" spans="1:7" x14ac:dyDescent="0.2">
      <c r="A588" s="2">
        <v>19920630</v>
      </c>
      <c r="B588" s="13">
        <v>3318.52</v>
      </c>
      <c r="C588" s="2">
        <f t="shared" si="42"/>
        <v>-4.0363147843588146E-4</v>
      </c>
      <c r="D588" s="21">
        <f t="shared" ca="1" si="40"/>
        <v>-7.8758389354274881E-4</v>
      </c>
      <c r="E588" s="21">
        <f t="shared" ca="1" si="43"/>
        <v>4.2547626130594303E-5</v>
      </c>
      <c r="F588" s="11">
        <f t="shared" ca="1" si="44"/>
        <v>5.0251539053898115</v>
      </c>
      <c r="G588" s="10">
        <f t="shared" ca="1" si="41"/>
        <v>1</v>
      </c>
    </row>
    <row r="589" spans="1:7" x14ac:dyDescent="0.2">
      <c r="A589" s="2">
        <v>19920701</v>
      </c>
      <c r="B589" s="13">
        <v>3354.1</v>
      </c>
      <c r="C589" s="2">
        <f t="shared" si="42"/>
        <v>1.0721646999264711E-2</v>
      </c>
      <c r="D589" s="21">
        <f t="shared" ca="1" si="40"/>
        <v>1.0337694584157843E-2</v>
      </c>
      <c r="E589" s="21">
        <f t="shared" ca="1" si="43"/>
        <v>4.1326939911076105E-5</v>
      </c>
      <c r="F589" s="11">
        <f t="shared" ca="1" si="44"/>
        <v>3.7540407827562827</v>
      </c>
      <c r="G589" s="10">
        <f t="shared" ca="1" si="41"/>
        <v>0</v>
      </c>
    </row>
    <row r="590" spans="1:7" x14ac:dyDescent="0.2">
      <c r="A590" s="2">
        <v>19920702</v>
      </c>
      <c r="B590" s="13">
        <v>3330.29</v>
      </c>
      <c r="C590" s="2">
        <f t="shared" si="42"/>
        <v>-7.0987746340299774E-3</v>
      </c>
      <c r="D590" s="21">
        <f t="shared" ref="D590:D653" ca="1" si="45">(C590-mu)</f>
        <v>-7.4827270491368445E-3</v>
      </c>
      <c r="E590" s="21">
        <f t="shared" ca="1" si="43"/>
        <v>4.4074919879560285E-5</v>
      </c>
      <c r="F590" s="11">
        <f t="shared" ca="1" si="44"/>
        <v>4.3796276811077055</v>
      </c>
      <c r="G590" s="10">
        <f t="shared" ref="G590:G653" ca="1" si="46">IF(AND(C590&lt;=mu+zvalue*SQRT(E590),C590&gt;=mu-zvalue*SQRT(E590)),1,0)</f>
        <v>0</v>
      </c>
    </row>
    <row r="591" spans="1:7" x14ac:dyDescent="0.2">
      <c r="A591" s="2">
        <v>19920706</v>
      </c>
      <c r="B591" s="13">
        <v>3339.21</v>
      </c>
      <c r="C591" s="2">
        <f t="shared" ref="C591:C654" si="47">(B591-B590)/B590</f>
        <v>2.6784454206690927E-3</v>
      </c>
      <c r="D591" s="21">
        <f t="shared" ca="1" si="45"/>
        <v>2.2944930055622255E-3</v>
      </c>
      <c r="E591" s="21">
        <f t="shared" ref="E591:E654" ca="1" si="48">(1-alpha-beta)*longvar+alpha*D590^2+beta*E590</f>
        <v>4.4813052617004713E-5</v>
      </c>
      <c r="F591" s="11">
        <f t="shared" ref="F591:F654" ca="1" si="49">(-0.5)*(LN(E591)+D591^2/E591)</f>
        <v>4.9477648763547792</v>
      </c>
      <c r="G591" s="10">
        <f t="shared" ca="1" si="46"/>
        <v>1</v>
      </c>
    </row>
    <row r="592" spans="1:7" x14ac:dyDescent="0.2">
      <c r="A592" s="2">
        <v>19920707</v>
      </c>
      <c r="B592" s="13">
        <v>3295.17</v>
      </c>
      <c r="C592" s="2">
        <f t="shared" si="47"/>
        <v>-1.3188748236858408E-2</v>
      </c>
      <c r="D592" s="21">
        <f t="shared" ca="1" si="45"/>
        <v>-1.3572700651965275E-2</v>
      </c>
      <c r="E592" s="21">
        <f t="shared" ca="1" si="48"/>
        <v>4.3648540781966082E-5</v>
      </c>
      <c r="F592" s="11">
        <f t="shared" ca="1" si="49"/>
        <v>2.909425661210991</v>
      </c>
      <c r="G592" s="10">
        <f t="shared" ca="1" si="46"/>
        <v>0</v>
      </c>
    </row>
    <row r="593" spans="1:7" x14ac:dyDescent="0.2">
      <c r="A593" s="2">
        <v>19920708</v>
      </c>
      <c r="B593" s="13">
        <v>3293.28</v>
      </c>
      <c r="C593" s="2">
        <f t="shared" si="47"/>
        <v>-5.7356676590278278E-4</v>
      </c>
      <c r="D593" s="21">
        <f t="shared" ca="1" si="45"/>
        <v>-9.5751918100965008E-4</v>
      </c>
      <c r="E593" s="21">
        <f t="shared" ca="1" si="48"/>
        <v>4.9123374818128639E-5</v>
      </c>
      <c r="F593" s="11">
        <f t="shared" ca="1" si="49"/>
        <v>4.9512557415384775</v>
      </c>
      <c r="G593" s="10">
        <f t="shared" ca="1" si="46"/>
        <v>1</v>
      </c>
    </row>
    <row r="594" spans="1:7" x14ac:dyDescent="0.2">
      <c r="A594" s="2">
        <v>19920709</v>
      </c>
      <c r="B594" s="13">
        <v>3324.08</v>
      </c>
      <c r="C594" s="2">
        <f t="shared" si="47"/>
        <v>9.3523781761647128E-3</v>
      </c>
      <c r="D594" s="21">
        <f t="shared" ca="1" si="45"/>
        <v>8.9684257610578456E-3</v>
      </c>
      <c r="E594" s="21">
        <f t="shared" ca="1" si="48"/>
        <v>4.7580924137518295E-5</v>
      </c>
      <c r="F594" s="11">
        <f t="shared" ca="1" si="49"/>
        <v>4.1313197015989829</v>
      </c>
      <c r="G594" s="10">
        <f t="shared" ca="1" si="46"/>
        <v>0</v>
      </c>
    </row>
    <row r="595" spans="1:7" x14ac:dyDescent="0.2">
      <c r="A595" s="2">
        <v>19920710</v>
      </c>
      <c r="B595" s="13">
        <v>3330.56</v>
      </c>
      <c r="C595" s="2">
        <f t="shared" si="47"/>
        <v>1.9494115665086335E-3</v>
      </c>
      <c r="D595" s="21">
        <f t="shared" ca="1" si="45"/>
        <v>1.5654591514017661E-3</v>
      </c>
      <c r="E595" s="21">
        <f t="shared" ca="1" si="48"/>
        <v>4.9040441998049548E-5</v>
      </c>
      <c r="F595" s="11">
        <f t="shared" ca="1" si="49"/>
        <v>4.936446490191833</v>
      </c>
      <c r="G595" s="10">
        <f t="shared" ca="1" si="46"/>
        <v>1</v>
      </c>
    </row>
    <row r="596" spans="1:7" x14ac:dyDescent="0.2">
      <c r="A596" s="2">
        <v>19920713</v>
      </c>
      <c r="B596" s="13">
        <v>3337.31</v>
      </c>
      <c r="C596" s="2">
        <f t="shared" si="47"/>
        <v>2.0266862029208301E-3</v>
      </c>
      <c r="D596" s="21">
        <f t="shared" ca="1" si="45"/>
        <v>1.6427337878139629E-3</v>
      </c>
      <c r="E596" s="21">
        <f t="shared" ca="1" si="48"/>
        <v>4.7558588132569035E-5</v>
      </c>
      <c r="F596" s="11">
        <f t="shared" ca="1" si="49"/>
        <v>4.9484030348962795</v>
      </c>
      <c r="G596" s="10">
        <f t="shared" ca="1" si="46"/>
        <v>1</v>
      </c>
    </row>
    <row r="597" spans="1:7" x14ac:dyDescent="0.2">
      <c r="A597" s="2">
        <v>19920714</v>
      </c>
      <c r="B597" s="13">
        <v>3358.39</v>
      </c>
      <c r="C597" s="2">
        <f t="shared" si="47"/>
        <v>6.3164644579017017E-3</v>
      </c>
      <c r="D597" s="21">
        <f t="shared" ca="1" si="45"/>
        <v>5.9325120427948345E-3</v>
      </c>
      <c r="E597" s="21">
        <f t="shared" ca="1" si="48"/>
        <v>4.6160817897071744E-5</v>
      </c>
      <c r="F597" s="11">
        <f t="shared" ca="1" si="49"/>
        <v>4.610471285981955</v>
      </c>
      <c r="G597" s="10">
        <f t="shared" ca="1" si="46"/>
        <v>1</v>
      </c>
    </row>
    <row r="598" spans="1:7" x14ac:dyDescent="0.2">
      <c r="A598" s="2">
        <v>19920715</v>
      </c>
      <c r="B598" s="13">
        <v>3345.42</v>
      </c>
      <c r="C598" s="2">
        <f t="shared" si="47"/>
        <v>-3.8619695747068687E-3</v>
      </c>
      <c r="D598" s="21">
        <f t="shared" ca="1" si="45"/>
        <v>-4.2459219898137359E-3</v>
      </c>
      <c r="E598" s="21">
        <f t="shared" ca="1" si="48"/>
        <v>4.6028700568164428E-5</v>
      </c>
      <c r="F598" s="11">
        <f t="shared" ca="1" si="49"/>
        <v>4.7972899705214784</v>
      </c>
      <c r="G598" s="10">
        <f t="shared" ca="1" si="46"/>
        <v>1</v>
      </c>
    </row>
    <row r="599" spans="1:7" x14ac:dyDescent="0.2">
      <c r="A599" s="2">
        <v>19920716</v>
      </c>
      <c r="B599" s="13">
        <v>3361.63</v>
      </c>
      <c r="C599" s="2">
        <f t="shared" si="47"/>
        <v>4.8454304691189854E-3</v>
      </c>
      <c r="D599" s="21">
        <f t="shared" ca="1" si="45"/>
        <v>4.4614780540121182E-3</v>
      </c>
      <c r="E599" s="21">
        <f t="shared" ca="1" si="48"/>
        <v>4.5272012211804548E-5</v>
      </c>
      <c r="F599" s="11">
        <f t="shared" ca="1" si="49"/>
        <v>4.7815753233903129</v>
      </c>
      <c r="G599" s="10">
        <f t="shared" ca="1" si="46"/>
        <v>1</v>
      </c>
    </row>
    <row r="600" spans="1:7" x14ac:dyDescent="0.2">
      <c r="A600" s="2">
        <v>19920717</v>
      </c>
      <c r="B600" s="13">
        <v>3331.64</v>
      </c>
      <c r="C600" s="2">
        <f t="shared" si="47"/>
        <v>-8.921267361369405E-3</v>
      </c>
      <c r="D600" s="21">
        <f t="shared" ca="1" si="45"/>
        <v>-9.3052197764762722E-3</v>
      </c>
      <c r="E600" s="21">
        <f t="shared" ca="1" si="48"/>
        <v>4.4622623067858823E-5</v>
      </c>
      <c r="F600" s="11">
        <f t="shared" ca="1" si="49"/>
        <v>4.0384193593180076</v>
      </c>
      <c r="G600" s="10">
        <f t="shared" ca="1" si="46"/>
        <v>0</v>
      </c>
    </row>
    <row r="601" spans="1:7" x14ac:dyDescent="0.2">
      <c r="A601" s="2">
        <v>19920720</v>
      </c>
      <c r="B601" s="13">
        <v>3303</v>
      </c>
      <c r="C601" s="2">
        <f t="shared" si="47"/>
        <v>-8.5963669544128034E-3</v>
      </c>
      <c r="D601" s="21">
        <f t="shared" ca="1" si="45"/>
        <v>-8.9803193695196706E-3</v>
      </c>
      <c r="E601" s="21">
        <f t="shared" ca="1" si="48"/>
        <v>4.6458112389915064E-5</v>
      </c>
      <c r="F601" s="11">
        <f t="shared" ca="1" si="49"/>
        <v>4.120535125469031</v>
      </c>
      <c r="G601" s="10">
        <f t="shared" ca="1" si="46"/>
        <v>0</v>
      </c>
    </row>
    <row r="602" spans="1:7" x14ac:dyDescent="0.2">
      <c r="A602" s="2">
        <v>19920721</v>
      </c>
      <c r="B602" s="13">
        <v>3308.41</v>
      </c>
      <c r="C602" s="2">
        <f t="shared" si="47"/>
        <v>1.6379049349076157E-3</v>
      </c>
      <c r="D602" s="21">
        <f t="shared" ca="1" si="45"/>
        <v>1.2539525198007485E-3</v>
      </c>
      <c r="E602" s="21">
        <f t="shared" ca="1" si="48"/>
        <v>4.798228352770525E-5</v>
      </c>
      <c r="F602" s="11">
        <f t="shared" ca="1" si="49"/>
        <v>4.9559541719182345</v>
      </c>
      <c r="G602" s="10">
        <f t="shared" ca="1" si="46"/>
        <v>1</v>
      </c>
    </row>
    <row r="603" spans="1:7" x14ac:dyDescent="0.2">
      <c r="A603" s="2">
        <v>19920722</v>
      </c>
      <c r="B603" s="13">
        <v>3277.61</v>
      </c>
      <c r="C603" s="2">
        <f t="shared" si="47"/>
        <v>-9.3096079385565061E-3</v>
      </c>
      <c r="D603" s="21">
        <f t="shared" ca="1" si="45"/>
        <v>-9.6935603536633733E-3</v>
      </c>
      <c r="E603" s="21">
        <f t="shared" ca="1" si="48"/>
        <v>4.6521666894196676E-5</v>
      </c>
      <c r="F603" s="11">
        <f t="shared" ca="1" si="49"/>
        <v>3.9778892185718218</v>
      </c>
      <c r="G603" s="10">
        <f t="shared" ca="1" si="46"/>
        <v>0</v>
      </c>
    </row>
    <row r="604" spans="1:7" x14ac:dyDescent="0.2">
      <c r="A604" s="2">
        <v>19920723</v>
      </c>
      <c r="B604" s="13">
        <v>3290.04</v>
      </c>
      <c r="C604" s="2">
        <f t="shared" si="47"/>
        <v>3.7923975091605881E-3</v>
      </c>
      <c r="D604" s="21">
        <f t="shared" ca="1" si="45"/>
        <v>3.4084450940537209E-3</v>
      </c>
      <c r="E604" s="21">
        <f t="shared" ca="1" si="48"/>
        <v>4.8532384804694811E-5</v>
      </c>
      <c r="F604" s="11">
        <f t="shared" ca="1" si="49"/>
        <v>4.8469515263505469</v>
      </c>
      <c r="G604" s="10">
        <f t="shared" ca="1" si="46"/>
        <v>1</v>
      </c>
    </row>
    <row r="605" spans="1:7" x14ac:dyDescent="0.2">
      <c r="A605" s="2">
        <v>19920724</v>
      </c>
      <c r="B605" s="13">
        <v>3285.71</v>
      </c>
      <c r="C605" s="2">
        <f t="shared" si="47"/>
        <v>-1.3160934213565572E-3</v>
      </c>
      <c r="D605" s="21">
        <f t="shared" ca="1" si="45"/>
        <v>-1.7000458364634244E-3</v>
      </c>
      <c r="E605" s="21">
        <f t="shared" ca="1" si="48"/>
        <v>4.7413314270813971E-5</v>
      </c>
      <c r="F605" s="11">
        <f t="shared" ca="1" si="49"/>
        <v>4.947825423553259</v>
      </c>
      <c r="G605" s="10">
        <f t="shared" ca="1" si="46"/>
        <v>1</v>
      </c>
    </row>
    <row r="606" spans="1:7" x14ac:dyDescent="0.2">
      <c r="A606" s="2">
        <v>19920727</v>
      </c>
      <c r="B606" s="13">
        <v>3282.2</v>
      </c>
      <c r="C606" s="2">
        <f t="shared" si="47"/>
        <v>-1.0682622629508442E-3</v>
      </c>
      <c r="D606" s="21">
        <f t="shared" ca="1" si="45"/>
        <v>-1.4522146780577114E-3</v>
      </c>
      <c r="E606" s="21">
        <f t="shared" ca="1" si="48"/>
        <v>4.6029938275863312E-5</v>
      </c>
      <c r="F606" s="11">
        <f t="shared" ca="1" si="49"/>
        <v>4.9702010552601772</v>
      </c>
      <c r="G606" s="10">
        <f t="shared" ca="1" si="46"/>
        <v>1</v>
      </c>
    </row>
    <row r="607" spans="1:7" x14ac:dyDescent="0.2">
      <c r="A607" s="2">
        <v>19920728</v>
      </c>
      <c r="B607" s="13">
        <v>3334.07</v>
      </c>
      <c r="C607" s="2">
        <f t="shared" si="47"/>
        <v>1.5803424532325985E-2</v>
      </c>
      <c r="D607" s="21">
        <f t="shared" ca="1" si="45"/>
        <v>1.5419472117219118E-2</v>
      </c>
      <c r="E607" s="21">
        <f t="shared" ca="1" si="48"/>
        <v>4.4687820596586552E-5</v>
      </c>
      <c r="F607" s="11">
        <f t="shared" ca="1" si="49"/>
        <v>2.3476707716053933</v>
      </c>
      <c r="G607" s="10">
        <f t="shared" ca="1" si="46"/>
        <v>0</v>
      </c>
    </row>
    <row r="608" spans="1:7" x14ac:dyDescent="0.2">
      <c r="A608" s="2">
        <v>19920729</v>
      </c>
      <c r="B608" s="13">
        <v>3379.19</v>
      </c>
      <c r="C608" s="2">
        <f t="shared" si="47"/>
        <v>1.353300920496567E-2</v>
      </c>
      <c r="D608" s="21">
        <f t="shared" ca="1" si="45"/>
        <v>1.3149056789858803E-2</v>
      </c>
      <c r="E608" s="21">
        <f t="shared" ca="1" si="48"/>
        <v>5.2078906913714495E-5</v>
      </c>
      <c r="F608" s="11">
        <f t="shared" ca="1" si="49"/>
        <v>3.2714163322412397</v>
      </c>
      <c r="G608" s="10">
        <f t="shared" ca="1" si="46"/>
        <v>0</v>
      </c>
    </row>
    <row r="609" spans="1:7" x14ac:dyDescent="0.2">
      <c r="A609" s="2">
        <v>19920730</v>
      </c>
      <c r="B609" s="13">
        <v>3391.89</v>
      </c>
      <c r="C609" s="2">
        <f t="shared" si="47"/>
        <v>3.7582971067030317E-3</v>
      </c>
      <c r="D609" s="21">
        <f t="shared" ca="1" si="45"/>
        <v>3.3743446915961645E-3</v>
      </c>
      <c r="E609" s="21">
        <f t="shared" ca="1" si="48"/>
        <v>5.6710971086851242E-5</v>
      </c>
      <c r="F609" s="11">
        <f t="shared" ca="1" si="49"/>
        <v>4.7883834347060432</v>
      </c>
      <c r="G609" s="10">
        <f t="shared" ca="1" si="46"/>
        <v>1</v>
      </c>
    </row>
    <row r="610" spans="1:7" x14ac:dyDescent="0.2">
      <c r="A610" s="2">
        <v>19920731</v>
      </c>
      <c r="B610" s="13">
        <v>3393.78</v>
      </c>
      <c r="C610" s="2">
        <f t="shared" si="47"/>
        <v>5.5721146617382269E-4</v>
      </c>
      <c r="D610" s="21">
        <f t="shared" ca="1" si="45"/>
        <v>1.732590510669554E-4</v>
      </c>
      <c r="E610" s="21">
        <f t="shared" ca="1" si="48"/>
        <v>5.516963802735982E-5</v>
      </c>
      <c r="F610" s="11">
        <f t="shared" ca="1" si="49"/>
        <v>4.9022768377261903</v>
      </c>
      <c r="G610" s="10">
        <f t="shared" ca="1" si="46"/>
        <v>1</v>
      </c>
    </row>
    <row r="611" spans="1:7" x14ac:dyDescent="0.2">
      <c r="A611" s="2">
        <v>19920803</v>
      </c>
      <c r="B611" s="13">
        <v>3395.4</v>
      </c>
      <c r="C611" s="2">
        <f t="shared" si="47"/>
        <v>4.7734384668419603E-4</v>
      </c>
      <c r="D611" s="21">
        <f t="shared" ca="1" si="45"/>
        <v>9.3391431577328739E-5</v>
      </c>
      <c r="E611" s="21">
        <f t="shared" ca="1" si="48"/>
        <v>5.3288694822844831E-5</v>
      </c>
      <c r="F611" s="11">
        <f t="shared" ca="1" si="49"/>
        <v>4.9198113400980423</v>
      </c>
      <c r="G611" s="10">
        <f t="shared" ca="1" si="46"/>
        <v>1</v>
      </c>
    </row>
    <row r="612" spans="1:7" x14ac:dyDescent="0.2">
      <c r="A612" s="2">
        <v>19920804</v>
      </c>
      <c r="B612" s="13">
        <v>3384.32</v>
      </c>
      <c r="C612" s="2">
        <f t="shared" si="47"/>
        <v>-3.2632384991458816E-3</v>
      </c>
      <c r="D612" s="21">
        <f t="shared" ca="1" si="45"/>
        <v>-3.6471909142527488E-3</v>
      </c>
      <c r="E612" s="21">
        <f t="shared" ca="1" si="48"/>
        <v>5.1502126036085068E-5</v>
      </c>
      <c r="F612" s="11">
        <f t="shared" ca="1" si="49"/>
        <v>4.8078034193873833</v>
      </c>
      <c r="G612" s="10">
        <f t="shared" ca="1" si="46"/>
        <v>1</v>
      </c>
    </row>
    <row r="613" spans="1:7" x14ac:dyDescent="0.2">
      <c r="A613" s="2">
        <v>19920805</v>
      </c>
      <c r="B613" s="13">
        <v>3365.14</v>
      </c>
      <c r="C613" s="2">
        <f t="shared" si="47"/>
        <v>-5.6673127836612052E-3</v>
      </c>
      <c r="D613" s="21">
        <f t="shared" ca="1" si="45"/>
        <v>-6.0512651987680724E-3</v>
      </c>
      <c r="E613" s="21">
        <f t="shared" ca="1" si="48"/>
        <v>5.0294757454287365E-5</v>
      </c>
      <c r="F613" s="11">
        <f t="shared" ca="1" si="49"/>
        <v>4.5847727742608573</v>
      </c>
      <c r="G613" s="10">
        <f t="shared" ca="1" si="46"/>
        <v>1</v>
      </c>
    </row>
    <row r="614" spans="1:7" x14ac:dyDescent="0.2">
      <c r="A614" s="2">
        <v>19920806</v>
      </c>
      <c r="B614" s="13">
        <v>3340.56</v>
      </c>
      <c r="C614" s="2">
        <f t="shared" si="47"/>
        <v>-7.3043023470048584E-3</v>
      </c>
      <c r="D614" s="21">
        <f t="shared" ca="1" si="45"/>
        <v>-7.6882547621117256E-3</v>
      </c>
      <c r="E614" s="21">
        <f t="shared" ca="1" si="48"/>
        <v>5.000583305183954E-5</v>
      </c>
      <c r="F614" s="11">
        <f t="shared" ca="1" si="49"/>
        <v>4.3606617857138623</v>
      </c>
      <c r="G614" s="10">
        <f t="shared" ca="1" si="46"/>
        <v>0</v>
      </c>
    </row>
    <row r="615" spans="1:7" x14ac:dyDescent="0.2">
      <c r="A615" s="2">
        <v>19920807</v>
      </c>
      <c r="B615" s="13">
        <v>3332.18</v>
      </c>
      <c r="C615" s="2">
        <f t="shared" si="47"/>
        <v>-2.5085614388007126E-3</v>
      </c>
      <c r="D615" s="21">
        <f t="shared" ca="1" si="45"/>
        <v>-2.8925138539075798E-3</v>
      </c>
      <c r="E615" s="21">
        <f t="shared" ca="1" si="48"/>
        <v>5.0558575346404396E-5</v>
      </c>
      <c r="F615" s="11">
        <f t="shared" ca="1" si="49"/>
        <v>4.8634469820020501</v>
      </c>
      <c r="G615" s="10">
        <f t="shared" ca="1" si="46"/>
        <v>1</v>
      </c>
    </row>
    <row r="616" spans="1:7" x14ac:dyDescent="0.2">
      <c r="A616" s="2">
        <v>19920810</v>
      </c>
      <c r="B616" s="13">
        <v>3337.58</v>
      </c>
      <c r="C616" s="2">
        <f t="shared" si="47"/>
        <v>1.6205607140070738E-3</v>
      </c>
      <c r="D616" s="21">
        <f t="shared" ca="1" si="45"/>
        <v>1.2366082989002064E-3</v>
      </c>
      <c r="E616" s="21">
        <f t="shared" ca="1" si="48"/>
        <v>4.9217459309995887E-5</v>
      </c>
      <c r="F616" s="11">
        <f t="shared" ca="1" si="49"/>
        <v>4.9440959282878598</v>
      </c>
      <c r="G616" s="10">
        <f t="shared" ca="1" si="46"/>
        <v>1</v>
      </c>
    </row>
    <row r="617" spans="1:7" x14ac:dyDescent="0.2">
      <c r="A617" s="2">
        <v>19920811</v>
      </c>
      <c r="B617" s="13">
        <v>3331.1</v>
      </c>
      <c r="C617" s="2">
        <f t="shared" si="47"/>
        <v>-1.9415264952450633E-3</v>
      </c>
      <c r="D617" s="21">
        <f t="shared" ca="1" si="45"/>
        <v>-2.3254789103519307E-3</v>
      </c>
      <c r="E617" s="21">
        <f t="shared" ca="1" si="48"/>
        <v>4.7692766303841539E-5</v>
      </c>
      <c r="F617" s="11">
        <f t="shared" ca="1" si="49"/>
        <v>4.9186707315868947</v>
      </c>
      <c r="G617" s="10">
        <f t="shared" ca="1" si="46"/>
        <v>1</v>
      </c>
    </row>
    <row r="618" spans="1:7" x14ac:dyDescent="0.2">
      <c r="A618" s="2">
        <v>19920812</v>
      </c>
      <c r="B618" s="13">
        <v>3320.83</v>
      </c>
      <c r="C618" s="2">
        <f t="shared" si="47"/>
        <v>-3.0830656539881669E-3</v>
      </c>
      <c r="D618" s="21">
        <f t="shared" ca="1" si="45"/>
        <v>-3.467018069095034E-3</v>
      </c>
      <c r="E618" s="21">
        <f t="shared" ca="1" si="48"/>
        <v>4.6387832828097272E-5</v>
      </c>
      <c r="F618" s="11">
        <f t="shared" ca="1" si="49"/>
        <v>4.8596745328381994</v>
      </c>
      <c r="G618" s="10">
        <f t="shared" ca="1" si="46"/>
        <v>1</v>
      </c>
    </row>
    <row r="619" spans="1:7" x14ac:dyDescent="0.2">
      <c r="A619" s="2">
        <v>19920813</v>
      </c>
      <c r="B619" s="13">
        <v>3313.27</v>
      </c>
      <c r="C619" s="2">
        <f t="shared" si="47"/>
        <v>-2.2765392989101958E-3</v>
      </c>
      <c r="D619" s="21">
        <f t="shared" ca="1" si="45"/>
        <v>-2.660491714017063E-3</v>
      </c>
      <c r="E619" s="21">
        <f t="shared" ca="1" si="48"/>
        <v>4.5392064467535472E-5</v>
      </c>
      <c r="F619" s="11">
        <f t="shared" ca="1" si="49"/>
        <v>4.9221190792962251</v>
      </c>
      <c r="G619" s="10">
        <f t="shared" ca="1" si="46"/>
        <v>1</v>
      </c>
    </row>
    <row r="620" spans="1:7" x14ac:dyDescent="0.2">
      <c r="A620" s="2">
        <v>19920814</v>
      </c>
      <c r="B620" s="13">
        <v>3328.94</v>
      </c>
      <c r="C620" s="2">
        <f t="shared" si="47"/>
        <v>4.7294666598255118E-3</v>
      </c>
      <c r="D620" s="21">
        <f t="shared" ca="1" si="45"/>
        <v>4.3455142447186446E-3</v>
      </c>
      <c r="E620" s="21">
        <f t="shared" ca="1" si="48"/>
        <v>4.4264946455964398E-5</v>
      </c>
      <c r="F620" s="11">
        <f t="shared" ca="1" si="49"/>
        <v>4.7993579683705176</v>
      </c>
      <c r="G620" s="10">
        <f t="shared" ca="1" si="46"/>
        <v>1</v>
      </c>
    </row>
    <row r="621" spans="1:7" x14ac:dyDescent="0.2">
      <c r="A621" s="2">
        <v>19920817</v>
      </c>
      <c r="B621" s="13">
        <v>3324.89</v>
      </c>
      <c r="C621" s="2">
        <f t="shared" si="47"/>
        <v>-1.216603483391164E-3</v>
      </c>
      <c r="D621" s="21">
        <f t="shared" ca="1" si="45"/>
        <v>-1.6005558984980312E-3</v>
      </c>
      <c r="E621" s="21">
        <f t="shared" ca="1" si="48"/>
        <v>4.3628950396330174E-5</v>
      </c>
      <c r="F621" s="11">
        <f t="shared" ca="1" si="49"/>
        <v>4.9905361065473608</v>
      </c>
      <c r="G621" s="10">
        <f t="shared" ca="1" si="46"/>
        <v>1</v>
      </c>
    </row>
    <row r="622" spans="1:7" x14ac:dyDescent="0.2">
      <c r="A622" s="2">
        <v>19920818</v>
      </c>
      <c r="B622" s="13">
        <v>3329.48</v>
      </c>
      <c r="C622" s="2">
        <f t="shared" si="47"/>
        <v>1.3804967983903666E-3</v>
      </c>
      <c r="D622" s="21">
        <f t="shared" ca="1" si="45"/>
        <v>9.9654438328349937E-4</v>
      </c>
      <c r="E622" s="21">
        <f t="shared" ca="1" si="48"/>
        <v>4.2424951632627828E-5</v>
      </c>
      <c r="F622" s="11">
        <f t="shared" ca="1" si="49"/>
        <v>5.0221827379163058</v>
      </c>
      <c r="G622" s="10">
        <f t="shared" ca="1" si="46"/>
        <v>1</v>
      </c>
    </row>
    <row r="623" spans="1:7" x14ac:dyDescent="0.2">
      <c r="A623" s="2">
        <v>19920819</v>
      </c>
      <c r="B623" s="13">
        <v>3307.06</v>
      </c>
      <c r="C623" s="2">
        <f t="shared" si="47"/>
        <v>-6.7337842545983377E-3</v>
      </c>
      <c r="D623" s="21">
        <f t="shared" ca="1" si="45"/>
        <v>-7.1177366697052049E-3</v>
      </c>
      <c r="E623" s="21">
        <f t="shared" ca="1" si="48"/>
        <v>4.1224180516252666E-5</v>
      </c>
      <c r="F623" s="11">
        <f t="shared" ca="1" si="49"/>
        <v>4.4337711964108255</v>
      </c>
      <c r="G623" s="10">
        <f t="shared" ca="1" si="46"/>
        <v>0</v>
      </c>
    </row>
    <row r="624" spans="1:7" x14ac:dyDescent="0.2">
      <c r="A624" s="2">
        <v>19920820</v>
      </c>
      <c r="B624" s="13">
        <v>3304.89</v>
      </c>
      <c r="C624" s="2">
        <f t="shared" si="47"/>
        <v>-6.5617194728855022E-4</v>
      </c>
      <c r="D624" s="21">
        <f t="shared" ca="1" si="45"/>
        <v>-1.0401243623954174E-3</v>
      </c>
      <c r="E624" s="21">
        <f t="shared" ca="1" si="48"/>
        <v>4.1910575403293863E-5</v>
      </c>
      <c r="F624" s="11">
        <f t="shared" ca="1" si="49"/>
        <v>5.0270794327020418</v>
      </c>
      <c r="G624" s="10">
        <f t="shared" ca="1" si="46"/>
        <v>1</v>
      </c>
    </row>
    <row r="625" spans="1:7" x14ac:dyDescent="0.2">
      <c r="A625" s="2">
        <v>19920821</v>
      </c>
      <c r="B625" s="13">
        <v>3254.09</v>
      </c>
      <c r="C625" s="2">
        <f t="shared" si="47"/>
        <v>-1.5371162126424701E-2</v>
      </c>
      <c r="D625" s="21">
        <f t="shared" ca="1" si="45"/>
        <v>-1.575511454153157E-2</v>
      </c>
      <c r="E625" s="21">
        <f t="shared" ca="1" si="48"/>
        <v>4.0739090535677917E-5</v>
      </c>
      <c r="F625" s="11">
        <f t="shared" ca="1" si="49"/>
        <v>2.0076568713692762</v>
      </c>
      <c r="G625" s="10">
        <f t="shared" ca="1" si="46"/>
        <v>0</v>
      </c>
    </row>
    <row r="626" spans="1:7" x14ac:dyDescent="0.2">
      <c r="A626" s="2">
        <v>19920824</v>
      </c>
      <c r="B626" s="13">
        <v>3228.17</v>
      </c>
      <c r="C626" s="2">
        <f t="shared" si="47"/>
        <v>-7.9653605155358548E-3</v>
      </c>
      <c r="D626" s="21">
        <f t="shared" ca="1" si="45"/>
        <v>-8.349312930642722E-3</v>
      </c>
      <c r="E626" s="21">
        <f t="shared" ca="1" si="48"/>
        <v>4.87147060805607E-5</v>
      </c>
      <c r="F626" s="11">
        <f t="shared" ca="1" si="49"/>
        <v>4.2492619057451586</v>
      </c>
      <c r="G626" s="10">
        <f t="shared" ca="1" si="46"/>
        <v>0</v>
      </c>
    </row>
    <row r="627" spans="1:7" x14ac:dyDescent="0.2">
      <c r="A627" s="2">
        <v>19920825</v>
      </c>
      <c r="B627" s="13">
        <v>3232.22</v>
      </c>
      <c r="C627" s="2">
        <f t="shared" si="47"/>
        <v>1.2545807686707103E-3</v>
      </c>
      <c r="D627" s="21">
        <f t="shared" ca="1" si="45"/>
        <v>8.7062835356384305E-4</v>
      </c>
      <c r="E627" s="21">
        <f t="shared" ca="1" si="48"/>
        <v>4.9722612328612825E-5</v>
      </c>
      <c r="F627" s="11">
        <f t="shared" ca="1" si="49"/>
        <v>4.9469031524336851</v>
      </c>
      <c r="G627" s="10">
        <f t="shared" ca="1" si="46"/>
        <v>1</v>
      </c>
    </row>
    <row r="628" spans="1:7" x14ac:dyDescent="0.2">
      <c r="A628" s="2">
        <v>19920826</v>
      </c>
      <c r="B628" s="13">
        <v>3246.81</v>
      </c>
      <c r="C628" s="2">
        <f t="shared" si="47"/>
        <v>4.5139254134929389E-3</v>
      </c>
      <c r="D628" s="21">
        <f t="shared" ca="1" si="45"/>
        <v>4.1299729983860717E-3</v>
      </c>
      <c r="E628" s="21">
        <f t="shared" ca="1" si="48"/>
        <v>4.8144004860686288E-5</v>
      </c>
      <c r="F628" s="11">
        <f t="shared" ca="1" si="49"/>
        <v>4.7935146949063334</v>
      </c>
      <c r="G628" s="10">
        <f t="shared" ca="1" si="46"/>
        <v>1</v>
      </c>
    </row>
    <row r="629" spans="1:7" x14ac:dyDescent="0.2">
      <c r="A629" s="2">
        <v>19920827</v>
      </c>
      <c r="B629" s="13">
        <v>3254.64</v>
      </c>
      <c r="C629" s="2">
        <f t="shared" si="47"/>
        <v>2.4115978452696422E-3</v>
      </c>
      <c r="D629" s="21">
        <f t="shared" ca="1" si="45"/>
        <v>2.027645430162775E-3</v>
      </c>
      <c r="E629" s="21">
        <f t="shared" ca="1" si="48"/>
        <v>4.7244590705247219E-5</v>
      </c>
      <c r="F629" s="11">
        <f t="shared" ca="1" si="49"/>
        <v>4.9365749084480992</v>
      </c>
      <c r="G629" s="10">
        <f t="shared" ca="1" si="46"/>
        <v>1</v>
      </c>
    </row>
    <row r="630" spans="1:7" x14ac:dyDescent="0.2">
      <c r="A630" s="2">
        <v>19920828</v>
      </c>
      <c r="B630" s="13">
        <v>3267.61</v>
      </c>
      <c r="C630" s="2">
        <f t="shared" si="47"/>
        <v>3.985079763046068E-3</v>
      </c>
      <c r="D630" s="21">
        <f t="shared" ca="1" si="45"/>
        <v>3.6011273479392009E-3</v>
      </c>
      <c r="E630" s="21">
        <f t="shared" ca="1" si="48"/>
        <v>4.5914655784897659E-5</v>
      </c>
      <c r="F630" s="11">
        <f t="shared" ca="1" si="49"/>
        <v>4.853143284203858</v>
      </c>
      <c r="G630" s="10">
        <f t="shared" ca="1" si="46"/>
        <v>1</v>
      </c>
    </row>
    <row r="631" spans="1:7" x14ac:dyDescent="0.2">
      <c r="A631" s="2">
        <v>19920831</v>
      </c>
      <c r="B631" s="13">
        <v>3257.35</v>
      </c>
      <c r="C631" s="2">
        <f t="shared" si="47"/>
        <v>-3.1399095975346561E-3</v>
      </c>
      <c r="D631" s="21">
        <f t="shared" ca="1" si="45"/>
        <v>-3.5238620126415232E-3</v>
      </c>
      <c r="E631" s="21">
        <f t="shared" ca="1" si="48"/>
        <v>4.4977681687674787E-5</v>
      </c>
      <c r="F631" s="11">
        <f t="shared" ca="1" si="49"/>
        <v>4.8666302412407356</v>
      </c>
      <c r="G631" s="10">
        <f t="shared" ca="1" si="46"/>
        <v>1</v>
      </c>
    </row>
    <row r="632" spans="1:7" x14ac:dyDescent="0.2">
      <c r="A632" s="2">
        <v>19920901</v>
      </c>
      <c r="B632" s="13">
        <v>3266.26</v>
      </c>
      <c r="C632" s="2">
        <f t="shared" si="47"/>
        <v>2.7353523569773924E-3</v>
      </c>
      <c r="D632" s="21">
        <f t="shared" ca="1" si="45"/>
        <v>2.3513999418705253E-3</v>
      </c>
      <c r="E632" s="21">
        <f t="shared" ca="1" si="48"/>
        <v>4.4067866032095412E-5</v>
      </c>
      <c r="F632" s="11">
        <f t="shared" ca="1" si="49"/>
        <v>4.9521561386416968</v>
      </c>
      <c r="G632" s="10">
        <f t="shared" ca="1" si="46"/>
        <v>1</v>
      </c>
    </row>
    <row r="633" spans="1:7" x14ac:dyDescent="0.2">
      <c r="A633" s="2">
        <v>19920902</v>
      </c>
      <c r="B633" s="13">
        <v>3290.31</v>
      </c>
      <c r="C633" s="2">
        <f t="shared" si="47"/>
        <v>7.3631615364360848E-3</v>
      </c>
      <c r="D633" s="21">
        <f t="shared" ca="1" si="45"/>
        <v>6.9792091213292176E-3</v>
      </c>
      <c r="E633" s="21">
        <f t="shared" ca="1" si="48"/>
        <v>4.2950775275923951E-5</v>
      </c>
      <c r="F633" s="11">
        <f t="shared" ca="1" si="49"/>
        <v>4.4606909011248668</v>
      </c>
      <c r="G633" s="10">
        <f t="shared" ca="1" si="46"/>
        <v>0</v>
      </c>
    </row>
    <row r="634" spans="1:7" x14ac:dyDescent="0.2">
      <c r="A634" s="2">
        <v>19920903</v>
      </c>
      <c r="B634" s="13">
        <v>3292.2</v>
      </c>
      <c r="C634" s="2">
        <f t="shared" si="47"/>
        <v>5.7441396099451808E-4</v>
      </c>
      <c r="D634" s="21">
        <f t="shared" ca="1" si="45"/>
        <v>1.9046154588765079E-4</v>
      </c>
      <c r="E634" s="21">
        <f t="shared" ca="1" si="48"/>
        <v>4.3478012735807329E-5</v>
      </c>
      <c r="F634" s="11">
        <f t="shared" ca="1" si="49"/>
        <v>5.0212104292158584</v>
      </c>
      <c r="G634" s="10">
        <f t="shared" ca="1" si="46"/>
        <v>1</v>
      </c>
    </row>
    <row r="635" spans="1:7" x14ac:dyDescent="0.2">
      <c r="A635" s="2">
        <v>19920904</v>
      </c>
      <c r="B635" s="13">
        <v>3281.93</v>
      </c>
      <c r="C635" s="2">
        <f t="shared" si="47"/>
        <v>-3.1194945629062581E-3</v>
      </c>
      <c r="D635" s="21">
        <f t="shared" ca="1" si="45"/>
        <v>-3.5034469780131253E-3</v>
      </c>
      <c r="E635" s="21">
        <f t="shared" ca="1" si="48"/>
        <v>4.2188782781626434E-5</v>
      </c>
      <c r="F635" s="11">
        <f t="shared" ca="1" si="49"/>
        <v>4.8912112172090962</v>
      </c>
      <c r="G635" s="10">
        <f t="shared" ca="1" si="46"/>
        <v>1</v>
      </c>
    </row>
    <row r="636" spans="1:7" x14ac:dyDescent="0.2">
      <c r="A636" s="2">
        <v>19920908</v>
      </c>
      <c r="B636" s="13">
        <v>3260.59</v>
      </c>
      <c r="C636" s="2">
        <f t="shared" si="47"/>
        <v>-6.5022715292525103E-3</v>
      </c>
      <c r="D636" s="21">
        <f t="shared" ca="1" si="45"/>
        <v>-6.8862239443593775E-3</v>
      </c>
      <c r="E636" s="21">
        <f t="shared" ca="1" si="48"/>
        <v>4.1414783063943712E-5</v>
      </c>
      <c r="F636" s="11">
        <f t="shared" ca="1" si="49"/>
        <v>4.4734344765612368</v>
      </c>
      <c r="G636" s="10">
        <f t="shared" ca="1" si="46"/>
        <v>0</v>
      </c>
    </row>
    <row r="637" spans="1:7" x14ac:dyDescent="0.2">
      <c r="A637" s="2">
        <v>19920909</v>
      </c>
      <c r="B637" s="13">
        <v>3271.39</v>
      </c>
      <c r="C637" s="2">
        <f t="shared" si="47"/>
        <v>3.3122839731458804E-3</v>
      </c>
      <c r="D637" s="21">
        <f t="shared" ca="1" si="45"/>
        <v>2.9283315580390132E-3</v>
      </c>
      <c r="E637" s="21">
        <f t="shared" ca="1" si="48"/>
        <v>4.1972317808124398E-5</v>
      </c>
      <c r="F637" s="11">
        <f t="shared" ca="1" si="49"/>
        <v>4.9370979700005035</v>
      </c>
      <c r="G637" s="10">
        <f t="shared" ca="1" si="46"/>
        <v>1</v>
      </c>
    </row>
    <row r="638" spans="1:7" x14ac:dyDescent="0.2">
      <c r="A638" s="2">
        <v>19920910</v>
      </c>
      <c r="B638" s="13">
        <v>3305.16</v>
      </c>
      <c r="C638" s="2">
        <f t="shared" si="47"/>
        <v>1.0322829133793275E-2</v>
      </c>
      <c r="D638" s="21">
        <f t="shared" ca="1" si="45"/>
        <v>9.9388767186864083E-3</v>
      </c>
      <c r="E638" s="21">
        <f t="shared" ca="1" si="48"/>
        <v>4.1073249884008387E-5</v>
      </c>
      <c r="F638" s="11">
        <f t="shared" ca="1" si="49"/>
        <v>3.8475754797729911</v>
      </c>
      <c r="G638" s="10">
        <f t="shared" ca="1" si="46"/>
        <v>0</v>
      </c>
    </row>
    <row r="639" spans="1:7" x14ac:dyDescent="0.2">
      <c r="A639" s="2">
        <v>19920911</v>
      </c>
      <c r="B639" s="13">
        <v>3305.7</v>
      </c>
      <c r="C639" s="2">
        <f t="shared" si="47"/>
        <v>1.633808953272954E-4</v>
      </c>
      <c r="D639" s="21">
        <f t="shared" ca="1" si="45"/>
        <v>-2.205715197795719E-4</v>
      </c>
      <c r="E639" s="21">
        <f t="shared" ca="1" si="48"/>
        <v>4.3536703547564863E-5</v>
      </c>
      <c r="F639" s="11">
        <f t="shared" ca="1" si="49"/>
        <v>5.0203943633681227</v>
      </c>
      <c r="G639" s="10">
        <f t="shared" ca="1" si="46"/>
        <v>1</v>
      </c>
    </row>
    <row r="640" spans="1:7" x14ac:dyDescent="0.2">
      <c r="A640" s="2">
        <v>19920914</v>
      </c>
      <c r="B640" s="13">
        <v>3376.22</v>
      </c>
      <c r="C640" s="2">
        <f t="shared" si="47"/>
        <v>2.1332849320870009E-2</v>
      </c>
      <c r="D640" s="21">
        <f t="shared" ca="1" si="45"/>
        <v>2.094889690576314E-2</v>
      </c>
      <c r="E640" s="21">
        <f t="shared" ca="1" si="48"/>
        <v>4.2244959500187376E-5</v>
      </c>
      <c r="F640" s="11">
        <f t="shared" ca="1" si="49"/>
        <v>-0.15817238130659739</v>
      </c>
      <c r="G640" s="10">
        <f t="shared" ca="1" si="46"/>
        <v>0</v>
      </c>
    </row>
    <row r="641" spans="1:7" x14ac:dyDescent="0.2">
      <c r="A641" s="2">
        <v>19920915</v>
      </c>
      <c r="B641" s="13">
        <v>3327.32</v>
      </c>
      <c r="C641" s="2">
        <f t="shared" si="47"/>
        <v>-1.4483653316430695E-2</v>
      </c>
      <c r="D641" s="21">
        <f t="shared" ca="1" si="45"/>
        <v>-1.4867605731537562E-2</v>
      </c>
      <c r="E641" s="21">
        <f t="shared" ca="1" si="48"/>
        <v>5.7154287935015364E-5</v>
      </c>
      <c r="F641" s="11">
        <f t="shared" ca="1" si="49"/>
        <v>2.9511150216392101</v>
      </c>
      <c r="G641" s="10">
        <f t="shared" ca="1" si="46"/>
        <v>0</v>
      </c>
    </row>
    <row r="642" spans="1:7" x14ac:dyDescent="0.2">
      <c r="A642" s="2">
        <v>19920916</v>
      </c>
      <c r="B642" s="13">
        <v>3319.21</v>
      </c>
      <c r="C642" s="2">
        <f t="shared" si="47"/>
        <v>-2.4373970643040426E-3</v>
      </c>
      <c r="D642" s="21">
        <f t="shared" ca="1" si="45"/>
        <v>-2.8213494794109097E-3</v>
      </c>
      <c r="E642" s="21">
        <f t="shared" ca="1" si="48"/>
        <v>6.3300073150353891E-5</v>
      </c>
      <c r="F642" s="11">
        <f t="shared" ca="1" si="49"/>
        <v>4.7709368100105971</v>
      </c>
      <c r="G642" s="10">
        <f t="shared" ca="1" si="46"/>
        <v>1</v>
      </c>
    </row>
    <row r="643" spans="1:7" x14ac:dyDescent="0.2">
      <c r="A643" s="2">
        <v>19920917</v>
      </c>
      <c r="B643" s="13">
        <v>3315.7</v>
      </c>
      <c r="C643" s="2">
        <f t="shared" si="47"/>
        <v>-1.0574805450695251E-3</v>
      </c>
      <c r="D643" s="21">
        <f t="shared" ca="1" si="45"/>
        <v>-1.4414329601763923E-3</v>
      </c>
      <c r="E643" s="21">
        <f t="shared" ca="1" si="48"/>
        <v>6.1299408288274172E-5</v>
      </c>
      <c r="F643" s="11">
        <f t="shared" ca="1" si="49"/>
        <v>4.8329228018827468</v>
      </c>
      <c r="G643" s="10">
        <f t="shared" ca="1" si="46"/>
        <v>1</v>
      </c>
    </row>
    <row r="644" spans="1:7" x14ac:dyDescent="0.2">
      <c r="A644" s="2">
        <v>19920918</v>
      </c>
      <c r="B644" s="13">
        <v>3327.05</v>
      </c>
      <c r="C644" s="2">
        <f t="shared" si="47"/>
        <v>3.4231082426034818E-3</v>
      </c>
      <c r="D644" s="21">
        <f t="shared" ca="1" si="45"/>
        <v>3.0391558274966146E-3</v>
      </c>
      <c r="E644" s="21">
        <f t="shared" ca="1" si="48"/>
        <v>5.918365587033577E-5</v>
      </c>
      <c r="F644" s="11">
        <f t="shared" ca="1" si="49"/>
        <v>4.7894003146578177</v>
      </c>
      <c r="G644" s="10">
        <f t="shared" ca="1" si="46"/>
        <v>1</v>
      </c>
    </row>
    <row r="645" spans="1:7" x14ac:dyDescent="0.2">
      <c r="A645" s="2">
        <v>19920921</v>
      </c>
      <c r="B645" s="13">
        <v>3320.83</v>
      </c>
      <c r="C645" s="2">
        <f t="shared" si="47"/>
        <v>-1.869524052839679E-3</v>
      </c>
      <c r="D645" s="21">
        <f t="shared" ca="1" si="45"/>
        <v>-2.2534764679465464E-3</v>
      </c>
      <c r="E645" s="21">
        <f t="shared" ca="1" si="48"/>
        <v>5.7438179402459645E-5</v>
      </c>
      <c r="F645" s="11">
        <f t="shared" ca="1" si="49"/>
        <v>4.8381952577184748</v>
      </c>
      <c r="G645" s="10">
        <f t="shared" ca="1" si="46"/>
        <v>1</v>
      </c>
    </row>
    <row r="646" spans="1:7" x14ac:dyDescent="0.2">
      <c r="A646" s="2">
        <v>19920922</v>
      </c>
      <c r="B646" s="13">
        <v>3280.85</v>
      </c>
      <c r="C646" s="2">
        <f t="shared" si="47"/>
        <v>-1.2039158884977556E-2</v>
      </c>
      <c r="D646" s="21">
        <f t="shared" ca="1" si="45"/>
        <v>-1.2423111300084423E-2</v>
      </c>
      <c r="E646" s="21">
        <f t="shared" ca="1" si="48"/>
        <v>5.5628098772725028E-5</v>
      </c>
      <c r="F646" s="11">
        <f t="shared" ca="1" si="49"/>
        <v>3.5112191705281885</v>
      </c>
      <c r="G646" s="10">
        <f t="shared" ca="1" si="46"/>
        <v>0</v>
      </c>
    </row>
    <row r="647" spans="1:7" x14ac:dyDescent="0.2">
      <c r="A647" s="2">
        <v>19920923</v>
      </c>
      <c r="B647" s="13">
        <v>3278.69</v>
      </c>
      <c r="C647" s="2">
        <f t="shared" si="47"/>
        <v>-6.5836597223276115E-4</v>
      </c>
      <c r="D647" s="21">
        <f t="shared" ca="1" si="45"/>
        <v>-1.0423183873396284E-3</v>
      </c>
      <c r="E647" s="21">
        <f t="shared" ca="1" si="48"/>
        <v>5.9397977464214997E-5</v>
      </c>
      <c r="F647" s="11">
        <f t="shared" ca="1" si="49"/>
        <v>4.8564798657653316</v>
      </c>
      <c r="G647" s="10">
        <f t="shared" ca="1" si="46"/>
        <v>1</v>
      </c>
    </row>
    <row r="648" spans="1:7" x14ac:dyDescent="0.2">
      <c r="A648" s="2">
        <v>19920924</v>
      </c>
      <c r="B648" s="13">
        <v>3287.87</v>
      </c>
      <c r="C648" s="2">
        <f t="shared" si="47"/>
        <v>2.7998987400455169E-3</v>
      </c>
      <c r="D648" s="21">
        <f t="shared" ca="1" si="45"/>
        <v>2.4159463249386498E-3</v>
      </c>
      <c r="E648" s="21">
        <f t="shared" ca="1" si="48"/>
        <v>5.7341967175942977E-5</v>
      </c>
      <c r="F648" s="11">
        <f t="shared" ca="1" si="49"/>
        <v>4.832344263353475</v>
      </c>
      <c r="G648" s="10">
        <f t="shared" ca="1" si="46"/>
        <v>1</v>
      </c>
    </row>
    <row r="649" spans="1:7" x14ac:dyDescent="0.2">
      <c r="A649" s="2">
        <v>19920925</v>
      </c>
      <c r="B649" s="13">
        <v>3250.32</v>
      </c>
      <c r="C649" s="2">
        <f t="shared" si="47"/>
        <v>-1.1420767852743487E-2</v>
      </c>
      <c r="D649" s="21">
        <f t="shared" ca="1" si="45"/>
        <v>-1.1804720267850354E-2</v>
      </c>
      <c r="E649" s="21">
        <f t="shared" ca="1" si="48"/>
        <v>5.5564650488520387E-5</v>
      </c>
      <c r="F649" s="11">
        <f t="shared" ca="1" si="49"/>
        <v>3.6450241691916179</v>
      </c>
      <c r="G649" s="10">
        <f t="shared" ca="1" si="46"/>
        <v>0</v>
      </c>
    </row>
    <row r="650" spans="1:7" x14ac:dyDescent="0.2">
      <c r="A650" s="2">
        <v>19920928</v>
      </c>
      <c r="B650" s="13">
        <v>3276.26</v>
      </c>
      <c r="C650" s="2">
        <f t="shared" si="47"/>
        <v>7.9807526643530646E-3</v>
      </c>
      <c r="D650" s="21">
        <f t="shared" ca="1" si="45"/>
        <v>7.5968002492461974E-3</v>
      </c>
      <c r="E650" s="21">
        <f t="shared" ca="1" si="48"/>
        <v>5.8786814683244764E-5</v>
      </c>
      <c r="F650" s="11">
        <f t="shared" ca="1" si="49"/>
        <v>4.3799434387968628</v>
      </c>
      <c r="G650" s="10">
        <f t="shared" ca="1" si="46"/>
        <v>1</v>
      </c>
    </row>
    <row r="651" spans="1:7" x14ac:dyDescent="0.2">
      <c r="A651" s="2">
        <v>19920929</v>
      </c>
      <c r="B651" s="13">
        <v>3266.8</v>
      </c>
      <c r="C651" s="2">
        <f t="shared" si="47"/>
        <v>-2.8874387258642584E-3</v>
      </c>
      <c r="D651" s="21">
        <f t="shared" ca="1" si="45"/>
        <v>-3.2713911409711256E-3</v>
      </c>
      <c r="E651" s="21">
        <f t="shared" ca="1" si="48"/>
        <v>5.884392147047919E-5</v>
      </c>
      <c r="F651" s="11">
        <f t="shared" ca="1" si="49"/>
        <v>4.7793755332274692</v>
      </c>
      <c r="G651" s="10">
        <f t="shared" ca="1" si="46"/>
        <v>1</v>
      </c>
    </row>
    <row r="652" spans="1:7" x14ac:dyDescent="0.2">
      <c r="A652" s="2">
        <v>19920930</v>
      </c>
      <c r="B652" s="13">
        <v>3271.66</v>
      </c>
      <c r="C652" s="2">
        <f t="shared" si="47"/>
        <v>1.4876943798211315E-3</v>
      </c>
      <c r="D652" s="21">
        <f t="shared" ca="1" si="45"/>
        <v>1.1037419647142643E-3</v>
      </c>
      <c r="E652" s="21">
        <f t="shared" ca="1" si="48"/>
        <v>5.7169522442891975E-5</v>
      </c>
      <c r="F652" s="11">
        <f t="shared" ca="1" si="49"/>
        <v>4.8740901295923313</v>
      </c>
      <c r="G652" s="10">
        <f t="shared" ca="1" si="46"/>
        <v>1</v>
      </c>
    </row>
    <row r="653" spans="1:7" x14ac:dyDescent="0.2">
      <c r="A653" s="2">
        <v>19921001</v>
      </c>
      <c r="B653" s="13">
        <v>3254.37</v>
      </c>
      <c r="C653" s="2">
        <f t="shared" si="47"/>
        <v>-5.2847789807009176E-3</v>
      </c>
      <c r="D653" s="21">
        <f t="shared" ca="1" si="45"/>
        <v>-5.6687313958077848E-3</v>
      </c>
      <c r="E653" s="21">
        <f t="shared" ca="1" si="48"/>
        <v>5.5231097631810196E-5</v>
      </c>
      <c r="F653" s="11">
        <f t="shared" ca="1" si="49"/>
        <v>4.611082576683323</v>
      </c>
      <c r="G653" s="10">
        <f t="shared" ca="1" si="46"/>
        <v>1</v>
      </c>
    </row>
    <row r="654" spans="1:7" x14ac:dyDescent="0.2">
      <c r="A654" s="2">
        <v>19921002</v>
      </c>
      <c r="B654" s="13">
        <v>3200.61</v>
      </c>
      <c r="C654" s="2">
        <f t="shared" si="47"/>
        <v>-1.6519326321223389E-2</v>
      </c>
      <c r="D654" s="21">
        <f t="shared" ref="D654:D717" ca="1" si="50">(C654-mu)</f>
        <v>-1.6903278736330258E-2</v>
      </c>
      <c r="E654" s="21">
        <f t="shared" ca="1" si="48"/>
        <v>5.4527583574080615E-5</v>
      </c>
      <c r="F654" s="11">
        <f t="shared" ca="1" si="49"/>
        <v>2.2884359136457215</v>
      </c>
      <c r="G654" s="10">
        <f t="shared" ref="G654:G717" ca="1" si="51">IF(AND(C654&lt;=mu+zvalue*SQRT(E654),C654&gt;=mu-zvalue*SQRT(E654)),1,0)</f>
        <v>0</v>
      </c>
    </row>
    <row r="655" spans="1:7" x14ac:dyDescent="0.2">
      <c r="A655" s="2">
        <v>19921005</v>
      </c>
      <c r="B655" s="13">
        <v>3179</v>
      </c>
      <c r="C655" s="2">
        <f t="shared" ref="C655:C718" si="52">(B655-B654)/B654</f>
        <v>-6.7518379308944632E-3</v>
      </c>
      <c r="D655" s="21">
        <f t="shared" ca="1" si="50"/>
        <v>-7.1357903460013304E-3</v>
      </c>
      <c r="E655" s="21">
        <f t="shared" ref="E655:E718" ca="1" si="53">(1-alpha-beta)*longvar+alpha*D654^2+beta*E654</f>
        <v>6.3184472151853351E-5</v>
      </c>
      <c r="F655" s="11">
        <f t="shared" ref="F655:F718" ca="1" si="54">(-0.5)*(LN(E655)+D655^2/E655)</f>
        <v>4.4317828136351647</v>
      </c>
      <c r="G655" s="10">
        <f t="shared" ca="1" si="51"/>
        <v>1</v>
      </c>
    </row>
    <row r="656" spans="1:7" x14ac:dyDescent="0.2">
      <c r="A656" s="2">
        <v>19921006</v>
      </c>
      <c r="B656" s="13">
        <v>3178.19</v>
      </c>
      <c r="C656" s="2">
        <f t="shared" si="52"/>
        <v>-2.5479710600816153E-4</v>
      </c>
      <c r="D656" s="21">
        <f t="shared" ca="1" si="50"/>
        <v>-6.3874952111502882E-4</v>
      </c>
      <c r="E656" s="21">
        <f t="shared" ca="1" si="53"/>
        <v>6.2769351074872442E-5</v>
      </c>
      <c r="F656" s="11">
        <f t="shared" ca="1" si="54"/>
        <v>4.8347718205706602</v>
      </c>
      <c r="G656" s="10">
        <f t="shared" ca="1" si="51"/>
        <v>1</v>
      </c>
    </row>
    <row r="657" spans="1:7" x14ac:dyDescent="0.2">
      <c r="A657" s="2">
        <v>19921007</v>
      </c>
      <c r="B657" s="13">
        <v>3152.25</v>
      </c>
      <c r="C657" s="2">
        <f t="shared" si="52"/>
        <v>-8.1618783018007277E-3</v>
      </c>
      <c r="D657" s="21">
        <f t="shared" ca="1" si="50"/>
        <v>-8.5458307169075948E-3</v>
      </c>
      <c r="E657" s="21">
        <f t="shared" ca="1" si="53"/>
        <v>6.0517834952348638E-5</v>
      </c>
      <c r="F657" s="11">
        <f t="shared" ca="1" si="54"/>
        <v>4.2529002721102156</v>
      </c>
      <c r="G657" s="10">
        <f t="shared" ca="1" si="51"/>
        <v>0</v>
      </c>
    </row>
    <row r="658" spans="1:7" x14ac:dyDescent="0.2">
      <c r="A658" s="2">
        <v>19921008</v>
      </c>
      <c r="B658" s="13">
        <v>3176.03</v>
      </c>
      <c r="C658" s="2">
        <f t="shared" si="52"/>
        <v>7.543817907843667E-3</v>
      </c>
      <c r="D658" s="21">
        <f t="shared" ca="1" si="50"/>
        <v>7.1598654927367998E-3</v>
      </c>
      <c r="E658" s="21">
        <f t="shared" ca="1" si="53"/>
        <v>6.1050706436959596E-5</v>
      </c>
      <c r="F658" s="11">
        <f t="shared" ca="1" si="54"/>
        <v>4.4320578423496979</v>
      </c>
      <c r="G658" s="10">
        <f t="shared" ca="1" si="51"/>
        <v>1</v>
      </c>
    </row>
    <row r="659" spans="1:7" x14ac:dyDescent="0.2">
      <c r="A659" s="2">
        <v>19921009</v>
      </c>
      <c r="B659" s="13">
        <v>3136.58</v>
      </c>
      <c r="C659" s="2">
        <f t="shared" si="52"/>
        <v>-1.2421167306354244E-2</v>
      </c>
      <c r="D659" s="21">
        <f t="shared" ca="1" si="50"/>
        <v>-1.2805119721461112E-2</v>
      </c>
      <c r="E659" s="21">
        <f t="shared" ca="1" si="53"/>
        <v>6.0756189002346182E-5</v>
      </c>
      <c r="F659" s="11">
        <f t="shared" ca="1" si="54"/>
        <v>3.5049019711603639</v>
      </c>
      <c r="G659" s="10">
        <f t="shared" ca="1" si="51"/>
        <v>0</v>
      </c>
    </row>
    <row r="660" spans="1:7" x14ac:dyDescent="0.2">
      <c r="A660" s="2">
        <v>19921012</v>
      </c>
      <c r="B660" s="13">
        <v>3174.41</v>
      </c>
      <c r="C660" s="2">
        <f t="shared" si="52"/>
        <v>1.2060907102640432E-2</v>
      </c>
      <c r="D660" s="21">
        <f t="shared" ca="1" si="50"/>
        <v>1.1676954687533565E-2</v>
      </c>
      <c r="E660" s="21">
        <f t="shared" ca="1" si="53"/>
        <v>6.4621019824874981E-5</v>
      </c>
      <c r="F660" s="11">
        <f t="shared" ca="1" si="54"/>
        <v>3.7684782976500149</v>
      </c>
      <c r="G660" s="10">
        <f t="shared" ca="1" si="51"/>
        <v>0</v>
      </c>
    </row>
    <row r="661" spans="1:7" x14ac:dyDescent="0.2">
      <c r="A661" s="2">
        <v>19921013</v>
      </c>
      <c r="B661" s="13">
        <v>3201.42</v>
      </c>
      <c r="C661" s="2">
        <f t="shared" si="52"/>
        <v>8.5086677524328046E-3</v>
      </c>
      <c r="D661" s="21">
        <f t="shared" ca="1" si="50"/>
        <v>8.1247153373259374E-3</v>
      </c>
      <c r="E661" s="21">
        <f t="shared" ca="1" si="53"/>
        <v>6.7274698565374783E-5</v>
      </c>
      <c r="F661" s="11">
        <f t="shared" ca="1" si="54"/>
        <v>4.3127552550925579</v>
      </c>
      <c r="G661" s="10">
        <f t="shared" ca="1" si="51"/>
        <v>1</v>
      </c>
    </row>
    <row r="662" spans="1:7" x14ac:dyDescent="0.2">
      <c r="A662" s="2">
        <v>19921014</v>
      </c>
      <c r="B662" s="13">
        <v>3195.48</v>
      </c>
      <c r="C662" s="2">
        <f t="shared" si="52"/>
        <v>-1.8554266544221173E-3</v>
      </c>
      <c r="D662" s="21">
        <f t="shared" ca="1" si="50"/>
        <v>-2.2393790695289847E-3</v>
      </c>
      <c r="E662" s="21">
        <f t="shared" ca="1" si="53"/>
        <v>6.7207592225544248E-5</v>
      </c>
      <c r="F662" s="11">
        <f t="shared" ca="1" si="54"/>
        <v>4.7665537452041384</v>
      </c>
      <c r="G662" s="10">
        <f t="shared" ca="1" si="51"/>
        <v>1</v>
      </c>
    </row>
    <row r="663" spans="1:7" x14ac:dyDescent="0.2">
      <c r="A663" s="2">
        <v>19921015</v>
      </c>
      <c r="B663" s="13">
        <v>3174.68</v>
      </c>
      <c r="C663" s="2">
        <f t="shared" si="52"/>
        <v>-6.5091942368596207E-3</v>
      </c>
      <c r="D663" s="21">
        <f t="shared" ca="1" si="50"/>
        <v>-6.8931466519664879E-3</v>
      </c>
      <c r="E663" s="21">
        <f t="shared" ca="1" si="53"/>
        <v>6.4900944751164675E-5</v>
      </c>
      <c r="F663" s="11">
        <f t="shared" ca="1" si="54"/>
        <v>4.4552627164660921</v>
      </c>
      <c r="G663" s="10">
        <f t="shared" ca="1" si="51"/>
        <v>1</v>
      </c>
    </row>
    <row r="664" spans="1:7" x14ac:dyDescent="0.2">
      <c r="A664" s="2">
        <v>19921016</v>
      </c>
      <c r="B664" s="13">
        <v>3174.41</v>
      </c>
      <c r="C664" s="2">
        <f t="shared" si="52"/>
        <v>-8.5047941839801747E-5</v>
      </c>
      <c r="D664" s="21">
        <f t="shared" ca="1" si="50"/>
        <v>-4.6900035694666907E-4</v>
      </c>
      <c r="E664" s="21">
        <f t="shared" ca="1" si="53"/>
        <v>6.4273814519648655E-5</v>
      </c>
      <c r="F664" s="11">
        <f t="shared" ca="1" si="54"/>
        <v>4.8244679973066091</v>
      </c>
      <c r="G664" s="10">
        <f t="shared" ca="1" si="51"/>
        <v>1</v>
      </c>
    </row>
    <row r="665" spans="1:7" x14ac:dyDescent="0.2">
      <c r="A665" s="2">
        <v>19921019</v>
      </c>
      <c r="B665" s="13">
        <v>3188.45</v>
      </c>
      <c r="C665" s="2">
        <f t="shared" si="52"/>
        <v>4.4228691315866455E-3</v>
      </c>
      <c r="D665" s="21">
        <f t="shared" ca="1" si="50"/>
        <v>4.0389167164797783E-3</v>
      </c>
      <c r="E665" s="21">
        <f t="shared" ca="1" si="53"/>
        <v>6.1939272551084557E-5</v>
      </c>
      <c r="F665" s="11">
        <f t="shared" ca="1" si="54"/>
        <v>4.712993854798543</v>
      </c>
      <c r="G665" s="10">
        <f t="shared" ca="1" si="51"/>
        <v>1</v>
      </c>
    </row>
    <row r="666" spans="1:7" x14ac:dyDescent="0.2">
      <c r="A666" s="2">
        <v>19921020</v>
      </c>
      <c r="B666" s="13">
        <v>3186.02</v>
      </c>
      <c r="C666" s="2">
        <f t="shared" si="52"/>
        <v>-7.6212579780138832E-4</v>
      </c>
      <c r="D666" s="21">
        <f t="shared" ca="1" si="50"/>
        <v>-1.1460782129082557E-3</v>
      </c>
      <c r="E666" s="21">
        <f t="shared" ca="1" si="53"/>
        <v>6.0314599379930697E-5</v>
      </c>
      <c r="F666" s="11">
        <f t="shared" ca="1" si="54"/>
        <v>4.8470794846080283</v>
      </c>
      <c r="G666" s="10">
        <f t="shared" ca="1" si="51"/>
        <v>1</v>
      </c>
    </row>
    <row r="667" spans="1:7" x14ac:dyDescent="0.2">
      <c r="A667" s="2">
        <v>19921021</v>
      </c>
      <c r="B667" s="13">
        <v>3187.1</v>
      </c>
      <c r="C667" s="2">
        <f t="shared" si="52"/>
        <v>3.3898092290692689E-4</v>
      </c>
      <c r="D667" s="21">
        <f t="shared" ca="1" si="50"/>
        <v>-4.4971492199940405E-5</v>
      </c>
      <c r="E667" s="21">
        <f t="shared" ca="1" si="53"/>
        <v>5.8220566561075285E-5</v>
      </c>
      <c r="F667" s="11">
        <f t="shared" ca="1" si="54"/>
        <v>4.8756185754215746</v>
      </c>
      <c r="G667" s="10">
        <f t="shared" ca="1" si="51"/>
        <v>1</v>
      </c>
    </row>
    <row r="668" spans="1:7" x14ac:dyDescent="0.2">
      <c r="A668" s="2">
        <v>19921022</v>
      </c>
      <c r="B668" s="13">
        <v>3200.88</v>
      </c>
      <c r="C668" s="2">
        <f t="shared" si="52"/>
        <v>4.323679834332214E-3</v>
      </c>
      <c r="D668" s="21">
        <f t="shared" ca="1" si="50"/>
        <v>3.9397274192253468E-3</v>
      </c>
      <c r="E668" s="21">
        <f t="shared" ca="1" si="53"/>
        <v>5.6184246405980034E-5</v>
      </c>
      <c r="F668" s="11">
        <f t="shared" ca="1" si="54"/>
        <v>4.7553071458962082</v>
      </c>
      <c r="G668" s="10">
        <f t="shared" ca="1" si="51"/>
        <v>1</v>
      </c>
    </row>
    <row r="669" spans="1:7" x14ac:dyDescent="0.2">
      <c r="A669" s="2">
        <v>19921023</v>
      </c>
      <c r="B669" s="13">
        <v>3207.64</v>
      </c>
      <c r="C669" s="2">
        <f t="shared" si="52"/>
        <v>2.1119192222138171E-3</v>
      </c>
      <c r="D669" s="21">
        <f t="shared" ca="1" si="50"/>
        <v>1.7279668071069499E-3</v>
      </c>
      <c r="E669" s="21">
        <f t="shared" ca="1" si="53"/>
        <v>5.4821620885840899E-5</v>
      </c>
      <c r="F669" s="11">
        <f t="shared" ca="1" si="54"/>
        <v>4.878480361540916</v>
      </c>
      <c r="G669" s="10">
        <f t="shared" ca="1" si="51"/>
        <v>1</v>
      </c>
    </row>
    <row r="670" spans="1:7" x14ac:dyDescent="0.2">
      <c r="A670" s="2">
        <v>19921026</v>
      </c>
      <c r="B670" s="13">
        <v>3244.11</v>
      </c>
      <c r="C670" s="2">
        <f t="shared" si="52"/>
        <v>1.136972977017379E-2</v>
      </c>
      <c r="D670" s="21">
        <f t="shared" ca="1" si="50"/>
        <v>1.0985777355066922E-2</v>
      </c>
      <c r="E670" s="21">
        <f t="shared" ca="1" si="53"/>
        <v>5.3066975770268435E-5</v>
      </c>
      <c r="F670" s="11">
        <f t="shared" ca="1" si="54"/>
        <v>3.7848553762421764</v>
      </c>
      <c r="G670" s="10">
        <f t="shared" ca="1" si="51"/>
        <v>0</v>
      </c>
    </row>
    <row r="671" spans="1:7" x14ac:dyDescent="0.2">
      <c r="A671" s="2">
        <v>19921027</v>
      </c>
      <c r="B671" s="13">
        <v>3235.73</v>
      </c>
      <c r="C671" s="2">
        <f t="shared" si="52"/>
        <v>-2.5831429883697251E-3</v>
      </c>
      <c r="D671" s="21">
        <f t="shared" ca="1" si="50"/>
        <v>-2.9670954034765923E-3</v>
      </c>
      <c r="E671" s="21">
        <f t="shared" ca="1" si="53"/>
        <v>5.5729185998992583E-5</v>
      </c>
      <c r="F671" s="11">
        <f t="shared" ca="1" si="54"/>
        <v>4.8185172439745863</v>
      </c>
      <c r="G671" s="10">
        <f t="shared" ca="1" si="51"/>
        <v>1</v>
      </c>
    </row>
    <row r="672" spans="1:7" x14ac:dyDescent="0.2">
      <c r="A672" s="2">
        <v>19921028</v>
      </c>
      <c r="B672" s="13">
        <v>3251.4</v>
      </c>
      <c r="C672" s="2">
        <f t="shared" si="52"/>
        <v>4.8428020879369019E-3</v>
      </c>
      <c r="D672" s="21">
        <f t="shared" ca="1" si="50"/>
        <v>4.4588496728300347E-3</v>
      </c>
      <c r="E672" s="21">
        <f t="shared" ca="1" si="53"/>
        <v>5.4142557009234226E-5</v>
      </c>
      <c r="F672" s="11">
        <f t="shared" ca="1" si="54"/>
        <v>4.7283432359764115</v>
      </c>
      <c r="G672" s="10">
        <f t="shared" ca="1" si="51"/>
        <v>1</v>
      </c>
    </row>
    <row r="673" spans="1:7" x14ac:dyDescent="0.2">
      <c r="A673" s="2">
        <v>19921029</v>
      </c>
      <c r="B673" s="13">
        <v>3246.27</v>
      </c>
      <c r="C673" s="2">
        <f t="shared" si="52"/>
        <v>-1.5777818785754165E-3</v>
      </c>
      <c r="D673" s="21">
        <f t="shared" ca="1" si="50"/>
        <v>-1.9617342936822839E-3</v>
      </c>
      <c r="E673" s="21">
        <f t="shared" ca="1" si="53"/>
        <v>5.3043541932083234E-5</v>
      </c>
      <c r="F673" s="11">
        <f t="shared" ca="1" si="54"/>
        <v>4.8859228462442399</v>
      </c>
      <c r="G673" s="10">
        <f t="shared" ca="1" si="51"/>
        <v>1</v>
      </c>
    </row>
    <row r="674" spans="1:7" x14ac:dyDescent="0.2">
      <c r="A674" s="2">
        <v>19921030</v>
      </c>
      <c r="B674" s="13">
        <v>3226.28</v>
      </c>
      <c r="C674" s="2">
        <f t="shared" si="52"/>
        <v>-6.1578365323894137E-3</v>
      </c>
      <c r="D674" s="21">
        <f t="shared" ca="1" si="50"/>
        <v>-6.5417889474962809E-3</v>
      </c>
      <c r="E674" s="21">
        <f t="shared" ca="1" si="53"/>
        <v>5.1410567229510104E-5</v>
      </c>
      <c r="F674" s="11">
        <f t="shared" ca="1" si="54"/>
        <v>4.5216251767869657</v>
      </c>
      <c r="G674" s="10">
        <f t="shared" ca="1" si="51"/>
        <v>1</v>
      </c>
    </row>
    <row r="675" spans="1:7" x14ac:dyDescent="0.2">
      <c r="A675" s="2">
        <v>19921102</v>
      </c>
      <c r="B675" s="13">
        <v>3262.21</v>
      </c>
      <c r="C675" s="2">
        <f t="shared" si="52"/>
        <v>1.1136665137557756E-2</v>
      </c>
      <c r="D675" s="21">
        <f t="shared" ca="1" si="50"/>
        <v>1.0752712722450888E-2</v>
      </c>
      <c r="E675" s="21">
        <f t="shared" ca="1" si="53"/>
        <v>5.1292339783343453E-5</v>
      </c>
      <c r="F675" s="11">
        <f t="shared" ca="1" si="54"/>
        <v>3.8119075889498877</v>
      </c>
      <c r="G675" s="10">
        <f t="shared" ca="1" si="51"/>
        <v>0</v>
      </c>
    </row>
    <row r="676" spans="1:7" x14ac:dyDescent="0.2">
      <c r="A676" s="2">
        <v>19921103</v>
      </c>
      <c r="B676" s="13">
        <v>3252.48</v>
      </c>
      <c r="C676" s="2">
        <f t="shared" si="52"/>
        <v>-2.9826406025363229E-3</v>
      </c>
      <c r="D676" s="21">
        <f t="shared" ca="1" si="50"/>
        <v>-3.3665930176431901E-3</v>
      </c>
      <c r="E676" s="21">
        <f t="shared" ca="1" si="53"/>
        <v>5.3858026364975434E-5</v>
      </c>
      <c r="F676" s="11">
        <f t="shared" ca="1" si="54"/>
        <v>4.809358949647895</v>
      </c>
      <c r="G676" s="10">
        <f t="shared" ca="1" si="51"/>
        <v>1</v>
      </c>
    </row>
    <row r="677" spans="1:7" x14ac:dyDescent="0.2">
      <c r="A677" s="2">
        <v>19921104</v>
      </c>
      <c r="B677" s="13">
        <v>3223.04</v>
      </c>
      <c r="C677" s="2">
        <f t="shared" si="52"/>
        <v>-9.0515545060999777E-3</v>
      </c>
      <c r="D677" s="21">
        <f t="shared" ca="1" si="50"/>
        <v>-9.4355069212068449E-3</v>
      </c>
      <c r="E677" s="21">
        <f t="shared" ca="1" si="53"/>
        <v>5.2459103264019548E-5</v>
      </c>
      <c r="F677" s="11">
        <f t="shared" ca="1" si="54"/>
        <v>4.0791840809853621</v>
      </c>
      <c r="G677" s="10">
        <f t="shared" ca="1" si="51"/>
        <v>0</v>
      </c>
    </row>
    <row r="678" spans="1:7" x14ac:dyDescent="0.2">
      <c r="A678" s="2">
        <v>19921105</v>
      </c>
      <c r="B678" s="13">
        <v>3243.84</v>
      </c>
      <c r="C678" s="2">
        <f t="shared" si="52"/>
        <v>6.4535345512311921E-3</v>
      </c>
      <c r="D678" s="21">
        <f t="shared" ca="1" si="50"/>
        <v>6.0695821361243249E-3</v>
      </c>
      <c r="E678" s="21">
        <f t="shared" ca="1" si="53"/>
        <v>5.3987927154082136E-5</v>
      </c>
      <c r="F678" s="11">
        <f t="shared" ca="1" si="54"/>
        <v>4.5721892623810323</v>
      </c>
      <c r="G678" s="10">
        <f t="shared" ca="1" si="51"/>
        <v>1</v>
      </c>
    </row>
    <row r="679" spans="1:7" x14ac:dyDescent="0.2">
      <c r="A679" s="2">
        <v>19921106</v>
      </c>
      <c r="B679" s="13">
        <v>3240.06</v>
      </c>
      <c r="C679" s="2">
        <f t="shared" si="52"/>
        <v>-1.1652855874519704E-3</v>
      </c>
      <c r="D679" s="21">
        <f t="shared" ca="1" si="50"/>
        <v>-1.5492380025588378E-3</v>
      </c>
      <c r="E679" s="21">
        <f t="shared" ca="1" si="53"/>
        <v>5.3520328025929792E-5</v>
      </c>
      <c r="F679" s="11">
        <f t="shared" ca="1" si="54"/>
        <v>4.8953018264621351</v>
      </c>
      <c r="G679" s="10">
        <f t="shared" ca="1" si="51"/>
        <v>1</v>
      </c>
    </row>
    <row r="680" spans="1:7" x14ac:dyDescent="0.2">
      <c r="A680" s="2">
        <v>19921109</v>
      </c>
      <c r="B680" s="13">
        <v>3240.87</v>
      </c>
      <c r="C680" s="2">
        <f t="shared" si="52"/>
        <v>2.4999537045608582E-4</v>
      </c>
      <c r="D680" s="21">
        <f t="shared" ca="1" si="50"/>
        <v>-1.3395704465078148E-4</v>
      </c>
      <c r="E680" s="21">
        <f t="shared" ca="1" si="53"/>
        <v>5.180997739678033E-5</v>
      </c>
      <c r="F680" s="11">
        <f t="shared" ca="1" si="54"/>
        <v>4.9337907306995001</v>
      </c>
      <c r="G680" s="10">
        <f t="shared" ca="1" si="51"/>
        <v>1</v>
      </c>
    </row>
    <row r="681" spans="1:7" x14ac:dyDescent="0.2">
      <c r="A681" s="2">
        <v>19921110</v>
      </c>
      <c r="B681" s="13">
        <v>3225.47</v>
      </c>
      <c r="C681" s="2">
        <f t="shared" si="52"/>
        <v>-4.7518104706452558E-3</v>
      </c>
      <c r="D681" s="21">
        <f t="shared" ca="1" si="50"/>
        <v>-5.135762885752123E-3</v>
      </c>
      <c r="E681" s="21">
        <f t="shared" ca="1" si="53"/>
        <v>5.0098556540036828E-5</v>
      </c>
      <c r="F681" s="11">
        <f t="shared" ca="1" si="54"/>
        <v>4.6875174606085936</v>
      </c>
      <c r="G681" s="10">
        <f t="shared" ca="1" si="51"/>
        <v>1</v>
      </c>
    </row>
    <row r="682" spans="1:7" x14ac:dyDescent="0.2">
      <c r="A682" s="2">
        <v>19921111</v>
      </c>
      <c r="B682" s="13">
        <v>3240.33</v>
      </c>
      <c r="C682" s="2">
        <f t="shared" si="52"/>
        <v>4.6070805184981189E-3</v>
      </c>
      <c r="D682" s="21">
        <f t="shared" ca="1" si="50"/>
        <v>4.2231281033912518E-3</v>
      </c>
      <c r="E682" s="21">
        <f t="shared" ca="1" si="53"/>
        <v>4.9442950973160657E-5</v>
      </c>
      <c r="F682" s="11">
        <f t="shared" ca="1" si="54"/>
        <v>4.7769880604874286</v>
      </c>
      <c r="G682" s="10">
        <f t="shared" ca="1" si="51"/>
        <v>1</v>
      </c>
    </row>
    <row r="683" spans="1:7" x14ac:dyDescent="0.2">
      <c r="A683" s="2">
        <v>19921112</v>
      </c>
      <c r="B683" s="13">
        <v>3239.79</v>
      </c>
      <c r="C683" s="2">
        <f t="shared" si="52"/>
        <v>-1.6664969308680401E-4</v>
      </c>
      <c r="D683" s="21">
        <f t="shared" ca="1" si="50"/>
        <v>-5.5060210819367133E-4</v>
      </c>
      <c r="E683" s="21">
        <f t="shared" ca="1" si="53"/>
        <v>4.8506436052410623E-5</v>
      </c>
      <c r="F683" s="11">
        <f t="shared" ca="1" si="54"/>
        <v>4.9637820595777713</v>
      </c>
      <c r="G683" s="10">
        <f t="shared" ca="1" si="51"/>
        <v>1</v>
      </c>
    </row>
    <row r="684" spans="1:7" x14ac:dyDescent="0.2">
      <c r="A684" s="2">
        <v>19921113</v>
      </c>
      <c r="B684" s="13">
        <v>3233.03</v>
      </c>
      <c r="C684" s="2">
        <f t="shared" si="52"/>
        <v>-2.0865549927618038E-3</v>
      </c>
      <c r="D684" s="21">
        <f t="shared" ca="1" si="50"/>
        <v>-2.470507407868671E-3</v>
      </c>
      <c r="E684" s="21">
        <f t="shared" ca="1" si="53"/>
        <v>4.6972630410931475E-5</v>
      </c>
      <c r="F684" s="11">
        <f t="shared" ca="1" si="54"/>
        <v>4.9180050359016345</v>
      </c>
      <c r="G684" s="10">
        <f t="shared" ca="1" si="51"/>
        <v>1</v>
      </c>
    </row>
    <row r="685" spans="1:7" x14ac:dyDescent="0.2">
      <c r="A685" s="2">
        <v>19921116</v>
      </c>
      <c r="B685" s="13">
        <v>3205.74</v>
      </c>
      <c r="C685" s="2">
        <f t="shared" si="52"/>
        <v>-8.4409980730152257E-3</v>
      </c>
      <c r="D685" s="21">
        <f t="shared" ca="1" si="50"/>
        <v>-8.8249504881220929E-3</v>
      </c>
      <c r="E685" s="21">
        <f t="shared" ca="1" si="53"/>
        <v>4.5729705607541277E-5</v>
      </c>
      <c r="F685" s="11">
        <f t="shared" ca="1" si="54"/>
        <v>4.1448586783295873</v>
      </c>
      <c r="G685" s="10">
        <f t="shared" ca="1" si="51"/>
        <v>0</v>
      </c>
    </row>
    <row r="686" spans="1:7" x14ac:dyDescent="0.2">
      <c r="A686" s="2">
        <v>19921117</v>
      </c>
      <c r="B686" s="13">
        <v>3193.32</v>
      </c>
      <c r="C686" s="2">
        <f t="shared" si="52"/>
        <v>-3.8743004735254946E-3</v>
      </c>
      <c r="D686" s="21">
        <f t="shared" ca="1" si="50"/>
        <v>-4.2582528886323618E-3</v>
      </c>
      <c r="E686" s="21">
        <f t="shared" ca="1" si="53"/>
        <v>4.7189002282721651E-5</v>
      </c>
      <c r="F686" s="11">
        <f t="shared" ca="1" si="54"/>
        <v>4.7885462074983689</v>
      </c>
      <c r="G686" s="10">
        <f t="shared" ca="1" si="51"/>
        <v>1</v>
      </c>
    </row>
    <row r="687" spans="1:7" x14ac:dyDescent="0.2">
      <c r="A687" s="2">
        <v>19921118</v>
      </c>
      <c r="B687" s="13">
        <v>3207.37</v>
      </c>
      <c r="C687" s="2">
        <f t="shared" si="52"/>
        <v>4.3998096025452274E-3</v>
      </c>
      <c r="D687" s="21">
        <f t="shared" ca="1" si="50"/>
        <v>4.0158571874383603E-3</v>
      </c>
      <c r="E687" s="21">
        <f t="shared" ca="1" si="53"/>
        <v>4.6377469917365105E-5</v>
      </c>
      <c r="F687" s="11">
        <f t="shared" ca="1" si="54"/>
        <v>4.8154804640959288</v>
      </c>
      <c r="G687" s="10">
        <f t="shared" ca="1" si="51"/>
        <v>1</v>
      </c>
    </row>
    <row r="688" spans="1:7" x14ac:dyDescent="0.2">
      <c r="A688" s="2">
        <v>19921119</v>
      </c>
      <c r="B688" s="13">
        <v>3209.53</v>
      </c>
      <c r="C688" s="2">
        <f t="shared" si="52"/>
        <v>6.7344896285751539E-4</v>
      </c>
      <c r="D688" s="21">
        <f t="shared" ca="1" si="50"/>
        <v>2.894965477506481E-4</v>
      </c>
      <c r="E688" s="21">
        <f t="shared" ca="1" si="53"/>
        <v>4.5533243507292617E-5</v>
      </c>
      <c r="F688" s="11">
        <f t="shared" ca="1" si="54"/>
        <v>4.9976136387262846</v>
      </c>
      <c r="G688" s="10">
        <f t="shared" ca="1" si="51"/>
        <v>1</v>
      </c>
    </row>
    <row r="689" spans="1:7" x14ac:dyDescent="0.2">
      <c r="A689" s="2">
        <v>19921120</v>
      </c>
      <c r="B689" s="13">
        <v>3227.36</v>
      </c>
      <c r="C689" s="2">
        <f t="shared" si="52"/>
        <v>5.5553305312615632E-3</v>
      </c>
      <c r="D689" s="21">
        <f t="shared" ca="1" si="50"/>
        <v>5.171378116154696E-3</v>
      </c>
      <c r="E689" s="21">
        <f t="shared" ca="1" si="53"/>
        <v>4.414178661022859E-5</v>
      </c>
      <c r="F689" s="11">
        <f t="shared" ca="1" si="54"/>
        <v>4.7111285377593708</v>
      </c>
      <c r="G689" s="10">
        <f t="shared" ca="1" si="51"/>
        <v>1</v>
      </c>
    </row>
    <row r="690" spans="1:7" x14ac:dyDescent="0.2">
      <c r="A690" s="2">
        <v>19921123</v>
      </c>
      <c r="B690" s="13">
        <v>3223.04</v>
      </c>
      <c r="C690" s="2">
        <f t="shared" si="52"/>
        <v>-1.3385553517426515E-3</v>
      </c>
      <c r="D690" s="21">
        <f t="shared" ca="1" si="50"/>
        <v>-1.7225077668495186E-3</v>
      </c>
      <c r="E690" s="21">
        <f t="shared" ca="1" si="53"/>
        <v>4.3801034579893429E-5</v>
      </c>
      <c r="F690" s="11">
        <f t="shared" ca="1" si="54"/>
        <v>4.9840571203680017</v>
      </c>
      <c r="G690" s="10">
        <f t="shared" ca="1" si="51"/>
        <v>1</v>
      </c>
    </row>
    <row r="691" spans="1:7" x14ac:dyDescent="0.2">
      <c r="A691" s="2">
        <v>19921124</v>
      </c>
      <c r="B691" s="13">
        <v>3248.7</v>
      </c>
      <c r="C691" s="2">
        <f t="shared" si="52"/>
        <v>7.9614277204129811E-3</v>
      </c>
      <c r="D691" s="21">
        <f t="shared" ca="1" si="50"/>
        <v>7.5774753053061139E-3</v>
      </c>
      <c r="E691" s="21">
        <f t="shared" ca="1" si="53"/>
        <v>4.2603231911334163E-5</v>
      </c>
      <c r="F691" s="11">
        <f t="shared" ca="1" si="54"/>
        <v>4.3579196076129714</v>
      </c>
      <c r="G691" s="10">
        <f t="shared" ca="1" si="51"/>
        <v>0</v>
      </c>
    </row>
    <row r="692" spans="1:7" x14ac:dyDescent="0.2">
      <c r="A692" s="2">
        <v>19921125</v>
      </c>
      <c r="B692" s="13">
        <v>3266.26</v>
      </c>
      <c r="C692" s="2">
        <f t="shared" si="52"/>
        <v>5.4052390186845201E-3</v>
      </c>
      <c r="D692" s="21">
        <f t="shared" ca="1" si="50"/>
        <v>5.0212866035776529E-3</v>
      </c>
      <c r="E692" s="21">
        <f t="shared" ca="1" si="53"/>
        <v>4.3468288458422951E-5</v>
      </c>
      <c r="F692" s="11">
        <f t="shared" ca="1" si="54"/>
        <v>4.7317197525536283</v>
      </c>
      <c r="G692" s="10">
        <f t="shared" ca="1" si="51"/>
        <v>1</v>
      </c>
    </row>
    <row r="693" spans="1:7" x14ac:dyDescent="0.2">
      <c r="A693" s="2">
        <v>19921127</v>
      </c>
      <c r="B693" s="13">
        <v>3282.2</v>
      </c>
      <c r="C693" s="2">
        <f t="shared" si="52"/>
        <v>4.8801993717584018E-3</v>
      </c>
      <c r="D693" s="21">
        <f t="shared" ca="1" si="50"/>
        <v>4.4962469566515346E-3</v>
      </c>
      <c r="E693" s="21">
        <f t="shared" ca="1" si="53"/>
        <v>4.3105354310449904E-5</v>
      </c>
      <c r="F693" s="11">
        <f t="shared" ca="1" si="54"/>
        <v>4.791433693151598</v>
      </c>
      <c r="G693" s="10">
        <f t="shared" ca="1" si="51"/>
        <v>1</v>
      </c>
    </row>
    <row r="694" spans="1:7" x14ac:dyDescent="0.2">
      <c r="A694" s="2">
        <v>19921130</v>
      </c>
      <c r="B694" s="13">
        <v>3305.16</v>
      </c>
      <c r="C694" s="2">
        <f t="shared" si="52"/>
        <v>6.9953080251051241E-3</v>
      </c>
      <c r="D694" s="21">
        <f t="shared" ca="1" si="50"/>
        <v>6.611355609998257E-3</v>
      </c>
      <c r="E694" s="21">
        <f t="shared" ca="1" si="53"/>
        <v>4.257702967332615E-5</v>
      </c>
      <c r="F694" s="11">
        <f t="shared" ca="1" si="54"/>
        <v>4.5187926117678385</v>
      </c>
      <c r="G694" s="10">
        <f t="shared" ca="1" si="51"/>
        <v>0</v>
      </c>
    </row>
    <row r="695" spans="1:7" x14ac:dyDescent="0.2">
      <c r="A695" s="2">
        <v>19921201</v>
      </c>
      <c r="B695" s="13">
        <v>3294.36</v>
      </c>
      <c r="C695" s="2">
        <f t="shared" si="52"/>
        <v>-3.2676179065460453E-3</v>
      </c>
      <c r="D695" s="21">
        <f t="shared" ca="1" si="50"/>
        <v>-3.6515703216529125E-3</v>
      </c>
      <c r="E695" s="21">
        <f t="shared" ca="1" si="53"/>
        <v>4.2939340697305217E-5</v>
      </c>
      <c r="F695" s="11">
        <f t="shared" ca="1" si="54"/>
        <v>4.8725959160628811</v>
      </c>
      <c r="G695" s="10">
        <f t="shared" ca="1" si="51"/>
        <v>1</v>
      </c>
    </row>
    <row r="696" spans="1:7" x14ac:dyDescent="0.2">
      <c r="A696" s="2">
        <v>19921202</v>
      </c>
      <c r="B696" s="13">
        <v>3286.25</v>
      </c>
      <c r="C696" s="2">
        <f t="shared" si="52"/>
        <v>-2.4617831688097617E-3</v>
      </c>
      <c r="D696" s="21">
        <f t="shared" ca="1" si="50"/>
        <v>-2.8457355839166289E-3</v>
      </c>
      <c r="E696" s="21">
        <f t="shared" ca="1" si="53"/>
        <v>4.2166341626461443E-5</v>
      </c>
      <c r="F696" s="11">
        <f t="shared" ca="1" si="54"/>
        <v>4.9409171657064501</v>
      </c>
      <c r="G696" s="10">
        <f t="shared" ca="1" si="51"/>
        <v>1</v>
      </c>
    </row>
    <row r="697" spans="1:7" x14ac:dyDescent="0.2">
      <c r="A697" s="2">
        <v>19921203</v>
      </c>
      <c r="B697" s="13">
        <v>3276.53</v>
      </c>
      <c r="C697" s="2">
        <f t="shared" si="52"/>
        <v>-2.9577786230505286E-3</v>
      </c>
      <c r="D697" s="21">
        <f t="shared" ca="1" si="50"/>
        <v>-3.3417310381573958E-3</v>
      </c>
      <c r="E697" s="21">
        <f t="shared" ca="1" si="53"/>
        <v>4.1239920987247393E-5</v>
      </c>
      <c r="F697" s="11">
        <f t="shared" ca="1" si="54"/>
        <v>4.9126592336699799</v>
      </c>
      <c r="G697" s="10">
        <f t="shared" ca="1" si="51"/>
        <v>1</v>
      </c>
    </row>
    <row r="698" spans="1:7" x14ac:dyDescent="0.2">
      <c r="A698" s="2">
        <v>19921204</v>
      </c>
      <c r="B698" s="13">
        <v>3288.68</v>
      </c>
      <c r="C698" s="2">
        <f t="shared" si="52"/>
        <v>3.7081912877341685E-3</v>
      </c>
      <c r="D698" s="21">
        <f t="shared" ca="1" si="50"/>
        <v>3.3242388726273013E-3</v>
      </c>
      <c r="E698" s="21">
        <f t="shared" ca="1" si="53"/>
        <v>4.0473219118784888E-5</v>
      </c>
      <c r="F698" s="11">
        <f t="shared" ca="1" si="54"/>
        <v>4.9209180396638263</v>
      </c>
      <c r="G698" s="10">
        <f t="shared" ca="1" si="51"/>
        <v>1</v>
      </c>
    </row>
    <row r="699" spans="1:7" x14ac:dyDescent="0.2">
      <c r="A699" s="2">
        <v>19921207</v>
      </c>
      <c r="B699" s="13">
        <v>3307.33</v>
      </c>
      <c r="C699" s="2">
        <f t="shared" si="52"/>
        <v>5.670968291229336E-3</v>
      </c>
      <c r="D699" s="21">
        <f t="shared" ca="1" si="50"/>
        <v>5.2870158761224688E-3</v>
      </c>
      <c r="E699" s="21">
        <f t="shared" ca="1" si="53"/>
        <v>3.974101728200309E-5</v>
      </c>
      <c r="F699" s="11">
        <f t="shared" ca="1" si="54"/>
        <v>4.7148796503506745</v>
      </c>
      <c r="G699" s="10">
        <f t="shared" ca="1" si="51"/>
        <v>1</v>
      </c>
    </row>
    <row r="700" spans="1:7" x14ac:dyDescent="0.2">
      <c r="A700" s="2">
        <v>19921208</v>
      </c>
      <c r="B700" s="13">
        <v>3322.18</v>
      </c>
      <c r="C700" s="2">
        <f t="shared" si="52"/>
        <v>4.4900266982732017E-3</v>
      </c>
      <c r="D700" s="21">
        <f t="shared" ca="1" si="50"/>
        <v>4.1060742831663345E-3</v>
      </c>
      <c r="E700" s="21">
        <f t="shared" ca="1" si="53"/>
        <v>3.9667372828436856E-5</v>
      </c>
      <c r="F700" s="11">
        <f t="shared" ca="1" si="54"/>
        <v>4.8549754914575791</v>
      </c>
      <c r="G700" s="10">
        <f t="shared" ca="1" si="51"/>
        <v>1</v>
      </c>
    </row>
    <row r="701" spans="1:7" x14ac:dyDescent="0.2">
      <c r="A701" s="2">
        <v>19921209</v>
      </c>
      <c r="B701" s="13">
        <v>3323.81</v>
      </c>
      <c r="C701" s="2">
        <f t="shared" si="52"/>
        <v>4.9064168708501919E-4</v>
      </c>
      <c r="D701" s="21">
        <f t="shared" ca="1" si="50"/>
        <v>1.066892719781519E-4</v>
      </c>
      <c r="E701" s="21">
        <f t="shared" ca="1" si="53"/>
        <v>3.9189556460908365E-5</v>
      </c>
      <c r="F701" s="11">
        <f t="shared" ca="1" si="54"/>
        <v>5.0734049068138569</v>
      </c>
      <c r="G701" s="10">
        <f t="shared" ca="1" si="51"/>
        <v>1</v>
      </c>
    </row>
    <row r="702" spans="1:7" x14ac:dyDescent="0.2">
      <c r="A702" s="2">
        <v>19921210</v>
      </c>
      <c r="B702" s="13">
        <v>3312.19</v>
      </c>
      <c r="C702" s="2">
        <f t="shared" si="52"/>
        <v>-3.4959880378240306E-3</v>
      </c>
      <c r="D702" s="21">
        <f t="shared" ca="1" si="50"/>
        <v>-3.8799404529308978E-3</v>
      </c>
      <c r="E702" s="21">
        <f t="shared" ca="1" si="53"/>
        <v>3.8116365562646539E-5</v>
      </c>
      <c r="F702" s="11">
        <f t="shared" ca="1" si="54"/>
        <v>4.8899599956594999</v>
      </c>
      <c r="G702" s="10">
        <f t="shared" ca="1" si="51"/>
        <v>1</v>
      </c>
    </row>
    <row r="703" spans="1:7" x14ac:dyDescent="0.2">
      <c r="A703" s="2">
        <v>19921211</v>
      </c>
      <c r="B703" s="13">
        <v>3304.08</v>
      </c>
      <c r="C703" s="2">
        <f t="shared" si="52"/>
        <v>-2.4485310323381589E-3</v>
      </c>
      <c r="D703" s="21">
        <f t="shared" ca="1" si="50"/>
        <v>-2.8324834474450261E-3</v>
      </c>
      <c r="E703" s="21">
        <f t="shared" ca="1" si="53"/>
        <v>3.765060876932644E-5</v>
      </c>
      <c r="F703" s="11">
        <f t="shared" ca="1" si="54"/>
        <v>4.9870357936003282</v>
      </c>
      <c r="G703" s="10">
        <f t="shared" ca="1" si="51"/>
        <v>1</v>
      </c>
    </row>
    <row r="704" spans="1:7" x14ac:dyDescent="0.2">
      <c r="A704" s="2">
        <v>19921214</v>
      </c>
      <c r="B704" s="13">
        <v>3292.2</v>
      </c>
      <c r="C704" s="2">
        <f t="shared" si="52"/>
        <v>-3.5955545870560365E-3</v>
      </c>
      <c r="D704" s="21">
        <f t="shared" ca="1" si="50"/>
        <v>-3.9795070021629037E-3</v>
      </c>
      <c r="E704" s="21">
        <f t="shared" ca="1" si="53"/>
        <v>3.6949873522259417E-5</v>
      </c>
      <c r="F704" s="11">
        <f t="shared" ca="1" si="54"/>
        <v>4.8886774118500478</v>
      </c>
      <c r="G704" s="10">
        <f t="shared" ca="1" si="51"/>
        <v>1</v>
      </c>
    </row>
    <row r="705" spans="1:7" x14ac:dyDescent="0.2">
      <c r="A705" s="2">
        <v>19921215</v>
      </c>
      <c r="B705" s="13">
        <v>3284.36</v>
      </c>
      <c r="C705" s="2">
        <f t="shared" si="52"/>
        <v>-2.3813863070286409E-3</v>
      </c>
      <c r="D705" s="21">
        <f t="shared" ca="1" si="50"/>
        <v>-2.7653387221355081E-3</v>
      </c>
      <c r="E705" s="21">
        <f t="shared" ca="1" si="53"/>
        <v>3.6571905236233737E-5</v>
      </c>
      <c r="F705" s="11">
        <f t="shared" ca="1" si="54"/>
        <v>5.0035663057181363</v>
      </c>
      <c r="G705" s="10">
        <f t="shared" ca="1" si="51"/>
        <v>1</v>
      </c>
    </row>
    <row r="706" spans="1:7" x14ac:dyDescent="0.2">
      <c r="A706" s="2">
        <v>19921216</v>
      </c>
      <c r="B706" s="13">
        <v>3255.18</v>
      </c>
      <c r="C706" s="2">
        <f t="shared" si="52"/>
        <v>-8.8845315373467862E-3</v>
      </c>
      <c r="D706" s="21">
        <f t="shared" ca="1" si="50"/>
        <v>-9.2684839524536534E-3</v>
      </c>
      <c r="E706" s="21">
        <f t="shared" ca="1" si="53"/>
        <v>3.5911920772000525E-5</v>
      </c>
      <c r="F706" s="11">
        <f t="shared" ca="1" si="54"/>
        <v>3.9211721754096072</v>
      </c>
      <c r="G706" s="10">
        <f t="shared" ca="1" si="51"/>
        <v>0</v>
      </c>
    </row>
    <row r="707" spans="1:7" x14ac:dyDescent="0.2">
      <c r="A707" s="2">
        <v>19921217</v>
      </c>
      <c r="B707" s="13">
        <v>3269.23</v>
      </c>
      <c r="C707" s="2">
        <f t="shared" si="52"/>
        <v>4.3161975681836892E-3</v>
      </c>
      <c r="D707" s="21">
        <f t="shared" ca="1" si="50"/>
        <v>3.9322451530768221E-3</v>
      </c>
      <c r="E707" s="21">
        <f t="shared" ca="1" si="53"/>
        <v>3.8162997282105243E-5</v>
      </c>
      <c r="F707" s="11">
        <f t="shared" ca="1" si="54"/>
        <v>4.8842364251948096</v>
      </c>
      <c r="G707" s="10">
        <f t="shared" ca="1" si="51"/>
        <v>1</v>
      </c>
    </row>
    <row r="708" spans="1:7" x14ac:dyDescent="0.2">
      <c r="A708" s="2">
        <v>19921218</v>
      </c>
      <c r="B708" s="13">
        <v>3313.27</v>
      </c>
      <c r="C708" s="2">
        <f t="shared" si="52"/>
        <v>1.3471061993191046E-2</v>
      </c>
      <c r="D708" s="21">
        <f t="shared" ca="1" si="50"/>
        <v>1.3087109578084179E-2</v>
      </c>
      <c r="E708" s="21">
        <f t="shared" ca="1" si="53"/>
        <v>3.7709906825924438E-5</v>
      </c>
      <c r="F708" s="11">
        <f t="shared" ca="1" si="54"/>
        <v>2.8218728790282839</v>
      </c>
      <c r="G708" s="10">
        <f t="shared" ca="1" si="51"/>
        <v>0</v>
      </c>
    </row>
    <row r="709" spans="1:7" x14ac:dyDescent="0.2">
      <c r="A709" s="2">
        <v>19921221</v>
      </c>
      <c r="B709" s="13">
        <v>3312.46</v>
      </c>
      <c r="C709" s="2">
        <f t="shared" si="52"/>
        <v>-2.444714738007906E-4</v>
      </c>
      <c r="D709" s="21">
        <f t="shared" ca="1" si="50"/>
        <v>-6.284238889076579E-4</v>
      </c>
      <c r="E709" s="21">
        <f t="shared" ca="1" si="53"/>
        <v>4.3009139894013136E-5</v>
      </c>
      <c r="F709" s="11">
        <f t="shared" ca="1" si="54"/>
        <v>5.0224578771468682</v>
      </c>
      <c r="G709" s="10">
        <f t="shared" ca="1" si="51"/>
        <v>1</v>
      </c>
    </row>
    <row r="710" spans="1:7" x14ac:dyDescent="0.2">
      <c r="A710" s="2">
        <v>19921222</v>
      </c>
      <c r="B710" s="13">
        <v>3321.1</v>
      </c>
      <c r="C710" s="2">
        <f t="shared" si="52"/>
        <v>2.6083333836483679E-3</v>
      </c>
      <c r="D710" s="21">
        <f t="shared" ca="1" si="50"/>
        <v>2.2243809685415007E-3</v>
      </c>
      <c r="E710" s="21">
        <f t="shared" ca="1" si="53"/>
        <v>4.1756818226455935E-5</v>
      </c>
      <c r="F710" s="11">
        <f t="shared" ca="1" si="54"/>
        <v>4.9825776437033547</v>
      </c>
      <c r="G710" s="10">
        <f t="shared" ca="1" si="51"/>
        <v>1</v>
      </c>
    </row>
    <row r="711" spans="1:7" x14ac:dyDescent="0.2">
      <c r="A711" s="2">
        <v>19921223</v>
      </c>
      <c r="B711" s="13">
        <v>3313.54</v>
      </c>
      <c r="C711" s="2">
        <f t="shared" si="52"/>
        <v>-2.2763542199873373E-3</v>
      </c>
      <c r="D711" s="21">
        <f t="shared" ca="1" si="50"/>
        <v>-2.6603066350942045E-3</v>
      </c>
      <c r="E711" s="21">
        <f t="shared" ca="1" si="53"/>
        <v>4.0735271996667508E-5</v>
      </c>
      <c r="F711" s="11">
        <f t="shared" ca="1" si="54"/>
        <v>4.9673395121566717</v>
      </c>
      <c r="G711" s="10">
        <f t="shared" ca="1" si="51"/>
        <v>1</v>
      </c>
    </row>
    <row r="712" spans="1:7" x14ac:dyDescent="0.2">
      <c r="A712" s="2">
        <v>19921224</v>
      </c>
      <c r="B712" s="13">
        <v>3326.24</v>
      </c>
      <c r="C712" s="2">
        <f t="shared" si="52"/>
        <v>3.8327589224816413E-3</v>
      </c>
      <c r="D712" s="21">
        <f t="shared" ca="1" si="50"/>
        <v>3.4488065073747741E-3</v>
      </c>
      <c r="E712" s="21">
        <f t="shared" ca="1" si="53"/>
        <v>3.9843706437887989E-5</v>
      </c>
      <c r="F712" s="11">
        <f t="shared" ca="1" si="54"/>
        <v>4.9160115037194343</v>
      </c>
      <c r="G712" s="10">
        <f t="shared" ca="1" si="51"/>
        <v>1</v>
      </c>
    </row>
    <row r="713" spans="1:7" x14ac:dyDescent="0.2">
      <c r="A713" s="2">
        <v>19921228</v>
      </c>
      <c r="B713" s="13">
        <v>3333.26</v>
      </c>
      <c r="C713" s="2">
        <f t="shared" si="52"/>
        <v>2.1104911251143745E-3</v>
      </c>
      <c r="D713" s="21">
        <f t="shared" ca="1" si="50"/>
        <v>1.7265387100075073E-3</v>
      </c>
      <c r="E713" s="21">
        <f t="shared" ca="1" si="53"/>
        <v>3.9174376259528628E-5</v>
      </c>
      <c r="F713" s="11">
        <f t="shared" ca="1" si="54"/>
        <v>5.0356968340041757</v>
      </c>
      <c r="G713" s="10">
        <f t="shared" ca="1" si="51"/>
        <v>1</v>
      </c>
    </row>
    <row r="714" spans="1:7" x14ac:dyDescent="0.2">
      <c r="A714" s="2">
        <v>19921229</v>
      </c>
      <c r="B714" s="13">
        <v>3310.84</v>
      </c>
      <c r="C714" s="2">
        <f t="shared" si="52"/>
        <v>-6.7261479752554771E-3</v>
      </c>
      <c r="D714" s="21">
        <f t="shared" ca="1" si="50"/>
        <v>-7.1101003903623443E-3</v>
      </c>
      <c r="E714" s="21">
        <f t="shared" ca="1" si="53"/>
        <v>3.821114899307673E-5</v>
      </c>
      <c r="F714" s="11">
        <f t="shared" ca="1" si="54"/>
        <v>4.4246892913611298</v>
      </c>
      <c r="G714" s="10">
        <f t="shared" ca="1" si="51"/>
        <v>0</v>
      </c>
    </row>
    <row r="715" spans="1:7" x14ac:dyDescent="0.2">
      <c r="A715" s="2">
        <v>19921230</v>
      </c>
      <c r="B715" s="13">
        <v>3321.1</v>
      </c>
      <c r="C715" s="2">
        <f t="shared" si="52"/>
        <v>3.0989114544948603E-3</v>
      </c>
      <c r="D715" s="21">
        <f t="shared" ca="1" si="50"/>
        <v>2.7149590393879932E-3</v>
      </c>
      <c r="E715" s="21">
        <f t="shared" ca="1" si="53"/>
        <v>3.9045978969920093E-5</v>
      </c>
      <c r="F715" s="11">
        <f t="shared" ca="1" si="54"/>
        <v>4.9809965754299315</v>
      </c>
      <c r="G715" s="10">
        <f t="shared" ca="1" si="51"/>
        <v>1</v>
      </c>
    </row>
    <row r="716" spans="1:7" x14ac:dyDescent="0.2">
      <c r="A716" s="2">
        <v>19921231</v>
      </c>
      <c r="B716" s="13">
        <v>3301.11</v>
      </c>
      <c r="C716" s="2">
        <f t="shared" si="52"/>
        <v>-6.0190900605220504E-3</v>
      </c>
      <c r="D716" s="21">
        <f t="shared" ca="1" si="50"/>
        <v>-6.4030424756289176E-3</v>
      </c>
      <c r="E716" s="21">
        <f t="shared" ca="1" si="53"/>
        <v>3.8250677781286209E-5</v>
      </c>
      <c r="F716" s="11">
        <f t="shared" ca="1" si="54"/>
        <v>4.5497501100778095</v>
      </c>
      <c r="G716" s="10">
        <f t="shared" ca="1" si="51"/>
        <v>0</v>
      </c>
    </row>
    <row r="717" spans="1:7" x14ac:dyDescent="0.2">
      <c r="A717" s="2">
        <v>19930104</v>
      </c>
      <c r="B717" s="13">
        <v>3309.22</v>
      </c>
      <c r="C717" s="2">
        <f t="shared" si="52"/>
        <v>2.456749396415046E-3</v>
      </c>
      <c r="D717" s="21">
        <f t="shared" ca="1" si="50"/>
        <v>2.0727969813081788E-3</v>
      </c>
      <c r="E717" s="21">
        <f t="shared" ca="1" si="53"/>
        <v>3.8732169592339535E-5</v>
      </c>
      <c r="F717" s="11">
        <f t="shared" ca="1" si="54"/>
        <v>5.02395595645761</v>
      </c>
      <c r="G717" s="10">
        <f t="shared" ca="1" si="51"/>
        <v>1</v>
      </c>
    </row>
    <row r="718" spans="1:7" x14ac:dyDescent="0.2">
      <c r="A718" s="2">
        <v>19930105</v>
      </c>
      <c r="B718" s="13">
        <v>3307.87</v>
      </c>
      <c r="C718" s="2">
        <f t="shared" si="52"/>
        <v>-4.0795111839040895E-4</v>
      </c>
      <c r="D718" s="21">
        <f t="shared" ref="D718:D781" ca="1" si="55">(C718-mu)</f>
        <v>-7.9190353349727625E-4</v>
      </c>
      <c r="E718" s="21">
        <f t="shared" ca="1" si="53"/>
        <v>3.7839688829091234E-5</v>
      </c>
      <c r="F718" s="11">
        <f t="shared" ca="1" si="54"/>
        <v>5.0827895972818977</v>
      </c>
      <c r="G718" s="10">
        <f t="shared" ref="G718:G781" ca="1" si="56">IF(AND(C718&lt;=mu+zvalue*SQRT(E718),C718&gt;=mu-zvalue*SQRT(E718)),1,0)</f>
        <v>1</v>
      </c>
    </row>
    <row r="719" spans="1:7" x14ac:dyDescent="0.2">
      <c r="A719" s="2">
        <v>19930106</v>
      </c>
      <c r="B719" s="13">
        <v>3305.16</v>
      </c>
      <c r="C719" s="2">
        <f t="shared" ref="C719:C782" si="57">(B719-B718)/B718</f>
        <v>-8.1925831426266343E-4</v>
      </c>
      <c r="D719" s="21">
        <f t="shared" ca="1" si="55"/>
        <v>-1.2032107293695306E-3</v>
      </c>
      <c r="E719" s="21">
        <f t="shared" ref="E719:E782" ca="1" si="58">(1-alpha-beta)*longvar+alpha*D718^2+beta*E718</f>
        <v>3.6857429594705644E-5</v>
      </c>
      <c r="F719" s="11">
        <f t="shared" ref="F719:F782" ca="1" si="59">(-0.5)*(LN(E719)+D719^2/E719)</f>
        <v>5.0845872650585875</v>
      </c>
      <c r="G719" s="10">
        <f t="shared" ca="1" si="56"/>
        <v>1</v>
      </c>
    </row>
    <row r="720" spans="1:7" x14ac:dyDescent="0.2">
      <c r="A720" s="2">
        <v>19930107</v>
      </c>
      <c r="B720" s="13">
        <v>3268.96</v>
      </c>
      <c r="C720" s="2">
        <f t="shared" si="57"/>
        <v>-1.0952571131200855E-2</v>
      </c>
      <c r="D720" s="21">
        <f t="shared" ca="1" si="55"/>
        <v>-1.1336523546307722E-2</v>
      </c>
      <c r="E720" s="21">
        <f t="shared" ca="1" si="58"/>
        <v>3.5955038251666493E-5</v>
      </c>
      <c r="F720" s="11">
        <f t="shared" ca="1" si="59"/>
        <v>3.3294334988295029</v>
      </c>
      <c r="G720" s="10">
        <f t="shared" ca="1" si="56"/>
        <v>0</v>
      </c>
    </row>
    <row r="721" spans="1:7" x14ac:dyDescent="0.2">
      <c r="A721" s="2">
        <v>19930108</v>
      </c>
      <c r="B721" s="13">
        <v>3251.67</v>
      </c>
      <c r="C721" s="2">
        <f t="shared" si="57"/>
        <v>-5.2891439479222637E-3</v>
      </c>
      <c r="D721" s="21">
        <f t="shared" ca="1" si="55"/>
        <v>-5.6730963630291309E-3</v>
      </c>
      <c r="E721" s="21">
        <f t="shared" ca="1" si="58"/>
        <v>3.97708500229238E-5</v>
      </c>
      <c r="F721" s="11">
        <f t="shared" ca="1" si="59"/>
        <v>4.661569926962196</v>
      </c>
      <c r="G721" s="10">
        <f t="shared" ca="1" si="56"/>
        <v>1</v>
      </c>
    </row>
    <row r="722" spans="1:7" x14ac:dyDescent="0.2">
      <c r="A722" s="2">
        <v>19930111</v>
      </c>
      <c r="B722" s="13">
        <v>3262.75</v>
      </c>
      <c r="C722" s="2">
        <f t="shared" si="57"/>
        <v>3.4074798488161243E-3</v>
      </c>
      <c r="D722" s="21">
        <f t="shared" ca="1" si="55"/>
        <v>3.0235274337092571E-3</v>
      </c>
      <c r="E722" s="21">
        <f t="shared" ca="1" si="58"/>
        <v>3.9851295430270432E-5</v>
      </c>
      <c r="F722" s="11">
        <f t="shared" ca="1" si="59"/>
        <v>4.9504799435484896</v>
      </c>
      <c r="G722" s="10">
        <f t="shared" ca="1" si="56"/>
        <v>1</v>
      </c>
    </row>
    <row r="723" spans="1:7" x14ac:dyDescent="0.2">
      <c r="A723" s="2">
        <v>19930112</v>
      </c>
      <c r="B723" s="13">
        <v>3264.64</v>
      </c>
      <c r="C723" s="2">
        <f t="shared" si="57"/>
        <v>5.7926595663163668E-4</v>
      </c>
      <c r="D723" s="21">
        <f t="shared" ca="1" si="55"/>
        <v>1.9531354152476938E-4</v>
      </c>
      <c r="E723" s="21">
        <f t="shared" ca="1" si="58"/>
        <v>3.9080365319523098E-5</v>
      </c>
      <c r="F723" s="11">
        <f t="shared" ca="1" si="59"/>
        <v>5.0744571281798958</v>
      </c>
      <c r="G723" s="10">
        <f t="shared" ca="1" si="56"/>
        <v>1</v>
      </c>
    </row>
    <row r="724" spans="1:7" x14ac:dyDescent="0.2">
      <c r="A724" s="2">
        <v>19930113</v>
      </c>
      <c r="B724" s="13">
        <v>3263.56</v>
      </c>
      <c r="C724" s="2">
        <f t="shared" si="57"/>
        <v>-3.3081748676727825E-4</v>
      </c>
      <c r="D724" s="21">
        <f t="shared" ca="1" si="55"/>
        <v>-7.1476990187414554E-4</v>
      </c>
      <c r="E724" s="21">
        <f t="shared" ca="1" si="58"/>
        <v>3.8013682624703809E-5</v>
      </c>
      <c r="F724" s="11">
        <f t="shared" ca="1" si="59"/>
        <v>5.082062300659258</v>
      </c>
      <c r="G724" s="10">
        <f t="shared" ca="1" si="56"/>
        <v>1</v>
      </c>
    </row>
    <row r="725" spans="1:7" x14ac:dyDescent="0.2">
      <c r="A725" s="2">
        <v>19930114</v>
      </c>
      <c r="B725" s="13">
        <v>3267.88</v>
      </c>
      <c r="C725" s="2">
        <f t="shared" si="57"/>
        <v>1.3237078527743211E-3</v>
      </c>
      <c r="D725" s="21">
        <f t="shared" ca="1" si="55"/>
        <v>9.3975543766745384E-4</v>
      </c>
      <c r="E725" s="21">
        <f t="shared" ca="1" si="58"/>
        <v>3.7018347551317211E-5</v>
      </c>
      <c r="F725" s="11">
        <f t="shared" ca="1" si="59"/>
        <v>5.0901200311463235</v>
      </c>
      <c r="G725" s="10">
        <f t="shared" ca="1" si="56"/>
        <v>1</v>
      </c>
    </row>
    <row r="726" spans="1:7" x14ac:dyDescent="0.2">
      <c r="A726" s="2">
        <v>19930115</v>
      </c>
      <c r="B726" s="13">
        <v>3271.12</v>
      </c>
      <c r="C726" s="2">
        <f t="shared" si="57"/>
        <v>9.9146847497453444E-4</v>
      </c>
      <c r="D726" s="21">
        <f t="shared" ca="1" si="55"/>
        <v>6.0751605986766714E-4</v>
      </c>
      <c r="E726" s="21">
        <f t="shared" ca="1" si="58"/>
        <v>3.6087054878785458E-5</v>
      </c>
      <c r="F726" s="11">
        <f t="shared" ca="1" si="59"/>
        <v>5.109674487381854</v>
      </c>
      <c r="G726" s="10">
        <f t="shared" ca="1" si="56"/>
        <v>1</v>
      </c>
    </row>
    <row r="727" spans="1:7" x14ac:dyDescent="0.2">
      <c r="A727" s="2">
        <v>19930118</v>
      </c>
      <c r="B727" s="13">
        <v>3274.91</v>
      </c>
      <c r="C727" s="2">
        <f t="shared" si="57"/>
        <v>1.1586245689549645E-3</v>
      </c>
      <c r="D727" s="21">
        <f t="shared" ca="1" si="55"/>
        <v>7.7467215384809725E-4</v>
      </c>
      <c r="E727" s="21">
        <f t="shared" ca="1" si="58"/>
        <v>3.5183973559230925E-5</v>
      </c>
      <c r="F727" s="11">
        <f t="shared" ca="1" si="59"/>
        <v>5.118931666496171</v>
      </c>
      <c r="G727" s="10">
        <f t="shared" ca="1" si="56"/>
        <v>1</v>
      </c>
    </row>
    <row r="728" spans="1:7" x14ac:dyDescent="0.2">
      <c r="A728" s="2">
        <v>19930119</v>
      </c>
      <c r="B728" s="13">
        <v>3255.99</v>
      </c>
      <c r="C728" s="2">
        <f t="shared" si="57"/>
        <v>-5.7772580009832555E-3</v>
      </c>
      <c r="D728" s="21">
        <f t="shared" ca="1" si="55"/>
        <v>-6.1612104160901227E-3</v>
      </c>
      <c r="E728" s="21">
        <f t="shared" ca="1" si="58"/>
        <v>3.4335075208690942E-5</v>
      </c>
      <c r="F728" s="11">
        <f t="shared" ca="1" si="59"/>
        <v>4.5868765919785268</v>
      </c>
      <c r="G728" s="10">
        <f t="shared" ca="1" si="56"/>
        <v>0</v>
      </c>
    </row>
    <row r="729" spans="1:7" x14ac:dyDescent="0.2">
      <c r="A729" s="2">
        <v>19930120</v>
      </c>
      <c r="B729" s="13">
        <v>3241.95</v>
      </c>
      <c r="C729" s="2">
        <f t="shared" si="57"/>
        <v>-4.3120525554439558E-3</v>
      </c>
      <c r="D729" s="21">
        <f t="shared" ca="1" si="55"/>
        <v>-4.696004970550823E-3</v>
      </c>
      <c r="E729" s="21">
        <f t="shared" ca="1" si="58"/>
        <v>3.4902929930232752E-5</v>
      </c>
      <c r="F729" s="11">
        <f t="shared" ca="1" si="59"/>
        <v>4.8155585507057026</v>
      </c>
      <c r="G729" s="10">
        <f t="shared" ca="1" si="56"/>
        <v>1</v>
      </c>
    </row>
    <row r="730" spans="1:7" x14ac:dyDescent="0.2">
      <c r="A730" s="2">
        <v>19930121</v>
      </c>
      <c r="B730" s="13">
        <v>3253.02</v>
      </c>
      <c r="C730" s="2">
        <f t="shared" si="57"/>
        <v>3.4146115763661268E-3</v>
      </c>
      <c r="D730" s="21">
        <f t="shared" ca="1" si="55"/>
        <v>3.0306591612592596E-3</v>
      </c>
      <c r="E730" s="21">
        <f t="shared" ca="1" si="58"/>
        <v>3.4857089878994148E-5</v>
      </c>
      <c r="F730" s="11">
        <f t="shared" ca="1" si="59"/>
        <v>5.0003762582125857</v>
      </c>
      <c r="G730" s="10">
        <f t="shared" ca="1" si="56"/>
        <v>1</v>
      </c>
    </row>
    <row r="731" spans="1:7" x14ac:dyDescent="0.2">
      <c r="A731" s="2">
        <v>19930122</v>
      </c>
      <c r="B731" s="13">
        <v>3256.81</v>
      </c>
      <c r="C731" s="2">
        <f t="shared" si="57"/>
        <v>1.1650712261221769E-3</v>
      </c>
      <c r="D731" s="21">
        <f t="shared" ca="1" si="55"/>
        <v>7.8111881101530962E-4</v>
      </c>
      <c r="E731" s="21">
        <f t="shared" ca="1" si="58"/>
        <v>3.434040595816729E-5</v>
      </c>
      <c r="F731" s="11">
        <f t="shared" ca="1" si="59"/>
        <v>5.1307101404177207</v>
      </c>
      <c r="G731" s="10">
        <f t="shared" ca="1" si="56"/>
        <v>1</v>
      </c>
    </row>
    <row r="732" spans="1:7" x14ac:dyDescent="0.2">
      <c r="A732" s="2">
        <v>19930125</v>
      </c>
      <c r="B732" s="13">
        <v>3292.2</v>
      </c>
      <c r="C732" s="2">
        <f t="shared" si="57"/>
        <v>1.0866461353287381E-2</v>
      </c>
      <c r="D732" s="21">
        <f t="shared" ca="1" si="55"/>
        <v>1.0482508938180514E-2</v>
      </c>
      <c r="E732" s="21">
        <f t="shared" ca="1" si="58"/>
        <v>3.3534552778100374E-5</v>
      </c>
      <c r="F732" s="11">
        <f t="shared" ca="1" si="59"/>
        <v>3.5131122731837818</v>
      </c>
      <c r="G732" s="10">
        <f t="shared" ca="1" si="56"/>
        <v>0</v>
      </c>
    </row>
    <row r="733" spans="1:7" x14ac:dyDescent="0.2">
      <c r="A733" s="2">
        <v>19930126</v>
      </c>
      <c r="B733" s="13">
        <v>3298.95</v>
      </c>
      <c r="C733" s="2">
        <f t="shared" si="57"/>
        <v>2.0503007107709132E-3</v>
      </c>
      <c r="D733" s="21">
        <f t="shared" ca="1" si="55"/>
        <v>1.666348295664046E-3</v>
      </c>
      <c r="E733" s="21">
        <f t="shared" ca="1" si="58"/>
        <v>3.6787621357023517E-5</v>
      </c>
      <c r="F733" s="11">
        <f t="shared" ca="1" si="59"/>
        <v>5.0674347497008041</v>
      </c>
      <c r="G733" s="10">
        <f t="shared" ca="1" si="56"/>
        <v>1</v>
      </c>
    </row>
    <row r="734" spans="1:7" x14ac:dyDescent="0.2">
      <c r="A734" s="2">
        <v>19930127</v>
      </c>
      <c r="B734" s="13">
        <v>3291.39</v>
      </c>
      <c r="C734" s="2">
        <f t="shared" si="57"/>
        <v>-2.2916382485336081E-3</v>
      </c>
      <c r="D734" s="21">
        <f t="shared" ca="1" si="55"/>
        <v>-2.6755906636404753E-3</v>
      </c>
      <c r="E734" s="21">
        <f t="shared" ca="1" si="58"/>
        <v>3.5937631307655619E-5</v>
      </c>
      <c r="F734" s="11">
        <f t="shared" ca="1" si="59"/>
        <v>5.0172626642215157</v>
      </c>
      <c r="G734" s="10">
        <f t="shared" ca="1" si="56"/>
        <v>1</v>
      </c>
    </row>
    <row r="735" spans="1:7" x14ac:dyDescent="0.2">
      <c r="A735" s="2">
        <v>19930128</v>
      </c>
      <c r="B735" s="13">
        <v>3306.25</v>
      </c>
      <c r="C735" s="2">
        <f t="shared" si="57"/>
        <v>4.5148098523724407E-3</v>
      </c>
      <c r="D735" s="21">
        <f t="shared" ca="1" si="55"/>
        <v>4.1308574372655735E-3</v>
      </c>
      <c r="E735" s="21">
        <f t="shared" ca="1" si="58"/>
        <v>3.5291778854246002E-5</v>
      </c>
      <c r="F735" s="11">
        <f t="shared" ca="1" si="59"/>
        <v>4.8841744757261187</v>
      </c>
      <c r="G735" s="10">
        <f t="shared" ca="1" si="56"/>
        <v>1</v>
      </c>
    </row>
    <row r="736" spans="1:7" x14ac:dyDescent="0.2">
      <c r="A736" s="2">
        <v>19930129</v>
      </c>
      <c r="B736" s="13">
        <v>3310.03</v>
      </c>
      <c r="C736" s="2">
        <f t="shared" si="57"/>
        <v>1.1432892249528016E-3</v>
      </c>
      <c r="D736" s="21">
        <f t="shared" ca="1" si="55"/>
        <v>7.5933680984593434E-4</v>
      </c>
      <c r="E736" s="21">
        <f t="shared" ca="1" si="58"/>
        <v>3.5042831705968535E-5</v>
      </c>
      <c r="F736" s="11">
        <f t="shared" ca="1" si="59"/>
        <v>5.1212427745204945</v>
      </c>
      <c r="G736" s="10">
        <f t="shared" ca="1" si="56"/>
        <v>1</v>
      </c>
    </row>
    <row r="737" spans="1:7" x14ac:dyDescent="0.2">
      <c r="A737" s="2">
        <v>19930201</v>
      </c>
      <c r="B737" s="13">
        <v>3332.18</v>
      </c>
      <c r="C737" s="2">
        <f t="shared" si="57"/>
        <v>6.691782249707596E-3</v>
      </c>
      <c r="D737" s="21">
        <f t="shared" ca="1" si="55"/>
        <v>6.3078298346007288E-3</v>
      </c>
      <c r="E737" s="21">
        <f t="shared" ca="1" si="58"/>
        <v>3.4200208729289838E-5</v>
      </c>
      <c r="F737" s="11">
        <f t="shared" ca="1" si="59"/>
        <v>4.559936563467013</v>
      </c>
      <c r="G737" s="10">
        <f t="shared" ca="1" si="56"/>
        <v>0</v>
      </c>
    </row>
    <row r="738" spans="1:7" x14ac:dyDescent="0.2">
      <c r="A738" s="2">
        <v>19930202</v>
      </c>
      <c r="B738" s="13">
        <v>3328.67</v>
      </c>
      <c r="C738" s="2">
        <f t="shared" si="57"/>
        <v>-1.0533644641045094E-3</v>
      </c>
      <c r="D738" s="21">
        <f t="shared" ca="1" si="55"/>
        <v>-1.4373168792113766E-3</v>
      </c>
      <c r="E738" s="21">
        <f t="shared" ca="1" si="58"/>
        <v>3.4842112622716216E-5</v>
      </c>
      <c r="F738" s="11">
        <f t="shared" ca="1" si="59"/>
        <v>5.1026955797549611</v>
      </c>
      <c r="G738" s="10">
        <f t="shared" ca="1" si="56"/>
        <v>1</v>
      </c>
    </row>
    <row r="739" spans="1:7" x14ac:dyDescent="0.2">
      <c r="A739" s="2">
        <v>19930203</v>
      </c>
      <c r="B739" s="13">
        <v>3373.79</v>
      </c>
      <c r="C739" s="2">
        <f t="shared" si="57"/>
        <v>1.3554963393787877E-2</v>
      </c>
      <c r="D739" s="21">
        <f t="shared" ca="1" si="55"/>
        <v>1.317101097868101E-2</v>
      </c>
      <c r="E739" s="21">
        <f t="shared" ca="1" si="58"/>
        <v>3.406440778936581E-5</v>
      </c>
      <c r="F739" s="11">
        <f t="shared" ca="1" si="59"/>
        <v>2.5973415519118301</v>
      </c>
      <c r="G739" s="10">
        <f t="shared" ca="1" si="56"/>
        <v>0</v>
      </c>
    </row>
    <row r="740" spans="1:7" x14ac:dyDescent="0.2">
      <c r="A740" s="2">
        <v>19930204</v>
      </c>
      <c r="B740" s="13">
        <v>3416.74</v>
      </c>
      <c r="C740" s="2">
        <f t="shared" si="57"/>
        <v>1.2730490042355873E-2</v>
      </c>
      <c r="D740" s="21">
        <f t="shared" ca="1" si="55"/>
        <v>1.2346537627249006E-2</v>
      </c>
      <c r="E740" s="21">
        <f t="shared" ca="1" si="58"/>
        <v>3.9629079433734617E-5</v>
      </c>
      <c r="F740" s="11">
        <f t="shared" ca="1" si="59"/>
        <v>3.1446765360285225</v>
      </c>
      <c r="G740" s="10">
        <f t="shared" ca="1" si="56"/>
        <v>0</v>
      </c>
    </row>
    <row r="741" spans="1:7" x14ac:dyDescent="0.2">
      <c r="A741" s="2">
        <v>19930205</v>
      </c>
      <c r="B741" s="13">
        <v>3442.14</v>
      </c>
      <c r="C741" s="2">
        <f t="shared" si="57"/>
        <v>7.4339867827227391E-3</v>
      </c>
      <c r="D741" s="21">
        <f t="shared" ca="1" si="55"/>
        <v>7.0500343676158719E-3</v>
      </c>
      <c r="E741" s="21">
        <f t="shared" ca="1" si="58"/>
        <v>4.413860870069677E-5</v>
      </c>
      <c r="F741" s="11">
        <f t="shared" ca="1" si="59"/>
        <v>4.4510548610994043</v>
      </c>
      <c r="G741" s="10">
        <f t="shared" ca="1" si="56"/>
        <v>0</v>
      </c>
    </row>
    <row r="742" spans="1:7" x14ac:dyDescent="0.2">
      <c r="A742" s="2">
        <v>19930208</v>
      </c>
      <c r="B742" s="13">
        <v>3437.54</v>
      </c>
      <c r="C742" s="2">
        <f t="shared" si="57"/>
        <v>-1.3363779509258512E-3</v>
      </c>
      <c r="D742" s="21">
        <f t="shared" ca="1" si="55"/>
        <v>-1.7203303660327184E-3</v>
      </c>
      <c r="E742" s="21">
        <f t="shared" ca="1" si="58"/>
        <v>4.4642290588898136E-5</v>
      </c>
      <c r="F742" s="11">
        <f t="shared" ca="1" si="59"/>
        <v>4.9752672341361173</v>
      </c>
      <c r="G742" s="10">
        <f t="shared" ca="1" si="56"/>
        <v>1</v>
      </c>
    </row>
    <row r="743" spans="1:7" x14ac:dyDescent="0.2">
      <c r="A743" s="2">
        <v>19930209</v>
      </c>
      <c r="B743" s="13">
        <v>3414.58</v>
      </c>
      <c r="C743" s="2">
        <f t="shared" si="57"/>
        <v>-6.679195005730853E-3</v>
      </c>
      <c r="D743" s="21">
        <f t="shared" ca="1" si="55"/>
        <v>-7.0631474208377202E-3</v>
      </c>
      <c r="E743" s="21">
        <f t="shared" ca="1" si="58"/>
        <v>4.3401652844712677E-5</v>
      </c>
      <c r="F743" s="11">
        <f t="shared" ca="1" si="59"/>
        <v>4.4477812676622754</v>
      </c>
      <c r="G743" s="10">
        <f t="shared" ca="1" si="56"/>
        <v>0</v>
      </c>
    </row>
    <row r="744" spans="1:7" x14ac:dyDescent="0.2">
      <c r="A744" s="2">
        <v>19930210</v>
      </c>
      <c r="B744" s="13">
        <v>3412.42</v>
      </c>
      <c r="C744" s="2">
        <f t="shared" si="57"/>
        <v>-6.3258145950595814E-4</v>
      </c>
      <c r="D744" s="21">
        <f t="shared" ca="1" si="55"/>
        <v>-1.0165338746128253E-3</v>
      </c>
      <c r="E744" s="21">
        <f t="shared" ca="1" si="58"/>
        <v>4.3949422805514241E-5</v>
      </c>
      <c r="F744" s="11">
        <f t="shared" ca="1" si="59"/>
        <v>5.0044795074058923</v>
      </c>
      <c r="G744" s="10">
        <f t="shared" ca="1" si="56"/>
        <v>1</v>
      </c>
    </row>
    <row r="745" spans="1:7" x14ac:dyDescent="0.2">
      <c r="A745" s="2">
        <v>19930211</v>
      </c>
      <c r="B745" s="13">
        <v>3422.69</v>
      </c>
      <c r="C745" s="2">
        <f t="shared" si="57"/>
        <v>3.0095943641169558E-3</v>
      </c>
      <c r="D745" s="21">
        <f t="shared" ca="1" si="55"/>
        <v>2.6256419490100886E-3</v>
      </c>
      <c r="E745" s="21">
        <f t="shared" ca="1" si="58"/>
        <v>4.2673007900700218E-5</v>
      </c>
      <c r="F745" s="11">
        <f t="shared" ca="1" si="59"/>
        <v>4.9501949793783959</v>
      </c>
      <c r="G745" s="10">
        <f t="shared" ca="1" si="56"/>
        <v>1</v>
      </c>
    </row>
    <row r="746" spans="1:7" x14ac:dyDescent="0.2">
      <c r="A746" s="2">
        <v>19930212</v>
      </c>
      <c r="B746" s="13">
        <v>3392.43</v>
      </c>
      <c r="C746" s="2">
        <f t="shared" si="57"/>
        <v>-8.8409993309356734E-3</v>
      </c>
      <c r="D746" s="21">
        <f t="shared" ca="1" si="55"/>
        <v>-9.2249517460425406E-3</v>
      </c>
      <c r="E746" s="21">
        <f t="shared" ca="1" si="58"/>
        <v>4.1676673746104309E-5</v>
      </c>
      <c r="F746" s="11">
        <f t="shared" ca="1" si="59"/>
        <v>4.021832869381976</v>
      </c>
      <c r="G746" s="10">
        <f t="shared" ca="1" si="56"/>
        <v>0</v>
      </c>
    </row>
    <row r="747" spans="1:7" x14ac:dyDescent="0.2">
      <c r="A747" s="2">
        <v>19930216</v>
      </c>
      <c r="B747" s="13">
        <v>3309.49</v>
      </c>
      <c r="C747" s="2">
        <f t="shared" si="57"/>
        <v>-2.4448551628183945E-2</v>
      </c>
      <c r="D747" s="21">
        <f t="shared" ca="1" si="55"/>
        <v>-2.4832504043290814E-2</v>
      </c>
      <c r="E747" s="21">
        <f t="shared" ca="1" si="58"/>
        <v>4.360650604104004E-5</v>
      </c>
      <c r="F747" s="11">
        <f t="shared" ca="1" si="59"/>
        <v>-2.0505044733977194</v>
      </c>
      <c r="G747" s="10">
        <f t="shared" ca="1" si="56"/>
        <v>0</v>
      </c>
    </row>
    <row r="748" spans="1:7" x14ac:dyDescent="0.2">
      <c r="A748" s="2">
        <v>19930217</v>
      </c>
      <c r="B748" s="13">
        <v>3312.19</v>
      </c>
      <c r="C748" s="2">
        <f t="shared" si="57"/>
        <v>8.1583567256594608E-4</v>
      </c>
      <c r="D748" s="21">
        <f t="shared" ca="1" si="55"/>
        <v>4.3188325745907878E-4</v>
      </c>
      <c r="E748" s="21">
        <f t="shared" ca="1" si="58"/>
        <v>6.4984858618776095E-5</v>
      </c>
      <c r="F748" s="11">
        <f t="shared" ca="1" si="59"/>
        <v>4.8192430020138639</v>
      </c>
      <c r="G748" s="10">
        <f t="shared" ca="1" si="56"/>
        <v>1</v>
      </c>
    </row>
    <row r="749" spans="1:7" x14ac:dyDescent="0.2">
      <c r="A749" s="2">
        <v>19930218</v>
      </c>
      <c r="B749" s="13">
        <v>3302.19</v>
      </c>
      <c r="C749" s="2">
        <f t="shared" si="57"/>
        <v>-3.0191504714403459E-3</v>
      </c>
      <c r="D749" s="21">
        <f t="shared" ca="1" si="55"/>
        <v>-3.4031028865472131E-3</v>
      </c>
      <c r="E749" s="21">
        <f t="shared" ca="1" si="58"/>
        <v>6.261311511460454E-5</v>
      </c>
      <c r="F749" s="11">
        <f t="shared" ca="1" si="59"/>
        <v>4.746786400420306</v>
      </c>
      <c r="G749" s="10">
        <f t="shared" ca="1" si="56"/>
        <v>1</v>
      </c>
    </row>
    <row r="750" spans="1:7" x14ac:dyDescent="0.2">
      <c r="A750" s="2">
        <v>19930219</v>
      </c>
      <c r="B750" s="13">
        <v>3322.18</v>
      </c>
      <c r="C750" s="2">
        <f t="shared" si="57"/>
        <v>6.0535583960946463E-3</v>
      </c>
      <c r="D750" s="21">
        <f t="shared" ca="1" si="55"/>
        <v>5.6696059809877792E-3</v>
      </c>
      <c r="E750" s="21">
        <f t="shared" ca="1" si="58"/>
        <v>6.0780357721927151E-5</v>
      </c>
      <c r="F750" s="11">
        <f t="shared" ca="1" si="59"/>
        <v>4.5896908566516705</v>
      </c>
      <c r="G750" s="10">
        <f t="shared" ca="1" si="56"/>
        <v>1</v>
      </c>
    </row>
    <row r="751" spans="1:7" x14ac:dyDescent="0.2">
      <c r="A751" s="2">
        <v>19930222</v>
      </c>
      <c r="B751" s="13">
        <v>3342.99</v>
      </c>
      <c r="C751" s="2">
        <f t="shared" si="57"/>
        <v>6.2639592075083069E-3</v>
      </c>
      <c r="D751" s="21">
        <f t="shared" ca="1" si="55"/>
        <v>5.8800067924014397E-3</v>
      </c>
      <c r="E751" s="21">
        <f t="shared" ca="1" si="58"/>
        <v>5.9796469410269093E-5</v>
      </c>
      <c r="F751" s="11">
        <f t="shared" ca="1" si="59"/>
        <v>4.5731806209015593</v>
      </c>
      <c r="G751" s="10">
        <f t="shared" ca="1" si="56"/>
        <v>1</v>
      </c>
    </row>
    <row r="752" spans="1:7" x14ac:dyDescent="0.2">
      <c r="A752" s="2">
        <v>19930223</v>
      </c>
      <c r="B752" s="13">
        <v>3323.27</v>
      </c>
      <c r="C752" s="2">
        <f t="shared" si="57"/>
        <v>-5.8989108552522746E-3</v>
      </c>
      <c r="D752" s="21">
        <f t="shared" ca="1" si="55"/>
        <v>-6.2828632703591418E-3</v>
      </c>
      <c r="E752" s="21">
        <f t="shared" ca="1" si="58"/>
        <v>5.8951713436482592E-5</v>
      </c>
      <c r="F752" s="11">
        <f t="shared" ca="1" si="59"/>
        <v>4.5345933581137041</v>
      </c>
      <c r="G752" s="10">
        <f t="shared" ca="1" si="56"/>
        <v>1</v>
      </c>
    </row>
    <row r="753" spans="1:7" x14ac:dyDescent="0.2">
      <c r="A753" s="2">
        <v>19930224</v>
      </c>
      <c r="B753" s="13">
        <v>3356.5</v>
      </c>
      <c r="C753" s="2">
        <f t="shared" si="57"/>
        <v>9.9991875472050171E-3</v>
      </c>
      <c r="D753" s="21">
        <f t="shared" ca="1" si="55"/>
        <v>9.6152351320981499E-3</v>
      </c>
      <c r="E753" s="21">
        <f t="shared" ca="1" si="58"/>
        <v>5.8329871492896867E-5</v>
      </c>
      <c r="F753" s="11">
        <f t="shared" ca="1" si="59"/>
        <v>4.0821989645240278</v>
      </c>
      <c r="G753" s="10">
        <f t="shared" ca="1" si="56"/>
        <v>0</v>
      </c>
    </row>
    <row r="754" spans="1:7" x14ac:dyDescent="0.2">
      <c r="A754" s="2">
        <v>19930225</v>
      </c>
      <c r="B754" s="13">
        <v>3365.14</v>
      </c>
      <c r="C754" s="2">
        <f t="shared" si="57"/>
        <v>2.5741099359451432E-3</v>
      </c>
      <c r="D754" s="21">
        <f t="shared" ca="1" si="55"/>
        <v>2.190157520838276E-3</v>
      </c>
      <c r="E754" s="21">
        <f t="shared" ca="1" si="58"/>
        <v>5.9687596117843056E-5</v>
      </c>
      <c r="F754" s="11">
        <f t="shared" ca="1" si="59"/>
        <v>4.8230106956472492</v>
      </c>
      <c r="G754" s="10">
        <f t="shared" ca="1" si="56"/>
        <v>1</v>
      </c>
    </row>
    <row r="755" spans="1:7" x14ac:dyDescent="0.2">
      <c r="A755" s="2">
        <v>19930226</v>
      </c>
      <c r="B755" s="13">
        <v>3370.81</v>
      </c>
      <c r="C755" s="2">
        <f t="shared" si="57"/>
        <v>1.6849224697932546E-3</v>
      </c>
      <c r="D755" s="21">
        <f t="shared" ca="1" si="55"/>
        <v>1.3009700546863872E-3</v>
      </c>
      <c r="E755" s="21">
        <f t="shared" ca="1" si="58"/>
        <v>5.7753370428434143E-5</v>
      </c>
      <c r="F755" s="11">
        <f t="shared" ca="1" si="59"/>
        <v>4.8650113996116104</v>
      </c>
      <c r="G755" s="10">
        <f t="shared" ca="1" si="56"/>
        <v>1</v>
      </c>
    </row>
    <row r="756" spans="1:7" x14ac:dyDescent="0.2">
      <c r="A756" s="2">
        <v>19930301</v>
      </c>
      <c r="B756" s="13">
        <v>3355.41</v>
      </c>
      <c r="C756" s="2">
        <f t="shared" si="57"/>
        <v>-4.5686348385106518E-3</v>
      </c>
      <c r="D756" s="21">
        <f t="shared" ca="1" si="55"/>
        <v>-4.952587253617519E-3</v>
      </c>
      <c r="E756" s="21">
        <f t="shared" ca="1" si="58"/>
        <v>5.5802848540043797E-5</v>
      </c>
      <c r="F756" s="11">
        <f t="shared" ca="1" si="59"/>
        <v>4.6770680136670153</v>
      </c>
      <c r="G756" s="10">
        <f t="shared" ca="1" si="56"/>
        <v>1</v>
      </c>
    </row>
    <row r="757" spans="1:7" x14ac:dyDescent="0.2">
      <c r="A757" s="2">
        <v>19930302</v>
      </c>
      <c r="B757" s="13">
        <v>3400.53</v>
      </c>
      <c r="C757" s="2">
        <f t="shared" si="57"/>
        <v>1.3446940910350851E-2</v>
      </c>
      <c r="D757" s="21">
        <f t="shared" ca="1" si="55"/>
        <v>1.3062988495243984E-2</v>
      </c>
      <c r="E757" s="21">
        <f t="shared" ca="1" si="58"/>
        <v>5.4790708985440766E-5</v>
      </c>
      <c r="F757" s="11">
        <f t="shared" ca="1" si="59"/>
        <v>3.3487814154717483</v>
      </c>
      <c r="G757" s="10">
        <f t="shared" ca="1" si="56"/>
        <v>0</v>
      </c>
    </row>
    <row r="758" spans="1:7" x14ac:dyDescent="0.2">
      <c r="A758" s="2">
        <v>19930303</v>
      </c>
      <c r="B758" s="13">
        <v>3404.04</v>
      </c>
      <c r="C758" s="2">
        <f t="shared" si="57"/>
        <v>1.0321920406524169E-3</v>
      </c>
      <c r="D758" s="21">
        <f t="shared" ca="1" si="55"/>
        <v>6.482396255455496E-4</v>
      </c>
      <c r="E758" s="21">
        <f t="shared" ca="1" si="58"/>
        <v>5.9202624182395935E-5</v>
      </c>
      <c r="F758" s="11">
        <f t="shared" ca="1" si="59"/>
        <v>4.8637233922418384</v>
      </c>
      <c r="G758" s="10">
        <f t="shared" ca="1" si="56"/>
        <v>1</v>
      </c>
    </row>
    <row r="759" spans="1:7" x14ac:dyDescent="0.2">
      <c r="A759" s="2">
        <v>19930304</v>
      </c>
      <c r="B759" s="13">
        <v>3398.91</v>
      </c>
      <c r="C759" s="2">
        <f t="shared" si="57"/>
        <v>-1.5070328198258862E-3</v>
      </c>
      <c r="D759" s="21">
        <f t="shared" ca="1" si="55"/>
        <v>-1.8909852349327533E-3</v>
      </c>
      <c r="E759" s="21">
        <f t="shared" ca="1" si="58"/>
        <v>5.7131999065413703E-5</v>
      </c>
      <c r="F759" s="11">
        <f t="shared" ca="1" si="59"/>
        <v>4.8537786805712297</v>
      </c>
      <c r="G759" s="10">
        <f t="shared" ca="1" si="56"/>
        <v>1</v>
      </c>
    </row>
    <row r="760" spans="1:7" x14ac:dyDescent="0.2">
      <c r="A760" s="2">
        <v>19930305</v>
      </c>
      <c r="B760" s="13">
        <v>3404.58</v>
      </c>
      <c r="C760" s="2">
        <f t="shared" si="57"/>
        <v>1.6681818583016534E-3</v>
      </c>
      <c r="D760" s="21">
        <f t="shared" ca="1" si="55"/>
        <v>1.284229443194786E-3</v>
      </c>
      <c r="E760" s="21">
        <f t="shared" ca="1" si="58"/>
        <v>5.5282164864525728E-5</v>
      </c>
      <c r="F760" s="11">
        <f t="shared" ca="1" si="59"/>
        <v>4.8866134962349301</v>
      </c>
      <c r="G760" s="10">
        <f t="shared" ca="1" si="56"/>
        <v>1</v>
      </c>
    </row>
    <row r="761" spans="1:7" x14ac:dyDescent="0.2">
      <c r="A761" s="2">
        <v>19930308</v>
      </c>
      <c r="B761" s="13">
        <v>3469.42</v>
      </c>
      <c r="C761" s="2">
        <f t="shared" si="57"/>
        <v>1.9044933589458947E-2</v>
      </c>
      <c r="D761" s="21">
        <f t="shared" ca="1" si="55"/>
        <v>1.8660981174352078E-2</v>
      </c>
      <c r="E761" s="21">
        <f t="shared" ca="1" si="58"/>
        <v>5.3455070678271201E-5</v>
      </c>
      <c r="F761" s="11">
        <f t="shared" ca="1" si="59"/>
        <v>1.6610923814502803</v>
      </c>
      <c r="G761" s="10">
        <f t="shared" ca="1" si="56"/>
        <v>0</v>
      </c>
    </row>
    <row r="762" spans="1:7" x14ac:dyDescent="0.2">
      <c r="A762" s="2">
        <v>19930309</v>
      </c>
      <c r="B762" s="13">
        <v>3472.12</v>
      </c>
      <c r="C762" s="2">
        <f t="shared" si="57"/>
        <v>7.7822806117443786E-4</v>
      </c>
      <c r="D762" s="21">
        <f t="shared" ca="1" si="55"/>
        <v>3.9427564606757057E-4</v>
      </c>
      <c r="E762" s="21">
        <f t="shared" ca="1" si="58"/>
        <v>6.4464870860548223E-5</v>
      </c>
      <c r="F762" s="11">
        <f t="shared" ca="1" si="59"/>
        <v>4.8234893392696296</v>
      </c>
      <c r="G762" s="10">
        <f t="shared" ca="1" si="56"/>
        <v>1</v>
      </c>
    </row>
    <row r="763" spans="1:7" x14ac:dyDescent="0.2">
      <c r="A763" s="2">
        <v>19930310</v>
      </c>
      <c r="B763" s="13">
        <v>3478.34</v>
      </c>
      <c r="C763" s="2">
        <f t="shared" si="57"/>
        <v>1.7914127391911153E-3</v>
      </c>
      <c r="D763" s="21">
        <f t="shared" ca="1" si="55"/>
        <v>1.4074603240842479E-3</v>
      </c>
      <c r="E763" s="21">
        <f t="shared" ca="1" si="58"/>
        <v>6.2118291215167178E-5</v>
      </c>
      <c r="F763" s="11">
        <f t="shared" ca="1" si="59"/>
        <v>4.8272900962579355</v>
      </c>
      <c r="G763" s="10">
        <f t="shared" ca="1" si="56"/>
        <v>1</v>
      </c>
    </row>
    <row r="764" spans="1:7" x14ac:dyDescent="0.2">
      <c r="A764" s="2">
        <v>19930311</v>
      </c>
      <c r="B764" s="13">
        <v>3457</v>
      </c>
      <c r="C764" s="2">
        <f t="shared" si="57"/>
        <v>-6.1351104262378445E-3</v>
      </c>
      <c r="D764" s="21">
        <f t="shared" ca="1" si="55"/>
        <v>-6.5190628413447117E-3</v>
      </c>
      <c r="E764" s="21">
        <f t="shared" ca="1" si="58"/>
        <v>5.9957552308405589E-5</v>
      </c>
      <c r="F764" s="11">
        <f t="shared" ca="1" si="59"/>
        <v>4.506534625132133</v>
      </c>
      <c r="G764" s="10">
        <f t="shared" ca="1" si="56"/>
        <v>1</v>
      </c>
    </row>
    <row r="765" spans="1:7" x14ac:dyDescent="0.2">
      <c r="A765" s="2">
        <v>19930312</v>
      </c>
      <c r="B765" s="13">
        <v>3427.82</v>
      </c>
      <c r="C765" s="2">
        <f t="shared" si="57"/>
        <v>-8.4408446630025568E-3</v>
      </c>
      <c r="D765" s="21">
        <f t="shared" ca="1" si="55"/>
        <v>-8.824797078109424E-3</v>
      </c>
      <c r="E765" s="21">
        <f t="shared" ca="1" si="58"/>
        <v>5.939601539849016E-5</v>
      </c>
      <c r="F765" s="11">
        <f t="shared" ca="1" si="59"/>
        <v>4.2100670619081777</v>
      </c>
      <c r="G765" s="10">
        <f t="shared" ca="1" si="56"/>
        <v>0</v>
      </c>
    </row>
    <row r="766" spans="1:7" x14ac:dyDescent="0.2">
      <c r="A766" s="2">
        <v>19930315</v>
      </c>
      <c r="B766" s="13">
        <v>3442.41</v>
      </c>
      <c r="C766" s="2">
        <f t="shared" si="57"/>
        <v>4.2563495166022987E-3</v>
      </c>
      <c r="D766" s="21">
        <f t="shared" ca="1" si="55"/>
        <v>3.8723971014954315E-3</v>
      </c>
      <c r="E766" s="21">
        <f t="shared" ca="1" si="58"/>
        <v>6.0163829396574152E-5</v>
      </c>
      <c r="F766" s="11">
        <f t="shared" ca="1" si="59"/>
        <v>4.7345977312727543</v>
      </c>
      <c r="G766" s="10">
        <f t="shared" ca="1" si="56"/>
        <v>1</v>
      </c>
    </row>
    <row r="767" spans="1:7" x14ac:dyDescent="0.2">
      <c r="A767" s="2">
        <v>19930316</v>
      </c>
      <c r="B767" s="13">
        <v>3442.95</v>
      </c>
      <c r="C767" s="2">
        <f t="shared" si="57"/>
        <v>1.5686684619204674E-4</v>
      </c>
      <c r="D767" s="21">
        <f t="shared" ca="1" si="55"/>
        <v>-2.2708556891482055E-4</v>
      </c>
      <c r="E767" s="21">
        <f t="shared" ca="1" si="58"/>
        <v>5.8580533787981438E-5</v>
      </c>
      <c r="F767" s="11">
        <f t="shared" ca="1" si="59"/>
        <v>4.8721139072643282</v>
      </c>
      <c r="G767" s="10">
        <f t="shared" ca="1" si="56"/>
        <v>1</v>
      </c>
    </row>
    <row r="768" spans="1:7" x14ac:dyDescent="0.2">
      <c r="A768" s="2">
        <v>19930317</v>
      </c>
      <c r="B768" s="13">
        <v>3426.74</v>
      </c>
      <c r="C768" s="2">
        <f t="shared" si="57"/>
        <v>-4.7081717713007851E-3</v>
      </c>
      <c r="D768" s="21">
        <f t="shared" ca="1" si="55"/>
        <v>-5.0921241864076523E-3</v>
      </c>
      <c r="E768" s="21">
        <f t="shared" ca="1" si="58"/>
        <v>5.6527824643973031E-5</v>
      </c>
      <c r="F768" s="11">
        <f t="shared" ca="1" si="59"/>
        <v>4.6610351089691928</v>
      </c>
      <c r="G768" s="10">
        <f t="shared" ca="1" si="56"/>
        <v>1</v>
      </c>
    </row>
    <row r="769" spans="1:7" x14ac:dyDescent="0.2">
      <c r="A769" s="2">
        <v>19930318</v>
      </c>
      <c r="B769" s="13">
        <v>3465.64</v>
      </c>
      <c r="C769" s="2">
        <f t="shared" si="57"/>
        <v>1.1351897138388117E-2</v>
      </c>
      <c r="D769" s="21">
        <f t="shared" ca="1" si="55"/>
        <v>1.0967944723281249E-2</v>
      </c>
      <c r="E769" s="21">
        <f t="shared" ca="1" si="58"/>
        <v>5.5530547891274442E-5</v>
      </c>
      <c r="F769" s="11">
        <f t="shared" ca="1" si="59"/>
        <v>3.8161387681427077</v>
      </c>
      <c r="G769" s="10">
        <f t="shared" ca="1" si="56"/>
        <v>0</v>
      </c>
    </row>
    <row r="770" spans="1:7" x14ac:dyDescent="0.2">
      <c r="A770" s="2">
        <v>19930319</v>
      </c>
      <c r="B770" s="13">
        <v>3471.58</v>
      </c>
      <c r="C770" s="2">
        <f t="shared" si="57"/>
        <v>1.7139691370136698E-3</v>
      </c>
      <c r="D770" s="21">
        <f t="shared" ca="1" si="55"/>
        <v>1.3300167219068024E-3</v>
      </c>
      <c r="E770" s="21">
        <f t="shared" ca="1" si="58"/>
        <v>5.8053729327214224E-5</v>
      </c>
      <c r="F770" s="11">
        <f t="shared" ca="1" si="59"/>
        <v>4.8618353964662848</v>
      </c>
      <c r="G770" s="10">
        <f t="shared" ca="1" si="56"/>
        <v>1</v>
      </c>
    </row>
    <row r="771" spans="1:7" x14ac:dyDescent="0.2">
      <c r="A771" s="2">
        <v>19930322</v>
      </c>
      <c r="B771" s="13">
        <v>3463.48</v>
      </c>
      <c r="C771" s="2">
        <f t="shared" si="57"/>
        <v>-2.3332315545082959E-3</v>
      </c>
      <c r="D771" s="21">
        <f t="shared" ca="1" si="55"/>
        <v>-2.7171839696151631E-3</v>
      </c>
      <c r="E771" s="21">
        <f t="shared" ca="1" si="58"/>
        <v>5.6090822331453461E-5</v>
      </c>
      <c r="F771" s="11">
        <f t="shared" ca="1" si="59"/>
        <v>4.828455480222428</v>
      </c>
      <c r="G771" s="10">
        <f t="shared" ca="1" si="56"/>
        <v>1</v>
      </c>
    </row>
    <row r="772" spans="1:7" x14ac:dyDescent="0.2">
      <c r="A772" s="2">
        <v>19930323</v>
      </c>
      <c r="B772" s="13">
        <v>3461.86</v>
      </c>
      <c r="C772" s="2">
        <f t="shared" si="57"/>
        <v>-4.6773765114852428E-4</v>
      </c>
      <c r="D772" s="21">
        <f t="shared" ca="1" si="55"/>
        <v>-8.5169006625539158E-4</v>
      </c>
      <c r="E772" s="21">
        <f t="shared" ca="1" si="58"/>
        <v>5.4433661333342024E-5</v>
      </c>
      <c r="F772" s="11">
        <f t="shared" ca="1" si="59"/>
        <v>4.9026009747937564</v>
      </c>
      <c r="G772" s="10">
        <f t="shared" ca="1" si="56"/>
        <v>1</v>
      </c>
    </row>
    <row r="773" spans="1:7" x14ac:dyDescent="0.2">
      <c r="A773" s="2">
        <v>19930324</v>
      </c>
      <c r="B773" s="13">
        <v>3445.38</v>
      </c>
      <c r="C773" s="2">
        <f t="shared" si="57"/>
        <v>-4.7604466962846616E-3</v>
      </c>
      <c r="D773" s="21">
        <f t="shared" ca="1" si="55"/>
        <v>-5.1443991113915288E-3</v>
      </c>
      <c r="E773" s="21">
        <f t="shared" ca="1" si="58"/>
        <v>5.2615520933059327E-5</v>
      </c>
      <c r="F773" s="11">
        <f t="shared" ca="1" si="59"/>
        <v>4.6747569714186783</v>
      </c>
      <c r="G773" s="10">
        <f t="shared" ca="1" si="56"/>
        <v>1</v>
      </c>
    </row>
    <row r="774" spans="1:7" x14ac:dyDescent="0.2">
      <c r="A774" s="2">
        <v>19930325</v>
      </c>
      <c r="B774" s="13">
        <v>3461.32</v>
      </c>
      <c r="C774" s="2">
        <f t="shared" si="57"/>
        <v>4.6264853223737454E-3</v>
      </c>
      <c r="D774" s="21">
        <f t="shared" ca="1" si="55"/>
        <v>4.2425329072668782E-3</v>
      </c>
      <c r="E774" s="21">
        <f t="shared" ca="1" si="58"/>
        <v>5.1835845970546017E-5</v>
      </c>
      <c r="F774" s="11">
        <f t="shared" ca="1" si="59"/>
        <v>4.7600981178619115</v>
      </c>
      <c r="G774" s="10">
        <f t="shared" ca="1" si="56"/>
        <v>1</v>
      </c>
    </row>
    <row r="775" spans="1:7" x14ac:dyDescent="0.2">
      <c r="A775" s="2">
        <v>19930326</v>
      </c>
      <c r="B775" s="13">
        <v>3439.98</v>
      </c>
      <c r="C775" s="2">
        <f t="shared" si="57"/>
        <v>-6.1652779864329633E-3</v>
      </c>
      <c r="D775" s="21">
        <f t="shared" ca="1" si="55"/>
        <v>-6.5492304015398305E-3</v>
      </c>
      <c r="E775" s="21">
        <f t="shared" ca="1" si="58"/>
        <v>5.0784314363870127E-5</v>
      </c>
      <c r="F775" s="11">
        <f t="shared" ca="1" si="59"/>
        <v>4.5216616402881344</v>
      </c>
      <c r="G775" s="10">
        <f t="shared" ca="1" si="56"/>
        <v>1</v>
      </c>
    </row>
    <row r="776" spans="1:7" x14ac:dyDescent="0.2">
      <c r="A776" s="2">
        <v>19930329</v>
      </c>
      <c r="B776" s="13">
        <v>3455.1</v>
      </c>
      <c r="C776" s="2">
        <f t="shared" si="57"/>
        <v>4.3953743917115482E-3</v>
      </c>
      <c r="D776" s="21">
        <f t="shared" ca="1" si="55"/>
        <v>4.0114219766046811E-3</v>
      </c>
      <c r="E776" s="21">
        <f t="shared" ca="1" si="58"/>
        <v>5.070135142084002E-5</v>
      </c>
      <c r="F776" s="11">
        <f t="shared" ca="1" si="59"/>
        <v>4.7860898703735826</v>
      </c>
      <c r="G776" s="10">
        <f t="shared" ca="1" si="56"/>
        <v>1</v>
      </c>
    </row>
    <row r="777" spans="1:7" x14ac:dyDescent="0.2">
      <c r="A777" s="2">
        <v>19930330</v>
      </c>
      <c r="B777" s="13">
        <v>3457.27</v>
      </c>
      <c r="C777" s="2">
        <f t="shared" si="57"/>
        <v>6.2805707504850008E-4</v>
      </c>
      <c r="D777" s="21">
        <f t="shared" ca="1" si="55"/>
        <v>2.4410465994163279E-4</v>
      </c>
      <c r="E777" s="21">
        <f t="shared" ca="1" si="58"/>
        <v>4.9637069249264417E-5</v>
      </c>
      <c r="F777" s="11">
        <f t="shared" ca="1" si="59"/>
        <v>4.954786092065488</v>
      </c>
      <c r="G777" s="10">
        <f t="shared" ca="1" si="56"/>
        <v>1</v>
      </c>
    </row>
    <row r="778" spans="1:7" x14ac:dyDescent="0.2">
      <c r="A778" s="2">
        <v>19930331</v>
      </c>
      <c r="B778" s="13">
        <v>3435.11</v>
      </c>
      <c r="C778" s="2">
        <f t="shared" si="57"/>
        <v>-6.4096816274111816E-3</v>
      </c>
      <c r="D778" s="21">
        <f t="shared" ca="1" si="55"/>
        <v>-6.7936340425180488E-3</v>
      </c>
      <c r="E778" s="21">
        <f t="shared" ca="1" si="58"/>
        <v>4.8037107802099998E-5</v>
      </c>
      <c r="F778" s="11">
        <f t="shared" ca="1" si="59"/>
        <v>4.4913745209368683</v>
      </c>
      <c r="G778" s="10">
        <f t="shared" ca="1" si="56"/>
        <v>1</v>
      </c>
    </row>
    <row r="779" spans="1:7" x14ac:dyDescent="0.2">
      <c r="A779" s="2">
        <v>19930401</v>
      </c>
      <c r="B779" s="13">
        <v>3439.44</v>
      </c>
      <c r="C779" s="2">
        <f t="shared" si="57"/>
        <v>1.2605127637833802E-3</v>
      </c>
      <c r="D779" s="21">
        <f t="shared" ca="1" si="55"/>
        <v>8.7656034867651287E-4</v>
      </c>
      <c r="E779" s="21">
        <f t="shared" ca="1" si="58"/>
        <v>4.8213041249349138E-5</v>
      </c>
      <c r="F779" s="11">
        <f t="shared" ca="1" si="59"/>
        <v>4.961972140907573</v>
      </c>
      <c r="G779" s="10">
        <f t="shared" ca="1" si="56"/>
        <v>1</v>
      </c>
    </row>
    <row r="780" spans="1:7" x14ac:dyDescent="0.2">
      <c r="A780" s="2">
        <v>19930402</v>
      </c>
      <c r="B780" s="13">
        <v>3370.81</v>
      </c>
      <c r="C780" s="2">
        <f t="shared" si="57"/>
        <v>-1.9953829693205902E-2</v>
      </c>
      <c r="D780" s="21">
        <f t="shared" ca="1" si="55"/>
        <v>-2.0337782108312771E-2</v>
      </c>
      <c r="E780" s="21">
        <f t="shared" ca="1" si="58"/>
        <v>4.6711184593323741E-5</v>
      </c>
      <c r="F780" s="11">
        <f t="shared" ca="1" si="59"/>
        <v>0.55828656621273876</v>
      </c>
      <c r="G780" s="10">
        <f t="shared" ca="1" si="56"/>
        <v>0</v>
      </c>
    </row>
    <row r="781" spans="1:7" x14ac:dyDescent="0.2">
      <c r="A781" s="2">
        <v>19930405</v>
      </c>
      <c r="B781" s="13">
        <v>3379.19</v>
      </c>
      <c r="C781" s="2">
        <f t="shared" si="57"/>
        <v>2.4860493471895802E-3</v>
      </c>
      <c r="D781" s="21">
        <f t="shared" ca="1" si="55"/>
        <v>2.102096932082713E-3</v>
      </c>
      <c r="E781" s="21">
        <f t="shared" ca="1" si="58"/>
        <v>6.0466780965018884E-5</v>
      </c>
      <c r="F781" s="11">
        <f t="shared" ca="1" si="59"/>
        <v>4.8201690431963229</v>
      </c>
      <c r="G781" s="10">
        <f t="shared" ca="1" si="56"/>
        <v>1</v>
      </c>
    </row>
    <row r="782" spans="1:7" x14ac:dyDescent="0.2">
      <c r="A782" s="2">
        <v>19930406</v>
      </c>
      <c r="B782" s="13">
        <v>3377.57</v>
      </c>
      <c r="C782" s="2">
        <f t="shared" si="57"/>
        <v>-4.7940482778414083E-4</v>
      </c>
      <c r="D782" s="21">
        <f t="shared" ref="D782:D845" ca="1" si="60">(C782-mu)</f>
        <v>-8.6335724289100812E-4</v>
      </c>
      <c r="E782" s="21">
        <f t="shared" ca="1" si="58"/>
        <v>5.8479237129904024E-5</v>
      </c>
      <c r="F782" s="11">
        <f t="shared" ca="1" si="59"/>
        <v>4.8670463136566813</v>
      </c>
      <c r="G782" s="10">
        <f t="shared" ref="G782:G845" ca="1" si="61">IF(AND(C782&lt;=mu+zvalue*SQRT(E782),C782&gt;=mu-zvalue*SQRT(E782)),1,0)</f>
        <v>1</v>
      </c>
    </row>
    <row r="783" spans="1:7" x14ac:dyDescent="0.2">
      <c r="A783" s="2">
        <v>19930407</v>
      </c>
      <c r="B783" s="13">
        <v>3397.02</v>
      </c>
      <c r="C783" s="2">
        <f t="shared" ref="C783:C846" si="62">(B783-B782)/B782</f>
        <v>5.7585779125228541E-3</v>
      </c>
      <c r="D783" s="21">
        <f t="shared" ca="1" si="60"/>
        <v>5.3746254974159869E-3</v>
      </c>
      <c r="E783" s="21">
        <f t="shared" ref="E783:E846" ca="1" si="63">(1-alpha-beta)*longvar+alpha*D782^2+beta*E782</f>
        <v>5.6457165511818923E-5</v>
      </c>
      <c r="F783" s="11">
        <f t="shared" ref="F783:F846" ca="1" si="64">(-0.5)*(LN(E783)+D783^2/E783)</f>
        <v>4.6351865971603008</v>
      </c>
      <c r="G783" s="10">
        <f t="shared" ca="1" si="61"/>
        <v>1</v>
      </c>
    </row>
    <row r="784" spans="1:7" x14ac:dyDescent="0.2">
      <c r="A784" s="2">
        <v>19930408</v>
      </c>
      <c r="B784" s="13">
        <v>3396.48</v>
      </c>
      <c r="C784" s="2">
        <f t="shared" si="62"/>
        <v>-1.5896285567937887E-4</v>
      </c>
      <c r="D784" s="21">
        <f t="shared" ca="1" si="60"/>
        <v>-5.4291527078624622E-4</v>
      </c>
      <c r="E784" s="21">
        <f t="shared" ca="1" si="63"/>
        <v>5.5572192719283846E-5</v>
      </c>
      <c r="F784" s="11">
        <f t="shared" ca="1" si="64"/>
        <v>4.8962617876575125</v>
      </c>
      <c r="G784" s="10">
        <f t="shared" ca="1" si="61"/>
        <v>1</v>
      </c>
    </row>
    <row r="785" spans="1:7" x14ac:dyDescent="0.2">
      <c r="A785" s="2">
        <v>19930412</v>
      </c>
      <c r="B785" s="13">
        <v>3428.09</v>
      </c>
      <c r="C785" s="2">
        <f t="shared" si="62"/>
        <v>9.3066939890710763E-3</v>
      </c>
      <c r="D785" s="21">
        <f t="shared" ca="1" si="60"/>
        <v>8.9227415739642092E-3</v>
      </c>
      <c r="E785" s="21">
        <f t="shared" ca="1" si="63"/>
        <v>5.3680619029617402E-5</v>
      </c>
      <c r="F785" s="11">
        <f t="shared" ca="1" si="64"/>
        <v>4.1746644465790421</v>
      </c>
      <c r="G785" s="10">
        <f t="shared" ca="1" si="61"/>
        <v>0</v>
      </c>
    </row>
    <row r="786" spans="1:7" x14ac:dyDescent="0.2">
      <c r="A786" s="2">
        <v>19930413</v>
      </c>
      <c r="B786" s="13">
        <v>3444.03</v>
      </c>
      <c r="C786" s="2">
        <f t="shared" si="62"/>
        <v>4.6498195788325439E-3</v>
      </c>
      <c r="D786" s="21">
        <f t="shared" ca="1" si="60"/>
        <v>4.2658671637256767E-3</v>
      </c>
      <c r="E786" s="21">
        <f t="shared" ca="1" si="63"/>
        <v>5.4801496171889131E-5</v>
      </c>
      <c r="F786" s="11">
        <f t="shared" ca="1" si="64"/>
        <v>4.7398643609769868</v>
      </c>
      <c r="G786" s="10">
        <f t="shared" ca="1" si="61"/>
        <v>1</v>
      </c>
    </row>
    <row r="787" spans="1:7" x14ac:dyDescent="0.2">
      <c r="A787" s="2">
        <v>19930414</v>
      </c>
      <c r="B787" s="13">
        <v>3455.64</v>
      </c>
      <c r="C787" s="2">
        <f t="shared" si="62"/>
        <v>3.3710507748189395E-3</v>
      </c>
      <c r="D787" s="21">
        <f t="shared" ca="1" si="60"/>
        <v>2.9870983597120723E-3</v>
      </c>
      <c r="E787" s="21">
        <f t="shared" ca="1" si="63"/>
        <v>5.360723190415082E-5</v>
      </c>
      <c r="F787" s="11">
        <f t="shared" ca="1" si="64"/>
        <v>4.8336898466320593</v>
      </c>
      <c r="G787" s="10">
        <f t="shared" ca="1" si="61"/>
        <v>1</v>
      </c>
    </row>
    <row r="788" spans="1:7" x14ac:dyDescent="0.2">
      <c r="A788" s="2">
        <v>19930415</v>
      </c>
      <c r="B788" s="13">
        <v>3455.92</v>
      </c>
      <c r="C788" s="2">
        <f t="shared" si="62"/>
        <v>8.1026958826787546E-5</v>
      </c>
      <c r="D788" s="21">
        <f t="shared" ca="1" si="60"/>
        <v>-3.0292545628007975E-4</v>
      </c>
      <c r="E788" s="21">
        <f t="shared" ca="1" si="63"/>
        <v>5.2132332840009936E-5</v>
      </c>
      <c r="F788" s="11">
        <f t="shared" ca="1" si="64"/>
        <v>4.9299825000833168</v>
      </c>
      <c r="G788" s="10">
        <f t="shared" ca="1" si="61"/>
        <v>1</v>
      </c>
    </row>
    <row r="789" spans="1:7" x14ac:dyDescent="0.2">
      <c r="A789" s="2">
        <v>19930416</v>
      </c>
      <c r="B789" s="13">
        <v>3478.61</v>
      </c>
      <c r="C789" s="2">
        <f t="shared" si="62"/>
        <v>6.5655454987384124E-3</v>
      </c>
      <c r="D789" s="21">
        <f t="shared" ca="1" si="60"/>
        <v>6.1815930836315452E-3</v>
      </c>
      <c r="E789" s="21">
        <f t="shared" ca="1" si="63"/>
        <v>5.0407318381359925E-5</v>
      </c>
      <c r="F789" s="11">
        <f t="shared" ca="1" si="64"/>
        <v>4.5686539068913161</v>
      </c>
      <c r="G789" s="10">
        <f t="shared" ca="1" si="61"/>
        <v>1</v>
      </c>
    </row>
    <row r="790" spans="1:7" x14ac:dyDescent="0.2">
      <c r="A790" s="2">
        <v>19930419</v>
      </c>
      <c r="B790" s="13">
        <v>3466.99</v>
      </c>
      <c r="C790" s="2">
        <f t="shared" si="62"/>
        <v>-3.3404147058739972E-3</v>
      </c>
      <c r="D790" s="21">
        <f t="shared" ca="1" si="60"/>
        <v>-3.7243671209808643E-3</v>
      </c>
      <c r="E790" s="21">
        <f t="shared" ca="1" si="63"/>
        <v>5.0171324037449879E-5</v>
      </c>
      <c r="F790" s="11">
        <f t="shared" ca="1" si="64"/>
        <v>4.8117980209657274</v>
      </c>
      <c r="G790" s="10">
        <f t="shared" ca="1" si="61"/>
        <v>1</v>
      </c>
    </row>
    <row r="791" spans="1:7" x14ac:dyDescent="0.2">
      <c r="A791" s="2">
        <v>19930420</v>
      </c>
      <c r="B791" s="13">
        <v>3443.49</v>
      </c>
      <c r="C791" s="2">
        <f t="shared" si="62"/>
        <v>-6.7782139550445781E-3</v>
      </c>
      <c r="D791" s="21">
        <f t="shared" ca="1" si="60"/>
        <v>-7.1621663701514453E-3</v>
      </c>
      <c r="E791" s="21">
        <f t="shared" ca="1" si="63"/>
        <v>4.9052200940059328E-5</v>
      </c>
      <c r="F791" s="11">
        <f t="shared" ca="1" si="64"/>
        <v>4.4384348153503455</v>
      </c>
      <c r="G791" s="10">
        <f t="shared" ca="1" si="61"/>
        <v>0</v>
      </c>
    </row>
    <row r="792" spans="1:7" x14ac:dyDescent="0.2">
      <c r="A792" s="2">
        <v>19930421</v>
      </c>
      <c r="B792" s="13">
        <v>3439.44</v>
      </c>
      <c r="C792" s="2">
        <f t="shared" si="62"/>
        <v>-1.1761323540941681E-3</v>
      </c>
      <c r="D792" s="21">
        <f t="shared" ca="1" si="60"/>
        <v>-1.5600847692010355E-3</v>
      </c>
      <c r="E792" s="21">
        <f t="shared" ca="1" si="63"/>
        <v>4.9365903597373092E-5</v>
      </c>
      <c r="F792" s="11">
        <f t="shared" ca="1" si="64"/>
        <v>4.9334740208174948</v>
      </c>
      <c r="G792" s="10">
        <f t="shared" ca="1" si="61"/>
        <v>1</v>
      </c>
    </row>
    <row r="793" spans="1:7" x14ac:dyDescent="0.2">
      <c r="A793" s="2">
        <v>19930422</v>
      </c>
      <c r="B793" s="13">
        <v>3429.17</v>
      </c>
      <c r="C793" s="2">
        <f t="shared" si="62"/>
        <v>-2.9859512013583555E-3</v>
      </c>
      <c r="D793" s="21">
        <f t="shared" ca="1" si="60"/>
        <v>-3.3699036164652227E-3</v>
      </c>
      <c r="E793" s="21">
        <f t="shared" ca="1" si="63"/>
        <v>4.7866966835497864E-5</v>
      </c>
      <c r="F793" s="11">
        <f t="shared" ca="1" si="64"/>
        <v>4.8549194180772774</v>
      </c>
      <c r="G793" s="10">
        <f t="shared" ca="1" si="61"/>
        <v>1</v>
      </c>
    </row>
    <row r="794" spans="1:7" x14ac:dyDescent="0.2">
      <c r="A794" s="2">
        <v>19930423</v>
      </c>
      <c r="B794" s="13">
        <v>3413.77</v>
      </c>
      <c r="C794" s="2">
        <f t="shared" si="62"/>
        <v>-4.4908826334069439E-3</v>
      </c>
      <c r="D794" s="21">
        <f t="shared" ca="1" si="60"/>
        <v>-4.8748350485138111E-3</v>
      </c>
      <c r="E794" s="21">
        <f t="shared" ca="1" si="63"/>
        <v>4.677195348629694E-5</v>
      </c>
      <c r="F794" s="11">
        <f t="shared" ca="1" si="64"/>
        <v>4.7310720987228079</v>
      </c>
      <c r="G794" s="10">
        <f t="shared" ca="1" si="61"/>
        <v>1</v>
      </c>
    </row>
    <row r="795" spans="1:7" x14ac:dyDescent="0.2">
      <c r="A795" s="2">
        <v>19930426</v>
      </c>
      <c r="B795" s="13">
        <v>3398.37</v>
      </c>
      <c r="C795" s="2">
        <f t="shared" si="62"/>
        <v>-4.5111416410596175E-3</v>
      </c>
      <c r="D795" s="21">
        <f t="shared" ca="1" si="60"/>
        <v>-4.8950940561664847E-3</v>
      </c>
      <c r="E795" s="21">
        <f t="shared" ca="1" si="63"/>
        <v>4.6188592456800964E-5</v>
      </c>
      <c r="F795" s="11">
        <f t="shared" ca="1" si="64"/>
        <v>4.731996387206058</v>
      </c>
      <c r="G795" s="10">
        <f t="shared" ca="1" si="61"/>
        <v>1</v>
      </c>
    </row>
    <row r="796" spans="1:7" x14ac:dyDescent="0.2">
      <c r="A796" s="2">
        <v>19930427</v>
      </c>
      <c r="B796" s="13">
        <v>3415.93</v>
      </c>
      <c r="C796" s="2">
        <f t="shared" si="62"/>
        <v>5.1671830907170039E-3</v>
      </c>
      <c r="D796" s="21">
        <f t="shared" ca="1" si="60"/>
        <v>4.7832306756101367E-3</v>
      </c>
      <c r="E796" s="21">
        <f t="shared" ca="1" si="63"/>
        <v>4.5642022051309273E-5</v>
      </c>
      <c r="F796" s="11">
        <f t="shared" ca="1" si="64"/>
        <v>4.7467023668926291</v>
      </c>
      <c r="G796" s="10">
        <f t="shared" ca="1" si="61"/>
        <v>1</v>
      </c>
    </row>
    <row r="797" spans="1:7" x14ac:dyDescent="0.2">
      <c r="A797" s="2">
        <v>19930428</v>
      </c>
      <c r="B797" s="13">
        <v>3413.5</v>
      </c>
      <c r="C797" s="2">
        <f t="shared" si="62"/>
        <v>-7.1137289113062517E-4</v>
      </c>
      <c r="D797" s="21">
        <f t="shared" ca="1" si="60"/>
        <v>-1.0953253062374925E-3</v>
      </c>
      <c r="E797" s="21">
        <f t="shared" ca="1" si="63"/>
        <v>4.5083291887230771E-5</v>
      </c>
      <c r="F797" s="11">
        <f t="shared" ca="1" si="64"/>
        <v>4.9901936352479934</v>
      </c>
      <c r="G797" s="10">
        <f t="shared" ca="1" si="61"/>
        <v>1</v>
      </c>
    </row>
    <row r="798" spans="1:7" x14ac:dyDescent="0.2">
      <c r="A798" s="2">
        <v>19930429</v>
      </c>
      <c r="B798" s="13">
        <v>3425.12</v>
      </c>
      <c r="C798" s="2">
        <f t="shared" si="62"/>
        <v>3.4041306576826982E-3</v>
      </c>
      <c r="D798" s="21">
        <f t="shared" ca="1" si="60"/>
        <v>3.020178242575831E-3</v>
      </c>
      <c r="E798" s="21">
        <f t="shared" ca="1" si="63"/>
        <v>4.375563285869739E-5</v>
      </c>
      <c r="F798" s="11">
        <f t="shared" ca="1" si="64"/>
        <v>4.9142130741291448</v>
      </c>
      <c r="G798" s="10">
        <f t="shared" ca="1" si="61"/>
        <v>1</v>
      </c>
    </row>
    <row r="799" spans="1:7" x14ac:dyDescent="0.2">
      <c r="A799" s="2">
        <v>19930430</v>
      </c>
      <c r="B799" s="13">
        <v>3427.55</v>
      </c>
      <c r="C799" s="2">
        <f t="shared" si="62"/>
        <v>7.0946419395533328E-4</v>
      </c>
      <c r="D799" s="21">
        <f t="shared" ca="1" si="60"/>
        <v>3.2551177884846598E-4</v>
      </c>
      <c r="E799" s="21">
        <f t="shared" ca="1" si="63"/>
        <v>4.2786436715653095E-5</v>
      </c>
      <c r="F799" s="11">
        <f t="shared" ca="1" si="64"/>
        <v>5.0284064838460711</v>
      </c>
      <c r="G799" s="10">
        <f t="shared" ca="1" si="61"/>
        <v>1</v>
      </c>
    </row>
    <row r="800" spans="1:7" x14ac:dyDescent="0.2">
      <c r="A800" s="2">
        <v>19930503</v>
      </c>
      <c r="B800" s="13">
        <v>3446.46</v>
      </c>
      <c r="C800" s="2">
        <f t="shared" si="62"/>
        <v>5.5170602908782814E-3</v>
      </c>
      <c r="D800" s="21">
        <f t="shared" ca="1" si="60"/>
        <v>5.1331078757714142E-3</v>
      </c>
      <c r="E800" s="21">
        <f t="shared" ca="1" si="63"/>
        <v>4.1534756160533791E-5</v>
      </c>
      <c r="F800" s="11">
        <f t="shared" ca="1" si="64"/>
        <v>4.7273002583243997</v>
      </c>
      <c r="G800" s="10">
        <f t="shared" ca="1" si="61"/>
        <v>1</v>
      </c>
    </row>
    <row r="801" spans="1:7" x14ac:dyDescent="0.2">
      <c r="A801" s="2">
        <v>19930504</v>
      </c>
      <c r="B801" s="13">
        <v>3446.19</v>
      </c>
      <c r="C801" s="2">
        <f t="shared" si="62"/>
        <v>-7.8341254504616859E-5</v>
      </c>
      <c r="D801" s="21">
        <f t="shared" ca="1" si="60"/>
        <v>-4.6229366961148417E-4</v>
      </c>
      <c r="E801" s="21">
        <f t="shared" ca="1" si="63"/>
        <v>4.1311393531404239E-5</v>
      </c>
      <c r="F801" s="11">
        <f t="shared" ca="1" si="64"/>
        <v>5.0445994714303781</v>
      </c>
      <c r="G801" s="10">
        <f t="shared" ca="1" si="61"/>
        <v>1</v>
      </c>
    </row>
    <row r="802" spans="1:7" x14ac:dyDescent="0.2">
      <c r="A802" s="2">
        <v>19930505</v>
      </c>
      <c r="B802" s="13">
        <v>3449.1</v>
      </c>
      <c r="C802" s="2">
        <f t="shared" si="62"/>
        <v>8.4441078408324969E-4</v>
      </c>
      <c r="D802" s="21">
        <f t="shared" ca="1" si="60"/>
        <v>4.6045836897638239E-4</v>
      </c>
      <c r="E802" s="21">
        <f t="shared" ca="1" si="63"/>
        <v>4.0138298328770868E-5</v>
      </c>
      <c r="F802" s="11">
        <f t="shared" ca="1" si="64"/>
        <v>5.0589486622186701</v>
      </c>
      <c r="G802" s="10">
        <f t="shared" ca="1" si="61"/>
        <v>1</v>
      </c>
    </row>
    <row r="803" spans="1:7" x14ac:dyDescent="0.2">
      <c r="A803" s="2">
        <v>19930506</v>
      </c>
      <c r="B803" s="13">
        <v>3441.9</v>
      </c>
      <c r="C803" s="2">
        <f t="shared" si="62"/>
        <v>-2.0875010872400969E-3</v>
      </c>
      <c r="D803" s="21">
        <f t="shared" ca="1" si="60"/>
        <v>-2.4714535023469641E-3</v>
      </c>
      <c r="E803" s="21">
        <f t="shared" ca="1" si="63"/>
        <v>3.90244881247375E-5</v>
      </c>
      <c r="F803" s="11">
        <f t="shared" ca="1" si="64"/>
        <v>4.9974009944814535</v>
      </c>
      <c r="G803" s="10">
        <f t="shared" ca="1" si="61"/>
        <v>1</v>
      </c>
    </row>
    <row r="804" spans="1:7" x14ac:dyDescent="0.2">
      <c r="A804" s="2">
        <v>19930507</v>
      </c>
      <c r="B804" s="13">
        <v>3437.19</v>
      </c>
      <c r="C804" s="2">
        <f t="shared" si="62"/>
        <v>-1.3684302274906408E-3</v>
      </c>
      <c r="D804" s="21">
        <f t="shared" ca="1" si="60"/>
        <v>-1.752382642597508E-3</v>
      </c>
      <c r="E804" s="21">
        <f t="shared" ca="1" si="63"/>
        <v>3.8183834385221137E-5</v>
      </c>
      <c r="F804" s="11">
        <f t="shared" ca="1" si="64"/>
        <v>5.0463378356875701</v>
      </c>
      <c r="G804" s="10">
        <f t="shared" ca="1" si="61"/>
        <v>1</v>
      </c>
    </row>
    <row r="805" spans="1:7" x14ac:dyDescent="0.2">
      <c r="A805" s="2">
        <v>19930510</v>
      </c>
      <c r="B805" s="13">
        <v>3443.28</v>
      </c>
      <c r="C805" s="2">
        <f t="shared" si="62"/>
        <v>1.7717961474344292E-3</v>
      </c>
      <c r="D805" s="21">
        <f t="shared" ca="1" si="60"/>
        <v>1.387843732327562E-3</v>
      </c>
      <c r="E805" s="21">
        <f t="shared" ca="1" si="63"/>
        <v>3.7274025069583964E-5</v>
      </c>
      <c r="F805" s="11">
        <f t="shared" ca="1" si="64"/>
        <v>5.0727697619891332</v>
      </c>
      <c r="G805" s="10">
        <f t="shared" ca="1" si="61"/>
        <v>1</v>
      </c>
    </row>
    <row r="806" spans="1:7" x14ac:dyDescent="0.2">
      <c r="A806" s="2">
        <v>19930511</v>
      </c>
      <c r="B806" s="13">
        <v>3468.75</v>
      </c>
      <c r="C806" s="2">
        <f t="shared" si="62"/>
        <v>7.3970167979367923E-3</v>
      </c>
      <c r="D806" s="21">
        <f t="shared" ca="1" si="60"/>
        <v>7.0130643828299252E-3</v>
      </c>
      <c r="E806" s="21">
        <f t="shared" ca="1" si="63"/>
        <v>3.63681494130866E-5</v>
      </c>
      <c r="F806" s="11">
        <f t="shared" ca="1" si="64"/>
        <v>4.4347252710701444</v>
      </c>
      <c r="G806" s="10">
        <f t="shared" ca="1" si="61"/>
        <v>0</v>
      </c>
    </row>
    <row r="807" spans="1:7" x14ac:dyDescent="0.2">
      <c r="A807" s="2">
        <v>19930512</v>
      </c>
      <c r="B807" s="13">
        <v>3482.31</v>
      </c>
      <c r="C807" s="2">
        <f t="shared" si="62"/>
        <v>3.9091891891891734E-3</v>
      </c>
      <c r="D807" s="21">
        <f t="shared" ca="1" si="60"/>
        <v>3.5252367740823062E-3</v>
      </c>
      <c r="E807" s="21">
        <f t="shared" ca="1" si="63"/>
        <v>3.7245823303043545E-5</v>
      </c>
      <c r="F807" s="11">
        <f t="shared" ca="1" si="64"/>
        <v>4.9321573473422129</v>
      </c>
      <c r="G807" s="10">
        <f t="shared" ca="1" si="61"/>
        <v>1</v>
      </c>
    </row>
    <row r="808" spans="1:7" x14ac:dyDescent="0.2">
      <c r="A808" s="2">
        <v>19930513</v>
      </c>
      <c r="B808" s="13">
        <v>3447.99</v>
      </c>
      <c r="C808" s="2">
        <f t="shared" si="62"/>
        <v>-9.8555269347071813E-3</v>
      </c>
      <c r="D808" s="21">
        <f t="shared" ca="1" si="60"/>
        <v>-1.0239479349814049E-2</v>
      </c>
      <c r="E808" s="21">
        <f t="shared" ca="1" si="63"/>
        <v>3.6727521257677974E-5</v>
      </c>
      <c r="F808" s="11">
        <f t="shared" ca="1" si="64"/>
        <v>3.678630079878161</v>
      </c>
      <c r="G808" s="10">
        <f t="shared" ca="1" si="61"/>
        <v>0</v>
      </c>
    </row>
    <row r="809" spans="1:7" x14ac:dyDescent="0.2">
      <c r="A809" s="2">
        <v>19930514</v>
      </c>
      <c r="B809" s="13">
        <v>3443.01</v>
      </c>
      <c r="C809" s="2">
        <f t="shared" si="62"/>
        <v>-1.4443197341058309E-3</v>
      </c>
      <c r="D809" s="21">
        <f t="shared" ca="1" si="60"/>
        <v>-1.8282721492126983E-3</v>
      </c>
      <c r="E809" s="21">
        <f t="shared" ca="1" si="63"/>
        <v>3.9633871927143454E-5</v>
      </c>
      <c r="F809" s="11">
        <f t="shared" ca="1" si="64"/>
        <v>5.025745014504059</v>
      </c>
      <c r="G809" s="10">
        <f t="shared" ca="1" si="61"/>
        <v>1</v>
      </c>
    </row>
    <row r="810" spans="1:7" x14ac:dyDescent="0.2">
      <c r="A810" s="2">
        <v>19930517</v>
      </c>
      <c r="B810" s="13">
        <v>3449.93</v>
      </c>
      <c r="C810" s="2">
        <f t="shared" si="62"/>
        <v>2.0098692713641894E-3</v>
      </c>
      <c r="D810" s="21">
        <f t="shared" ca="1" si="60"/>
        <v>1.6259168562573222E-3</v>
      </c>
      <c r="E810" s="21">
        <f t="shared" ca="1" si="63"/>
        <v>3.8660696873070425E-5</v>
      </c>
      <c r="F810" s="11">
        <f t="shared" ca="1" si="64"/>
        <v>5.0461536952438539</v>
      </c>
      <c r="G810" s="10">
        <f t="shared" ca="1" si="61"/>
        <v>1</v>
      </c>
    </row>
    <row r="811" spans="1:7" x14ac:dyDescent="0.2">
      <c r="A811" s="2">
        <v>19930518</v>
      </c>
      <c r="B811" s="13">
        <v>3444.39</v>
      </c>
      <c r="C811" s="2">
        <f t="shared" si="62"/>
        <v>-1.6058296835008141E-3</v>
      </c>
      <c r="D811" s="21">
        <f t="shared" ca="1" si="60"/>
        <v>-1.9897820986076813E-3</v>
      </c>
      <c r="E811" s="21">
        <f t="shared" ca="1" si="63"/>
        <v>3.7711052592022078E-5</v>
      </c>
      <c r="F811" s="11">
        <f t="shared" ca="1" si="64"/>
        <v>5.0402843381832838</v>
      </c>
      <c r="G811" s="10">
        <f t="shared" ca="1" si="61"/>
        <v>1</v>
      </c>
    </row>
    <row r="812" spans="1:7" x14ac:dyDescent="0.2">
      <c r="A812" s="2">
        <v>19930519</v>
      </c>
      <c r="B812" s="13">
        <v>3500.03</v>
      </c>
      <c r="C812" s="2">
        <f t="shared" si="62"/>
        <v>1.6153803721413756E-2</v>
      </c>
      <c r="D812" s="21">
        <f t="shared" ca="1" si="60"/>
        <v>1.5769851306306888E-2</v>
      </c>
      <c r="E812" s="21">
        <f t="shared" ca="1" si="63"/>
        <v>3.6857829036261972E-5</v>
      </c>
      <c r="F812" s="11">
        <f t="shared" ca="1" si="64"/>
        <v>1.7306067895041801</v>
      </c>
      <c r="G812" s="10">
        <f t="shared" ca="1" si="61"/>
        <v>0</v>
      </c>
    </row>
    <row r="813" spans="1:7" x14ac:dyDescent="0.2">
      <c r="A813" s="2">
        <v>19930520</v>
      </c>
      <c r="B813" s="13">
        <v>3523.28</v>
      </c>
      <c r="C813" s="2">
        <f t="shared" si="62"/>
        <v>6.6428002045696745E-3</v>
      </c>
      <c r="D813" s="21">
        <f t="shared" ca="1" si="60"/>
        <v>6.2588477894628073E-3</v>
      </c>
      <c r="E813" s="21">
        <f t="shared" ca="1" si="63"/>
        <v>4.5046882149282376E-5</v>
      </c>
      <c r="F813" s="11">
        <f t="shared" ca="1" si="64"/>
        <v>4.5690988756985922</v>
      </c>
      <c r="G813" s="10">
        <f t="shared" ca="1" si="61"/>
        <v>1</v>
      </c>
    </row>
    <row r="814" spans="1:7" x14ac:dyDescent="0.2">
      <c r="A814" s="2">
        <v>19930521</v>
      </c>
      <c r="B814" s="13">
        <v>3492.83</v>
      </c>
      <c r="C814" s="2">
        <f t="shared" si="62"/>
        <v>-8.642514929270529E-3</v>
      </c>
      <c r="D814" s="21">
        <f t="shared" ca="1" si="60"/>
        <v>-9.0264673443773962E-3</v>
      </c>
      <c r="E814" s="21">
        <f t="shared" ca="1" si="63"/>
        <v>4.5117414724653066E-5</v>
      </c>
      <c r="F814" s="11">
        <f t="shared" ca="1" si="64"/>
        <v>4.1001758520050897</v>
      </c>
      <c r="G814" s="10">
        <f t="shared" ca="1" si="61"/>
        <v>0</v>
      </c>
    </row>
    <row r="815" spans="1:7" x14ac:dyDescent="0.2">
      <c r="A815" s="2">
        <v>19930524</v>
      </c>
      <c r="B815" s="13">
        <v>3507.78</v>
      </c>
      <c r="C815" s="2">
        <f t="shared" si="62"/>
        <v>4.2801968604255789E-3</v>
      </c>
      <c r="D815" s="21">
        <f t="shared" ca="1" si="60"/>
        <v>3.8962444453187117E-3</v>
      </c>
      <c r="E815" s="21">
        <f t="shared" ca="1" si="63"/>
        <v>4.6739968664446914E-5</v>
      </c>
      <c r="F815" s="11">
        <f t="shared" ca="1" si="64"/>
        <v>4.8230599537547798</v>
      </c>
      <c r="G815" s="10">
        <f t="shared" ca="1" si="61"/>
        <v>1</v>
      </c>
    </row>
    <row r="816" spans="1:7" x14ac:dyDescent="0.2">
      <c r="A816" s="2">
        <v>19930525</v>
      </c>
      <c r="B816" s="13">
        <v>3516.63</v>
      </c>
      <c r="C816" s="2">
        <f t="shared" si="62"/>
        <v>2.5229632417084051E-3</v>
      </c>
      <c r="D816" s="21">
        <f t="shared" ca="1" si="60"/>
        <v>2.1390108266015379E-3</v>
      </c>
      <c r="E816" s="21">
        <f t="shared" ca="1" si="63"/>
        <v>4.5842602977870731E-5</v>
      </c>
      <c r="F816" s="11">
        <f t="shared" ca="1" si="64"/>
        <v>4.9452453463189086</v>
      </c>
      <c r="G816" s="10">
        <f t="shared" ca="1" si="61"/>
        <v>1</v>
      </c>
    </row>
    <row r="817" spans="1:7" x14ac:dyDescent="0.2">
      <c r="A817" s="2">
        <v>19930526</v>
      </c>
      <c r="B817" s="13">
        <v>3540.16</v>
      </c>
      <c r="C817" s="2">
        <f t="shared" si="62"/>
        <v>6.6910650253224659E-3</v>
      </c>
      <c r="D817" s="21">
        <f t="shared" ca="1" si="60"/>
        <v>6.3071126102155987E-3</v>
      </c>
      <c r="E817" s="21">
        <f t="shared" ca="1" si="63"/>
        <v>4.460065795262853E-5</v>
      </c>
      <c r="F817" s="11">
        <f t="shared" ca="1" si="64"/>
        <v>4.5629271320620441</v>
      </c>
      <c r="G817" s="10">
        <f t="shared" ca="1" si="61"/>
        <v>1</v>
      </c>
    </row>
    <row r="818" spans="1:7" x14ac:dyDescent="0.2">
      <c r="A818" s="2">
        <v>19930527</v>
      </c>
      <c r="B818" s="13">
        <v>3554.83</v>
      </c>
      <c r="C818" s="2">
        <f t="shared" si="62"/>
        <v>4.1438805025761751E-3</v>
      </c>
      <c r="D818" s="21">
        <f t="shared" ca="1" si="60"/>
        <v>3.7599280874693079E-3</v>
      </c>
      <c r="E818" s="21">
        <f t="shared" ca="1" si="63"/>
        <v>4.4716066993992612E-5</v>
      </c>
      <c r="F818" s="11">
        <f t="shared" ca="1" si="64"/>
        <v>4.8495130055427413</v>
      </c>
      <c r="G818" s="10">
        <f t="shared" ca="1" si="61"/>
        <v>1</v>
      </c>
    </row>
    <row r="819" spans="1:7" x14ac:dyDescent="0.2">
      <c r="A819" s="2">
        <v>19930528</v>
      </c>
      <c r="B819" s="13">
        <v>3527.43</v>
      </c>
      <c r="C819" s="2">
        <f t="shared" si="62"/>
        <v>-7.7078228776059875E-3</v>
      </c>
      <c r="D819" s="21">
        <f t="shared" ca="1" si="60"/>
        <v>-8.0917752927128547E-3</v>
      </c>
      <c r="E819" s="21">
        <f t="shared" ca="1" si="63"/>
        <v>4.3882713901673404E-5</v>
      </c>
      <c r="F819" s="11">
        <f t="shared" ca="1" si="64"/>
        <v>4.2709515329732897</v>
      </c>
      <c r="G819" s="10">
        <f t="shared" ca="1" si="61"/>
        <v>0</v>
      </c>
    </row>
    <row r="820" spans="1:7" x14ac:dyDescent="0.2">
      <c r="A820" s="2">
        <v>19930601</v>
      </c>
      <c r="B820" s="13">
        <v>3552.34</v>
      </c>
      <c r="C820" s="2">
        <f t="shared" si="62"/>
        <v>7.0617985332098185E-3</v>
      </c>
      <c r="D820" s="21">
        <f t="shared" ca="1" si="60"/>
        <v>6.6778461181029513E-3</v>
      </c>
      <c r="E820" s="21">
        <f t="shared" ca="1" si="63"/>
        <v>4.4979373333759649E-5</v>
      </c>
      <c r="F820" s="11">
        <f t="shared" ca="1" si="64"/>
        <v>4.5089412879487965</v>
      </c>
      <c r="G820" s="10">
        <f t="shared" ca="1" si="61"/>
        <v>1</v>
      </c>
    </row>
    <row r="821" spans="1:7" x14ac:dyDescent="0.2">
      <c r="A821" s="2">
        <v>19930602</v>
      </c>
      <c r="B821" s="13">
        <v>3553.45</v>
      </c>
      <c r="C821" s="2">
        <f t="shared" si="62"/>
        <v>3.1247009013767615E-4</v>
      </c>
      <c r="D821" s="21">
        <f t="shared" ca="1" si="60"/>
        <v>-7.1482324969191142E-5</v>
      </c>
      <c r="E821" s="21">
        <f t="shared" ca="1" si="63"/>
        <v>4.5252640728123051E-5</v>
      </c>
      <c r="F821" s="11">
        <f t="shared" ca="1" si="64"/>
        <v>5.0015683077138622</v>
      </c>
      <c r="G821" s="10">
        <f t="shared" ca="1" si="61"/>
        <v>1</v>
      </c>
    </row>
    <row r="822" spans="1:7" x14ac:dyDescent="0.2">
      <c r="A822" s="2">
        <v>19930603</v>
      </c>
      <c r="B822" s="13">
        <v>3544.87</v>
      </c>
      <c r="C822" s="2">
        <f t="shared" si="62"/>
        <v>-2.4145548692115909E-3</v>
      </c>
      <c r="D822" s="21">
        <f t="shared" ca="1" si="60"/>
        <v>-2.7985072843184581E-3</v>
      </c>
      <c r="E822" s="21">
        <f t="shared" ca="1" si="63"/>
        <v>4.3872485735749944E-5</v>
      </c>
      <c r="F822" s="11">
        <f t="shared" ca="1" si="64"/>
        <v>4.9278569836340802</v>
      </c>
      <c r="G822" s="10">
        <f t="shared" ca="1" si="61"/>
        <v>1</v>
      </c>
    </row>
    <row r="823" spans="1:7" x14ac:dyDescent="0.2">
      <c r="A823" s="2">
        <v>19930604</v>
      </c>
      <c r="B823" s="13">
        <v>3545.14</v>
      </c>
      <c r="C823" s="2">
        <f t="shared" si="62"/>
        <v>7.6166403845551972E-5</v>
      </c>
      <c r="D823" s="21">
        <f t="shared" ca="1" si="60"/>
        <v>-3.0778601126131534E-4</v>
      </c>
      <c r="E823" s="21">
        <f t="shared" ca="1" si="63"/>
        <v>4.2849948533724963E-5</v>
      </c>
      <c r="F823" s="11">
        <f t="shared" ca="1" si="64"/>
        <v>5.0277976621054776</v>
      </c>
      <c r="G823" s="10">
        <f t="shared" ca="1" si="61"/>
        <v>1</v>
      </c>
    </row>
    <row r="824" spans="1:7" x14ac:dyDescent="0.2">
      <c r="A824" s="2">
        <v>19930607</v>
      </c>
      <c r="B824" s="13">
        <v>3532.13</v>
      </c>
      <c r="C824" s="2">
        <f t="shared" si="62"/>
        <v>-3.669812757747159E-3</v>
      </c>
      <c r="D824" s="21">
        <f t="shared" ca="1" si="60"/>
        <v>-4.0537651728540262E-3</v>
      </c>
      <c r="E824" s="21">
        <f t="shared" ca="1" si="63"/>
        <v>4.15946421066159E-5</v>
      </c>
      <c r="F824" s="11">
        <f t="shared" ca="1" si="64"/>
        <v>4.8462319909126821</v>
      </c>
      <c r="G824" s="10">
        <f t="shared" ca="1" si="61"/>
        <v>1</v>
      </c>
    </row>
    <row r="825" spans="1:7" x14ac:dyDescent="0.2">
      <c r="A825" s="2">
        <v>19930608</v>
      </c>
      <c r="B825" s="13">
        <v>3510.54</v>
      </c>
      <c r="C825" s="2">
        <f t="shared" si="62"/>
        <v>-6.1124590544516045E-3</v>
      </c>
      <c r="D825" s="21">
        <f t="shared" ca="1" si="60"/>
        <v>-6.4964114695584716E-3</v>
      </c>
      <c r="E825" s="21">
        <f t="shared" ca="1" si="63"/>
        <v>4.1003629122395232E-5</v>
      </c>
      <c r="F825" s="11">
        <f t="shared" ca="1" si="64"/>
        <v>4.5362953964100718</v>
      </c>
      <c r="G825" s="10">
        <f t="shared" ca="1" si="61"/>
        <v>0</v>
      </c>
    </row>
    <row r="826" spans="1:7" x14ac:dyDescent="0.2">
      <c r="A826" s="2">
        <v>19930609</v>
      </c>
      <c r="B826" s="13">
        <v>3511.93</v>
      </c>
      <c r="C826" s="2">
        <f t="shared" si="62"/>
        <v>3.9595048055281315E-4</v>
      </c>
      <c r="D826" s="21">
        <f t="shared" ca="1" si="60"/>
        <v>1.1998065445945852E-5</v>
      </c>
      <c r="E826" s="21">
        <f t="shared" ca="1" si="63"/>
        <v>4.1390136441902415E-5</v>
      </c>
      <c r="F826" s="11">
        <f t="shared" ca="1" si="64"/>
        <v>5.0462322388732899</v>
      </c>
      <c r="G826" s="10">
        <f t="shared" ca="1" si="61"/>
        <v>1</v>
      </c>
    </row>
    <row r="827" spans="1:7" x14ac:dyDescent="0.2">
      <c r="A827" s="2">
        <v>19930610</v>
      </c>
      <c r="B827" s="13">
        <v>3491.72</v>
      </c>
      <c r="C827" s="2">
        <f t="shared" si="62"/>
        <v>-5.7546705088085577E-3</v>
      </c>
      <c r="D827" s="21">
        <f t="shared" ca="1" si="60"/>
        <v>-6.1386229239154249E-3</v>
      </c>
      <c r="E827" s="21">
        <f t="shared" ca="1" si="63"/>
        <v>4.0205204213149658E-5</v>
      </c>
      <c r="F827" s="11">
        <f t="shared" ca="1" si="64"/>
        <v>4.5921275326313928</v>
      </c>
      <c r="G827" s="10">
        <f t="shared" ca="1" si="61"/>
        <v>1</v>
      </c>
    </row>
    <row r="828" spans="1:7" x14ac:dyDescent="0.2">
      <c r="A828" s="2">
        <v>19930611</v>
      </c>
      <c r="B828" s="13">
        <v>3505.01</v>
      </c>
      <c r="C828" s="2">
        <f t="shared" si="62"/>
        <v>3.8061471137434901E-3</v>
      </c>
      <c r="D828" s="21">
        <f t="shared" ca="1" si="60"/>
        <v>3.4221946986366229E-3</v>
      </c>
      <c r="E828" s="21">
        <f t="shared" ca="1" si="63"/>
        <v>4.04658711611859E-5</v>
      </c>
      <c r="F828" s="11">
        <f t="shared" ca="1" si="64"/>
        <v>4.9128184806299879</v>
      </c>
      <c r="G828" s="10">
        <f t="shared" ca="1" si="61"/>
        <v>1</v>
      </c>
    </row>
    <row r="829" spans="1:7" x14ac:dyDescent="0.2">
      <c r="A829" s="2">
        <v>19930614</v>
      </c>
      <c r="B829" s="13">
        <v>3514.69</v>
      </c>
      <c r="C829" s="2">
        <f t="shared" si="62"/>
        <v>2.7617610220797761E-3</v>
      </c>
      <c r="D829" s="21">
        <f t="shared" ca="1" si="60"/>
        <v>2.3778086069729089E-3</v>
      </c>
      <c r="E829" s="21">
        <f t="shared" ca="1" si="63"/>
        <v>3.9758341759313498E-5</v>
      </c>
      <c r="F829" s="11">
        <f t="shared" ca="1" si="64"/>
        <v>4.9952411963370373</v>
      </c>
      <c r="G829" s="10">
        <f t="shared" ca="1" si="61"/>
        <v>1</v>
      </c>
    </row>
    <row r="830" spans="1:7" x14ac:dyDescent="0.2">
      <c r="A830" s="2">
        <v>19930615</v>
      </c>
      <c r="B830" s="13">
        <v>3492</v>
      </c>
      <c r="C830" s="2">
        <f t="shared" si="62"/>
        <v>-6.455761390051485E-3</v>
      </c>
      <c r="D830" s="21">
        <f t="shared" ca="1" si="60"/>
        <v>-6.8397138051583522E-3</v>
      </c>
      <c r="E830" s="21">
        <f t="shared" ca="1" si="63"/>
        <v>3.8863863755098801E-5</v>
      </c>
      <c r="F830" s="11">
        <f t="shared" ca="1" si="64"/>
        <v>4.4758567364592823</v>
      </c>
      <c r="G830" s="10">
        <f t="shared" ca="1" si="61"/>
        <v>0</v>
      </c>
    </row>
    <row r="831" spans="1:7" x14ac:dyDescent="0.2">
      <c r="A831" s="2">
        <v>19930616</v>
      </c>
      <c r="B831" s="13">
        <v>3511.65</v>
      </c>
      <c r="C831" s="2">
        <f t="shared" si="62"/>
        <v>5.62714776632305E-3</v>
      </c>
      <c r="D831" s="21">
        <f t="shared" ca="1" si="60"/>
        <v>5.2431953512161828E-3</v>
      </c>
      <c r="E831" s="21">
        <f t="shared" ca="1" si="63"/>
        <v>3.9526975438096121E-5</v>
      </c>
      <c r="F831" s="11">
        <f t="shared" ca="1" si="64"/>
        <v>4.7215125095311494</v>
      </c>
      <c r="G831" s="10">
        <f t="shared" ca="1" si="61"/>
        <v>1</v>
      </c>
    </row>
    <row r="832" spans="1:7" x14ac:dyDescent="0.2">
      <c r="A832" s="2">
        <v>19930617</v>
      </c>
      <c r="B832" s="13">
        <v>3521.89</v>
      </c>
      <c r="C832" s="2">
        <f t="shared" si="62"/>
        <v>2.9160081443195597E-3</v>
      </c>
      <c r="D832" s="21">
        <f t="shared" ca="1" si="60"/>
        <v>2.5320557292126925E-3</v>
      </c>
      <c r="E832" s="21">
        <f t="shared" ca="1" si="63"/>
        <v>3.9447191500068594E-5</v>
      </c>
      <c r="F832" s="11">
        <f t="shared" ca="1" si="64"/>
        <v>4.9890094330527495</v>
      </c>
      <c r="G832" s="10">
        <f t="shared" ca="1" si="61"/>
        <v>1</v>
      </c>
    </row>
    <row r="833" spans="1:7" x14ac:dyDescent="0.2">
      <c r="A833" s="2">
        <v>19930618</v>
      </c>
      <c r="B833" s="13">
        <v>3494.77</v>
      </c>
      <c r="C833" s="2">
        <f t="shared" si="62"/>
        <v>-7.7004108589421852E-3</v>
      </c>
      <c r="D833" s="21">
        <f t="shared" ca="1" si="60"/>
        <v>-8.0843632740490532E-3</v>
      </c>
      <c r="E833" s="21">
        <f t="shared" ca="1" si="63"/>
        <v>3.8596303126240066E-5</v>
      </c>
      <c r="F833" s="11">
        <f t="shared" ca="1" si="64"/>
        <v>4.234503589119238</v>
      </c>
      <c r="G833" s="10">
        <f t="shared" ca="1" si="61"/>
        <v>0</v>
      </c>
    </row>
    <row r="834" spans="1:7" x14ac:dyDescent="0.2">
      <c r="A834" s="2">
        <v>19930621</v>
      </c>
      <c r="B834" s="13">
        <v>3510.82</v>
      </c>
      <c r="C834" s="2">
        <f t="shared" si="62"/>
        <v>4.5925769077793908E-3</v>
      </c>
      <c r="D834" s="21">
        <f t="shared" ca="1" si="60"/>
        <v>4.2086244926725237E-3</v>
      </c>
      <c r="E834" s="21">
        <f t="shared" ca="1" si="63"/>
        <v>3.9955994967122194E-5</v>
      </c>
      <c r="F834" s="11">
        <f t="shared" ca="1" si="64"/>
        <v>4.8422155728556762</v>
      </c>
      <c r="G834" s="10">
        <f t="shared" ca="1" si="61"/>
        <v>1</v>
      </c>
    </row>
    <row r="835" spans="1:7" x14ac:dyDescent="0.2">
      <c r="A835" s="2">
        <v>19930622</v>
      </c>
      <c r="B835" s="13">
        <v>3497.53</v>
      </c>
      <c r="C835" s="2">
        <f t="shared" si="62"/>
        <v>-3.7854404384160861E-3</v>
      </c>
      <c r="D835" s="21">
        <f t="shared" ca="1" si="60"/>
        <v>-4.1693928535229538E-3</v>
      </c>
      <c r="E835" s="21">
        <f t="shared" ca="1" si="63"/>
        <v>3.9494931426083815E-5</v>
      </c>
      <c r="F835" s="11">
        <f t="shared" ca="1" si="64"/>
        <v>4.8495922997502277</v>
      </c>
      <c r="G835" s="10">
        <f t="shared" ca="1" si="61"/>
        <v>1</v>
      </c>
    </row>
    <row r="836" spans="1:7" x14ac:dyDescent="0.2">
      <c r="A836" s="2">
        <v>19930623</v>
      </c>
      <c r="B836" s="13">
        <v>3466.81</v>
      </c>
      <c r="C836" s="2">
        <f t="shared" si="62"/>
        <v>-8.7833413866357842E-3</v>
      </c>
      <c r="D836" s="21">
        <f t="shared" ca="1" si="60"/>
        <v>-9.1672938017426514E-3</v>
      </c>
      <c r="E836" s="21">
        <f t="shared" ca="1" si="63"/>
        <v>3.9045106980600339E-5</v>
      </c>
      <c r="F836" s="11">
        <f t="shared" ca="1" si="64"/>
        <v>3.9992145850208054</v>
      </c>
      <c r="G836" s="10">
        <f t="shared" ca="1" si="61"/>
        <v>0</v>
      </c>
    </row>
    <row r="837" spans="1:7" x14ac:dyDescent="0.2">
      <c r="A837" s="2">
        <v>19930624</v>
      </c>
      <c r="B837" s="13">
        <v>3490.61</v>
      </c>
      <c r="C837" s="2">
        <f t="shared" si="62"/>
        <v>6.8651007698720679E-3</v>
      </c>
      <c r="D837" s="21">
        <f t="shared" ca="1" si="60"/>
        <v>6.4811483547652007E-3</v>
      </c>
      <c r="E837" s="21">
        <f t="shared" ca="1" si="63"/>
        <v>4.106907617309265E-5</v>
      </c>
      <c r="F837" s="11">
        <f t="shared" ca="1" si="64"/>
        <v>4.5387295966441226</v>
      </c>
      <c r="G837" s="10">
        <f t="shared" ca="1" si="61"/>
        <v>0</v>
      </c>
    </row>
    <row r="838" spans="1:7" x14ac:dyDescent="0.2">
      <c r="A838" s="2">
        <v>19930625</v>
      </c>
      <c r="B838" s="13">
        <v>3490.89</v>
      </c>
      <c r="C838" s="2">
        <f t="shared" si="62"/>
        <v>8.0215205938144146E-5</v>
      </c>
      <c r="D838" s="21">
        <f t="shared" ca="1" si="60"/>
        <v>-3.0373720916872314E-4</v>
      </c>
      <c r="E838" s="21">
        <f t="shared" ca="1" si="63"/>
        <v>4.1444988831381419E-5</v>
      </c>
      <c r="F838" s="11">
        <f t="shared" ca="1" si="64"/>
        <v>5.0444587932517448</v>
      </c>
      <c r="G838" s="10">
        <f t="shared" ca="1" si="61"/>
        <v>1</v>
      </c>
    </row>
    <row r="839" spans="1:7" x14ac:dyDescent="0.2">
      <c r="A839" s="2">
        <v>19930628</v>
      </c>
      <c r="B839" s="13">
        <v>3530.2</v>
      </c>
      <c r="C839" s="2">
        <f t="shared" si="62"/>
        <v>1.1260738665497896E-2</v>
      </c>
      <c r="D839" s="21">
        <f t="shared" ca="1" si="60"/>
        <v>1.0876786250391028E-2</v>
      </c>
      <c r="E839" s="21">
        <f t="shared" ca="1" si="63"/>
        <v>4.0260668733708963E-5</v>
      </c>
      <c r="F839" s="11">
        <f t="shared" ca="1" si="64"/>
        <v>3.5908363419054465</v>
      </c>
      <c r="G839" s="10">
        <f t="shared" ca="1" si="61"/>
        <v>0</v>
      </c>
    </row>
    <row r="840" spans="1:7" x14ac:dyDescent="0.2">
      <c r="A840" s="2">
        <v>19930629</v>
      </c>
      <c r="B840" s="13">
        <v>3518.85</v>
      </c>
      <c r="C840" s="2">
        <f t="shared" si="62"/>
        <v>-3.215115290918336E-3</v>
      </c>
      <c r="D840" s="21">
        <f t="shared" ca="1" si="60"/>
        <v>-3.5990677060252032E-3</v>
      </c>
      <c r="E840" s="21">
        <f t="shared" ca="1" si="63"/>
        <v>4.3483133617827093E-5</v>
      </c>
      <c r="F840" s="11">
        <f t="shared" ca="1" si="64"/>
        <v>4.8726225908062784</v>
      </c>
      <c r="G840" s="10">
        <f t="shared" ca="1" si="61"/>
        <v>1</v>
      </c>
    </row>
    <row r="841" spans="1:7" x14ac:dyDescent="0.2">
      <c r="A841" s="2">
        <v>19930630</v>
      </c>
      <c r="B841" s="13">
        <v>3516.08</v>
      </c>
      <c r="C841" s="2">
        <f t="shared" si="62"/>
        <v>-7.871889964050704E-4</v>
      </c>
      <c r="D841" s="21">
        <f t="shared" ca="1" si="60"/>
        <v>-1.1711414115119377E-3</v>
      </c>
      <c r="E841" s="21">
        <f t="shared" ca="1" si="63"/>
        <v>4.2668625709145248E-5</v>
      </c>
      <c r="F841" s="11">
        <f t="shared" ca="1" si="64"/>
        <v>5.0149509605321185</v>
      </c>
      <c r="G841" s="10">
        <f t="shared" ca="1" si="61"/>
        <v>1</v>
      </c>
    </row>
    <row r="842" spans="1:7" x14ac:dyDescent="0.2">
      <c r="A842" s="2">
        <v>19930701</v>
      </c>
      <c r="B842" s="13">
        <v>3510.54</v>
      </c>
      <c r="C842" s="2">
        <f t="shared" si="62"/>
        <v>-1.5756183022001672E-3</v>
      </c>
      <c r="D842" s="21">
        <f t="shared" ca="1" si="60"/>
        <v>-1.9595707173070344E-3</v>
      </c>
      <c r="E842" s="21">
        <f t="shared" ca="1" si="63"/>
        <v>4.1469444098812885E-5</v>
      </c>
      <c r="F842" s="11">
        <f t="shared" ca="1" si="64"/>
        <v>4.9989786906158153</v>
      </c>
      <c r="G842" s="10">
        <f t="shared" ca="1" si="61"/>
        <v>1</v>
      </c>
    </row>
    <row r="843" spans="1:7" x14ac:dyDescent="0.2">
      <c r="A843" s="2">
        <v>19930702</v>
      </c>
      <c r="B843" s="13">
        <v>3483.97</v>
      </c>
      <c r="C843" s="2">
        <f t="shared" si="62"/>
        <v>-7.5686361642368881E-3</v>
      </c>
      <c r="D843" s="21">
        <f t="shared" ca="1" si="60"/>
        <v>-7.9525885793437553E-3</v>
      </c>
      <c r="E843" s="21">
        <f t="shared" ca="1" si="63"/>
        <v>4.0421694843491641E-5</v>
      </c>
      <c r="F843" s="11">
        <f t="shared" ca="1" si="64"/>
        <v>4.2757734255535818</v>
      </c>
      <c r="G843" s="10">
        <f t="shared" ca="1" si="61"/>
        <v>0</v>
      </c>
    </row>
    <row r="844" spans="1:7" x14ac:dyDescent="0.2">
      <c r="A844" s="2">
        <v>19930706</v>
      </c>
      <c r="B844" s="13">
        <v>3449.93</v>
      </c>
      <c r="C844" s="2">
        <f t="shared" si="62"/>
        <v>-9.7704630062830523E-3</v>
      </c>
      <c r="D844" s="21">
        <f t="shared" ca="1" si="60"/>
        <v>-1.0154415421389919E-2</v>
      </c>
      <c r="E844" s="21">
        <f t="shared" ca="1" si="63"/>
        <v>4.1611331093246568E-5</v>
      </c>
      <c r="F844" s="11">
        <f t="shared" ca="1" si="64"/>
        <v>3.8045777452391776</v>
      </c>
      <c r="G844" s="10">
        <f t="shared" ca="1" si="61"/>
        <v>0</v>
      </c>
    </row>
    <row r="845" spans="1:7" x14ac:dyDescent="0.2">
      <c r="A845" s="2">
        <v>19930707</v>
      </c>
      <c r="B845" s="13">
        <v>3475.67</v>
      </c>
      <c r="C845" s="2">
        <f t="shared" si="62"/>
        <v>7.4610209482511925E-3</v>
      </c>
      <c r="D845" s="21">
        <f t="shared" ca="1" si="60"/>
        <v>7.0770685331443253E-3</v>
      </c>
      <c r="E845" s="21">
        <f t="shared" ca="1" si="63"/>
        <v>4.4206817148766793E-5</v>
      </c>
      <c r="F845" s="11">
        <f t="shared" ca="1" si="64"/>
        <v>4.446831888556928</v>
      </c>
      <c r="G845" s="10">
        <f t="shared" ca="1" si="61"/>
        <v>0</v>
      </c>
    </row>
    <row r="846" spans="1:7" x14ac:dyDescent="0.2">
      <c r="A846" s="2">
        <v>19930708</v>
      </c>
      <c r="B846" s="13">
        <v>3514.42</v>
      </c>
      <c r="C846" s="2">
        <f t="shared" si="62"/>
        <v>1.114892955890519E-2</v>
      </c>
      <c r="D846" s="21">
        <f t="shared" ref="D846:D909" ca="1" si="65">(C846-mu)</f>
        <v>1.0764977143798322E-2</v>
      </c>
      <c r="E846" s="21">
        <f t="shared" ca="1" si="63"/>
        <v>4.4721092009856976E-5</v>
      </c>
      <c r="F846" s="11">
        <f t="shared" ca="1" si="64"/>
        <v>3.711894202627791</v>
      </c>
      <c r="G846" s="10">
        <f t="shared" ref="G846:G909" ca="1" si="66">IF(AND(C846&lt;=mu+zvalue*SQRT(E846),C846&gt;=mu-zvalue*SQRT(E846)),1,0)</f>
        <v>0</v>
      </c>
    </row>
    <row r="847" spans="1:7" x14ac:dyDescent="0.2">
      <c r="A847" s="2">
        <v>19930709</v>
      </c>
      <c r="B847" s="13">
        <v>3521.06</v>
      </c>
      <c r="C847" s="2">
        <f t="shared" ref="C847:C910" si="67">(B847-B846)/B846</f>
        <v>1.8893586993016978E-3</v>
      </c>
      <c r="D847" s="21">
        <f t="shared" ca="1" si="65"/>
        <v>1.5054062841948304E-3</v>
      </c>
      <c r="E847" s="21">
        <f t="shared" ref="E847:E910" ca="1" si="68">(1-alpha-beta)*longvar+alpha*D846^2+beta*E846</f>
        <v>4.7628924317901636E-5</v>
      </c>
      <c r="F847" s="11">
        <f t="shared" ref="F847:F910" ca="1" si="69">(-0.5)*(LN(E847)+D847^2/E847)</f>
        <v>4.9522444933619738</v>
      </c>
      <c r="G847" s="10">
        <f t="shared" ca="1" si="66"/>
        <v>1</v>
      </c>
    </row>
    <row r="848" spans="1:7" x14ac:dyDescent="0.2">
      <c r="A848" s="2">
        <v>19930712</v>
      </c>
      <c r="B848" s="13">
        <v>3524.38</v>
      </c>
      <c r="C848" s="2">
        <f t="shared" si="67"/>
        <v>9.4289787734380096E-4</v>
      </c>
      <c r="D848" s="21">
        <f t="shared" ca="1" si="65"/>
        <v>5.5894546223693366E-4</v>
      </c>
      <c r="E848" s="21">
        <f t="shared" ca="1" si="68"/>
        <v>4.6211698361763304E-5</v>
      </c>
      <c r="F848" s="11">
        <f t="shared" ca="1" si="69"/>
        <v>4.9877584770980734</v>
      </c>
      <c r="G848" s="10">
        <f t="shared" ca="1" si="66"/>
        <v>1</v>
      </c>
    </row>
    <row r="849" spans="1:7" x14ac:dyDescent="0.2">
      <c r="A849" s="2">
        <v>19930713</v>
      </c>
      <c r="B849" s="13">
        <v>3515.44</v>
      </c>
      <c r="C849" s="2">
        <f t="shared" si="67"/>
        <v>-2.5366163694039959E-3</v>
      </c>
      <c r="D849" s="21">
        <f t="shared" ca="1" si="65"/>
        <v>-2.9205687845108631E-3</v>
      </c>
      <c r="E849" s="21">
        <f t="shared" ca="1" si="68"/>
        <v>4.4794324664486544E-5</v>
      </c>
      <c r="F849" s="11">
        <f t="shared" ca="1" si="69"/>
        <v>4.9115047022879459</v>
      </c>
      <c r="G849" s="10">
        <f t="shared" ca="1" si="66"/>
        <v>1</v>
      </c>
    </row>
    <row r="850" spans="1:7" x14ac:dyDescent="0.2">
      <c r="A850" s="2">
        <v>19930714</v>
      </c>
      <c r="B850" s="13">
        <v>3542.55</v>
      </c>
      <c r="C850" s="2">
        <f t="shared" si="67"/>
        <v>7.7116946954008964E-3</v>
      </c>
      <c r="D850" s="21">
        <f t="shared" ca="1" si="65"/>
        <v>7.3277422802940292E-3</v>
      </c>
      <c r="E850" s="21">
        <f t="shared" ca="1" si="68"/>
        <v>4.375082091140887E-5</v>
      </c>
      <c r="F850" s="11">
        <f t="shared" ca="1" si="69"/>
        <v>4.4048452403794069</v>
      </c>
      <c r="G850" s="10">
        <f t="shared" ca="1" si="66"/>
        <v>0</v>
      </c>
    </row>
    <row r="851" spans="1:7" x14ac:dyDescent="0.2">
      <c r="A851" s="2">
        <v>19930715</v>
      </c>
      <c r="B851" s="13">
        <v>3550.93</v>
      </c>
      <c r="C851" s="2">
        <f t="shared" si="67"/>
        <v>2.3655276566314247E-3</v>
      </c>
      <c r="D851" s="21">
        <f t="shared" ca="1" si="65"/>
        <v>1.9815752415245575E-3</v>
      </c>
      <c r="E851" s="21">
        <f t="shared" ca="1" si="68"/>
        <v>4.4420944160720287E-5</v>
      </c>
      <c r="F851" s="11">
        <f t="shared" ca="1" si="69"/>
        <v>4.9667016672688433</v>
      </c>
      <c r="G851" s="10">
        <f t="shared" ca="1" si="66"/>
        <v>1</v>
      </c>
    </row>
    <row r="852" spans="1:7" x14ac:dyDescent="0.2">
      <c r="A852" s="2">
        <v>19930716</v>
      </c>
      <c r="B852" s="13">
        <v>3528.29</v>
      </c>
      <c r="C852" s="2">
        <f t="shared" si="67"/>
        <v>-6.3757945101705392E-3</v>
      </c>
      <c r="D852" s="21">
        <f t="shared" ca="1" si="65"/>
        <v>-6.7597469252774064E-3</v>
      </c>
      <c r="E852" s="21">
        <f t="shared" ca="1" si="68"/>
        <v>4.3227066503109258E-5</v>
      </c>
      <c r="F852" s="11">
        <f t="shared" ca="1" si="69"/>
        <v>4.4959852021538751</v>
      </c>
      <c r="G852" s="10">
        <f t="shared" ca="1" si="66"/>
        <v>0</v>
      </c>
    </row>
    <row r="853" spans="1:7" x14ac:dyDescent="0.2">
      <c r="A853" s="2">
        <v>19930719</v>
      </c>
      <c r="B853" s="13">
        <v>3535.28</v>
      </c>
      <c r="C853" s="2">
        <f t="shared" si="67"/>
        <v>1.9811296690465455E-3</v>
      </c>
      <c r="D853" s="21">
        <f t="shared" ca="1" si="65"/>
        <v>1.5971772539396783E-3</v>
      </c>
      <c r="E853" s="21">
        <f t="shared" ca="1" si="68"/>
        <v>4.3629452811703252E-5</v>
      </c>
      <c r="F853" s="11">
        <f t="shared" ca="1" si="69"/>
        <v>4.9906545023249249</v>
      </c>
      <c r="G853" s="10">
        <f t="shared" ca="1" si="66"/>
        <v>1</v>
      </c>
    </row>
    <row r="854" spans="1:7" x14ac:dyDescent="0.2">
      <c r="A854" s="2">
        <v>19930720</v>
      </c>
      <c r="B854" s="13">
        <v>3544.78</v>
      </c>
      <c r="C854" s="2">
        <f t="shared" si="67"/>
        <v>2.687198750876875E-3</v>
      </c>
      <c r="D854" s="21">
        <f t="shared" ca="1" si="65"/>
        <v>2.3032463357700078E-3</v>
      </c>
      <c r="E854" s="21">
        <f t="shared" ca="1" si="68"/>
        <v>4.2425031348560867E-5</v>
      </c>
      <c r="F854" s="11">
        <f t="shared" ca="1" si="69"/>
        <v>4.9713646160634042</v>
      </c>
      <c r="G854" s="10">
        <f t="shared" ca="1" si="66"/>
        <v>1</v>
      </c>
    </row>
    <row r="855" spans="1:7" x14ac:dyDescent="0.2">
      <c r="A855" s="2">
        <v>19930721</v>
      </c>
      <c r="B855" s="13">
        <v>3555.4</v>
      </c>
      <c r="C855" s="2">
        <f t="shared" si="67"/>
        <v>2.9959546149549167E-3</v>
      </c>
      <c r="D855" s="21">
        <f t="shared" ca="1" si="65"/>
        <v>2.6120021998480496E-3</v>
      </c>
      <c r="E855" s="21">
        <f t="shared" ca="1" si="68"/>
        <v>4.1382810194216022E-5</v>
      </c>
      <c r="F855" s="11">
        <f t="shared" ca="1" si="69"/>
        <v>4.9638902479273543</v>
      </c>
      <c r="G855" s="10">
        <f t="shared" ca="1" si="66"/>
        <v>1</v>
      </c>
    </row>
    <row r="856" spans="1:7" x14ac:dyDescent="0.2">
      <c r="A856" s="2">
        <v>19930722</v>
      </c>
      <c r="B856" s="13">
        <v>3525.22</v>
      </c>
      <c r="C856" s="2">
        <f t="shared" si="67"/>
        <v>-8.4884963717163451E-3</v>
      </c>
      <c r="D856" s="21">
        <f t="shared" ca="1" si="65"/>
        <v>-8.8724487868232123E-3</v>
      </c>
      <c r="E856" s="21">
        <f t="shared" ca="1" si="68"/>
        <v>4.0449120587265913E-5</v>
      </c>
      <c r="F856" s="11">
        <f t="shared" ca="1" si="69"/>
        <v>4.0846542251169602</v>
      </c>
      <c r="G856" s="10">
        <f t="shared" ca="1" si="66"/>
        <v>0</v>
      </c>
    </row>
    <row r="857" spans="1:7" x14ac:dyDescent="0.2">
      <c r="A857" s="2">
        <v>19930723</v>
      </c>
      <c r="B857" s="13">
        <v>3546.74</v>
      </c>
      <c r="C857" s="2">
        <f t="shared" si="67"/>
        <v>6.1045835437220893E-3</v>
      </c>
      <c r="D857" s="21">
        <f t="shared" ca="1" si="65"/>
        <v>5.7206311286152221E-3</v>
      </c>
      <c r="E857" s="21">
        <f t="shared" ca="1" si="68"/>
        <v>4.2206473993097548E-5</v>
      </c>
      <c r="F857" s="11">
        <f t="shared" ca="1" si="69"/>
        <v>4.6487836249986358</v>
      </c>
      <c r="G857" s="10">
        <f t="shared" ca="1" si="66"/>
        <v>1</v>
      </c>
    </row>
    <row r="858" spans="1:7" x14ac:dyDescent="0.2">
      <c r="A858" s="2">
        <v>19930726</v>
      </c>
      <c r="B858" s="13">
        <v>3567.7</v>
      </c>
      <c r="C858" s="2">
        <f t="shared" si="67"/>
        <v>5.9096522440325585E-3</v>
      </c>
      <c r="D858" s="21">
        <f t="shared" ca="1" si="65"/>
        <v>5.5256998289256913E-3</v>
      </c>
      <c r="E858" s="21">
        <f t="shared" ca="1" si="68"/>
        <v>4.2183615892029216E-5</v>
      </c>
      <c r="F858" s="11">
        <f t="shared" ca="1" si="69"/>
        <v>4.6748291677454183</v>
      </c>
      <c r="G858" s="10">
        <f t="shared" ca="1" si="66"/>
        <v>1</v>
      </c>
    </row>
    <row r="859" spans="1:7" x14ac:dyDescent="0.2">
      <c r="A859" s="2">
        <v>19930727</v>
      </c>
      <c r="B859" s="13">
        <v>3565.46</v>
      </c>
      <c r="C859" s="2">
        <f t="shared" si="67"/>
        <v>-6.2785548112223057E-4</v>
      </c>
      <c r="D859" s="21">
        <f t="shared" ca="1" si="65"/>
        <v>-1.0118078962290979E-3</v>
      </c>
      <c r="E859" s="21">
        <f t="shared" ca="1" si="68"/>
        <v>4.2081300891586385E-5</v>
      </c>
      <c r="F859" s="11">
        <f t="shared" ca="1" si="69"/>
        <v>5.0257895218323068</v>
      </c>
      <c r="G859" s="10">
        <f t="shared" ca="1" si="66"/>
        <v>1</v>
      </c>
    </row>
    <row r="860" spans="1:7" x14ac:dyDescent="0.2">
      <c r="A860" s="2">
        <v>19930728</v>
      </c>
      <c r="B860" s="13">
        <v>3553.45</v>
      </c>
      <c r="C860" s="2">
        <f t="shared" si="67"/>
        <v>-3.3684293190781043E-3</v>
      </c>
      <c r="D860" s="21">
        <f t="shared" ca="1" si="65"/>
        <v>-3.7523817341849714E-3</v>
      </c>
      <c r="E860" s="21">
        <f t="shared" ca="1" si="68"/>
        <v>4.0899042399246761E-5</v>
      </c>
      <c r="F860" s="11">
        <f t="shared" ca="1" si="69"/>
        <v>4.8800662775116868</v>
      </c>
      <c r="G860" s="10">
        <f t="shared" ca="1" si="66"/>
        <v>1</v>
      </c>
    </row>
    <row r="861" spans="1:7" x14ac:dyDescent="0.2">
      <c r="A861" s="2">
        <v>19930729</v>
      </c>
      <c r="B861" s="13">
        <v>3567.42</v>
      </c>
      <c r="C861" s="2">
        <f t="shared" si="67"/>
        <v>3.9313906203830799E-3</v>
      </c>
      <c r="D861" s="21">
        <f t="shared" ca="1" si="65"/>
        <v>3.5474382052762127E-3</v>
      </c>
      <c r="E861" s="21">
        <f t="shared" ca="1" si="68"/>
        <v>4.0256709227702224E-5</v>
      </c>
      <c r="F861" s="11">
        <f t="shared" ca="1" si="69"/>
        <v>4.9038160637267589</v>
      </c>
      <c r="G861" s="10">
        <f t="shared" ca="1" si="66"/>
        <v>1</v>
      </c>
    </row>
    <row r="862" spans="1:7" x14ac:dyDescent="0.2">
      <c r="A862" s="2">
        <v>19930730</v>
      </c>
      <c r="B862" s="13">
        <v>3539.47</v>
      </c>
      <c r="C862" s="2">
        <f t="shared" si="67"/>
        <v>-7.834793772530364E-3</v>
      </c>
      <c r="D862" s="21">
        <f t="shared" ca="1" si="65"/>
        <v>-8.2187461876372311E-3</v>
      </c>
      <c r="E862" s="21">
        <f t="shared" ca="1" si="68"/>
        <v>3.9591859500550519E-5</v>
      </c>
      <c r="F862" s="11">
        <f t="shared" ca="1" si="69"/>
        <v>4.2153920318371014</v>
      </c>
      <c r="G862" s="10">
        <f t="shared" ca="1" si="66"/>
        <v>0</v>
      </c>
    </row>
    <row r="863" spans="1:7" x14ac:dyDescent="0.2">
      <c r="A863" s="2">
        <v>19930802</v>
      </c>
      <c r="B863" s="13">
        <v>3560.99</v>
      </c>
      <c r="C863" s="2">
        <f t="shared" si="67"/>
        <v>6.0800063286311178E-3</v>
      </c>
      <c r="D863" s="21">
        <f t="shared" ca="1" si="65"/>
        <v>5.6960539135242506E-3</v>
      </c>
      <c r="E863" s="21">
        <f t="shared" ca="1" si="68"/>
        <v>4.0981747540298454E-5</v>
      </c>
      <c r="F863" s="11">
        <f t="shared" ca="1" si="69"/>
        <v>4.6553445622557197</v>
      </c>
      <c r="G863" s="10">
        <f t="shared" ca="1" si="66"/>
        <v>1</v>
      </c>
    </row>
    <row r="864" spans="1:7" x14ac:dyDescent="0.2">
      <c r="A864" s="2">
        <v>19930803</v>
      </c>
      <c r="B864" s="13">
        <v>3561.27</v>
      </c>
      <c r="C864" s="2">
        <f t="shared" si="67"/>
        <v>7.8629819235718186E-5</v>
      </c>
      <c r="D864" s="21">
        <f t="shared" ca="1" si="65"/>
        <v>-3.053225958711491E-4</v>
      </c>
      <c r="E864" s="21">
        <f t="shared" ca="1" si="68"/>
        <v>4.1010530957601957E-5</v>
      </c>
      <c r="F864" s="11">
        <f t="shared" ca="1" si="69"/>
        <v>5.0497042754495798</v>
      </c>
      <c r="G864" s="10">
        <f t="shared" ca="1" si="66"/>
        <v>1</v>
      </c>
    </row>
    <row r="865" spans="1:7" x14ac:dyDescent="0.2">
      <c r="A865" s="2">
        <v>19930804</v>
      </c>
      <c r="B865" s="13">
        <v>3552.05</v>
      </c>
      <c r="C865" s="2">
        <f t="shared" si="67"/>
        <v>-2.5889640493418921E-3</v>
      </c>
      <c r="D865" s="21">
        <f t="shared" ca="1" si="65"/>
        <v>-2.9729164644487593E-3</v>
      </c>
      <c r="E865" s="21">
        <f t="shared" ca="1" si="68"/>
        <v>3.9848225733441198E-5</v>
      </c>
      <c r="F865" s="11">
        <f t="shared" ca="1" si="69"/>
        <v>4.9543176456712148</v>
      </c>
      <c r="G865" s="10">
        <f t="shared" ca="1" si="66"/>
        <v>1</v>
      </c>
    </row>
    <row r="866" spans="1:7" x14ac:dyDescent="0.2">
      <c r="A866" s="2">
        <v>19930805</v>
      </c>
      <c r="B866" s="13">
        <v>3548.97</v>
      </c>
      <c r="C866" s="2">
        <f t="shared" si="67"/>
        <v>-8.6710491124854152E-4</v>
      </c>
      <c r="D866" s="21">
        <f t="shared" ca="1" si="65"/>
        <v>-1.2510573263554087E-3</v>
      </c>
      <c r="E866" s="21">
        <f t="shared" ca="1" si="68"/>
        <v>3.9066291215510665E-5</v>
      </c>
      <c r="F866" s="11">
        <f t="shared" ca="1" si="69"/>
        <v>5.055093385475911</v>
      </c>
      <c r="G866" s="10">
        <f t="shared" ca="1" si="66"/>
        <v>1</v>
      </c>
    </row>
    <row r="867" spans="1:7" x14ac:dyDescent="0.2">
      <c r="A867" s="2">
        <v>19930806</v>
      </c>
      <c r="B867" s="13">
        <v>3560.43</v>
      </c>
      <c r="C867" s="2">
        <f t="shared" si="67"/>
        <v>3.2291059096019514E-3</v>
      </c>
      <c r="D867" s="21">
        <f t="shared" ca="1" si="65"/>
        <v>2.8451534944950842E-3</v>
      </c>
      <c r="E867" s="21">
        <f t="shared" ca="1" si="68"/>
        <v>3.8056470882143698E-5</v>
      </c>
      <c r="F867" s="11">
        <f t="shared" ca="1" si="69"/>
        <v>4.9818659413778841</v>
      </c>
      <c r="G867" s="10">
        <f t="shared" ca="1" si="66"/>
        <v>1</v>
      </c>
    </row>
    <row r="868" spans="1:7" x14ac:dyDescent="0.2">
      <c r="A868" s="2">
        <v>19930809</v>
      </c>
      <c r="B868" s="13">
        <v>3576.08</v>
      </c>
      <c r="C868" s="2">
        <f t="shared" si="67"/>
        <v>4.3955364941875253E-3</v>
      </c>
      <c r="D868" s="21">
        <f t="shared" ca="1" si="65"/>
        <v>4.0115840790806582E-3</v>
      </c>
      <c r="E868" s="21">
        <f t="shared" ca="1" si="68"/>
        <v>3.7337848146799549E-5</v>
      </c>
      <c r="F868" s="11">
        <f t="shared" ca="1" si="69"/>
        <v>4.8822489235266868</v>
      </c>
      <c r="G868" s="10">
        <f t="shared" ca="1" si="66"/>
        <v>1</v>
      </c>
    </row>
    <row r="869" spans="1:7" x14ac:dyDescent="0.2">
      <c r="A869" s="2">
        <v>19930810</v>
      </c>
      <c r="B869" s="13">
        <v>3572.73</v>
      </c>
      <c r="C869" s="2">
        <f t="shared" si="67"/>
        <v>-9.3677993780897219E-4</v>
      </c>
      <c r="D869" s="21">
        <f t="shared" ca="1" si="65"/>
        <v>-1.3207323529158396E-3</v>
      </c>
      <c r="E869" s="21">
        <f t="shared" ca="1" si="68"/>
        <v>3.6949677829444945E-5</v>
      </c>
      <c r="F869" s="11">
        <f t="shared" ca="1" si="69"/>
        <v>5.0793726313983631</v>
      </c>
      <c r="G869" s="10">
        <f t="shared" ca="1" si="66"/>
        <v>1</v>
      </c>
    </row>
    <row r="870" spans="1:7" x14ac:dyDescent="0.2">
      <c r="A870" s="2">
        <v>19930811</v>
      </c>
      <c r="B870" s="13">
        <v>3583.35</v>
      </c>
      <c r="C870" s="2">
        <f t="shared" si="67"/>
        <v>2.97251681487263E-3</v>
      </c>
      <c r="D870" s="21">
        <f t="shared" ca="1" si="65"/>
        <v>2.5885643997657628E-3</v>
      </c>
      <c r="E870" s="21">
        <f t="shared" ca="1" si="68"/>
        <v>3.6053526775515103E-5</v>
      </c>
      <c r="F870" s="11">
        <f t="shared" ca="1" si="69"/>
        <v>5.0223263021512548</v>
      </c>
      <c r="G870" s="10">
        <f t="shared" ca="1" si="66"/>
        <v>1</v>
      </c>
    </row>
    <row r="871" spans="1:7" x14ac:dyDescent="0.2">
      <c r="A871" s="2">
        <v>19930812</v>
      </c>
      <c r="B871" s="13">
        <v>3569.09</v>
      </c>
      <c r="C871" s="2">
        <f t="shared" si="67"/>
        <v>-3.9795163743423789E-3</v>
      </c>
      <c r="D871" s="21">
        <f t="shared" ca="1" si="65"/>
        <v>-4.3634687894492461E-3</v>
      </c>
      <c r="E871" s="21">
        <f t="shared" ca="1" si="68"/>
        <v>3.5384965269207418E-5</v>
      </c>
      <c r="F871" s="11">
        <f t="shared" ca="1" si="69"/>
        <v>4.8555729309870603</v>
      </c>
      <c r="G871" s="10">
        <f t="shared" ca="1" si="66"/>
        <v>1</v>
      </c>
    </row>
    <row r="872" spans="1:7" x14ac:dyDescent="0.2">
      <c r="A872" s="2">
        <v>19930813</v>
      </c>
      <c r="B872" s="13">
        <v>3569.65</v>
      </c>
      <c r="C872" s="2">
        <f t="shared" si="67"/>
        <v>1.5690273991408044E-4</v>
      </c>
      <c r="D872" s="21">
        <f t="shared" ca="1" si="65"/>
        <v>-2.2704967519278685E-4</v>
      </c>
      <c r="E872" s="21">
        <f t="shared" ca="1" si="68"/>
        <v>3.5203960226095599E-5</v>
      </c>
      <c r="F872" s="11">
        <f t="shared" ca="1" si="69"/>
        <v>5.1264438036017959</v>
      </c>
      <c r="G872" s="10">
        <f t="shared" ca="1" si="66"/>
        <v>1</v>
      </c>
    </row>
    <row r="873" spans="1:7" x14ac:dyDescent="0.2">
      <c r="A873" s="2">
        <v>19930816</v>
      </c>
      <c r="B873" s="13">
        <v>3579.15</v>
      </c>
      <c r="C873" s="2">
        <f t="shared" si="67"/>
        <v>2.6613253400193295E-3</v>
      </c>
      <c r="D873" s="21">
        <f t="shared" ca="1" si="65"/>
        <v>2.2773729249124623E-3</v>
      </c>
      <c r="E873" s="21">
        <f t="shared" ca="1" si="68"/>
        <v>3.4333879036252098E-5</v>
      </c>
      <c r="F873" s="11">
        <f t="shared" ca="1" si="69"/>
        <v>5.0641596859306226</v>
      </c>
      <c r="G873" s="10">
        <f t="shared" ca="1" si="66"/>
        <v>1</v>
      </c>
    </row>
    <row r="874" spans="1:7" x14ac:dyDescent="0.2">
      <c r="A874" s="2">
        <v>19930817</v>
      </c>
      <c r="B874" s="13">
        <v>3586.98</v>
      </c>
      <c r="C874" s="2">
        <f t="shared" si="67"/>
        <v>2.187670256904552E-3</v>
      </c>
      <c r="D874" s="21">
        <f t="shared" ca="1" si="65"/>
        <v>1.8037178417976848E-3</v>
      </c>
      <c r="E874" s="21">
        <f t="shared" ca="1" si="68"/>
        <v>3.3696633892283448E-5</v>
      </c>
      <c r="F874" s="11">
        <f t="shared" ca="1" si="69"/>
        <v>5.1007814823580695</v>
      </c>
      <c r="G874" s="10">
        <f t="shared" ca="1" si="66"/>
        <v>1</v>
      </c>
    </row>
    <row r="875" spans="1:7" x14ac:dyDescent="0.2">
      <c r="A875" s="2">
        <v>19930818</v>
      </c>
      <c r="B875" s="13">
        <v>3604.86</v>
      </c>
      <c r="C875" s="2">
        <f t="shared" si="67"/>
        <v>4.9846946456350771E-3</v>
      </c>
      <c r="D875" s="21">
        <f t="shared" ca="1" si="65"/>
        <v>4.6007422305282099E-3</v>
      </c>
      <c r="E875" s="21">
        <f t="shared" ca="1" si="68"/>
        <v>3.3020546324275525E-5</v>
      </c>
      <c r="F875" s="11">
        <f t="shared" ca="1" si="69"/>
        <v>4.8386803103909006</v>
      </c>
      <c r="G875" s="10">
        <f t="shared" ca="1" si="66"/>
        <v>1</v>
      </c>
    </row>
    <row r="876" spans="1:7" x14ac:dyDescent="0.2">
      <c r="A876" s="2">
        <v>19930819</v>
      </c>
      <c r="B876" s="13">
        <v>3612.13</v>
      </c>
      <c r="C876" s="2">
        <f t="shared" si="67"/>
        <v>2.0167218699200474E-3</v>
      </c>
      <c r="D876" s="21">
        <f t="shared" ca="1" si="65"/>
        <v>1.6327694548131802E-3</v>
      </c>
      <c r="E876" s="21">
        <f t="shared" ca="1" si="68"/>
        <v>3.3037370385204836E-5</v>
      </c>
      <c r="F876" s="11">
        <f t="shared" ca="1" si="69"/>
        <v>5.1185883202620257</v>
      </c>
      <c r="G876" s="10">
        <f t="shared" ca="1" si="66"/>
        <v>1</v>
      </c>
    </row>
    <row r="877" spans="1:7" x14ac:dyDescent="0.2">
      <c r="A877" s="2">
        <v>19930820</v>
      </c>
      <c r="B877" s="13">
        <v>3615.48</v>
      </c>
      <c r="C877" s="2">
        <f t="shared" si="67"/>
        <v>9.2743062957310754E-4</v>
      </c>
      <c r="D877" s="21">
        <f t="shared" ca="1" si="65"/>
        <v>5.4347821446624025E-4</v>
      </c>
      <c r="E877" s="21">
        <f t="shared" ca="1" si="68"/>
        <v>3.237303317307738E-5</v>
      </c>
      <c r="F877" s="11">
        <f t="shared" ca="1" si="69"/>
        <v>5.1645304417046702</v>
      </c>
      <c r="G877" s="10">
        <f t="shared" ca="1" si="66"/>
        <v>1</v>
      </c>
    </row>
    <row r="878" spans="1:7" x14ac:dyDescent="0.2">
      <c r="A878" s="2">
        <v>19930823</v>
      </c>
      <c r="B878" s="13">
        <v>3605.98</v>
      </c>
      <c r="C878" s="2">
        <f t="shared" si="67"/>
        <v>-2.6275902508104041E-3</v>
      </c>
      <c r="D878" s="21">
        <f t="shared" ca="1" si="65"/>
        <v>-3.0115426659172713E-3</v>
      </c>
      <c r="E878" s="21">
        <f t="shared" ca="1" si="68"/>
        <v>3.165513509231185E-5</v>
      </c>
      <c r="F878" s="11">
        <f t="shared" ca="1" si="69"/>
        <v>5.0370520392974294</v>
      </c>
      <c r="G878" s="10">
        <f t="shared" ca="1" si="66"/>
        <v>1</v>
      </c>
    </row>
    <row r="879" spans="1:7" x14ac:dyDescent="0.2">
      <c r="A879" s="2">
        <v>19930824</v>
      </c>
      <c r="B879" s="13">
        <v>3638.96</v>
      </c>
      <c r="C879" s="2">
        <f t="shared" si="67"/>
        <v>9.1459187238975316E-3</v>
      </c>
      <c r="D879" s="21">
        <f t="shared" ca="1" si="65"/>
        <v>8.7619663087906644E-3</v>
      </c>
      <c r="E879" s="21">
        <f t="shared" ca="1" si="68"/>
        <v>3.1296191771316356E-5</v>
      </c>
      <c r="F879" s="11">
        <f t="shared" ca="1" si="69"/>
        <v>3.9594672042571259</v>
      </c>
      <c r="G879" s="10">
        <f t="shared" ca="1" si="66"/>
        <v>0</v>
      </c>
    </row>
    <row r="880" spans="1:7" x14ac:dyDescent="0.2">
      <c r="A880" s="2">
        <v>19930825</v>
      </c>
      <c r="B880" s="13">
        <v>3652.09</v>
      </c>
      <c r="C880" s="2">
        <f t="shared" si="67"/>
        <v>3.6081737639325822E-3</v>
      </c>
      <c r="D880" s="21">
        <f t="shared" ca="1" si="65"/>
        <v>3.224221348825715E-3</v>
      </c>
      <c r="E880" s="21">
        <f t="shared" ca="1" si="68"/>
        <v>3.3444952691957218E-5</v>
      </c>
      <c r="F880" s="11">
        <f t="shared" ca="1" si="69"/>
        <v>4.997391202461535</v>
      </c>
      <c r="G880" s="10">
        <f t="shared" ca="1" si="66"/>
        <v>1</v>
      </c>
    </row>
    <row r="881" spans="1:7" x14ac:dyDescent="0.2">
      <c r="A881" s="2">
        <v>19930826</v>
      </c>
      <c r="B881" s="13">
        <v>3648.18</v>
      </c>
      <c r="C881" s="2">
        <f t="shared" si="67"/>
        <v>-1.0706198368606221E-3</v>
      </c>
      <c r="D881" s="21">
        <f t="shared" ca="1" si="65"/>
        <v>-1.4545722519674893E-3</v>
      </c>
      <c r="E881" s="21">
        <f t="shared" ca="1" si="68"/>
        <v>3.3044229116537582E-5</v>
      </c>
      <c r="F881" s="11">
        <f t="shared" ca="1" si="69"/>
        <v>5.1268174375692235</v>
      </c>
      <c r="G881" s="10">
        <f t="shared" ca="1" si="66"/>
        <v>1</v>
      </c>
    </row>
    <row r="882" spans="1:7" x14ac:dyDescent="0.2">
      <c r="A882" s="2">
        <v>19930827</v>
      </c>
      <c r="B882" s="13">
        <v>3640.63</v>
      </c>
      <c r="C882" s="2">
        <f t="shared" si="67"/>
        <v>-2.0695250782581253E-3</v>
      </c>
      <c r="D882" s="21">
        <f t="shared" ca="1" si="65"/>
        <v>-2.4534774933649924E-3</v>
      </c>
      <c r="E882" s="21">
        <f t="shared" ca="1" si="68"/>
        <v>3.2359314734851015E-5</v>
      </c>
      <c r="F882" s="11">
        <f t="shared" ca="1" si="69"/>
        <v>5.0762932073524851</v>
      </c>
      <c r="G882" s="10">
        <f t="shared" ca="1" si="66"/>
        <v>1</v>
      </c>
    </row>
    <row r="883" spans="1:7" x14ac:dyDescent="0.2">
      <c r="A883" s="2">
        <v>19930830</v>
      </c>
      <c r="B883" s="13">
        <v>3643.99</v>
      </c>
      <c r="C883" s="2">
        <f t="shared" si="67"/>
        <v>9.2291718740978137E-4</v>
      </c>
      <c r="D883" s="21">
        <f t="shared" ca="1" si="65"/>
        <v>5.3896477230291407E-4</v>
      </c>
      <c r="E883" s="21">
        <f t="shared" ca="1" si="68"/>
        <v>3.1852598886851697E-5</v>
      </c>
      <c r="F883" s="11">
        <f t="shared" ca="1" si="69"/>
        <v>5.1726359897658991</v>
      </c>
      <c r="G883" s="10">
        <f t="shared" ca="1" si="66"/>
        <v>1</v>
      </c>
    </row>
    <row r="884" spans="1:7" x14ac:dyDescent="0.2">
      <c r="A884" s="2">
        <v>19930831</v>
      </c>
      <c r="B884" s="13">
        <v>3651.25</v>
      </c>
      <c r="C884" s="2">
        <f t="shared" si="67"/>
        <v>1.992321603517084E-3</v>
      </c>
      <c r="D884" s="21">
        <f t="shared" ca="1" si="65"/>
        <v>1.6083691884102168E-3</v>
      </c>
      <c r="E884" s="21">
        <f t="shared" ca="1" si="68"/>
        <v>3.1160850098010255E-5</v>
      </c>
      <c r="F884" s="11">
        <f t="shared" ca="1" si="69"/>
        <v>5.1466659906753085</v>
      </c>
      <c r="G884" s="10">
        <f t="shared" ca="1" si="66"/>
        <v>1</v>
      </c>
    </row>
    <row r="885" spans="1:7" x14ac:dyDescent="0.2">
      <c r="A885" s="2">
        <v>19930901</v>
      </c>
      <c r="B885" s="13">
        <v>3645.1</v>
      </c>
      <c r="C885" s="2">
        <f t="shared" si="67"/>
        <v>-1.6843546730571971E-3</v>
      </c>
      <c r="D885" s="21">
        <f t="shared" ca="1" si="65"/>
        <v>-2.0683070881640643E-3</v>
      </c>
      <c r="E885" s="21">
        <f t="shared" ca="1" si="68"/>
        <v>3.0588538584551516E-5</v>
      </c>
      <c r="F885" s="11">
        <f t="shared" ca="1" si="69"/>
        <v>5.1275161640442031</v>
      </c>
      <c r="G885" s="10">
        <f t="shared" ca="1" si="66"/>
        <v>1</v>
      </c>
    </row>
    <row r="886" spans="1:7" x14ac:dyDescent="0.2">
      <c r="A886" s="2">
        <v>19930902</v>
      </c>
      <c r="B886" s="13">
        <v>3626.1</v>
      </c>
      <c r="C886" s="2">
        <f t="shared" si="67"/>
        <v>-5.2124770239499602E-3</v>
      </c>
      <c r="D886" s="21">
        <f t="shared" ca="1" si="65"/>
        <v>-5.5964294390568273E-3</v>
      </c>
      <c r="E886" s="21">
        <f t="shared" ca="1" si="68"/>
        <v>3.0107363094099487E-5</v>
      </c>
      <c r="F886" s="11">
        <f t="shared" ca="1" si="69"/>
        <v>4.6852314805395547</v>
      </c>
      <c r="G886" s="10">
        <f t="shared" ca="1" si="66"/>
        <v>0</v>
      </c>
    </row>
    <row r="887" spans="1:7" x14ac:dyDescent="0.2">
      <c r="A887" s="2">
        <v>19930903</v>
      </c>
      <c r="B887" s="13">
        <v>3633.93</v>
      </c>
      <c r="C887" s="2">
        <f t="shared" si="67"/>
        <v>2.1593447505584311E-3</v>
      </c>
      <c r="D887" s="21">
        <f t="shared" ca="1" si="65"/>
        <v>1.7753923354515639E-3</v>
      </c>
      <c r="E887" s="21">
        <f t="shared" ca="1" si="68"/>
        <v>3.0644916702922643E-5</v>
      </c>
      <c r="F887" s="11">
        <f t="shared" ca="1" si="69"/>
        <v>5.1450938079140771</v>
      </c>
      <c r="G887" s="10">
        <f t="shared" ca="1" si="66"/>
        <v>1</v>
      </c>
    </row>
    <row r="888" spans="1:7" x14ac:dyDescent="0.2">
      <c r="A888" s="2">
        <v>19930907</v>
      </c>
      <c r="B888" s="13">
        <v>3607.1</v>
      </c>
      <c r="C888" s="2">
        <f t="shared" si="67"/>
        <v>-7.3831912007110562E-3</v>
      </c>
      <c r="D888" s="21">
        <f t="shared" ca="1" si="65"/>
        <v>-7.7671436158179234E-3</v>
      </c>
      <c r="E888" s="21">
        <f t="shared" ca="1" si="68"/>
        <v>3.0119488588758923E-5</v>
      </c>
      <c r="F888" s="11">
        <f t="shared" ca="1" si="69"/>
        <v>4.2036826081267789</v>
      </c>
      <c r="G888" s="10">
        <f t="shared" ca="1" si="66"/>
        <v>0</v>
      </c>
    </row>
    <row r="889" spans="1:7" x14ac:dyDescent="0.2">
      <c r="A889" s="2">
        <v>19930908</v>
      </c>
      <c r="B889" s="13">
        <v>3588.93</v>
      </c>
      <c r="C889" s="2">
        <f t="shared" si="67"/>
        <v>-5.0372875717335456E-3</v>
      </c>
      <c r="D889" s="21">
        <f t="shared" ca="1" si="65"/>
        <v>-5.4212399868404128E-3</v>
      </c>
      <c r="E889" s="21">
        <f t="shared" ca="1" si="68"/>
        <v>3.1723121867444333E-5</v>
      </c>
      <c r="F889" s="11">
        <f t="shared" ca="1" si="69"/>
        <v>4.7160080550800743</v>
      </c>
      <c r="G889" s="10">
        <f t="shared" ca="1" si="66"/>
        <v>1</v>
      </c>
    </row>
    <row r="890" spans="1:7" x14ac:dyDescent="0.2">
      <c r="A890" s="2">
        <v>19930909</v>
      </c>
      <c r="B890" s="13">
        <v>3589.49</v>
      </c>
      <c r="C890" s="2">
        <f t="shared" si="67"/>
        <v>1.5603536430076526E-4</v>
      </c>
      <c r="D890" s="21">
        <f t="shared" ca="1" si="65"/>
        <v>-2.2791705080610204E-4</v>
      </c>
      <c r="E890" s="21">
        <f t="shared" ca="1" si="68"/>
        <v>3.2107957638563848E-5</v>
      </c>
      <c r="F890" s="11">
        <f t="shared" ca="1" si="69"/>
        <v>5.172394398492437</v>
      </c>
      <c r="G890" s="10">
        <f t="shared" ca="1" si="66"/>
        <v>1</v>
      </c>
    </row>
    <row r="891" spans="1:7" x14ac:dyDescent="0.2">
      <c r="A891" s="2">
        <v>19930910</v>
      </c>
      <c r="B891" s="13">
        <v>3621.63</v>
      </c>
      <c r="C891" s="2">
        <f t="shared" si="67"/>
        <v>8.9539182446532316E-3</v>
      </c>
      <c r="D891" s="21">
        <f t="shared" ca="1" si="65"/>
        <v>8.5699658295463645E-3</v>
      </c>
      <c r="E891" s="21">
        <f t="shared" ca="1" si="68"/>
        <v>3.1394518750152065E-5</v>
      </c>
      <c r="F891" s="11">
        <f t="shared" ca="1" si="69"/>
        <v>4.0147389850220838</v>
      </c>
      <c r="G891" s="10">
        <f t="shared" ca="1" si="66"/>
        <v>0</v>
      </c>
    </row>
    <row r="892" spans="1:7" x14ac:dyDescent="0.2">
      <c r="A892" s="2">
        <v>19930913</v>
      </c>
      <c r="B892" s="13">
        <v>3634.21</v>
      </c>
      <c r="C892" s="2">
        <f t="shared" si="67"/>
        <v>3.473574053671945E-3</v>
      </c>
      <c r="D892" s="21">
        <f t="shared" ca="1" si="65"/>
        <v>3.0896216385650778E-3</v>
      </c>
      <c r="E892" s="21">
        <f t="shared" ca="1" si="68"/>
        <v>3.3415938492961097E-5</v>
      </c>
      <c r="F892" s="11">
        <f t="shared" ca="1" si="69"/>
        <v>5.0104063186286814</v>
      </c>
      <c r="G892" s="10">
        <f t="shared" ca="1" si="66"/>
        <v>1</v>
      </c>
    </row>
    <row r="893" spans="1:7" x14ac:dyDescent="0.2">
      <c r="A893" s="2">
        <v>19930914</v>
      </c>
      <c r="B893" s="13">
        <v>3615.76</v>
      </c>
      <c r="C893" s="2">
        <f t="shared" si="67"/>
        <v>-5.0767567091609504E-3</v>
      </c>
      <c r="D893" s="21">
        <f t="shared" ca="1" si="65"/>
        <v>-5.4607091242678176E-3</v>
      </c>
      <c r="E893" s="21">
        <f t="shared" ca="1" si="68"/>
        <v>3.2985432601930166E-5</v>
      </c>
      <c r="F893" s="11">
        <f t="shared" ca="1" si="69"/>
        <v>4.7077144879458954</v>
      </c>
      <c r="G893" s="10">
        <f t="shared" ca="1" si="66"/>
        <v>1</v>
      </c>
    </row>
    <row r="894" spans="1:7" x14ac:dyDescent="0.2">
      <c r="A894" s="2">
        <v>19930915</v>
      </c>
      <c r="B894" s="13">
        <v>3633.65</v>
      </c>
      <c r="C894" s="2">
        <f t="shared" si="67"/>
        <v>4.9477841449653386E-3</v>
      </c>
      <c r="D894" s="21">
        <f t="shared" ca="1" si="65"/>
        <v>4.5638317298584714E-3</v>
      </c>
      <c r="E894" s="21">
        <f t="shared" ca="1" si="68"/>
        <v>3.3322201164387012E-5</v>
      </c>
      <c r="F894" s="11">
        <f t="shared" ca="1" si="69"/>
        <v>4.8421105648388929</v>
      </c>
      <c r="G894" s="10">
        <f t="shared" ca="1" si="66"/>
        <v>1</v>
      </c>
    </row>
    <row r="895" spans="1:7" x14ac:dyDescent="0.2">
      <c r="A895" s="2">
        <v>19930916</v>
      </c>
      <c r="B895" s="13">
        <v>3630.85</v>
      </c>
      <c r="C895" s="2">
        <f t="shared" si="67"/>
        <v>-7.7057504162486253E-4</v>
      </c>
      <c r="D895" s="21">
        <f t="shared" ca="1" si="65"/>
        <v>-1.1545274567317299E-3</v>
      </c>
      <c r="E895" s="21">
        <f t="shared" ca="1" si="68"/>
        <v>3.3311325665378162E-5</v>
      </c>
      <c r="F895" s="11">
        <f t="shared" ca="1" si="69"/>
        <v>5.1347993402764471</v>
      </c>
      <c r="G895" s="10">
        <f t="shared" ca="1" si="66"/>
        <v>1</v>
      </c>
    </row>
    <row r="896" spans="1:7" x14ac:dyDescent="0.2">
      <c r="A896" s="2">
        <v>19930917</v>
      </c>
      <c r="B896" s="13">
        <v>3613.25</v>
      </c>
      <c r="C896" s="2">
        <f t="shared" si="67"/>
        <v>-4.8473497941253175E-3</v>
      </c>
      <c r="D896" s="21">
        <f t="shared" ca="1" si="65"/>
        <v>-5.2313022092321847E-3</v>
      </c>
      <c r="E896" s="21">
        <f t="shared" ca="1" si="68"/>
        <v>3.2584112138063949E-5</v>
      </c>
      <c r="F896" s="11">
        <f t="shared" ca="1" si="69"/>
        <v>4.745906268857679</v>
      </c>
      <c r="G896" s="10">
        <f t="shared" ca="1" si="66"/>
        <v>1</v>
      </c>
    </row>
    <row r="897" spans="1:7" x14ac:dyDescent="0.2">
      <c r="A897" s="2">
        <v>19930920</v>
      </c>
      <c r="B897" s="13">
        <v>3575.8</v>
      </c>
      <c r="C897" s="2">
        <f t="shared" si="67"/>
        <v>-1.0364630180585295E-2</v>
      </c>
      <c r="D897" s="21">
        <f t="shared" ca="1" si="65"/>
        <v>-1.0748582595692162E-2</v>
      </c>
      <c r="E897" s="21">
        <f t="shared" ca="1" si="68"/>
        <v>3.2850989111678839E-5</v>
      </c>
      <c r="F897" s="11">
        <f t="shared" ca="1" si="69"/>
        <v>3.4033389444926092</v>
      </c>
      <c r="G897" s="10">
        <f t="shared" ca="1" si="66"/>
        <v>0</v>
      </c>
    </row>
    <row r="898" spans="1:7" x14ac:dyDescent="0.2">
      <c r="A898" s="2">
        <v>19930921</v>
      </c>
      <c r="B898" s="13">
        <v>3537.24</v>
      </c>
      <c r="C898" s="2">
        <f t="shared" si="67"/>
        <v>-1.0783600872532132E-2</v>
      </c>
      <c r="D898" s="21">
        <f t="shared" ca="1" si="65"/>
        <v>-1.1167553287639E-2</v>
      </c>
      <c r="E898" s="21">
        <f t="shared" ca="1" si="68"/>
        <v>3.634636425174121E-5</v>
      </c>
      <c r="F898" s="11">
        <f t="shared" ca="1" si="69"/>
        <v>3.3955724033774191</v>
      </c>
      <c r="G898" s="10">
        <f t="shared" ca="1" si="66"/>
        <v>0</v>
      </c>
    </row>
    <row r="899" spans="1:7" x14ac:dyDescent="0.2">
      <c r="A899" s="2">
        <v>19930922</v>
      </c>
      <c r="B899" s="13">
        <v>3547.02</v>
      </c>
      <c r="C899" s="2">
        <f t="shared" si="67"/>
        <v>2.7648675238321971E-3</v>
      </c>
      <c r="D899" s="21">
        <f t="shared" ca="1" si="65"/>
        <v>2.3809151087253299E-3</v>
      </c>
      <c r="E899" s="21">
        <f t="shared" ca="1" si="68"/>
        <v>4.0002553423655889E-5</v>
      </c>
      <c r="F899" s="11">
        <f t="shared" ca="1" si="69"/>
        <v>4.9924286987779825</v>
      </c>
      <c r="G899" s="10">
        <f t="shared" ca="1" si="66"/>
        <v>1</v>
      </c>
    </row>
    <row r="900" spans="1:7" x14ac:dyDescent="0.2">
      <c r="A900" s="2">
        <v>19930923</v>
      </c>
      <c r="B900" s="13">
        <v>3539.75</v>
      </c>
      <c r="C900" s="2">
        <f t="shared" si="67"/>
        <v>-2.0496078398204638E-3</v>
      </c>
      <c r="D900" s="21">
        <f t="shared" ca="1" si="65"/>
        <v>-2.433560254927331E-3</v>
      </c>
      <c r="E900" s="21">
        <f t="shared" ca="1" si="68"/>
        <v>3.909626426704929E-5</v>
      </c>
      <c r="F900" s="11">
        <f t="shared" ca="1" si="69"/>
        <v>4.9990029267717571</v>
      </c>
      <c r="G900" s="10">
        <f t="shared" ca="1" si="66"/>
        <v>1</v>
      </c>
    </row>
    <row r="901" spans="1:7" x14ac:dyDescent="0.2">
      <c r="A901" s="2">
        <v>19930924</v>
      </c>
      <c r="B901" s="13">
        <v>3543.11</v>
      </c>
      <c r="C901" s="2">
        <f t="shared" si="67"/>
        <v>9.4921957765382512E-4</v>
      </c>
      <c r="D901" s="21">
        <f t="shared" ca="1" si="65"/>
        <v>5.6526716254695782E-4</v>
      </c>
      <c r="E901" s="21">
        <f t="shared" ca="1" si="68"/>
        <v>3.8245144698418324E-5</v>
      </c>
      <c r="F901" s="11">
        <f t="shared" ca="1" si="69"/>
        <v>5.0815696175398468</v>
      </c>
      <c r="G901" s="10">
        <f t="shared" ca="1" si="66"/>
        <v>1</v>
      </c>
    </row>
    <row r="902" spans="1:7" x14ac:dyDescent="0.2">
      <c r="A902" s="2">
        <v>19930927</v>
      </c>
      <c r="B902" s="13">
        <v>3567.7</v>
      </c>
      <c r="C902" s="2">
        <f t="shared" si="67"/>
        <v>6.9402304754861378E-3</v>
      </c>
      <c r="D902" s="21">
        <f t="shared" ca="1" si="65"/>
        <v>6.5562780603792706E-3</v>
      </c>
      <c r="E902" s="21">
        <f t="shared" ca="1" si="68"/>
        <v>3.7231062908491753E-5</v>
      </c>
      <c r="F902" s="11">
        <f t="shared" ca="1" si="69"/>
        <v>4.5219131489387632</v>
      </c>
      <c r="G902" s="10">
        <f t="shared" ca="1" si="66"/>
        <v>0</v>
      </c>
    </row>
    <row r="903" spans="1:7" x14ac:dyDescent="0.2">
      <c r="A903" s="2">
        <v>19930928</v>
      </c>
      <c r="B903" s="13">
        <v>3566.02</v>
      </c>
      <c r="C903" s="2">
        <f t="shared" si="67"/>
        <v>-4.708916108416729E-4</v>
      </c>
      <c r="D903" s="21">
        <f t="shared" ca="1" si="65"/>
        <v>-8.5484402594854019E-4</v>
      </c>
      <c r="E903" s="21">
        <f t="shared" ca="1" si="68"/>
        <v>3.7837159773580824E-5</v>
      </c>
      <c r="F903" s="11">
        <f t="shared" ca="1" si="69"/>
        <v>5.081452815589163</v>
      </c>
      <c r="G903" s="10">
        <f t="shared" ca="1" si="66"/>
        <v>1</v>
      </c>
    </row>
    <row r="904" spans="1:7" x14ac:dyDescent="0.2">
      <c r="A904" s="2">
        <v>19930929</v>
      </c>
      <c r="B904" s="13">
        <v>3566.3</v>
      </c>
      <c r="C904" s="2">
        <f t="shared" si="67"/>
        <v>7.851890903589999E-5</v>
      </c>
      <c r="D904" s="21">
        <f t="shared" ca="1" si="65"/>
        <v>-3.0543350607096728E-4</v>
      </c>
      <c r="E904" s="21">
        <f t="shared" ca="1" si="68"/>
        <v>3.685883976987179E-5</v>
      </c>
      <c r="F904" s="11">
        <f t="shared" ca="1" si="69"/>
        <v>5.102942042758456</v>
      </c>
      <c r="G904" s="10">
        <f t="shared" ca="1" si="66"/>
        <v>1</v>
      </c>
    </row>
    <row r="905" spans="1:7" x14ac:dyDescent="0.2">
      <c r="A905" s="2">
        <v>19930930</v>
      </c>
      <c r="B905" s="13">
        <v>3555.12</v>
      </c>
      <c r="C905" s="2">
        <f t="shared" si="67"/>
        <v>-3.1349017188683761E-3</v>
      </c>
      <c r="D905" s="21">
        <f t="shared" ca="1" si="65"/>
        <v>-3.5188541339752433E-3</v>
      </c>
      <c r="E905" s="21">
        <f t="shared" ca="1" si="68"/>
        <v>3.5906572460786231E-5</v>
      </c>
      <c r="F905" s="11">
        <f t="shared" ca="1" si="69"/>
        <v>4.9448707569879442</v>
      </c>
      <c r="G905" s="10">
        <f t="shared" ca="1" si="66"/>
        <v>1</v>
      </c>
    </row>
    <row r="906" spans="1:7" x14ac:dyDescent="0.2">
      <c r="A906" s="2">
        <v>19931001</v>
      </c>
      <c r="B906" s="13">
        <v>3581.11</v>
      </c>
      <c r="C906" s="2">
        <f t="shared" si="67"/>
        <v>7.310583046423254E-3</v>
      </c>
      <c r="D906" s="21">
        <f t="shared" ca="1" si="65"/>
        <v>6.9266306313163868E-3</v>
      </c>
      <c r="E906" s="21">
        <f t="shared" ca="1" si="68"/>
        <v>3.5454370302577714E-5</v>
      </c>
      <c r="F906" s="11">
        <f t="shared" ca="1" si="69"/>
        <v>4.4470128644104276</v>
      </c>
      <c r="G906" s="10">
        <f t="shared" ca="1" si="66"/>
        <v>0</v>
      </c>
    </row>
    <row r="907" spans="1:7" x14ac:dyDescent="0.2">
      <c r="A907" s="2">
        <v>19931004</v>
      </c>
      <c r="B907" s="13">
        <v>3577.76</v>
      </c>
      <c r="C907" s="2">
        <f t="shared" si="67"/>
        <v>-9.3546414379896427E-4</v>
      </c>
      <c r="D907" s="21">
        <f t="shared" ca="1" si="65"/>
        <v>-1.3194165589058317E-3</v>
      </c>
      <c r="E907" s="21">
        <f t="shared" ca="1" si="68"/>
        <v>3.6333967767702678E-5</v>
      </c>
      <c r="F907" s="11">
        <f t="shared" ca="1" si="69"/>
        <v>5.0874223800834404</v>
      </c>
      <c r="G907" s="10">
        <f t="shared" ca="1" si="66"/>
        <v>1</v>
      </c>
    </row>
    <row r="908" spans="1:7" x14ac:dyDescent="0.2">
      <c r="A908" s="2">
        <v>19931005</v>
      </c>
      <c r="B908" s="13">
        <v>3587.26</v>
      </c>
      <c r="C908" s="2">
        <f t="shared" si="67"/>
        <v>2.6552926971065692E-3</v>
      </c>
      <c r="D908" s="21">
        <f t="shared" ca="1" si="65"/>
        <v>2.271340281999702E-3</v>
      </c>
      <c r="E908" s="21">
        <f t="shared" ca="1" si="68"/>
        <v>3.5468837947448747E-5</v>
      </c>
      <c r="F908" s="11">
        <f t="shared" ca="1" si="69"/>
        <v>5.0507024025955873</v>
      </c>
      <c r="G908" s="10">
        <f t="shared" ca="1" si="66"/>
        <v>1</v>
      </c>
    </row>
    <row r="909" spans="1:7" x14ac:dyDescent="0.2">
      <c r="A909" s="2">
        <v>19931006</v>
      </c>
      <c r="B909" s="13">
        <v>3598.99</v>
      </c>
      <c r="C909" s="2">
        <f t="shared" si="67"/>
        <v>3.2699051643871819E-3</v>
      </c>
      <c r="D909" s="21">
        <f t="shared" ca="1" si="65"/>
        <v>2.8859527492803147E-3</v>
      </c>
      <c r="E909" s="21">
        <f t="shared" ca="1" si="68"/>
        <v>3.4773165813711605E-5</v>
      </c>
      <c r="F909" s="11">
        <f t="shared" ca="1" si="69"/>
        <v>5.0135743737287548</v>
      </c>
      <c r="G909" s="10">
        <f t="shared" ca="1" si="66"/>
        <v>1</v>
      </c>
    </row>
    <row r="910" spans="1:7" x14ac:dyDescent="0.2">
      <c r="A910" s="2">
        <v>19931007</v>
      </c>
      <c r="B910" s="13">
        <v>3583.63</v>
      </c>
      <c r="C910" s="2">
        <f t="shared" si="67"/>
        <v>-4.2678640396332512E-3</v>
      </c>
      <c r="D910" s="21">
        <f t="shared" ref="D910:D973" ca="1" si="70">(C910-mu)</f>
        <v>-4.6518164547401184E-3</v>
      </c>
      <c r="E910" s="21">
        <f t="shared" ca="1" si="68"/>
        <v>3.4229244711367185E-5</v>
      </c>
      <c r="F910" s="11">
        <f t="shared" ca="1" si="69"/>
        <v>4.8251199376399656</v>
      </c>
      <c r="G910" s="10">
        <f t="shared" ref="G910:G973" ca="1" si="71">IF(AND(C910&lt;=mu+zvalue*SQRT(E910),C910&gt;=mu-zvalue*SQRT(E910)),1,0)</f>
        <v>1</v>
      </c>
    </row>
    <row r="911" spans="1:7" x14ac:dyDescent="0.2">
      <c r="A911" s="2">
        <v>19931008</v>
      </c>
      <c r="B911" s="13">
        <v>3584.74</v>
      </c>
      <c r="C911" s="2">
        <f t="shared" ref="C911:C974" si="72">(B911-B910)/B910</f>
        <v>3.0974179812080836E-4</v>
      </c>
      <c r="D911" s="21">
        <f t="shared" ca="1" si="70"/>
        <v>-7.4210616986058933E-5</v>
      </c>
      <c r="E911" s="21">
        <f t="shared" ref="E911:E974" ca="1" si="73">(1-alpha-beta)*longvar+alpha*D910^2+beta*E910</f>
        <v>3.4202297446070448E-5</v>
      </c>
      <c r="F911" s="11">
        <f t="shared" ref="F911:F974" ca="1" si="74">(-0.5)*(LN(E911)+D911^2/E911)</f>
        <v>5.1415283602424822</v>
      </c>
      <c r="G911" s="10">
        <f t="shared" ca="1" si="71"/>
        <v>1</v>
      </c>
    </row>
    <row r="912" spans="1:7" x14ac:dyDescent="0.2">
      <c r="A912" s="2">
        <v>19931011</v>
      </c>
      <c r="B912" s="13">
        <v>3593.41</v>
      </c>
      <c r="C912" s="2">
        <f t="shared" si="72"/>
        <v>2.4185854483170532E-3</v>
      </c>
      <c r="D912" s="21">
        <f t="shared" ca="1" si="70"/>
        <v>2.034633033210186E-3</v>
      </c>
      <c r="E912" s="21">
        <f t="shared" ca="1" si="73"/>
        <v>3.3381197575327387E-5</v>
      </c>
      <c r="F912" s="11">
        <f t="shared" ca="1" si="74"/>
        <v>5.0917519454236917</v>
      </c>
      <c r="G912" s="10">
        <f t="shared" ca="1" si="71"/>
        <v>1</v>
      </c>
    </row>
    <row r="913" spans="1:7" x14ac:dyDescent="0.2">
      <c r="A913" s="2">
        <v>19931012</v>
      </c>
      <c r="B913" s="13">
        <v>3593.13</v>
      </c>
      <c r="C913" s="2">
        <f t="shared" si="72"/>
        <v>-7.7920415427058245E-5</v>
      </c>
      <c r="D913" s="21">
        <f t="shared" ca="1" si="70"/>
        <v>-4.6187283053392554E-4</v>
      </c>
      <c r="E913" s="21">
        <f t="shared" ca="1" si="73"/>
        <v>3.2753660065824416E-5</v>
      </c>
      <c r="F913" s="11">
        <f t="shared" ca="1" si="74"/>
        <v>5.1599913928318726</v>
      </c>
      <c r="G913" s="10">
        <f t="shared" ca="1" si="71"/>
        <v>1</v>
      </c>
    </row>
    <row r="914" spans="1:7" x14ac:dyDescent="0.2">
      <c r="A914" s="2">
        <v>19931013</v>
      </c>
      <c r="B914" s="13">
        <v>3603.19</v>
      </c>
      <c r="C914" s="2">
        <f t="shared" si="72"/>
        <v>2.7997873720126869E-3</v>
      </c>
      <c r="D914" s="21">
        <f t="shared" ca="1" si="70"/>
        <v>2.4158349569058197E-3</v>
      </c>
      <c r="E914" s="21">
        <f t="shared" ca="1" si="73"/>
        <v>3.201348911550551E-5</v>
      </c>
      <c r="F914" s="11">
        <f t="shared" ca="1" si="74"/>
        <v>5.0835234891066481</v>
      </c>
      <c r="G914" s="10">
        <f t="shared" ca="1" si="71"/>
        <v>1</v>
      </c>
    </row>
    <row r="915" spans="1:7" x14ac:dyDescent="0.2">
      <c r="A915" s="2">
        <v>19931014</v>
      </c>
      <c r="B915" s="13">
        <v>3621.63</v>
      </c>
      <c r="C915" s="2">
        <f t="shared" si="72"/>
        <v>5.1176873825693496E-3</v>
      </c>
      <c r="D915" s="21">
        <f t="shared" ca="1" si="70"/>
        <v>4.7337349674624824E-3</v>
      </c>
      <c r="E915" s="21">
        <f t="shared" ca="1" si="73"/>
        <v>3.1517528685827359E-5</v>
      </c>
      <c r="F915" s="11">
        <f t="shared" ca="1" si="74"/>
        <v>4.8269947115358276</v>
      </c>
      <c r="G915" s="10">
        <f t="shared" ca="1" si="71"/>
        <v>1</v>
      </c>
    </row>
    <row r="916" spans="1:7" x14ac:dyDescent="0.2">
      <c r="A916" s="2">
        <v>19931015</v>
      </c>
      <c r="B916" s="13">
        <v>3629.73</v>
      </c>
      <c r="C916" s="2">
        <f t="shared" si="72"/>
        <v>2.2365619900431323E-3</v>
      </c>
      <c r="D916" s="21">
        <f t="shared" ca="1" si="70"/>
        <v>1.8526095749362651E-3</v>
      </c>
      <c r="E916" s="21">
        <f t="shared" ca="1" si="73"/>
        <v>3.1656039999290491E-5</v>
      </c>
      <c r="F916" s="11">
        <f t="shared" ca="1" si="74"/>
        <v>5.1260805680248955</v>
      </c>
      <c r="G916" s="10">
        <f t="shared" ca="1" si="71"/>
        <v>1</v>
      </c>
    </row>
    <row r="917" spans="1:7" x14ac:dyDescent="0.2">
      <c r="A917" s="2">
        <v>19931018</v>
      </c>
      <c r="B917" s="13">
        <v>3642.31</v>
      </c>
      <c r="C917" s="2">
        <f t="shared" si="72"/>
        <v>3.4658225267443932E-3</v>
      </c>
      <c r="D917" s="21">
        <f t="shared" ca="1" si="70"/>
        <v>3.0818701116375261E-3</v>
      </c>
      <c r="E917" s="21">
        <f t="shared" ca="1" si="73"/>
        <v>3.108976021941212E-5</v>
      </c>
      <c r="F917" s="11">
        <f t="shared" ca="1" si="74"/>
        <v>5.0365659968523318</v>
      </c>
      <c r="G917" s="10">
        <f t="shared" ca="1" si="71"/>
        <v>1</v>
      </c>
    </row>
    <row r="918" spans="1:7" x14ac:dyDescent="0.2">
      <c r="A918" s="2">
        <v>19931019</v>
      </c>
      <c r="B918" s="13">
        <v>3635.32</v>
      </c>
      <c r="C918" s="2">
        <f t="shared" si="72"/>
        <v>-1.9191117724740019E-3</v>
      </c>
      <c r="D918" s="21">
        <f t="shared" ca="1" si="70"/>
        <v>-2.3030641875808693E-3</v>
      </c>
      <c r="E918" s="21">
        <f t="shared" ca="1" si="73"/>
        <v>3.077517734856471E-5</v>
      </c>
      <c r="F918" s="11">
        <f t="shared" ca="1" si="74"/>
        <v>5.1082260155036652</v>
      </c>
      <c r="G918" s="10">
        <f t="shared" ca="1" si="71"/>
        <v>1</v>
      </c>
    </row>
    <row r="919" spans="1:7" x14ac:dyDescent="0.2">
      <c r="A919" s="2">
        <v>19931020</v>
      </c>
      <c r="B919" s="13">
        <v>3645.1</v>
      </c>
      <c r="C919" s="2">
        <f t="shared" si="72"/>
        <v>2.6902721080949532E-3</v>
      </c>
      <c r="D919" s="21">
        <f t="shared" ca="1" si="70"/>
        <v>2.306319692988086E-3</v>
      </c>
      <c r="E919" s="21">
        <f t="shared" ca="1" si="73"/>
        <v>3.032229529132124E-5</v>
      </c>
      <c r="F919" s="11">
        <f t="shared" ca="1" si="74"/>
        <v>5.1141040861162521</v>
      </c>
      <c r="G919" s="10">
        <f t="shared" ca="1" si="71"/>
        <v>1</v>
      </c>
    </row>
    <row r="920" spans="1:7" x14ac:dyDescent="0.2">
      <c r="A920" s="2">
        <v>19931021</v>
      </c>
      <c r="B920" s="13">
        <v>3636.16</v>
      </c>
      <c r="C920" s="2">
        <f t="shared" si="72"/>
        <v>-2.4526076102164701E-3</v>
      </c>
      <c r="D920" s="21">
        <f t="shared" ca="1" si="70"/>
        <v>-2.8365600253233373E-3</v>
      </c>
      <c r="E920" s="21">
        <f t="shared" ca="1" si="73"/>
        <v>2.9892876478664953E-5</v>
      </c>
      <c r="F920" s="11">
        <f t="shared" ca="1" si="74"/>
        <v>5.074363399995887</v>
      </c>
      <c r="G920" s="10">
        <f t="shared" ca="1" si="71"/>
        <v>1</v>
      </c>
    </row>
    <row r="921" spans="1:7" x14ac:dyDescent="0.2">
      <c r="A921" s="2">
        <v>19931022</v>
      </c>
      <c r="B921" s="13">
        <v>3649.3</v>
      </c>
      <c r="C921" s="2">
        <f t="shared" si="72"/>
        <v>3.6137023673326607E-3</v>
      </c>
      <c r="D921" s="21">
        <f t="shared" ca="1" si="70"/>
        <v>3.2297499522257935E-3</v>
      </c>
      <c r="E921" s="21">
        <f t="shared" ca="1" si="73"/>
        <v>2.9585457268506838E-5</v>
      </c>
      <c r="F921" s="11">
        <f t="shared" ca="1" si="74"/>
        <v>5.0378230654325646</v>
      </c>
      <c r="G921" s="10">
        <f t="shared" ca="1" si="71"/>
        <v>1</v>
      </c>
    </row>
    <row r="922" spans="1:7" x14ac:dyDescent="0.2">
      <c r="A922" s="2">
        <v>19931025</v>
      </c>
      <c r="B922" s="13">
        <v>3673.61</v>
      </c>
      <c r="C922" s="2">
        <f t="shared" si="72"/>
        <v>6.6615515304304781E-3</v>
      </c>
      <c r="D922" s="21">
        <f t="shared" ca="1" si="70"/>
        <v>6.2775991153236109E-3</v>
      </c>
      <c r="E922" s="21">
        <f t="shared" ca="1" si="73"/>
        <v>2.9381298906486204E-5</v>
      </c>
      <c r="F922" s="11">
        <f t="shared" ca="1" si="74"/>
        <v>4.5469411591238051</v>
      </c>
      <c r="G922" s="10">
        <f t="shared" ca="1" si="71"/>
        <v>0</v>
      </c>
    </row>
    <row r="923" spans="1:7" x14ac:dyDescent="0.2">
      <c r="A923" s="2">
        <v>19931026</v>
      </c>
      <c r="B923" s="13">
        <v>3672.49</v>
      </c>
      <c r="C923" s="2">
        <f t="shared" si="72"/>
        <v>-3.0487721886654967E-4</v>
      </c>
      <c r="D923" s="21">
        <f t="shared" ca="1" si="70"/>
        <v>-6.8882963397341691E-4</v>
      </c>
      <c r="E923" s="21">
        <f t="shared" ca="1" si="73"/>
        <v>3.0253002614467589E-5</v>
      </c>
      <c r="F923" s="11">
        <f t="shared" ca="1" si="74"/>
        <v>5.1951155894334002</v>
      </c>
      <c r="G923" s="10">
        <f t="shared" ca="1" si="71"/>
        <v>1</v>
      </c>
    </row>
    <row r="924" spans="1:7" x14ac:dyDescent="0.2">
      <c r="A924" s="2">
        <v>19931027</v>
      </c>
      <c r="B924" s="13">
        <v>3664.66</v>
      </c>
      <c r="C924" s="2">
        <f t="shared" si="72"/>
        <v>-2.1320684331339029E-3</v>
      </c>
      <c r="D924" s="21">
        <f t="shared" ca="1" si="70"/>
        <v>-2.51602084824077E-3</v>
      </c>
      <c r="E924" s="21">
        <f t="shared" ca="1" si="73"/>
        <v>2.9648944048107047E-5</v>
      </c>
      <c r="F924" s="11">
        <f t="shared" ca="1" si="74"/>
        <v>5.1062867728386232</v>
      </c>
      <c r="G924" s="10">
        <f t="shared" ca="1" si="71"/>
        <v>1</v>
      </c>
    </row>
    <row r="925" spans="1:7" x14ac:dyDescent="0.2">
      <c r="A925" s="2">
        <v>19931028</v>
      </c>
      <c r="B925" s="13">
        <v>3687.86</v>
      </c>
      <c r="C925" s="2">
        <f t="shared" si="72"/>
        <v>6.3307373671773843E-3</v>
      </c>
      <c r="D925" s="21">
        <f t="shared" ca="1" si="70"/>
        <v>5.9467849520705171E-3</v>
      </c>
      <c r="E925" s="21">
        <f t="shared" ca="1" si="73"/>
        <v>2.9290775738811413E-5</v>
      </c>
      <c r="F925" s="11">
        <f t="shared" ca="1" si="74"/>
        <v>4.6154433900000305</v>
      </c>
      <c r="G925" s="10">
        <f t="shared" ca="1" si="71"/>
        <v>0</v>
      </c>
    </row>
    <row r="926" spans="1:7" x14ac:dyDescent="0.2">
      <c r="A926" s="2">
        <v>19931029</v>
      </c>
      <c r="B926" s="13">
        <v>3680.59</v>
      </c>
      <c r="C926" s="2">
        <f t="shared" si="72"/>
        <v>-1.9713329681712377E-3</v>
      </c>
      <c r="D926" s="21">
        <f t="shared" ca="1" si="70"/>
        <v>-2.3552853832781049E-3</v>
      </c>
      <c r="E926" s="21">
        <f t="shared" ca="1" si="73"/>
        <v>3.0018354125195215E-5</v>
      </c>
      <c r="F926" s="11">
        <f t="shared" ca="1" si="74"/>
        <v>5.1144511561329233</v>
      </c>
      <c r="G926" s="10">
        <f t="shared" ca="1" si="71"/>
        <v>1</v>
      </c>
    </row>
    <row r="927" spans="1:7" x14ac:dyDescent="0.2">
      <c r="A927" s="2">
        <v>19931101</v>
      </c>
      <c r="B927" s="13">
        <v>3692.61</v>
      </c>
      <c r="C927" s="2">
        <f t="shared" si="72"/>
        <v>3.2657807579762974E-3</v>
      </c>
      <c r="D927" s="21">
        <f t="shared" ca="1" si="70"/>
        <v>2.8818283428694302E-3</v>
      </c>
      <c r="E927" s="21">
        <f t="shared" ca="1" si="73"/>
        <v>2.9612705267542769E-5</v>
      </c>
      <c r="F927" s="11">
        <f t="shared" ca="1" si="74"/>
        <v>5.073427660394886</v>
      </c>
      <c r="G927" s="10">
        <f t="shared" ca="1" si="71"/>
        <v>1</v>
      </c>
    </row>
    <row r="928" spans="1:7" x14ac:dyDescent="0.2">
      <c r="A928" s="2">
        <v>19931102</v>
      </c>
      <c r="B928" s="13">
        <v>3697.64</v>
      </c>
      <c r="C928" s="2">
        <f t="shared" si="72"/>
        <v>1.3621801381677851E-3</v>
      </c>
      <c r="D928" s="21">
        <f t="shared" ca="1" si="70"/>
        <v>9.7822772306091791E-4</v>
      </c>
      <c r="E928" s="21">
        <f t="shared" ca="1" si="73"/>
        <v>2.9328978812330519E-5</v>
      </c>
      <c r="F928" s="11">
        <f t="shared" ca="1" si="74"/>
        <v>5.2021535266886785</v>
      </c>
      <c r="G928" s="10">
        <f t="shared" ca="1" si="71"/>
        <v>1</v>
      </c>
    </row>
    <row r="929" spans="1:7" x14ac:dyDescent="0.2">
      <c r="A929" s="2">
        <v>19931103</v>
      </c>
      <c r="B929" s="13">
        <v>3661.87</v>
      </c>
      <c r="C929" s="2">
        <f t="shared" si="72"/>
        <v>-9.6737378435975338E-3</v>
      </c>
      <c r="D929" s="21">
        <f t="shared" ca="1" si="70"/>
        <v>-1.0057690258704401E-2</v>
      </c>
      <c r="E929" s="21">
        <f t="shared" ca="1" si="73"/>
        <v>2.8789407193697995E-5</v>
      </c>
      <c r="F929" s="11">
        <f t="shared" ca="1" si="74"/>
        <v>3.4709051122748358</v>
      </c>
      <c r="G929" s="10">
        <f t="shared" ca="1" si="71"/>
        <v>0</v>
      </c>
    </row>
    <row r="930" spans="1:7" x14ac:dyDescent="0.2">
      <c r="A930" s="2">
        <v>19931104</v>
      </c>
      <c r="B930" s="13">
        <v>3624.98</v>
      </c>
      <c r="C930" s="2">
        <f t="shared" si="72"/>
        <v>-1.00740878294423E-2</v>
      </c>
      <c r="D930" s="21">
        <f t="shared" ca="1" si="70"/>
        <v>-1.0458040244549167E-2</v>
      </c>
      <c r="E930" s="21">
        <f t="shared" ca="1" si="73"/>
        <v>3.1961669131186184E-5</v>
      </c>
      <c r="F930" s="11">
        <f t="shared" ca="1" si="74"/>
        <v>3.4645214295227493</v>
      </c>
      <c r="G930" s="10">
        <f t="shared" ca="1" si="71"/>
        <v>0</v>
      </c>
    </row>
    <row r="931" spans="1:7" x14ac:dyDescent="0.2">
      <c r="A931" s="2">
        <v>19931105</v>
      </c>
      <c r="B931" s="13">
        <v>3643.43</v>
      </c>
      <c r="C931" s="2">
        <f t="shared" si="72"/>
        <v>5.0896832534247961E-3</v>
      </c>
      <c r="D931" s="21">
        <f t="shared" ca="1" si="70"/>
        <v>4.7057308383179289E-3</v>
      </c>
      <c r="E931" s="21">
        <f t="shared" ca="1" si="73"/>
        <v>3.5275469014611027E-5</v>
      </c>
      <c r="F931" s="11">
        <f t="shared" ca="1" si="74"/>
        <v>4.8122902510354981</v>
      </c>
      <c r="G931" s="10">
        <f t="shared" ca="1" si="71"/>
        <v>1</v>
      </c>
    </row>
    <row r="932" spans="1:7" x14ac:dyDescent="0.2">
      <c r="A932" s="2">
        <v>19931108</v>
      </c>
      <c r="B932" s="13">
        <v>3647.9</v>
      </c>
      <c r="C932" s="2">
        <f t="shared" si="72"/>
        <v>1.226865892853782E-3</v>
      </c>
      <c r="D932" s="21">
        <f t="shared" ca="1" si="70"/>
        <v>8.4291347774691466E-4</v>
      </c>
      <c r="E932" s="21">
        <f t="shared" ca="1" si="73"/>
        <v>3.5214144498332054E-5</v>
      </c>
      <c r="F932" s="11">
        <f t="shared" ca="1" si="74"/>
        <v>5.116943041661</v>
      </c>
      <c r="G932" s="10">
        <f t="shared" ca="1" si="71"/>
        <v>1</v>
      </c>
    </row>
    <row r="933" spans="1:7" x14ac:dyDescent="0.2">
      <c r="A933" s="2">
        <v>19931109</v>
      </c>
      <c r="B933" s="13">
        <v>3640.07</v>
      </c>
      <c r="C933" s="2">
        <f t="shared" si="72"/>
        <v>-2.14644041777459E-3</v>
      </c>
      <c r="D933" s="21">
        <f t="shared" ca="1" si="70"/>
        <v>-2.5303928328814572E-3</v>
      </c>
      <c r="E933" s="21">
        <f t="shared" ca="1" si="73"/>
        <v>3.4367778882811388E-5</v>
      </c>
      <c r="F933" s="11">
        <f t="shared" ca="1" si="74"/>
        <v>5.0460430632733955</v>
      </c>
      <c r="G933" s="10">
        <f t="shared" ca="1" si="71"/>
        <v>1</v>
      </c>
    </row>
    <row r="934" spans="1:7" x14ac:dyDescent="0.2">
      <c r="A934" s="2">
        <v>19931110</v>
      </c>
      <c r="B934" s="13">
        <v>3663.55</v>
      </c>
      <c r="C934" s="2">
        <f t="shared" si="72"/>
        <v>6.4504254039070728E-3</v>
      </c>
      <c r="D934" s="21">
        <f t="shared" ca="1" si="70"/>
        <v>6.0664729888002056E-3</v>
      </c>
      <c r="E934" s="21">
        <f t="shared" ca="1" si="73"/>
        <v>3.37735501091713E-5</v>
      </c>
      <c r="F934" s="11">
        <f t="shared" ca="1" si="74"/>
        <v>4.603080262559458</v>
      </c>
      <c r="G934" s="10">
        <f t="shared" ca="1" si="71"/>
        <v>0</v>
      </c>
    </row>
    <row r="935" spans="1:7" x14ac:dyDescent="0.2">
      <c r="A935" s="2">
        <v>19931111</v>
      </c>
      <c r="B935" s="13">
        <v>3662.43</v>
      </c>
      <c r="C935" s="2">
        <f t="shared" si="72"/>
        <v>-3.0571440269693207E-4</v>
      </c>
      <c r="D935" s="21">
        <f t="shared" ca="1" si="70"/>
        <v>-6.8966681780379931E-4</v>
      </c>
      <c r="E935" s="21">
        <f t="shared" ca="1" si="73"/>
        <v>3.4327215471267617E-5</v>
      </c>
      <c r="F935" s="11">
        <f t="shared" ca="1" si="74"/>
        <v>5.1328579969406043</v>
      </c>
      <c r="G935" s="10">
        <f t="shared" ca="1" si="71"/>
        <v>1</v>
      </c>
    </row>
    <row r="936" spans="1:7" x14ac:dyDescent="0.2">
      <c r="A936" s="2">
        <v>19931112</v>
      </c>
      <c r="B936" s="13">
        <v>3684.51</v>
      </c>
      <c r="C936" s="2">
        <f t="shared" si="72"/>
        <v>6.0287841678886376E-3</v>
      </c>
      <c r="D936" s="21">
        <f t="shared" ca="1" si="70"/>
        <v>5.6448317527817704E-3</v>
      </c>
      <c r="E936" s="21">
        <f t="shared" ca="1" si="73"/>
        <v>3.351708357160394E-5</v>
      </c>
      <c r="F936" s="11">
        <f t="shared" ca="1" si="74"/>
        <v>4.6763860868616796</v>
      </c>
      <c r="G936" s="10">
        <f t="shared" ca="1" si="71"/>
        <v>1</v>
      </c>
    </row>
    <row r="937" spans="1:7" x14ac:dyDescent="0.2">
      <c r="A937" s="2">
        <v>19931115</v>
      </c>
      <c r="B937" s="13">
        <v>3677.52</v>
      </c>
      <c r="C937" s="2">
        <f t="shared" si="72"/>
        <v>-1.8971315045963333E-3</v>
      </c>
      <c r="D937" s="21">
        <f t="shared" ca="1" si="70"/>
        <v>-2.2810839197032005E-3</v>
      </c>
      <c r="E937" s="21">
        <f t="shared" ca="1" si="73"/>
        <v>3.3902145917981042E-5</v>
      </c>
      <c r="F937" s="11">
        <f t="shared" ca="1" si="74"/>
        <v>5.0692754953787409</v>
      </c>
      <c r="G937" s="10">
        <f t="shared" ca="1" si="71"/>
        <v>1</v>
      </c>
    </row>
    <row r="938" spans="1:7" x14ac:dyDescent="0.2">
      <c r="A938" s="2">
        <v>19931116</v>
      </c>
      <c r="B938" s="13">
        <v>3710.77</v>
      </c>
      <c r="C938" s="2">
        <f t="shared" si="72"/>
        <v>9.0414192172986151E-3</v>
      </c>
      <c r="D938" s="21">
        <f t="shared" ca="1" si="70"/>
        <v>8.6574668021917479E-3</v>
      </c>
      <c r="E938" s="21">
        <f t="shared" ca="1" si="73"/>
        <v>3.3287364340538006E-5</v>
      </c>
      <c r="F938" s="11">
        <f t="shared" ca="1" si="74"/>
        <v>4.029337773484821</v>
      </c>
      <c r="G938" s="10">
        <f t="shared" ca="1" si="71"/>
        <v>0</v>
      </c>
    </row>
    <row r="939" spans="1:7" x14ac:dyDescent="0.2">
      <c r="A939" s="2">
        <v>19931117</v>
      </c>
      <c r="B939" s="13">
        <v>3704.35</v>
      </c>
      <c r="C939" s="2">
        <f t="shared" si="72"/>
        <v>-1.7300991438434807E-3</v>
      </c>
      <c r="D939" s="21">
        <f t="shared" ca="1" si="70"/>
        <v>-2.1140515589503478E-3</v>
      </c>
      <c r="E939" s="21">
        <f t="shared" ca="1" si="73"/>
        <v>3.5268454760892567E-5</v>
      </c>
      <c r="F939" s="11">
        <f t="shared" ca="1" si="74"/>
        <v>5.0629008783149105</v>
      </c>
      <c r="G939" s="10">
        <f t="shared" ca="1" si="71"/>
        <v>1</v>
      </c>
    </row>
    <row r="940" spans="1:7" x14ac:dyDescent="0.2">
      <c r="A940" s="2">
        <v>19931118</v>
      </c>
      <c r="B940" s="13">
        <v>3685.34</v>
      </c>
      <c r="C940" s="2">
        <f t="shared" si="72"/>
        <v>-5.1318045001146661E-3</v>
      </c>
      <c r="D940" s="21">
        <f t="shared" ca="1" si="70"/>
        <v>-5.5157569152215332E-3</v>
      </c>
      <c r="E940" s="21">
        <f t="shared" ca="1" si="73"/>
        <v>3.4557555932622631E-5</v>
      </c>
      <c r="F940" s="11">
        <f t="shared" ca="1" si="74"/>
        <v>4.6962551593373165</v>
      </c>
      <c r="G940" s="10">
        <f t="shared" ca="1" si="71"/>
        <v>1</v>
      </c>
    </row>
    <row r="941" spans="1:7" x14ac:dyDescent="0.2">
      <c r="A941" s="2">
        <v>19931119</v>
      </c>
      <c r="B941" s="13">
        <v>3694.01</v>
      </c>
      <c r="C941" s="2">
        <f t="shared" si="72"/>
        <v>2.3525644852306904E-3</v>
      </c>
      <c r="D941" s="21">
        <f t="shared" ca="1" si="70"/>
        <v>1.9686120701238232E-3</v>
      </c>
      <c r="E941" s="21">
        <f t="shared" ca="1" si="73"/>
        <v>3.4837008857896464E-5</v>
      </c>
      <c r="F941" s="11">
        <f t="shared" ca="1" si="74"/>
        <v>5.0767927689930303</v>
      </c>
      <c r="G941" s="10">
        <f t="shared" ca="1" si="71"/>
        <v>1</v>
      </c>
    </row>
    <row r="942" spans="1:7" x14ac:dyDescent="0.2">
      <c r="A942" s="2">
        <v>19931122</v>
      </c>
      <c r="B942" s="13">
        <v>3670.25</v>
      </c>
      <c r="C942" s="2">
        <f t="shared" si="72"/>
        <v>-6.4320345640645846E-3</v>
      </c>
      <c r="D942" s="21">
        <f t="shared" ca="1" si="70"/>
        <v>-6.8159869791714518E-3</v>
      </c>
      <c r="E942" s="21">
        <f t="shared" ca="1" si="73"/>
        <v>3.4126102673750962E-5</v>
      </c>
      <c r="F942" s="11">
        <f t="shared" ca="1" si="74"/>
        <v>4.4620474045702325</v>
      </c>
      <c r="G942" s="10">
        <f t="shared" ca="1" si="71"/>
        <v>0</v>
      </c>
    </row>
    <row r="943" spans="1:7" x14ac:dyDescent="0.2">
      <c r="A943" s="2">
        <v>19931123</v>
      </c>
      <c r="B943" s="13">
        <v>3674.17</v>
      </c>
      <c r="C943" s="2">
        <f t="shared" si="72"/>
        <v>1.068047135753715E-3</v>
      </c>
      <c r="D943" s="21">
        <f t="shared" ca="1" si="70"/>
        <v>6.8409472064684775E-4</v>
      </c>
      <c r="E943" s="21">
        <f t="shared" ca="1" si="73"/>
        <v>3.5016984967438196E-5</v>
      </c>
      <c r="F943" s="11">
        <f t="shared" ca="1" si="74"/>
        <v>5.1231563991204556</v>
      </c>
      <c r="G943" s="10">
        <f t="shared" ca="1" si="71"/>
        <v>1</v>
      </c>
    </row>
    <row r="944" spans="1:7" x14ac:dyDescent="0.2">
      <c r="A944" s="2">
        <v>19931124</v>
      </c>
      <c r="B944" s="13">
        <v>3687.58</v>
      </c>
      <c r="C944" s="2">
        <f t="shared" si="72"/>
        <v>3.6498039012892313E-3</v>
      </c>
      <c r="D944" s="21">
        <f t="shared" ca="1" si="70"/>
        <v>3.2658514861823641E-3</v>
      </c>
      <c r="E944" s="21">
        <f t="shared" ca="1" si="73"/>
        <v>3.4171675923957581E-5</v>
      </c>
      <c r="F944" s="11">
        <f t="shared" ca="1" si="74"/>
        <v>4.9859949316477055</v>
      </c>
      <c r="G944" s="10">
        <f t="shared" ca="1" si="71"/>
        <v>1</v>
      </c>
    </row>
    <row r="945" spans="1:7" x14ac:dyDescent="0.2">
      <c r="A945" s="2">
        <v>19931126</v>
      </c>
      <c r="B945" s="13">
        <v>3683.95</v>
      </c>
      <c r="C945" s="2">
        <f t="shared" si="72"/>
        <v>-9.8438542350270616E-4</v>
      </c>
      <c r="D945" s="21">
        <f t="shared" ca="1" si="70"/>
        <v>-1.3683378386095736E-3</v>
      </c>
      <c r="E945" s="21">
        <f t="shared" ca="1" si="73"/>
        <v>3.3744122267767506E-5</v>
      </c>
      <c r="F945" s="11">
        <f t="shared" ca="1" si="74"/>
        <v>5.120608828365004</v>
      </c>
      <c r="G945" s="10">
        <f t="shared" ca="1" si="71"/>
        <v>1</v>
      </c>
    </row>
    <row r="946" spans="1:7" x14ac:dyDescent="0.2">
      <c r="A946" s="2">
        <v>19931129</v>
      </c>
      <c r="B946" s="13">
        <v>3677.8</v>
      </c>
      <c r="C946" s="2">
        <f t="shared" si="72"/>
        <v>-1.669403764980425E-3</v>
      </c>
      <c r="D946" s="21">
        <f t="shared" ca="1" si="70"/>
        <v>-2.0533561800872924E-3</v>
      </c>
      <c r="E946" s="21">
        <f t="shared" ca="1" si="73"/>
        <v>3.3014848641587619E-5</v>
      </c>
      <c r="F946" s="11">
        <f t="shared" ca="1" si="74"/>
        <v>5.0954223981148692</v>
      </c>
      <c r="G946" s="10">
        <f t="shared" ca="1" si="71"/>
        <v>1</v>
      </c>
    </row>
    <row r="947" spans="1:7" x14ac:dyDescent="0.2">
      <c r="A947" s="2">
        <v>19931130</v>
      </c>
      <c r="B947" s="13">
        <v>3683.95</v>
      </c>
      <c r="C947" s="2">
        <f t="shared" si="72"/>
        <v>1.6721953341670662E-3</v>
      </c>
      <c r="D947" s="21">
        <f t="shared" ca="1" si="70"/>
        <v>1.2882429190601988E-3</v>
      </c>
      <c r="E947" s="21">
        <f t="shared" ca="1" si="73"/>
        <v>3.2408659355536965E-5</v>
      </c>
      <c r="F947" s="11">
        <f t="shared" ca="1" si="74"/>
        <v>5.1429386510362525</v>
      </c>
      <c r="G947" s="10">
        <f t="shared" ca="1" si="71"/>
        <v>1</v>
      </c>
    </row>
    <row r="948" spans="1:7" x14ac:dyDescent="0.2">
      <c r="A948" s="2">
        <v>19931201</v>
      </c>
      <c r="B948" s="13">
        <v>3697.08</v>
      </c>
      <c r="C948" s="2">
        <f t="shared" si="72"/>
        <v>3.5641091762917817E-3</v>
      </c>
      <c r="D948" s="21">
        <f t="shared" ca="1" si="70"/>
        <v>3.1801567611849145E-3</v>
      </c>
      <c r="E948" s="21">
        <f t="shared" ca="1" si="73"/>
        <v>3.1739122996352356E-5</v>
      </c>
      <c r="F948" s="11">
        <f t="shared" ca="1" si="74"/>
        <v>5.0196595616413697</v>
      </c>
      <c r="G948" s="10">
        <f t="shared" ca="1" si="71"/>
        <v>1</v>
      </c>
    </row>
    <row r="949" spans="1:7" x14ac:dyDescent="0.2">
      <c r="A949" s="2">
        <v>19931202</v>
      </c>
      <c r="B949" s="13">
        <v>3702.11</v>
      </c>
      <c r="C949" s="2">
        <f t="shared" si="72"/>
        <v>1.3605331775347572E-3</v>
      </c>
      <c r="D949" s="21">
        <f t="shared" ca="1" si="70"/>
        <v>9.7658076242788982E-4</v>
      </c>
      <c r="E949" s="21">
        <f t="shared" ca="1" si="73"/>
        <v>3.1414320689222249E-5</v>
      </c>
      <c r="F949" s="11">
        <f t="shared" ca="1" si="74"/>
        <v>5.1689438062970119</v>
      </c>
      <c r="G949" s="10">
        <f t="shared" ca="1" si="71"/>
        <v>1</v>
      </c>
    </row>
    <row r="950" spans="1:7" x14ac:dyDescent="0.2">
      <c r="A950" s="2">
        <v>19931203</v>
      </c>
      <c r="B950" s="13">
        <v>3704.07</v>
      </c>
      <c r="C950" s="2">
        <f t="shared" si="72"/>
        <v>5.2942781278785239E-4</v>
      </c>
      <c r="D950" s="21">
        <f t="shared" ca="1" si="70"/>
        <v>1.4547539768098509E-4</v>
      </c>
      <c r="E950" s="21">
        <f t="shared" ca="1" si="73"/>
        <v>3.0769132552044119E-5</v>
      </c>
      <c r="F950" s="11">
        <f t="shared" ca="1" si="74"/>
        <v>5.1941553788588717</v>
      </c>
      <c r="G950" s="10">
        <f t="shared" ca="1" si="71"/>
        <v>1</v>
      </c>
    </row>
    <row r="951" spans="1:7" x14ac:dyDescent="0.2">
      <c r="A951" s="2">
        <v>19931206</v>
      </c>
      <c r="B951" s="13">
        <v>3710.21</v>
      </c>
      <c r="C951" s="2">
        <f t="shared" si="72"/>
        <v>1.6576360597936519E-3</v>
      </c>
      <c r="D951" s="21">
        <f t="shared" ca="1" si="70"/>
        <v>1.2736836446867847E-3</v>
      </c>
      <c r="E951" s="21">
        <f t="shared" ca="1" si="73"/>
        <v>3.0122293317592238E-5</v>
      </c>
      <c r="F951" s="11">
        <f t="shared" ca="1" si="74"/>
        <v>5.178194446244178</v>
      </c>
      <c r="G951" s="10">
        <f t="shared" ca="1" si="71"/>
        <v>1</v>
      </c>
    </row>
    <row r="952" spans="1:7" x14ac:dyDescent="0.2">
      <c r="A952" s="2">
        <v>19931207</v>
      </c>
      <c r="B952" s="13">
        <v>3718.88</v>
      </c>
      <c r="C952" s="2">
        <f t="shared" si="72"/>
        <v>2.3367949523073013E-3</v>
      </c>
      <c r="D952" s="21">
        <f t="shared" ca="1" si="70"/>
        <v>1.9528425372004341E-3</v>
      </c>
      <c r="E952" s="21">
        <f t="shared" ca="1" si="73"/>
        <v>2.9567053390615496E-5</v>
      </c>
      <c r="F952" s="11">
        <f t="shared" ca="1" si="74"/>
        <v>5.1499343397113986</v>
      </c>
      <c r="G952" s="10">
        <f t="shared" ca="1" si="71"/>
        <v>1</v>
      </c>
    </row>
    <row r="953" spans="1:7" x14ac:dyDescent="0.2">
      <c r="A953" s="2">
        <v>19931208</v>
      </c>
      <c r="B953" s="13">
        <v>3734.53</v>
      </c>
      <c r="C953" s="2">
        <f t="shared" si="72"/>
        <v>4.2082562491933297E-3</v>
      </c>
      <c r="D953" s="21">
        <f t="shared" ca="1" si="70"/>
        <v>3.8243038340864625E-3</v>
      </c>
      <c r="E953" s="21">
        <f t="shared" ca="1" si="73"/>
        <v>2.9120482042101008E-5</v>
      </c>
      <c r="F953" s="11">
        <f t="shared" ca="1" si="74"/>
        <v>4.9709173281089836</v>
      </c>
      <c r="G953" s="10">
        <f t="shared" ca="1" si="71"/>
        <v>1</v>
      </c>
    </row>
    <row r="954" spans="1:7" x14ac:dyDescent="0.2">
      <c r="A954" s="2">
        <v>19931209</v>
      </c>
      <c r="B954" s="13">
        <v>3729.78</v>
      </c>
      <c r="C954" s="2">
        <f t="shared" si="72"/>
        <v>-1.2719137347939366E-3</v>
      </c>
      <c r="D954" s="21">
        <f t="shared" ca="1" si="70"/>
        <v>-1.6558661499008038E-3</v>
      </c>
      <c r="E954" s="21">
        <f t="shared" ca="1" si="73"/>
        <v>2.9094068186643221E-5</v>
      </c>
      <c r="F954" s="11">
        <f t="shared" ca="1" si="74"/>
        <v>5.1753669596551193</v>
      </c>
      <c r="G954" s="10">
        <f t="shared" ca="1" si="71"/>
        <v>1</v>
      </c>
    </row>
    <row r="955" spans="1:7" x14ac:dyDescent="0.2">
      <c r="A955" s="2">
        <v>19931210</v>
      </c>
      <c r="B955" s="13">
        <v>3740.67</v>
      </c>
      <c r="C955" s="2">
        <f t="shared" si="72"/>
        <v>2.9197432556343464E-3</v>
      </c>
      <c r="D955" s="21">
        <f t="shared" ca="1" si="70"/>
        <v>2.5357908405274792E-3</v>
      </c>
      <c r="E955" s="21">
        <f t="shared" ca="1" si="73"/>
        <v>2.8632016988443431E-5</v>
      </c>
      <c r="F955" s="11">
        <f t="shared" ca="1" si="74"/>
        <v>5.1182015034817088</v>
      </c>
      <c r="G955" s="10">
        <f t="shared" ca="1" si="71"/>
        <v>1</v>
      </c>
    </row>
    <row r="956" spans="1:7" x14ac:dyDescent="0.2">
      <c r="A956" s="2">
        <v>19931213</v>
      </c>
      <c r="B956" s="13">
        <v>3764.43</v>
      </c>
      <c r="C956" s="2">
        <f t="shared" si="72"/>
        <v>6.3518032865769406E-3</v>
      </c>
      <c r="D956" s="21">
        <f t="shared" ca="1" si="70"/>
        <v>5.9678508714700734E-3</v>
      </c>
      <c r="E956" s="21">
        <f t="shared" ca="1" si="73"/>
        <v>2.8328967905525633E-5</v>
      </c>
      <c r="F956" s="11">
        <f t="shared" ca="1" si="74"/>
        <v>4.6072116806138146</v>
      </c>
      <c r="G956" s="10">
        <f t="shared" ca="1" si="71"/>
        <v>0</v>
      </c>
    </row>
    <row r="957" spans="1:7" x14ac:dyDescent="0.2">
      <c r="A957" s="2">
        <v>19931214</v>
      </c>
      <c r="B957" s="13">
        <v>3742.63</v>
      </c>
      <c r="C957" s="2">
        <f t="shared" si="72"/>
        <v>-5.7910493753369641E-3</v>
      </c>
      <c r="D957" s="21">
        <f t="shared" ca="1" si="70"/>
        <v>-6.1750017904438313E-3</v>
      </c>
      <c r="E957" s="21">
        <f t="shared" ca="1" si="73"/>
        <v>2.9114433908838723E-5</v>
      </c>
      <c r="F957" s="11">
        <f t="shared" ca="1" si="74"/>
        <v>4.5672972981963049</v>
      </c>
      <c r="G957" s="10">
        <f t="shared" ca="1" si="71"/>
        <v>0</v>
      </c>
    </row>
    <row r="958" spans="1:7" x14ac:dyDescent="0.2">
      <c r="A958" s="2">
        <v>19931215</v>
      </c>
      <c r="B958" s="13">
        <v>3716.92</v>
      </c>
      <c r="C958" s="2">
        <f t="shared" si="72"/>
        <v>-6.8695008590216071E-3</v>
      </c>
      <c r="D958" s="21">
        <f t="shared" ca="1" si="70"/>
        <v>-7.2534532741284742E-3</v>
      </c>
      <c r="E958" s="21">
        <f t="shared" ca="1" si="73"/>
        <v>2.9952658691971756E-5</v>
      </c>
      <c r="F958" s="11">
        <f t="shared" ca="1" si="74"/>
        <v>4.3296838902263506</v>
      </c>
      <c r="G958" s="10">
        <f t="shared" ca="1" si="71"/>
        <v>0</v>
      </c>
    </row>
    <row r="959" spans="1:7" x14ac:dyDescent="0.2">
      <c r="A959" s="2">
        <v>19931216</v>
      </c>
      <c r="B959" s="13">
        <v>3726.14</v>
      </c>
      <c r="C959" s="2">
        <f t="shared" si="72"/>
        <v>2.4805484110499553E-3</v>
      </c>
      <c r="D959" s="21">
        <f t="shared" ca="1" si="70"/>
        <v>2.0965959959430881E-3</v>
      </c>
      <c r="E959" s="21">
        <f t="shared" ca="1" si="73"/>
        <v>3.1281003527551678E-5</v>
      </c>
      <c r="F959" s="11">
        <f t="shared" ca="1" si="74"/>
        <v>5.1159880516023781</v>
      </c>
      <c r="G959" s="10">
        <f t="shared" ca="1" si="71"/>
        <v>1</v>
      </c>
    </row>
    <row r="960" spans="1:7" x14ac:dyDescent="0.2">
      <c r="A960" s="2">
        <v>19931217</v>
      </c>
      <c r="B960" s="13">
        <v>3751.57</v>
      </c>
      <c r="C960" s="2">
        <f t="shared" si="72"/>
        <v>6.8247569871234823E-3</v>
      </c>
      <c r="D960" s="21">
        <f t="shared" ca="1" si="70"/>
        <v>6.4408045720166151E-3</v>
      </c>
      <c r="E960" s="21">
        <f t="shared" ca="1" si="73"/>
        <v>3.0769128475313338E-5</v>
      </c>
      <c r="F960" s="11">
        <f t="shared" ca="1" si="74"/>
        <v>4.520382697859481</v>
      </c>
      <c r="G960" s="10">
        <f t="shared" ca="1" si="71"/>
        <v>0</v>
      </c>
    </row>
    <row r="961" spans="1:7" x14ac:dyDescent="0.2">
      <c r="A961" s="2">
        <v>19931220</v>
      </c>
      <c r="B961" s="13">
        <v>3755.21</v>
      </c>
      <c r="C961" s="2">
        <f t="shared" si="72"/>
        <v>9.7026045095783165E-4</v>
      </c>
      <c r="D961" s="21">
        <f t="shared" ca="1" si="70"/>
        <v>5.8630803585096435E-4</v>
      </c>
      <c r="E961" s="21">
        <f t="shared" ca="1" si="73"/>
        <v>3.1646949015415855E-5</v>
      </c>
      <c r="F961" s="11">
        <f t="shared" ca="1" si="74"/>
        <v>5.1750032801717643</v>
      </c>
      <c r="G961" s="10">
        <f t="shared" ca="1" si="71"/>
        <v>1</v>
      </c>
    </row>
    <row r="962" spans="1:7" x14ac:dyDescent="0.2">
      <c r="A962" s="2">
        <v>19931221</v>
      </c>
      <c r="B962" s="13">
        <v>3745.15</v>
      </c>
      <c r="C962" s="2">
        <f t="shared" si="72"/>
        <v>-2.6789447194697355E-3</v>
      </c>
      <c r="D962" s="21">
        <f t="shared" ca="1" si="70"/>
        <v>-3.0628971345766027E-3</v>
      </c>
      <c r="E962" s="21">
        <f t="shared" ca="1" si="73"/>
        <v>3.0967563102485969E-5</v>
      </c>
      <c r="F962" s="11">
        <f t="shared" ca="1" si="74"/>
        <v>5.0398147180676078</v>
      </c>
      <c r="G962" s="10">
        <f t="shared" ca="1" si="71"/>
        <v>1</v>
      </c>
    </row>
    <row r="963" spans="1:7" x14ac:dyDescent="0.2">
      <c r="A963" s="2">
        <v>19931222</v>
      </c>
      <c r="B963" s="13">
        <v>3762.19</v>
      </c>
      <c r="C963" s="2">
        <f t="shared" si="72"/>
        <v>4.5498845173090434E-3</v>
      </c>
      <c r="D963" s="21">
        <f t="shared" ca="1" si="70"/>
        <v>4.1659321022021762E-3</v>
      </c>
      <c r="E963" s="21">
        <f t="shared" ca="1" si="73"/>
        <v>3.0654875207362097E-5</v>
      </c>
      <c r="F963" s="11">
        <f t="shared" ca="1" si="74"/>
        <v>4.9132887839460002</v>
      </c>
      <c r="G963" s="10">
        <f t="shared" ca="1" si="71"/>
        <v>1</v>
      </c>
    </row>
    <row r="964" spans="1:7" x14ac:dyDescent="0.2">
      <c r="A964" s="2">
        <v>19931223</v>
      </c>
      <c r="B964" s="13">
        <v>3757.72</v>
      </c>
      <c r="C964" s="2">
        <f t="shared" si="72"/>
        <v>-1.1881377601876181E-3</v>
      </c>
      <c r="D964" s="21">
        <f t="shared" ca="1" si="70"/>
        <v>-1.5720901752944855E-3</v>
      </c>
      <c r="E964" s="21">
        <f t="shared" ca="1" si="73"/>
        <v>3.0651211381009757E-5</v>
      </c>
      <c r="F964" s="11">
        <f t="shared" ca="1" si="74"/>
        <v>5.1561032022723756</v>
      </c>
      <c r="G964" s="10">
        <f t="shared" ca="1" si="71"/>
        <v>1</v>
      </c>
    </row>
    <row r="965" spans="1:7" x14ac:dyDescent="0.2">
      <c r="A965" s="2">
        <v>19931227</v>
      </c>
      <c r="B965" s="13">
        <v>3792.93</v>
      </c>
      <c r="C965" s="2">
        <f t="shared" si="72"/>
        <v>9.3700435370384274E-3</v>
      </c>
      <c r="D965" s="21">
        <f t="shared" ca="1" si="70"/>
        <v>8.9860911219315602E-3</v>
      </c>
      <c r="E965" s="21">
        <f t="shared" ca="1" si="73"/>
        <v>3.0100439789589457E-5</v>
      </c>
      <c r="F965" s="11">
        <f t="shared" ca="1" si="74"/>
        <v>3.8641456229468334</v>
      </c>
      <c r="G965" s="10">
        <f t="shared" ca="1" si="71"/>
        <v>0</v>
      </c>
    </row>
    <row r="966" spans="1:7" x14ac:dyDescent="0.2">
      <c r="A966" s="2">
        <v>19931228</v>
      </c>
      <c r="B966" s="13">
        <v>3793.77</v>
      </c>
      <c r="C966" s="2">
        <f t="shared" si="72"/>
        <v>2.2146467243005949E-4</v>
      </c>
      <c r="D966" s="21">
        <f t="shared" ca="1" si="70"/>
        <v>-1.6248774267680781E-4</v>
      </c>
      <c r="E966" s="21">
        <f t="shared" ca="1" si="73"/>
        <v>3.245596411472792E-5</v>
      </c>
      <c r="F966" s="11">
        <f t="shared" ca="1" si="74"/>
        <v>5.1674064290319714</v>
      </c>
      <c r="G966" s="10">
        <f t="shared" ca="1" si="71"/>
        <v>1</v>
      </c>
    </row>
    <row r="967" spans="1:7" x14ac:dyDescent="0.2">
      <c r="A967" s="2">
        <v>19931229</v>
      </c>
      <c r="B967" s="13">
        <v>3794.33</v>
      </c>
      <c r="C967" s="2">
        <f t="shared" si="72"/>
        <v>1.4761042445903295E-4</v>
      </c>
      <c r="D967" s="21">
        <f t="shared" ca="1" si="70"/>
        <v>-2.3634199064783435E-4</v>
      </c>
      <c r="E967" s="21">
        <f t="shared" ca="1" si="73"/>
        <v>3.1723980169726051E-5</v>
      </c>
      <c r="F967" s="11">
        <f t="shared" ca="1" si="74"/>
        <v>5.1783384776897332</v>
      </c>
      <c r="G967" s="10">
        <f t="shared" ca="1" si="71"/>
        <v>1</v>
      </c>
    </row>
    <row r="968" spans="1:7" x14ac:dyDescent="0.2">
      <c r="A968" s="2">
        <v>19931230</v>
      </c>
      <c r="B968" s="13">
        <v>3775.88</v>
      </c>
      <c r="C968" s="2">
        <f t="shared" si="72"/>
        <v>-4.8625185474114848E-3</v>
      </c>
      <c r="D968" s="21">
        <f t="shared" ca="1" si="70"/>
        <v>-5.246470962518352E-3</v>
      </c>
      <c r="E968" s="21">
        <f t="shared" ca="1" si="73"/>
        <v>3.1030110655227039E-5</v>
      </c>
      <c r="F968" s="11">
        <f t="shared" ca="1" si="74"/>
        <v>4.7467480678191354</v>
      </c>
      <c r="G968" s="10">
        <f t="shared" ca="1" si="71"/>
        <v>1</v>
      </c>
    </row>
    <row r="969" spans="1:7" x14ac:dyDescent="0.2">
      <c r="A969" s="2">
        <v>19931231</v>
      </c>
      <c r="B969" s="13">
        <v>3754.09</v>
      </c>
      <c r="C969" s="2">
        <f t="shared" si="72"/>
        <v>-5.7708401750055519E-3</v>
      </c>
      <c r="D969" s="21">
        <f t="shared" ca="1" si="70"/>
        <v>-6.1547925901124191E-3</v>
      </c>
      <c r="E969" s="21">
        <f t="shared" ca="1" si="73"/>
        <v>3.1381449384030005E-5</v>
      </c>
      <c r="F969" s="11">
        <f t="shared" ca="1" si="74"/>
        <v>4.5810820853215617</v>
      </c>
      <c r="G969" s="10">
        <f t="shared" ca="1" si="71"/>
        <v>0</v>
      </c>
    </row>
    <row r="970" spans="1:7" x14ac:dyDescent="0.2">
      <c r="A970" s="2">
        <v>19940103</v>
      </c>
      <c r="B970" s="13">
        <v>3756.6</v>
      </c>
      <c r="C970" s="2">
        <f t="shared" si="72"/>
        <v>6.6860410911825864E-4</v>
      </c>
      <c r="D970" s="21">
        <f t="shared" ca="1" si="70"/>
        <v>2.8465169401139135E-4</v>
      </c>
      <c r="E970" s="21">
        <f t="shared" ca="1" si="73"/>
        <v>3.2095822497536364E-5</v>
      </c>
      <c r="F970" s="11">
        <f t="shared" ca="1" si="74"/>
        <v>5.1721300776403272</v>
      </c>
      <c r="G970" s="10">
        <f t="shared" ca="1" si="71"/>
        <v>1</v>
      </c>
    </row>
    <row r="971" spans="1:7" x14ac:dyDescent="0.2">
      <c r="A971" s="2">
        <v>19940104</v>
      </c>
      <c r="B971" s="13">
        <v>3783.9</v>
      </c>
      <c r="C971" s="2">
        <f t="shared" si="72"/>
        <v>7.2672097109088493E-3</v>
      </c>
      <c r="D971" s="21">
        <f t="shared" ca="1" si="70"/>
        <v>6.8832572958019821E-3</v>
      </c>
      <c r="E971" s="21">
        <f t="shared" ca="1" si="73"/>
        <v>3.1384066867167121E-5</v>
      </c>
      <c r="F971" s="11">
        <f t="shared" ca="1" si="74"/>
        <v>4.4297757367146016</v>
      </c>
      <c r="G971" s="10">
        <f t="shared" ca="1" si="71"/>
        <v>0</v>
      </c>
    </row>
    <row r="972" spans="1:7" x14ac:dyDescent="0.2">
      <c r="A972" s="2">
        <v>19940105</v>
      </c>
      <c r="B972" s="13">
        <v>3798.82</v>
      </c>
      <c r="C972" s="2">
        <f t="shared" si="72"/>
        <v>3.9430217500462678E-3</v>
      </c>
      <c r="D972" s="21">
        <f t="shared" ca="1" si="70"/>
        <v>3.5590693349394006E-3</v>
      </c>
      <c r="E972" s="21">
        <f t="shared" ca="1" si="73"/>
        <v>3.2447556749662048E-5</v>
      </c>
      <c r="F972" s="11">
        <f t="shared" ca="1" si="74"/>
        <v>4.9727512054505487</v>
      </c>
      <c r="G972" s="10">
        <f t="shared" ca="1" si="71"/>
        <v>1</v>
      </c>
    </row>
    <row r="973" spans="1:7" x14ac:dyDescent="0.2">
      <c r="A973" s="2">
        <v>19940106</v>
      </c>
      <c r="B973" s="13">
        <v>3803.88</v>
      </c>
      <c r="C973" s="2">
        <f t="shared" si="72"/>
        <v>1.3319925661126205E-3</v>
      </c>
      <c r="D973" s="21">
        <f t="shared" ca="1" si="70"/>
        <v>9.4804015100575319E-4</v>
      </c>
      <c r="E973" s="21">
        <f t="shared" ca="1" si="73"/>
        <v>3.2180814049222616E-5</v>
      </c>
      <c r="F973" s="11">
        <f t="shared" ca="1" si="74"/>
        <v>5.1581055262359143</v>
      </c>
      <c r="G973" s="10">
        <f t="shared" ca="1" si="71"/>
        <v>1</v>
      </c>
    </row>
    <row r="974" spans="1:7" x14ac:dyDescent="0.2">
      <c r="A974" s="2">
        <v>19940107</v>
      </c>
      <c r="B974" s="13">
        <v>3820.77</v>
      </c>
      <c r="C974" s="2">
        <f t="shared" si="72"/>
        <v>4.4402031609829624E-3</v>
      </c>
      <c r="D974" s="21">
        <f t="shared" ref="D974:D1037" ca="1" si="75">(C974-mu)</f>
        <v>4.0562507458760952E-3</v>
      </c>
      <c r="E974" s="21">
        <f t="shared" ca="1" si="73"/>
        <v>3.1494828893808186E-5</v>
      </c>
      <c r="F974" s="11">
        <f t="shared" ca="1" si="74"/>
        <v>4.9216392836348497</v>
      </c>
      <c r="G974" s="10">
        <f t="shared" ref="G974:G1037" ca="1" si="76">IF(AND(C974&lt;=mu+zvalue*SQRT(E974),C974&gt;=mu-zvalue*SQRT(E974)),1,0)</f>
        <v>1</v>
      </c>
    </row>
    <row r="975" spans="1:7" x14ac:dyDescent="0.2">
      <c r="A975" s="2">
        <v>19940110</v>
      </c>
      <c r="B975" s="13">
        <v>3865.51</v>
      </c>
      <c r="C975" s="2">
        <f t="shared" ref="C975:C1038" si="77">(B975-B974)/B974</f>
        <v>1.1709681556335566E-2</v>
      </c>
      <c r="D975" s="21">
        <f t="shared" ca="1" si="75"/>
        <v>1.1325729141228699E-2</v>
      </c>
      <c r="E975" s="21">
        <f t="shared" ref="E975:E1038" ca="1" si="78">(1-alpha-beta)*longvar+alpha*D974^2+beta*E974</f>
        <v>3.1415510031740376E-5</v>
      </c>
      <c r="F975" s="11">
        <f t="shared" ref="F975:F1038" ca="1" si="79">(-0.5)*(LN(E975)+D975^2/E975)</f>
        <v>3.1425628288120104</v>
      </c>
      <c r="G975" s="10">
        <f t="shared" ca="1" si="76"/>
        <v>0</v>
      </c>
    </row>
    <row r="976" spans="1:7" x14ac:dyDescent="0.2">
      <c r="A976" s="2">
        <v>19940111</v>
      </c>
      <c r="B976" s="13">
        <v>3850.31</v>
      </c>
      <c r="C976" s="2">
        <f t="shared" si="77"/>
        <v>-3.9322107561486769E-3</v>
      </c>
      <c r="D976" s="21">
        <f t="shared" ca="1" si="75"/>
        <v>-4.3161631712555441E-3</v>
      </c>
      <c r="E976" s="21">
        <f t="shared" ca="1" si="78"/>
        <v>3.5451982722279769E-5</v>
      </c>
      <c r="F976" s="11">
        <f t="shared" ca="1" si="79"/>
        <v>4.8609262997531673</v>
      </c>
      <c r="G976" s="10">
        <f t="shared" ca="1" si="76"/>
        <v>1</v>
      </c>
    </row>
    <row r="977" spans="1:7" x14ac:dyDescent="0.2">
      <c r="A977" s="2">
        <v>19940112</v>
      </c>
      <c r="B977" s="13">
        <v>3848.63</v>
      </c>
      <c r="C977" s="2">
        <f t="shared" si="77"/>
        <v>-4.3632850341916268E-4</v>
      </c>
      <c r="D977" s="21">
        <f t="shared" ca="1" si="75"/>
        <v>-8.2028091852603003E-4</v>
      </c>
      <c r="E977" s="21">
        <f t="shared" ca="1" si="78"/>
        <v>3.5252488936006524E-5</v>
      </c>
      <c r="F977" s="11">
        <f t="shared" ca="1" si="79"/>
        <v>5.1169437607733874</v>
      </c>
      <c r="G977" s="10">
        <f t="shared" ca="1" si="76"/>
        <v>1</v>
      </c>
    </row>
    <row r="978" spans="1:7" x14ac:dyDescent="0.2">
      <c r="A978" s="2">
        <v>19940113</v>
      </c>
      <c r="B978" s="13">
        <v>3842.43</v>
      </c>
      <c r="C978" s="2">
        <f t="shared" si="77"/>
        <v>-1.6109628621094449E-3</v>
      </c>
      <c r="D978" s="21">
        <f t="shared" ca="1" si="75"/>
        <v>-1.9949152772163123E-3</v>
      </c>
      <c r="E978" s="21">
        <f t="shared" ca="1" si="78"/>
        <v>3.4402799287982873E-5</v>
      </c>
      <c r="F978" s="11">
        <f t="shared" ca="1" si="79"/>
        <v>5.0808467305413147</v>
      </c>
      <c r="G978" s="10">
        <f t="shared" ca="1" si="76"/>
        <v>1</v>
      </c>
    </row>
    <row r="979" spans="1:7" x14ac:dyDescent="0.2">
      <c r="A979" s="2">
        <v>19940114</v>
      </c>
      <c r="B979" s="13">
        <v>3867.2</v>
      </c>
      <c r="C979" s="2">
        <f t="shared" si="77"/>
        <v>6.4464414446066638E-3</v>
      </c>
      <c r="D979" s="21">
        <f t="shared" ca="1" si="75"/>
        <v>6.0624890294997966E-3</v>
      </c>
      <c r="E979" s="21">
        <f t="shared" ca="1" si="78"/>
        <v>3.3717693491463395E-5</v>
      </c>
      <c r="F979" s="11">
        <f t="shared" ca="1" si="79"/>
        <v>4.6037218588947253</v>
      </c>
      <c r="G979" s="10">
        <f t="shared" ca="1" si="76"/>
        <v>0</v>
      </c>
    </row>
    <row r="980" spans="1:7" x14ac:dyDescent="0.2">
      <c r="A980" s="2">
        <v>19940117</v>
      </c>
      <c r="B980" s="13">
        <v>3870.29</v>
      </c>
      <c r="C980" s="2">
        <f t="shared" si="77"/>
        <v>7.9902772031447702E-4</v>
      </c>
      <c r="D980" s="21">
        <f t="shared" ca="1" si="75"/>
        <v>4.1507530520760972E-4</v>
      </c>
      <c r="E980" s="21">
        <f t="shared" ca="1" si="78"/>
        <v>3.4272407799998468E-5</v>
      </c>
      <c r="F980" s="11">
        <f t="shared" ca="1" si="79"/>
        <v>5.1380714807442871</v>
      </c>
      <c r="G980" s="10">
        <f t="shared" ca="1" si="76"/>
        <v>1</v>
      </c>
    </row>
    <row r="981" spans="1:7" x14ac:dyDescent="0.2">
      <c r="A981" s="2">
        <v>19940118</v>
      </c>
      <c r="B981" s="13">
        <v>3870.29</v>
      </c>
      <c r="C981" s="2">
        <f t="shared" si="77"/>
        <v>0</v>
      </c>
      <c r="D981" s="21">
        <f t="shared" ca="1" si="75"/>
        <v>-3.839524151068673E-4</v>
      </c>
      <c r="E981" s="21">
        <f t="shared" ca="1" si="78"/>
        <v>3.3453893825956961E-5</v>
      </c>
      <c r="F981" s="11">
        <f t="shared" ca="1" si="79"/>
        <v>5.1504678625605704</v>
      </c>
      <c r="G981" s="10">
        <f t="shared" ca="1" si="76"/>
        <v>1</v>
      </c>
    </row>
    <row r="982" spans="1:7" x14ac:dyDescent="0.2">
      <c r="A982" s="2">
        <v>19940119</v>
      </c>
      <c r="B982" s="13">
        <v>3884.37</v>
      </c>
      <c r="C982" s="2">
        <f t="shared" si="77"/>
        <v>3.6379702812967315E-3</v>
      </c>
      <c r="D982" s="21">
        <f t="shared" ca="1" si="75"/>
        <v>3.2540178661898643E-3</v>
      </c>
      <c r="E982" s="21">
        <f t="shared" ca="1" si="78"/>
        <v>3.2675874301679497E-5</v>
      </c>
      <c r="F982" s="11">
        <f t="shared" ca="1" si="79"/>
        <v>5.0024115379706915</v>
      </c>
      <c r="G982" s="10">
        <f t="shared" ca="1" si="76"/>
        <v>1</v>
      </c>
    </row>
    <row r="983" spans="1:7" x14ac:dyDescent="0.2">
      <c r="A983" s="2">
        <v>19940120</v>
      </c>
      <c r="B983" s="13">
        <v>3891.96</v>
      </c>
      <c r="C983" s="2">
        <f t="shared" si="77"/>
        <v>1.9539848160705971E-3</v>
      </c>
      <c r="D983" s="21">
        <f t="shared" ca="1" si="75"/>
        <v>1.57003240096373E-3</v>
      </c>
      <c r="E983" s="21">
        <f t="shared" ca="1" si="78"/>
        <v>3.2321156667417847E-5</v>
      </c>
      <c r="F983" s="11">
        <f t="shared" ca="1" si="79"/>
        <v>5.1317613240905873</v>
      </c>
      <c r="G983" s="10">
        <f t="shared" ca="1" si="76"/>
        <v>1</v>
      </c>
    </row>
    <row r="984" spans="1:7" x14ac:dyDescent="0.2">
      <c r="A984" s="2">
        <v>19940121</v>
      </c>
      <c r="B984" s="13">
        <v>3914.48</v>
      </c>
      <c r="C984" s="2">
        <f t="shared" si="77"/>
        <v>5.7862876288553794E-3</v>
      </c>
      <c r="D984" s="21">
        <f t="shared" ca="1" si="75"/>
        <v>5.4023352137485122E-3</v>
      </c>
      <c r="E984" s="21">
        <f t="shared" ca="1" si="78"/>
        <v>3.1685664236114759E-5</v>
      </c>
      <c r="F984" s="11">
        <f t="shared" ca="1" si="79"/>
        <v>4.7192800421913823</v>
      </c>
      <c r="G984" s="10">
        <f t="shared" ca="1" si="76"/>
        <v>1</v>
      </c>
    </row>
    <row r="985" spans="1:7" x14ac:dyDescent="0.2">
      <c r="A985" s="2">
        <v>19940124</v>
      </c>
      <c r="B985" s="13">
        <v>3912.79</v>
      </c>
      <c r="C985" s="2">
        <f t="shared" si="77"/>
        <v>-4.3173039586357691E-4</v>
      </c>
      <c r="D985" s="21">
        <f t="shared" ca="1" si="75"/>
        <v>-8.156828109704442E-4</v>
      </c>
      <c r="E985" s="21">
        <f t="shared" ca="1" si="78"/>
        <v>3.2064870868200236E-5</v>
      </c>
      <c r="F985" s="11">
        <f t="shared" ca="1" si="79"/>
        <v>5.1634998651391228</v>
      </c>
      <c r="G985" s="10">
        <f t="shared" ca="1" si="76"/>
        <v>1</v>
      </c>
    </row>
    <row r="986" spans="1:7" x14ac:dyDescent="0.2">
      <c r="A986" s="2">
        <v>19940125</v>
      </c>
      <c r="B986" s="13">
        <v>3895.34</v>
      </c>
      <c r="C986" s="2">
        <f t="shared" si="77"/>
        <v>-4.4597333360593891E-3</v>
      </c>
      <c r="D986" s="21">
        <f t="shared" ca="1" si="75"/>
        <v>-4.8436857511662563E-3</v>
      </c>
      <c r="E986" s="21">
        <f t="shared" ca="1" si="78"/>
        <v>3.1376167258323035E-5</v>
      </c>
      <c r="F986" s="11">
        <f t="shared" ca="1" si="79"/>
        <v>4.8108597621831324</v>
      </c>
      <c r="G986" s="10">
        <f t="shared" ca="1" si="76"/>
        <v>1</v>
      </c>
    </row>
    <row r="987" spans="1:7" x14ac:dyDescent="0.2">
      <c r="A987" s="2">
        <v>19940126</v>
      </c>
      <c r="B987" s="13">
        <v>3908</v>
      </c>
      <c r="C987" s="2">
        <f t="shared" si="77"/>
        <v>3.2500372239650079E-3</v>
      </c>
      <c r="D987" s="21">
        <f t="shared" ca="1" si="75"/>
        <v>2.8660848088581407E-3</v>
      </c>
      <c r="E987" s="21">
        <f t="shared" ca="1" si="78"/>
        <v>3.1560552393098002E-5</v>
      </c>
      <c r="F987" s="11">
        <f t="shared" ca="1" si="79"/>
        <v>5.051663472923293</v>
      </c>
      <c r="G987" s="10">
        <f t="shared" ca="1" si="76"/>
        <v>1</v>
      </c>
    </row>
    <row r="988" spans="1:7" x14ac:dyDescent="0.2">
      <c r="A988" s="2">
        <v>19940127</v>
      </c>
      <c r="B988" s="13">
        <v>3926.3</v>
      </c>
      <c r="C988" s="2">
        <f t="shared" si="77"/>
        <v>4.6827021494370985E-3</v>
      </c>
      <c r="D988" s="21">
        <f t="shared" ca="1" si="75"/>
        <v>4.2987497343302313E-3</v>
      </c>
      <c r="E988" s="21">
        <f t="shared" ca="1" si="78"/>
        <v>3.117495614446121E-5</v>
      </c>
      <c r="F988" s="11">
        <f t="shared" ca="1" si="79"/>
        <v>4.8915680208715999</v>
      </c>
      <c r="G988" s="10">
        <f t="shared" ca="1" si="76"/>
        <v>1</v>
      </c>
    </row>
    <row r="989" spans="1:7" x14ac:dyDescent="0.2">
      <c r="A989" s="2">
        <v>19940128</v>
      </c>
      <c r="B989" s="13">
        <v>3945.43</v>
      </c>
      <c r="C989" s="2">
        <f t="shared" si="77"/>
        <v>4.8722716043093127E-3</v>
      </c>
      <c r="D989" s="21">
        <f t="shared" ca="1" si="75"/>
        <v>4.4883191892024455E-3</v>
      </c>
      <c r="E989" s="21">
        <f t="shared" ca="1" si="78"/>
        <v>3.118632221863156E-5</v>
      </c>
      <c r="F989" s="11">
        <f t="shared" ca="1" si="79"/>
        <v>4.8647871992620111</v>
      </c>
      <c r="G989" s="10">
        <f t="shared" ca="1" si="76"/>
        <v>1</v>
      </c>
    </row>
    <row r="990" spans="1:7" x14ac:dyDescent="0.2">
      <c r="A990" s="2">
        <v>19940131</v>
      </c>
      <c r="B990" s="13">
        <v>3978.36</v>
      </c>
      <c r="C990" s="2">
        <f t="shared" si="77"/>
        <v>8.346365288447722E-3</v>
      </c>
      <c r="D990" s="21">
        <f t="shared" ca="1" si="75"/>
        <v>7.9624128733408548E-3</v>
      </c>
      <c r="E990" s="21">
        <f t="shared" ca="1" si="78"/>
        <v>3.1258366178126251E-5</v>
      </c>
      <c r="F990" s="11">
        <f t="shared" ca="1" si="79"/>
        <v>4.172482949937085</v>
      </c>
      <c r="G990" s="10">
        <f t="shared" ca="1" si="76"/>
        <v>0</v>
      </c>
    </row>
    <row r="991" spans="1:7" x14ac:dyDescent="0.2">
      <c r="A991" s="2">
        <v>19940201</v>
      </c>
      <c r="B991" s="13">
        <v>3964.01</v>
      </c>
      <c r="C991" s="2">
        <f t="shared" si="77"/>
        <v>-3.6070139454448336E-3</v>
      </c>
      <c r="D991" s="21">
        <f t="shared" ca="1" si="75"/>
        <v>-3.9909663605517008E-3</v>
      </c>
      <c r="E991" s="21">
        <f t="shared" ca="1" si="78"/>
        <v>3.2917327639049175E-5</v>
      </c>
      <c r="F991" s="11">
        <f t="shared" ca="1" si="79"/>
        <v>4.9188190840081099</v>
      </c>
      <c r="G991" s="10">
        <f t="shared" ca="1" si="76"/>
        <v>1</v>
      </c>
    </row>
    <row r="992" spans="1:7" x14ac:dyDescent="0.2">
      <c r="A992" s="2">
        <v>19940202</v>
      </c>
      <c r="B992" s="13">
        <v>3975.54</v>
      </c>
      <c r="C992" s="2">
        <f t="shared" si="77"/>
        <v>2.9086707652099123E-3</v>
      </c>
      <c r="D992" s="21">
        <f t="shared" ca="1" si="75"/>
        <v>2.5247183501030451E-3</v>
      </c>
      <c r="E992" s="21">
        <f t="shared" ca="1" si="78"/>
        <v>3.2746725780008088E-5</v>
      </c>
      <c r="F992" s="11">
        <f t="shared" ca="1" si="79"/>
        <v>5.0660279857911199</v>
      </c>
      <c r="G992" s="10">
        <f t="shared" ca="1" si="76"/>
        <v>1</v>
      </c>
    </row>
    <row r="993" spans="1:7" x14ac:dyDescent="0.2">
      <c r="A993" s="2">
        <v>19940203</v>
      </c>
      <c r="B993" s="13">
        <v>3967.66</v>
      </c>
      <c r="C993" s="2">
        <f t="shared" si="77"/>
        <v>-1.9821206678841386E-3</v>
      </c>
      <c r="D993" s="21">
        <f t="shared" ca="1" si="75"/>
        <v>-2.3660730829910058E-3</v>
      </c>
      <c r="E993" s="21">
        <f t="shared" ca="1" si="78"/>
        <v>3.2233451813860638E-5</v>
      </c>
      <c r="F993" s="11">
        <f t="shared" ca="1" si="79"/>
        <v>5.0844129474741404</v>
      </c>
      <c r="G993" s="10">
        <f t="shared" ca="1" si="76"/>
        <v>1</v>
      </c>
    </row>
    <row r="994" spans="1:7" x14ac:dyDescent="0.2">
      <c r="A994" s="2">
        <v>19940204</v>
      </c>
      <c r="B994" s="13">
        <v>3871.42</v>
      </c>
      <c r="C994" s="2">
        <f t="shared" si="77"/>
        <v>-2.4256110654642733E-2</v>
      </c>
      <c r="D994" s="21">
        <f t="shared" ca="1" si="75"/>
        <v>-2.4640063069749602E-2</v>
      </c>
      <c r="E994" s="21">
        <f t="shared" ca="1" si="78"/>
        <v>3.1717613315322101E-5</v>
      </c>
      <c r="F994" s="11">
        <f t="shared" ca="1" si="79"/>
        <v>-4.3915886398452431</v>
      </c>
      <c r="G994" s="10">
        <f t="shared" ca="1" si="76"/>
        <v>0</v>
      </c>
    </row>
    <row r="995" spans="1:7" x14ac:dyDescent="0.2">
      <c r="A995" s="2">
        <v>19940207</v>
      </c>
      <c r="B995" s="13">
        <v>3906.32</v>
      </c>
      <c r="C995" s="2">
        <f t="shared" si="77"/>
        <v>9.0147801065242443E-3</v>
      </c>
      <c r="D995" s="21">
        <f t="shared" ca="1" si="75"/>
        <v>8.6308276914173771E-3</v>
      </c>
      <c r="E995" s="21">
        <f t="shared" ca="1" si="78"/>
        <v>5.3347341681362365E-5</v>
      </c>
      <c r="F995" s="11">
        <f t="shared" ca="1" si="79"/>
        <v>4.2211717092397913</v>
      </c>
      <c r="G995" s="10">
        <f t="shared" ca="1" si="76"/>
        <v>0</v>
      </c>
    </row>
    <row r="996" spans="1:7" x14ac:dyDescent="0.2">
      <c r="A996" s="2">
        <v>19940208</v>
      </c>
      <c r="B996" s="13">
        <v>3906.03</v>
      </c>
      <c r="C996" s="2">
        <f t="shared" si="77"/>
        <v>-7.4238669643030686E-5</v>
      </c>
      <c r="D996" s="21">
        <f t="shared" ca="1" si="75"/>
        <v>-4.5819108474989801E-4</v>
      </c>
      <c r="E996" s="21">
        <f t="shared" ca="1" si="78"/>
        <v>5.4296656206871559E-5</v>
      </c>
      <c r="F996" s="11">
        <f t="shared" ca="1" si="79"/>
        <v>4.908590696793067</v>
      </c>
      <c r="G996" s="10">
        <f t="shared" ca="1" si="76"/>
        <v>1</v>
      </c>
    </row>
    <row r="997" spans="1:7" x14ac:dyDescent="0.2">
      <c r="A997" s="2">
        <v>19940209</v>
      </c>
      <c r="B997" s="13">
        <v>3931.92</v>
      </c>
      <c r="C997" s="2">
        <f t="shared" si="77"/>
        <v>6.628213300973078E-3</v>
      </c>
      <c r="D997" s="21">
        <f t="shared" ca="1" si="75"/>
        <v>6.2442608858662109E-3</v>
      </c>
      <c r="E997" s="21">
        <f t="shared" ca="1" si="78"/>
        <v>5.2466493426301427E-5</v>
      </c>
      <c r="F997" s="11">
        <f t="shared" ca="1" si="79"/>
        <v>4.5560898622361714</v>
      </c>
      <c r="G997" s="10">
        <f t="shared" ca="1" si="76"/>
        <v>1</v>
      </c>
    </row>
    <row r="998" spans="1:7" x14ac:dyDescent="0.2">
      <c r="A998" s="2">
        <v>19940210</v>
      </c>
      <c r="B998" s="13">
        <v>3895.34</v>
      </c>
      <c r="C998" s="2">
        <f t="shared" si="77"/>
        <v>-9.3033428960914589E-3</v>
      </c>
      <c r="D998" s="21">
        <f t="shared" ca="1" si="75"/>
        <v>-9.6872953111983261E-3</v>
      </c>
      <c r="E998" s="21">
        <f t="shared" ca="1" si="78"/>
        <v>5.2154958932771726E-5</v>
      </c>
      <c r="F998" s="11">
        <f t="shared" ca="1" si="79"/>
        <v>4.0309834431521194</v>
      </c>
      <c r="G998" s="10">
        <f t="shared" ca="1" si="76"/>
        <v>0</v>
      </c>
    </row>
    <row r="999" spans="1:7" x14ac:dyDescent="0.2">
      <c r="A999" s="2">
        <v>19940211</v>
      </c>
      <c r="B999" s="13">
        <v>3894.78</v>
      </c>
      <c r="C999" s="2">
        <f t="shared" si="77"/>
        <v>-1.4376152017537503E-4</v>
      </c>
      <c r="D999" s="21">
        <f t="shared" ca="1" si="75"/>
        <v>-5.2771393528224235E-4</v>
      </c>
      <c r="E999" s="21">
        <f t="shared" ca="1" si="78"/>
        <v>5.3876221849522684E-5</v>
      </c>
      <c r="F999" s="11">
        <f t="shared" ca="1" si="79"/>
        <v>4.9118262041436056</v>
      </c>
      <c r="G999" s="10">
        <f t="shared" ca="1" si="76"/>
        <v>1</v>
      </c>
    </row>
    <row r="1000" spans="1:7" x14ac:dyDescent="0.2">
      <c r="A1000" s="2">
        <v>19940214</v>
      </c>
      <c r="B1000" s="13">
        <v>3904.06</v>
      </c>
      <c r="C1000" s="2">
        <f t="shared" si="77"/>
        <v>2.3826763000733661E-3</v>
      </c>
      <c r="D1000" s="21">
        <f t="shared" ca="1" si="75"/>
        <v>1.9987238849664989E-3</v>
      </c>
      <c r="E1000" s="21">
        <f t="shared" ca="1" si="78"/>
        <v>5.2069849424642568E-5</v>
      </c>
      <c r="F1000" s="11">
        <f t="shared" ca="1" si="79"/>
        <v>4.8931012971694008</v>
      </c>
      <c r="G1000" s="10">
        <f t="shared" ca="1" si="76"/>
        <v>1</v>
      </c>
    </row>
    <row r="1001" spans="1:7" x14ac:dyDescent="0.2">
      <c r="A1001" s="2">
        <v>19940215</v>
      </c>
      <c r="B1001" s="13">
        <v>3928.27</v>
      </c>
      <c r="C1001" s="2">
        <f t="shared" si="77"/>
        <v>6.201236661321813E-3</v>
      </c>
      <c r="D1001" s="21">
        <f t="shared" ca="1" si="75"/>
        <v>5.8172842462149458E-3</v>
      </c>
      <c r="E1001" s="21">
        <f t="shared" ca="1" si="78"/>
        <v>5.0491521050378796E-5</v>
      </c>
      <c r="F1001" s="11">
        <f t="shared" ca="1" si="79"/>
        <v>4.6117389161554136</v>
      </c>
      <c r="G1001" s="10">
        <f t="shared" ca="1" si="76"/>
        <v>1</v>
      </c>
    </row>
    <row r="1002" spans="1:7" x14ac:dyDescent="0.2">
      <c r="A1002" s="2">
        <v>19940216</v>
      </c>
      <c r="B1002" s="13">
        <v>3937.27</v>
      </c>
      <c r="C1002" s="2">
        <f t="shared" si="77"/>
        <v>2.2910848796034895E-3</v>
      </c>
      <c r="D1002" s="21">
        <f t="shared" ca="1" si="75"/>
        <v>1.9071324644966223E-3</v>
      </c>
      <c r="E1002" s="21">
        <f t="shared" ca="1" si="78"/>
        <v>5.0090526640686758E-5</v>
      </c>
      <c r="F1002" s="11">
        <f t="shared" ca="1" si="79"/>
        <v>4.9145335188687227</v>
      </c>
      <c r="G1002" s="10">
        <f t="shared" ca="1" si="76"/>
        <v>1</v>
      </c>
    </row>
    <row r="1003" spans="1:7" x14ac:dyDescent="0.2">
      <c r="A1003" s="2">
        <v>19940217</v>
      </c>
      <c r="B1003" s="13">
        <v>3922.64</v>
      </c>
      <c r="C1003" s="2">
        <f t="shared" si="77"/>
        <v>-3.7157726038600626E-3</v>
      </c>
      <c r="D1003" s="21">
        <f t="shared" ca="1" si="75"/>
        <v>-4.0997250189669298E-3</v>
      </c>
      <c r="E1003" s="21">
        <f t="shared" ca="1" si="78"/>
        <v>4.8599178025567453E-5</v>
      </c>
      <c r="F1003" s="11">
        <f t="shared" ca="1" si="79"/>
        <v>4.7930298558656084</v>
      </c>
      <c r="G1003" s="10">
        <f t="shared" ca="1" si="76"/>
        <v>1</v>
      </c>
    </row>
    <row r="1004" spans="1:7" x14ac:dyDescent="0.2">
      <c r="A1004" s="2">
        <v>19940218</v>
      </c>
      <c r="B1004" s="13">
        <v>3887.46</v>
      </c>
      <c r="C1004" s="2">
        <f t="shared" si="77"/>
        <v>-8.9684498195092693E-3</v>
      </c>
      <c r="D1004" s="21">
        <f t="shared" ca="1" si="75"/>
        <v>-9.3524022346161365E-3</v>
      </c>
      <c r="E1004" s="21">
        <f t="shared" ca="1" si="78"/>
        <v>4.7667582855256168E-5</v>
      </c>
      <c r="F1004" s="11">
        <f t="shared" ca="1" si="79"/>
        <v>4.058156633555134</v>
      </c>
      <c r="G1004" s="10">
        <f t="shared" ca="1" si="76"/>
        <v>0</v>
      </c>
    </row>
    <row r="1005" spans="1:7" x14ac:dyDescent="0.2">
      <c r="A1005" s="2">
        <v>19940222</v>
      </c>
      <c r="B1005" s="13">
        <v>3911.66</v>
      </c>
      <c r="C1005" s="2">
        <f t="shared" si="77"/>
        <v>6.225144438785175E-3</v>
      </c>
      <c r="D1005" s="21">
        <f t="shared" ca="1" si="75"/>
        <v>5.8411920236783078E-3</v>
      </c>
      <c r="E1005" s="21">
        <f t="shared" ca="1" si="78"/>
        <v>4.938139728564301E-5</v>
      </c>
      <c r="F1005" s="11">
        <f t="shared" ca="1" si="79"/>
        <v>4.6124989800727594</v>
      </c>
      <c r="G1005" s="10">
        <f t="shared" ca="1" si="76"/>
        <v>1</v>
      </c>
    </row>
    <row r="1006" spans="1:7" x14ac:dyDescent="0.2">
      <c r="A1006" s="2">
        <v>19940223</v>
      </c>
      <c r="B1006" s="13">
        <v>3891.68</v>
      </c>
      <c r="C1006" s="2">
        <f t="shared" si="77"/>
        <v>-5.1078058931502274E-3</v>
      </c>
      <c r="D1006" s="21">
        <f t="shared" ca="1" si="75"/>
        <v>-5.4917583082570946E-3</v>
      </c>
      <c r="E1006" s="21">
        <f t="shared" ca="1" si="78"/>
        <v>4.9046813727387018E-5</v>
      </c>
      <c r="F1006" s="11">
        <f t="shared" ca="1" si="79"/>
        <v>4.6539123295723162</v>
      </c>
      <c r="G1006" s="10">
        <f t="shared" ca="1" si="76"/>
        <v>1</v>
      </c>
    </row>
    <row r="1007" spans="1:7" x14ac:dyDescent="0.2">
      <c r="A1007" s="2">
        <v>19940224</v>
      </c>
      <c r="B1007" s="13">
        <v>3839.9</v>
      </c>
      <c r="C1007" s="2">
        <f t="shared" si="77"/>
        <v>-1.3305307733420977E-2</v>
      </c>
      <c r="D1007" s="21">
        <f t="shared" ca="1" si="75"/>
        <v>-1.3689260148527845E-2</v>
      </c>
      <c r="E1007" s="21">
        <f t="shared" ca="1" si="78"/>
        <v>4.858353652057566E-5</v>
      </c>
      <c r="F1007" s="11">
        <f t="shared" ca="1" si="79"/>
        <v>3.0375188233651302</v>
      </c>
      <c r="G1007" s="10">
        <f t="shared" ca="1" si="76"/>
        <v>0</v>
      </c>
    </row>
    <row r="1008" spans="1:7" x14ac:dyDescent="0.2">
      <c r="A1008" s="2">
        <v>19940225</v>
      </c>
      <c r="B1008" s="13">
        <v>3838.78</v>
      </c>
      <c r="C1008" s="2">
        <f t="shared" si="77"/>
        <v>-2.9167426235055362E-4</v>
      </c>
      <c r="D1008" s="21">
        <f t="shared" ca="1" si="75"/>
        <v>-6.7562667745742092E-4</v>
      </c>
      <c r="E1008" s="21">
        <f t="shared" ca="1" si="78"/>
        <v>5.3925554884185735E-5</v>
      </c>
      <c r="F1008" s="11">
        <f t="shared" ca="1" si="79"/>
        <v>4.9097206159310822</v>
      </c>
      <c r="G1008" s="10">
        <f t="shared" ca="1" si="76"/>
        <v>1</v>
      </c>
    </row>
    <row r="1009" spans="1:7" x14ac:dyDescent="0.2">
      <c r="A1009" s="2">
        <v>19940228</v>
      </c>
      <c r="B1009" s="13">
        <v>3832.02</v>
      </c>
      <c r="C1009" s="2">
        <f t="shared" si="77"/>
        <v>-1.7609761434623026E-3</v>
      </c>
      <c r="D1009" s="21">
        <f t="shared" ca="1" si="75"/>
        <v>-2.14492855856917E-3</v>
      </c>
      <c r="E1009" s="21">
        <f t="shared" ca="1" si="78"/>
        <v>5.2123231666214677E-5</v>
      </c>
      <c r="F1009" s="11">
        <f t="shared" ca="1" si="79"/>
        <v>4.8868168119044135</v>
      </c>
      <c r="G1009" s="10">
        <f t="shared" ca="1" si="76"/>
        <v>1</v>
      </c>
    </row>
    <row r="1010" spans="1:7" x14ac:dyDescent="0.2">
      <c r="A1010" s="2">
        <v>19940301</v>
      </c>
      <c r="B1010" s="13">
        <v>3809.23</v>
      </c>
      <c r="C1010" s="2">
        <f t="shared" si="77"/>
        <v>-5.9472549725732024E-3</v>
      </c>
      <c r="D1010" s="21">
        <f t="shared" ca="1" si="75"/>
        <v>-6.3312073876800696E-3</v>
      </c>
      <c r="E1010" s="21">
        <f t="shared" ca="1" si="78"/>
        <v>5.0564479775716415E-5</v>
      </c>
      <c r="F1010" s="11">
        <f t="shared" ca="1" si="79"/>
        <v>4.5497635582148854</v>
      </c>
      <c r="G1010" s="10">
        <f t="shared" ca="1" si="76"/>
        <v>1</v>
      </c>
    </row>
    <row r="1011" spans="1:7" x14ac:dyDescent="0.2">
      <c r="A1011" s="2">
        <v>19940302</v>
      </c>
      <c r="B1011" s="13">
        <v>3831.74</v>
      </c>
      <c r="C1011" s="2">
        <f t="shared" si="77"/>
        <v>5.9093307571345816E-3</v>
      </c>
      <c r="D1011" s="21">
        <f t="shared" ca="1" si="75"/>
        <v>5.5253783420277144E-3</v>
      </c>
      <c r="E1011" s="21">
        <f t="shared" ca="1" si="78"/>
        <v>5.0389374747843381E-5</v>
      </c>
      <c r="F1011" s="11">
        <f t="shared" ca="1" si="79"/>
        <v>4.644926188912498</v>
      </c>
      <c r="G1011" s="10">
        <f t="shared" ca="1" si="76"/>
        <v>1</v>
      </c>
    </row>
    <row r="1012" spans="1:7" x14ac:dyDescent="0.2">
      <c r="A1012" s="2">
        <v>19940303</v>
      </c>
      <c r="B1012" s="13">
        <v>3824.42</v>
      </c>
      <c r="C1012" s="2">
        <f t="shared" si="77"/>
        <v>-1.9103592623715881E-3</v>
      </c>
      <c r="D1012" s="21">
        <f t="shared" ca="1" si="75"/>
        <v>-2.2943116774784555E-3</v>
      </c>
      <c r="E1012" s="21">
        <f t="shared" ca="1" si="78"/>
        <v>4.987179706321385E-5</v>
      </c>
      <c r="F1012" s="11">
        <f t="shared" ca="1" si="79"/>
        <v>4.9002534757410485</v>
      </c>
      <c r="G1012" s="10">
        <f t="shared" ca="1" si="76"/>
        <v>1</v>
      </c>
    </row>
    <row r="1013" spans="1:7" x14ac:dyDescent="0.2">
      <c r="A1013" s="2">
        <v>19940304</v>
      </c>
      <c r="B1013" s="13">
        <v>3832.3</v>
      </c>
      <c r="C1013" s="2">
        <f t="shared" si="77"/>
        <v>2.060443152164278E-3</v>
      </c>
      <c r="D1013" s="21">
        <f t="shared" ca="1" si="75"/>
        <v>1.6764907370574109E-3</v>
      </c>
      <c r="E1013" s="21">
        <f t="shared" ca="1" si="78"/>
        <v>4.845133108397406E-5</v>
      </c>
      <c r="F1013" s="11">
        <f t="shared" ca="1" si="79"/>
        <v>4.9384707915262265</v>
      </c>
      <c r="G1013" s="10">
        <f t="shared" ca="1" si="76"/>
        <v>1</v>
      </c>
    </row>
    <row r="1014" spans="1:7" x14ac:dyDescent="0.2">
      <c r="A1014" s="2">
        <v>19940307</v>
      </c>
      <c r="B1014" s="13">
        <v>3856.22</v>
      </c>
      <c r="C1014" s="2">
        <f t="shared" si="77"/>
        <v>6.2416825405108203E-3</v>
      </c>
      <c r="D1014" s="21">
        <f t="shared" ca="1" si="75"/>
        <v>5.8577301254039531E-3</v>
      </c>
      <c r="E1014" s="21">
        <f t="shared" ca="1" si="78"/>
        <v>4.7012516848541501E-5</v>
      </c>
      <c r="F1014" s="11">
        <f t="shared" ca="1" si="79"/>
        <v>4.6176135872953754</v>
      </c>
      <c r="G1014" s="10">
        <f t="shared" ca="1" si="76"/>
        <v>1</v>
      </c>
    </row>
    <row r="1015" spans="1:7" x14ac:dyDescent="0.2">
      <c r="A1015" s="2">
        <v>19940308</v>
      </c>
      <c r="B1015" s="13">
        <v>3851.72</v>
      </c>
      <c r="C1015" s="2">
        <f t="shared" si="77"/>
        <v>-1.1669458692709442E-3</v>
      </c>
      <c r="D1015" s="21">
        <f t="shared" ca="1" si="75"/>
        <v>-1.5508982843778114E-3</v>
      </c>
      <c r="E1015" s="21">
        <f t="shared" ca="1" si="78"/>
        <v>4.6804890254165506E-5</v>
      </c>
      <c r="F1015" s="11">
        <f t="shared" ca="1" si="79"/>
        <v>4.9590666243272583</v>
      </c>
      <c r="G1015" s="10">
        <f t="shared" ca="1" si="76"/>
        <v>1</v>
      </c>
    </row>
    <row r="1016" spans="1:7" x14ac:dyDescent="0.2">
      <c r="A1016" s="2">
        <v>19940309</v>
      </c>
      <c r="B1016" s="13">
        <v>3853.41</v>
      </c>
      <c r="C1016" s="2">
        <f t="shared" si="77"/>
        <v>4.3876501926413513E-4</v>
      </c>
      <c r="D1016" s="21">
        <f t="shared" ca="1" si="75"/>
        <v>5.4812604157267837E-5</v>
      </c>
      <c r="E1016" s="21">
        <f t="shared" ca="1" si="78"/>
        <v>4.543446510089432E-5</v>
      </c>
      <c r="F1016" s="11">
        <f t="shared" ca="1" si="79"/>
        <v>4.9995867356208601</v>
      </c>
      <c r="G1016" s="10">
        <f t="shared" ca="1" si="76"/>
        <v>1</v>
      </c>
    </row>
    <row r="1017" spans="1:7" x14ac:dyDescent="0.2">
      <c r="A1017" s="2">
        <v>19940310</v>
      </c>
      <c r="B1017" s="13">
        <v>3830.62</v>
      </c>
      <c r="C1017" s="2">
        <f t="shared" si="77"/>
        <v>-5.9142421906830485E-3</v>
      </c>
      <c r="D1017" s="21">
        <f t="shared" ca="1" si="75"/>
        <v>-6.2981946057899156E-3</v>
      </c>
      <c r="E1017" s="21">
        <f t="shared" ca="1" si="78"/>
        <v>4.4045034138033054E-5</v>
      </c>
      <c r="F1017" s="11">
        <f t="shared" ca="1" si="79"/>
        <v>4.5648455943989781</v>
      </c>
      <c r="G1017" s="10">
        <f t="shared" ca="1" si="76"/>
        <v>1</v>
      </c>
    </row>
    <row r="1018" spans="1:7" x14ac:dyDescent="0.2">
      <c r="A1018" s="2">
        <v>19940311</v>
      </c>
      <c r="B1018" s="13">
        <v>3862.7</v>
      </c>
      <c r="C1018" s="2">
        <f t="shared" si="77"/>
        <v>8.374623429105452E-3</v>
      </c>
      <c r="D1018" s="21">
        <f t="shared" ca="1" si="75"/>
        <v>7.9906710139985848E-3</v>
      </c>
      <c r="E1018" s="21">
        <f t="shared" ca="1" si="78"/>
        <v>4.4184418705241854E-5</v>
      </c>
      <c r="F1018" s="11">
        <f t="shared" ca="1" si="79"/>
        <v>4.2910200822573108</v>
      </c>
      <c r="G1018" s="10">
        <f t="shared" ca="1" si="76"/>
        <v>0</v>
      </c>
    </row>
    <row r="1019" spans="1:7" x14ac:dyDescent="0.2">
      <c r="A1019" s="2">
        <v>19940314</v>
      </c>
      <c r="B1019" s="13">
        <v>3862.98</v>
      </c>
      <c r="C1019" s="2">
        <f t="shared" si="77"/>
        <v>7.248815595314161E-5</v>
      </c>
      <c r="D1019" s="21">
        <f t="shared" ca="1" si="75"/>
        <v>-3.1146425915372567E-4</v>
      </c>
      <c r="E1019" s="21">
        <f t="shared" ca="1" si="78"/>
        <v>4.5206023780895358E-5</v>
      </c>
      <c r="F1019" s="11">
        <f t="shared" ca="1" si="79"/>
        <v>5.0010671289533128</v>
      </c>
      <c r="G1019" s="10">
        <f t="shared" ca="1" si="76"/>
        <v>1</v>
      </c>
    </row>
    <row r="1020" spans="1:7" x14ac:dyDescent="0.2">
      <c r="A1020" s="2">
        <v>19940315</v>
      </c>
      <c r="B1020" s="13">
        <v>3849.59</v>
      </c>
      <c r="C1020" s="2">
        <f t="shared" si="77"/>
        <v>-3.4662359111359295E-3</v>
      </c>
      <c r="D1020" s="21">
        <f t="shared" ca="1" si="75"/>
        <v>-3.8501883262427967E-3</v>
      </c>
      <c r="E1020" s="21">
        <f t="shared" ca="1" si="78"/>
        <v>4.3831606488325775E-5</v>
      </c>
      <c r="F1020" s="11">
        <f t="shared" ca="1" si="79"/>
        <v>4.848476545513364</v>
      </c>
      <c r="G1020" s="10">
        <f t="shared" ca="1" si="76"/>
        <v>1</v>
      </c>
    </row>
    <row r="1021" spans="1:7" x14ac:dyDescent="0.2">
      <c r="A1021" s="2">
        <v>19940316</v>
      </c>
      <c r="B1021" s="13">
        <v>3848.15</v>
      </c>
      <c r="C1021" s="2">
        <f t="shared" si="77"/>
        <v>-3.7406580960571242E-4</v>
      </c>
      <c r="D1021" s="21">
        <f t="shared" ca="1" si="75"/>
        <v>-7.5801822471257977E-4</v>
      </c>
      <c r="E1021" s="21">
        <f t="shared" ca="1" si="78"/>
        <v>4.306825672285077E-5</v>
      </c>
      <c r="F1021" s="11">
        <f t="shared" ca="1" si="79"/>
        <v>5.0196914584210806</v>
      </c>
      <c r="G1021" s="10">
        <f t="shared" ca="1" si="76"/>
        <v>1</v>
      </c>
    </row>
    <row r="1022" spans="1:7" x14ac:dyDescent="0.2">
      <c r="A1022" s="2">
        <v>19940317</v>
      </c>
      <c r="B1022" s="13">
        <v>3865.14</v>
      </c>
      <c r="C1022" s="2">
        <f t="shared" si="77"/>
        <v>4.4151085586579993E-3</v>
      </c>
      <c r="D1022" s="21">
        <f t="shared" ca="1" si="75"/>
        <v>4.0311561435511321E-3</v>
      </c>
      <c r="E1022" s="21">
        <f t="shared" ca="1" si="78"/>
        <v>4.18195512805777E-5</v>
      </c>
      <c r="F1022" s="11">
        <f t="shared" ca="1" si="79"/>
        <v>4.8467835525578851</v>
      </c>
      <c r="G1022" s="10">
        <f t="shared" ca="1" si="76"/>
        <v>1</v>
      </c>
    </row>
    <row r="1023" spans="1:7" x14ac:dyDescent="0.2">
      <c r="A1023" s="2">
        <v>19940318</v>
      </c>
      <c r="B1023" s="13">
        <v>3895.65</v>
      </c>
      <c r="C1023" s="2">
        <f t="shared" si="77"/>
        <v>7.8936338657849964E-3</v>
      </c>
      <c r="D1023" s="21">
        <f t="shared" ca="1" si="75"/>
        <v>7.5096814506781292E-3</v>
      </c>
      <c r="E1023" s="21">
        <f t="shared" ca="1" si="78"/>
        <v>4.1210438477989893E-5</v>
      </c>
      <c r="F1023" s="11">
        <f t="shared" ca="1" si="79"/>
        <v>4.3641736764641221</v>
      </c>
      <c r="G1023" s="10">
        <f t="shared" ca="1" si="76"/>
        <v>0</v>
      </c>
    </row>
    <row r="1024" spans="1:7" x14ac:dyDescent="0.2">
      <c r="A1024" s="2">
        <v>19940321</v>
      </c>
      <c r="B1024" s="13">
        <v>3864.85</v>
      </c>
      <c r="C1024" s="2">
        <f t="shared" si="77"/>
        <v>-7.9062544119723743E-3</v>
      </c>
      <c r="D1024" s="21">
        <f t="shared" ca="1" si="75"/>
        <v>-8.2902068270792415E-3</v>
      </c>
      <c r="E1024" s="21">
        <f t="shared" ca="1" si="78"/>
        <v>4.2108346154441662E-5</v>
      </c>
      <c r="F1024" s="11">
        <f t="shared" ca="1" si="79"/>
        <v>4.2215526401186612</v>
      </c>
      <c r="G1024" s="10">
        <f t="shared" ca="1" si="76"/>
        <v>0</v>
      </c>
    </row>
    <row r="1025" spans="1:7" x14ac:dyDescent="0.2">
      <c r="A1025" s="2">
        <v>19940322</v>
      </c>
      <c r="B1025" s="13">
        <v>3862.55</v>
      </c>
      <c r="C1025" s="2">
        <f t="shared" si="77"/>
        <v>-5.9510718397860903E-4</v>
      </c>
      <c r="D1025" s="21">
        <f t="shared" ca="1" si="75"/>
        <v>-9.7905959908547633E-4</v>
      </c>
      <c r="E1025" s="21">
        <f t="shared" ca="1" si="78"/>
        <v>4.3414305417925401E-5</v>
      </c>
      <c r="F1025" s="11">
        <f t="shared" ca="1" si="79"/>
        <v>5.0113211240320039</v>
      </c>
      <c r="G1025" s="10">
        <f t="shared" ca="1" si="76"/>
        <v>1</v>
      </c>
    </row>
    <row r="1026" spans="1:7" x14ac:dyDescent="0.2">
      <c r="A1026" s="2">
        <v>19940323</v>
      </c>
      <c r="B1026" s="13">
        <v>3869.46</v>
      </c>
      <c r="C1026" s="2">
        <f t="shared" si="77"/>
        <v>1.788973605519632E-3</v>
      </c>
      <c r="D1026" s="21">
        <f t="shared" ca="1" si="75"/>
        <v>1.4050211904127648E-3</v>
      </c>
      <c r="E1026" s="21">
        <f t="shared" ca="1" si="78"/>
        <v>4.2162212361027764E-5</v>
      </c>
      <c r="F1026" s="11">
        <f t="shared" ca="1" si="79"/>
        <v>5.0135824997410934</v>
      </c>
      <c r="G1026" s="10">
        <f t="shared" ca="1" si="76"/>
        <v>1</v>
      </c>
    </row>
    <row r="1027" spans="1:7" x14ac:dyDescent="0.2">
      <c r="A1027" s="2">
        <v>19940324</v>
      </c>
      <c r="B1027" s="13">
        <v>3821.09</v>
      </c>
      <c r="C1027" s="2">
        <f t="shared" si="77"/>
        <v>-1.2500452259488376E-2</v>
      </c>
      <c r="D1027" s="21">
        <f t="shared" ca="1" si="75"/>
        <v>-1.2884404674595243E-2</v>
      </c>
      <c r="E1027" s="21">
        <f t="shared" ca="1" si="78"/>
        <v>4.1010805799468026E-5</v>
      </c>
      <c r="F1027" s="11">
        <f t="shared" ca="1" si="79"/>
        <v>3.0268845220350702</v>
      </c>
      <c r="G1027" s="10">
        <f t="shared" ca="1" si="76"/>
        <v>0</v>
      </c>
    </row>
    <row r="1028" spans="1:7" x14ac:dyDescent="0.2">
      <c r="A1028" s="2">
        <v>19940325</v>
      </c>
      <c r="B1028" s="13">
        <v>3774.73</v>
      </c>
      <c r="C1028" s="2">
        <f t="shared" si="77"/>
        <v>-1.2132663716374156E-2</v>
      </c>
      <c r="D1028" s="21">
        <f t="shared" ca="1" si="75"/>
        <v>-1.2516616131481023E-2</v>
      </c>
      <c r="E1028" s="21">
        <f t="shared" ca="1" si="78"/>
        <v>4.5949458484984045E-5</v>
      </c>
      <c r="F1028" s="11">
        <f t="shared" ca="1" si="79"/>
        <v>3.2892233581516477</v>
      </c>
      <c r="G1028" s="10">
        <f t="shared" ca="1" si="76"/>
        <v>0</v>
      </c>
    </row>
    <row r="1029" spans="1:7" x14ac:dyDescent="0.2">
      <c r="A1029" s="2">
        <v>19940328</v>
      </c>
      <c r="B1029" s="13">
        <v>3762.35</v>
      </c>
      <c r="C1029" s="2">
        <f t="shared" si="77"/>
        <v>-3.279704773586484E-3</v>
      </c>
      <c r="D1029" s="21">
        <f t="shared" ca="1" si="75"/>
        <v>-3.6636571886933512E-3</v>
      </c>
      <c r="E1029" s="21">
        <f t="shared" ca="1" si="78"/>
        <v>5.0294733935981939E-5</v>
      </c>
      <c r="F1029" s="11">
        <f t="shared" ca="1" si="79"/>
        <v>4.8153678196044334</v>
      </c>
      <c r="G1029" s="10">
        <f t="shared" ca="1" si="76"/>
        <v>1</v>
      </c>
    </row>
    <row r="1030" spans="1:7" x14ac:dyDescent="0.2">
      <c r="A1030" s="2">
        <v>19940329</v>
      </c>
      <c r="B1030" s="13">
        <v>3699.02</v>
      </c>
      <c r="C1030" s="2">
        <f t="shared" si="77"/>
        <v>-1.6832564753412077E-2</v>
      </c>
      <c r="D1030" s="21">
        <f t="shared" ca="1" si="75"/>
        <v>-1.7216517168518946E-2</v>
      </c>
      <c r="E1030" s="21">
        <f t="shared" ca="1" si="78"/>
        <v>4.9152874390270245E-5</v>
      </c>
      <c r="F1030" s="11">
        <f t="shared" ca="1" si="79"/>
        <v>1.9451184408915148</v>
      </c>
      <c r="G1030" s="10">
        <f t="shared" ca="1" si="76"/>
        <v>0</v>
      </c>
    </row>
    <row r="1031" spans="1:7" x14ac:dyDescent="0.2">
      <c r="A1031" s="2">
        <v>19940330</v>
      </c>
      <c r="B1031" s="13">
        <v>3626.75</v>
      </c>
      <c r="C1031" s="2">
        <f t="shared" si="77"/>
        <v>-1.9537607258138637E-2</v>
      </c>
      <c r="D1031" s="21">
        <f t="shared" ca="1" si="75"/>
        <v>-1.9921559673245506E-2</v>
      </c>
      <c r="E1031" s="21">
        <f t="shared" ca="1" si="78"/>
        <v>5.8474674142148446E-5</v>
      </c>
      <c r="F1031" s="11">
        <f t="shared" ca="1" si="79"/>
        <v>1.4799504875753766</v>
      </c>
      <c r="G1031" s="10">
        <f t="shared" ca="1" si="76"/>
        <v>0</v>
      </c>
    </row>
    <row r="1032" spans="1:7" x14ac:dyDescent="0.2">
      <c r="A1032" s="2">
        <v>19940331</v>
      </c>
      <c r="B1032" s="13">
        <v>3635.96</v>
      </c>
      <c r="C1032" s="2">
        <f t="shared" si="77"/>
        <v>2.5394637071758561E-3</v>
      </c>
      <c r="D1032" s="21">
        <f t="shared" ca="1" si="75"/>
        <v>2.1555112920689889E-3</v>
      </c>
      <c r="E1032" s="21">
        <f t="shared" ca="1" si="78"/>
        <v>7.1018973392520914E-5</v>
      </c>
      <c r="F1032" s="11">
        <f t="shared" ca="1" si="79"/>
        <v>4.7435705622647735</v>
      </c>
      <c r="G1032" s="10">
        <f t="shared" ca="1" si="76"/>
        <v>1</v>
      </c>
    </row>
    <row r="1033" spans="1:7" x14ac:dyDescent="0.2">
      <c r="A1033" s="2">
        <v>19940404</v>
      </c>
      <c r="B1033" s="13">
        <v>3593.35</v>
      </c>
      <c r="C1033" s="2">
        <f t="shared" si="77"/>
        <v>-1.1719050814640459E-2</v>
      </c>
      <c r="D1033" s="21">
        <f t="shared" ca="1" si="75"/>
        <v>-1.2103003229747326E-2</v>
      </c>
      <c r="E1033" s="21">
        <f t="shared" ca="1" si="78"/>
        <v>6.8505953203593445E-5</v>
      </c>
      <c r="F1033" s="11">
        <f t="shared" ca="1" si="79"/>
        <v>3.7251711749528429</v>
      </c>
      <c r="G1033" s="10">
        <f t="shared" ca="1" si="76"/>
        <v>0</v>
      </c>
    </row>
    <row r="1034" spans="1:7" x14ac:dyDescent="0.2">
      <c r="A1034" s="2">
        <v>19940405</v>
      </c>
      <c r="B1034" s="13">
        <v>3675.41</v>
      </c>
      <c r="C1034" s="2">
        <f t="shared" si="77"/>
        <v>2.2836628772593806E-2</v>
      </c>
      <c r="D1034" s="21">
        <f t="shared" ca="1" si="75"/>
        <v>2.2452676357486937E-2</v>
      </c>
      <c r="E1034" s="21">
        <f t="shared" ca="1" si="78"/>
        <v>7.1335641756419647E-5</v>
      </c>
      <c r="F1034" s="11">
        <f t="shared" ca="1" si="79"/>
        <v>1.240601425773558</v>
      </c>
      <c r="G1034" s="10">
        <f t="shared" ca="1" si="76"/>
        <v>0</v>
      </c>
    </row>
    <row r="1035" spans="1:7" x14ac:dyDescent="0.2">
      <c r="A1035" s="2">
        <v>19940406</v>
      </c>
      <c r="B1035" s="13">
        <v>3679.73</v>
      </c>
      <c r="C1035" s="2">
        <f t="shared" si="77"/>
        <v>1.1753790733551261E-3</v>
      </c>
      <c r="D1035" s="21">
        <f t="shared" ca="1" si="75"/>
        <v>7.9142665824825876E-4</v>
      </c>
      <c r="E1035" s="21">
        <f t="shared" ca="1" si="78"/>
        <v>8.7173222264640206E-5</v>
      </c>
      <c r="F1035" s="11">
        <f t="shared" ca="1" si="79"/>
        <v>4.6702140842196869</v>
      </c>
      <c r="G1035" s="10">
        <f t="shared" ca="1" si="76"/>
        <v>1</v>
      </c>
    </row>
    <row r="1036" spans="1:7" x14ac:dyDescent="0.2">
      <c r="A1036" s="2">
        <v>19940407</v>
      </c>
      <c r="B1036" s="13">
        <v>3693.26</v>
      </c>
      <c r="C1036" s="2">
        <f t="shared" si="77"/>
        <v>3.6769002073522242E-3</v>
      </c>
      <c r="D1036" s="21">
        <f t="shared" ca="1" si="75"/>
        <v>3.2929477922453571E-3</v>
      </c>
      <c r="E1036" s="21">
        <f t="shared" ca="1" si="78"/>
        <v>8.3695135565436702E-5</v>
      </c>
      <c r="F1036" s="11">
        <f t="shared" ca="1" si="79"/>
        <v>4.6293850684868403</v>
      </c>
      <c r="G1036" s="10">
        <f t="shared" ca="1" si="76"/>
        <v>1</v>
      </c>
    </row>
    <row r="1037" spans="1:7" x14ac:dyDescent="0.2">
      <c r="A1037" s="2">
        <v>19940408</v>
      </c>
      <c r="B1037" s="13">
        <v>3674.26</v>
      </c>
      <c r="C1037" s="2">
        <f t="shared" si="77"/>
        <v>-5.1445064793705286E-3</v>
      </c>
      <c r="D1037" s="21">
        <f t="shared" ca="1" si="75"/>
        <v>-5.5284588944773958E-3</v>
      </c>
      <c r="E1037" s="21">
        <f t="shared" ca="1" si="78"/>
        <v>8.0768708826168493E-5</v>
      </c>
      <c r="F1037" s="11">
        <f t="shared" ca="1" si="79"/>
        <v>4.5227544108676891</v>
      </c>
      <c r="G1037" s="10">
        <f t="shared" ca="1" si="76"/>
        <v>1</v>
      </c>
    </row>
    <row r="1038" spans="1:7" x14ac:dyDescent="0.2">
      <c r="A1038" s="2">
        <v>19940411</v>
      </c>
      <c r="B1038" s="13">
        <v>3688.83</v>
      </c>
      <c r="C1038" s="2">
        <f t="shared" si="77"/>
        <v>3.9654243303412686E-3</v>
      </c>
      <c r="D1038" s="21">
        <f t="shared" ref="D1038:D1101" ca="1" si="80">(C1038-mu)</f>
        <v>3.5814719152344014E-3</v>
      </c>
      <c r="E1038" s="21">
        <f t="shared" ca="1" si="78"/>
        <v>7.8715482776439154E-5</v>
      </c>
      <c r="F1038" s="11">
        <f t="shared" ca="1" si="79"/>
        <v>4.6433587370705833</v>
      </c>
      <c r="G1038" s="10">
        <f t="shared" ref="G1038:G1101" ca="1" si="81">IF(AND(C1038&lt;=mu+zvalue*SQRT(E1038),C1038&gt;=mu-zvalue*SQRT(E1038)),1,0)</f>
        <v>1</v>
      </c>
    </row>
    <row r="1039" spans="1:7" x14ac:dyDescent="0.2">
      <c r="A1039" s="2">
        <v>19940412</v>
      </c>
      <c r="B1039" s="13">
        <v>3681.69</v>
      </c>
      <c r="C1039" s="2">
        <f t="shared" ref="C1039:C1102" si="82">(B1039-B1038)/B1038</f>
        <v>-1.9355730678832781E-3</v>
      </c>
      <c r="D1039" s="21">
        <f t="shared" ca="1" si="80"/>
        <v>-2.3195254829901455E-3</v>
      </c>
      <c r="E1039" s="21">
        <f t="shared" ref="E1039:E1102" ca="1" si="83">(1-alpha-beta)*longvar+alpha*D1038^2+beta*E1038</f>
        <v>7.6113912713234548E-5</v>
      </c>
      <c r="F1039" s="11">
        <f t="shared" ref="F1039:F1102" ca="1" si="84">(-0.5)*(LN(E1039)+D1039^2/E1039)</f>
        <v>4.7062966756422435</v>
      </c>
      <c r="G1039" s="10">
        <f t="shared" ca="1" si="81"/>
        <v>1</v>
      </c>
    </row>
    <row r="1040" spans="1:7" x14ac:dyDescent="0.2">
      <c r="A1040" s="2">
        <v>19940413</v>
      </c>
      <c r="B1040" s="13">
        <v>3661.47</v>
      </c>
      <c r="C1040" s="2">
        <f t="shared" si="82"/>
        <v>-5.4920430563138818E-3</v>
      </c>
      <c r="D1040" s="21">
        <f t="shared" ca="1" si="80"/>
        <v>-5.875995471420749E-3</v>
      </c>
      <c r="E1040" s="21">
        <f t="shared" ca="1" si="83"/>
        <v>7.3370127207874819E-5</v>
      </c>
      <c r="F1040" s="11">
        <f t="shared" ca="1" si="84"/>
        <v>4.5247013372270732</v>
      </c>
      <c r="G1040" s="10">
        <f t="shared" ca="1" si="81"/>
        <v>1</v>
      </c>
    </row>
    <row r="1041" spans="1:7" x14ac:dyDescent="0.2">
      <c r="A1041" s="2">
        <v>19940414</v>
      </c>
      <c r="B1041" s="13">
        <v>3663.25</v>
      </c>
      <c r="C1041" s="2">
        <f t="shared" si="82"/>
        <v>4.8614354344025766E-4</v>
      </c>
      <c r="D1041" s="21">
        <f t="shared" ca="1" si="80"/>
        <v>1.0219112833339037E-4</v>
      </c>
      <c r="E1041" s="21">
        <f t="shared" ca="1" si="83"/>
        <v>7.1836941367935244E-5</v>
      </c>
      <c r="F1041" s="11">
        <f t="shared" ca="1" si="84"/>
        <v>4.7704831696148347</v>
      </c>
      <c r="G1041" s="10">
        <f t="shared" ca="1" si="81"/>
        <v>1</v>
      </c>
    </row>
    <row r="1042" spans="1:7" x14ac:dyDescent="0.2">
      <c r="A1042" s="2">
        <v>19940415</v>
      </c>
      <c r="B1042" s="13">
        <v>3661.47</v>
      </c>
      <c r="C1042" s="2">
        <f t="shared" si="82"/>
        <v>-4.8590732273260084E-4</v>
      </c>
      <c r="D1042" s="21">
        <f t="shared" ca="1" si="80"/>
        <v>-8.6985973783946808E-4</v>
      </c>
      <c r="E1042" s="21">
        <f t="shared" ca="1" si="83"/>
        <v>6.9112073967830882E-5</v>
      </c>
      <c r="F1042" s="11">
        <f t="shared" ca="1" si="84"/>
        <v>4.7844164324965623</v>
      </c>
      <c r="G1042" s="10">
        <f t="shared" ca="1" si="81"/>
        <v>1</v>
      </c>
    </row>
    <row r="1043" spans="1:7" x14ac:dyDescent="0.2">
      <c r="A1043" s="2">
        <v>19940418</v>
      </c>
      <c r="B1043" s="13">
        <v>3620.42</v>
      </c>
      <c r="C1043" s="2">
        <f t="shared" si="82"/>
        <v>-1.1211344077651798E-2</v>
      </c>
      <c r="D1043" s="21">
        <f t="shared" ca="1" si="80"/>
        <v>-1.1595296492758665E-2</v>
      </c>
      <c r="E1043" s="21">
        <f t="shared" ca="1" si="83"/>
        <v>6.6552498059308513E-5</v>
      </c>
      <c r="F1043" s="11">
        <f t="shared" ca="1" si="84"/>
        <v>3.7986481374403827</v>
      </c>
      <c r="G1043" s="10">
        <f t="shared" ca="1" si="81"/>
        <v>0</v>
      </c>
    </row>
    <row r="1044" spans="1:7" x14ac:dyDescent="0.2">
      <c r="A1044" s="2">
        <v>19940419</v>
      </c>
      <c r="B1044" s="13">
        <v>3619.82</v>
      </c>
      <c r="C1044" s="2">
        <f t="shared" si="82"/>
        <v>-1.6572662840220445E-4</v>
      </c>
      <c r="D1044" s="21">
        <f t="shared" ca="1" si="80"/>
        <v>-5.4967904350907175E-4</v>
      </c>
      <c r="E1044" s="21">
        <f t="shared" ca="1" si="83"/>
        <v>6.9038582756200553E-5</v>
      </c>
      <c r="F1044" s="11">
        <f t="shared" ca="1" si="84"/>
        <v>4.7882342718526036</v>
      </c>
      <c r="G1044" s="10">
        <f t="shared" ca="1" si="81"/>
        <v>1</v>
      </c>
    </row>
    <row r="1045" spans="1:7" x14ac:dyDescent="0.2">
      <c r="A1045" s="2">
        <v>19940420</v>
      </c>
      <c r="B1045" s="13">
        <v>3598.71</v>
      </c>
      <c r="C1045" s="2">
        <f t="shared" si="82"/>
        <v>-5.8317816908023401E-3</v>
      </c>
      <c r="D1045" s="21">
        <f t="shared" ca="1" si="80"/>
        <v>-6.2157341059092073E-3</v>
      </c>
      <c r="E1045" s="21">
        <f t="shared" ca="1" si="83"/>
        <v>6.6466011705960837E-5</v>
      </c>
      <c r="F1045" s="11">
        <f t="shared" ca="1" si="84"/>
        <v>4.5187700179209562</v>
      </c>
      <c r="G1045" s="10">
        <f t="shared" ca="1" si="81"/>
        <v>1</v>
      </c>
    </row>
    <row r="1046" spans="1:7" x14ac:dyDescent="0.2">
      <c r="A1046" s="2">
        <v>19940421</v>
      </c>
      <c r="B1046" s="13">
        <v>3652.54</v>
      </c>
      <c r="C1046" s="2">
        <f t="shared" si="82"/>
        <v>1.4958137777147901E-2</v>
      </c>
      <c r="D1046" s="21">
        <f t="shared" ca="1" si="80"/>
        <v>1.4574185362041034E-2</v>
      </c>
      <c r="E1046" s="21">
        <f t="shared" ca="1" si="83"/>
        <v>6.543316669370415E-5</v>
      </c>
      <c r="F1046" s="11">
        <f t="shared" ca="1" si="84"/>
        <v>3.1941579671700335</v>
      </c>
      <c r="G1046" s="10">
        <f t="shared" ca="1" si="81"/>
        <v>0</v>
      </c>
    </row>
    <row r="1047" spans="1:7" x14ac:dyDescent="0.2">
      <c r="A1047" s="2">
        <v>19940422</v>
      </c>
      <c r="B1047" s="13">
        <v>3648.68</v>
      </c>
      <c r="C1047" s="2">
        <f t="shared" si="82"/>
        <v>-1.0567988304029873E-3</v>
      </c>
      <c r="D1047" s="21">
        <f t="shared" ca="1" si="80"/>
        <v>-1.4407512455098547E-3</v>
      </c>
      <c r="E1047" s="21">
        <f t="shared" ca="1" si="83"/>
        <v>7.0842456166605273E-5</v>
      </c>
      <c r="F1047" s="11">
        <f t="shared" ca="1" si="84"/>
        <v>4.7628754708661338</v>
      </c>
      <c r="G1047" s="10">
        <f t="shared" ca="1" si="81"/>
        <v>1</v>
      </c>
    </row>
    <row r="1048" spans="1:7" x14ac:dyDescent="0.2">
      <c r="A1048" s="2">
        <v>19940425</v>
      </c>
      <c r="B1048" s="13">
        <v>3705.78</v>
      </c>
      <c r="C1048" s="2">
        <f t="shared" si="82"/>
        <v>1.5649495159893542E-2</v>
      </c>
      <c r="D1048" s="21">
        <f t="shared" ca="1" si="80"/>
        <v>1.5265542744786675E-2</v>
      </c>
      <c r="E1048" s="21">
        <f t="shared" ca="1" si="83"/>
        <v>6.8243845564188794E-5</v>
      </c>
      <c r="F1048" s="11">
        <f t="shared" ca="1" si="84"/>
        <v>3.0888284187949209</v>
      </c>
      <c r="G1048" s="10">
        <f t="shared" ca="1" si="81"/>
        <v>0</v>
      </c>
    </row>
    <row r="1049" spans="1:7" x14ac:dyDescent="0.2">
      <c r="A1049" s="2">
        <v>19940426</v>
      </c>
      <c r="B1049" s="13">
        <v>3699.54</v>
      </c>
      <c r="C1049" s="2">
        <f t="shared" si="82"/>
        <v>-1.6838560303094722E-3</v>
      </c>
      <c r="D1049" s="21">
        <f t="shared" ca="1" si="80"/>
        <v>-2.0678084454163396E-3</v>
      </c>
      <c r="E1049" s="21">
        <f t="shared" ca="1" si="83"/>
        <v>7.4269539911679536E-5</v>
      </c>
      <c r="F1049" s="11">
        <f t="shared" ca="1" si="84"/>
        <v>4.7251189210504716</v>
      </c>
      <c r="G1049" s="10">
        <f t="shared" ca="1" si="81"/>
        <v>1</v>
      </c>
    </row>
    <row r="1050" spans="1:7" x14ac:dyDescent="0.2">
      <c r="A1050" s="2">
        <v>19940428</v>
      </c>
      <c r="B1050" s="13">
        <v>3668.31</v>
      </c>
      <c r="C1050" s="2">
        <f t="shared" si="82"/>
        <v>-8.4415900355179346E-3</v>
      </c>
      <c r="D1050" s="21">
        <f t="shared" ca="1" si="80"/>
        <v>-8.8255424506248018E-3</v>
      </c>
      <c r="E1050" s="21">
        <f t="shared" ca="1" si="83"/>
        <v>7.1578452341826876E-5</v>
      </c>
      <c r="F1050" s="11">
        <f t="shared" ca="1" si="84"/>
        <v>4.2282685215725841</v>
      </c>
      <c r="G1050" s="10">
        <f t="shared" ca="1" si="81"/>
        <v>0</v>
      </c>
    </row>
    <row r="1051" spans="1:7" x14ac:dyDescent="0.2">
      <c r="A1051" s="2">
        <v>19940429</v>
      </c>
      <c r="B1051" s="13">
        <v>3681.69</v>
      </c>
      <c r="C1051" s="2">
        <f t="shared" si="82"/>
        <v>3.6474561855459626E-3</v>
      </c>
      <c r="D1051" s="21">
        <f t="shared" ca="1" si="80"/>
        <v>3.2635037704390954E-3</v>
      </c>
      <c r="E1051" s="21">
        <f t="shared" ca="1" si="83"/>
        <v>7.1730436615664216E-5</v>
      </c>
      <c r="F1051" s="11">
        <f t="shared" ca="1" si="84"/>
        <v>4.6970582467305535</v>
      </c>
      <c r="G1051" s="10">
        <f t="shared" ca="1" si="81"/>
        <v>1</v>
      </c>
    </row>
    <row r="1052" spans="1:7" x14ac:dyDescent="0.2">
      <c r="A1052" s="2">
        <v>19940502</v>
      </c>
      <c r="B1052" s="13">
        <v>3701.02</v>
      </c>
      <c r="C1052" s="2">
        <f t="shared" si="82"/>
        <v>5.250306245229752E-3</v>
      </c>
      <c r="D1052" s="21">
        <f t="shared" ca="1" si="80"/>
        <v>4.8663538301228848E-3</v>
      </c>
      <c r="E1052" s="21">
        <f t="shared" ca="1" si="83"/>
        <v>6.9402209212648274E-5</v>
      </c>
      <c r="F1052" s="11">
        <f t="shared" ca="1" si="84"/>
        <v>4.6171860890974763</v>
      </c>
      <c r="G1052" s="10">
        <f t="shared" ca="1" si="81"/>
        <v>1</v>
      </c>
    </row>
    <row r="1053" spans="1:7" x14ac:dyDescent="0.2">
      <c r="A1053" s="2">
        <v>19940503</v>
      </c>
      <c r="B1053" s="13">
        <v>3714.41</v>
      </c>
      <c r="C1053" s="2">
        <f t="shared" si="82"/>
        <v>3.6179215459521625E-3</v>
      </c>
      <c r="D1053" s="21">
        <f t="shared" ca="1" si="80"/>
        <v>3.2339691308452953E-3</v>
      </c>
      <c r="E1053" s="21">
        <f t="shared" ca="1" si="83"/>
        <v>6.7670938117752447E-5</v>
      </c>
      <c r="F1053" s="11">
        <f t="shared" ca="1" si="84"/>
        <v>4.7231517773768923</v>
      </c>
      <c r="G1053" s="10">
        <f t="shared" ca="1" si="81"/>
        <v>1</v>
      </c>
    </row>
    <row r="1054" spans="1:7" x14ac:dyDescent="0.2">
      <c r="A1054" s="2">
        <v>19940504</v>
      </c>
      <c r="B1054" s="13">
        <v>3697.75</v>
      </c>
      <c r="C1054" s="2">
        <f t="shared" si="82"/>
        <v>-4.4852345325367571E-3</v>
      </c>
      <c r="D1054" s="21">
        <f t="shared" ca="1" si="80"/>
        <v>-4.8691869476436243E-3</v>
      </c>
      <c r="E1054" s="21">
        <f t="shared" ca="1" si="83"/>
        <v>6.5541025563190929E-5</v>
      </c>
      <c r="F1054" s="11">
        <f t="shared" ca="1" si="84"/>
        <v>4.6355458293610949</v>
      </c>
      <c r="G1054" s="10">
        <f t="shared" ca="1" si="81"/>
        <v>1</v>
      </c>
    </row>
    <row r="1055" spans="1:7" x14ac:dyDescent="0.2">
      <c r="A1055" s="2">
        <v>19940505</v>
      </c>
      <c r="B1055" s="13">
        <v>3695.97</v>
      </c>
      <c r="C1055" s="2">
        <f t="shared" si="82"/>
        <v>-4.8137380839705226E-4</v>
      </c>
      <c r="D1055" s="21">
        <f t="shared" ca="1" si="80"/>
        <v>-8.6532622350391961E-4</v>
      </c>
      <c r="E1055" s="21">
        <f t="shared" ca="1" si="83"/>
        <v>6.4006107256238813E-5</v>
      </c>
      <c r="F1055" s="11">
        <f t="shared" ca="1" si="84"/>
        <v>4.8224166670611277</v>
      </c>
      <c r="G1055" s="10">
        <f t="shared" ca="1" si="81"/>
        <v>1</v>
      </c>
    </row>
    <row r="1056" spans="1:7" x14ac:dyDescent="0.2">
      <c r="A1056" s="2">
        <v>19940506</v>
      </c>
      <c r="B1056" s="13">
        <v>3669.5</v>
      </c>
      <c r="C1056" s="2">
        <f t="shared" si="82"/>
        <v>-7.1618546687337295E-3</v>
      </c>
      <c r="D1056" s="21">
        <f t="shared" ca="1" si="80"/>
        <v>-7.5458070838405967E-3</v>
      </c>
      <c r="E1056" s="21">
        <f t="shared" ca="1" si="83"/>
        <v>6.1704554620279977E-5</v>
      </c>
      <c r="F1056" s="11">
        <f t="shared" ca="1" si="84"/>
        <v>4.3851906544914412</v>
      </c>
      <c r="G1056" s="10">
        <f t="shared" ca="1" si="81"/>
        <v>1</v>
      </c>
    </row>
    <row r="1057" spans="1:7" x14ac:dyDescent="0.2">
      <c r="A1057" s="2">
        <v>19940509</v>
      </c>
      <c r="B1057" s="13">
        <v>3629.04</v>
      </c>
      <c r="C1057" s="2">
        <f t="shared" si="82"/>
        <v>-1.1026025344052334E-2</v>
      </c>
      <c r="D1057" s="21">
        <f t="shared" ca="1" si="80"/>
        <v>-1.1409977759159201E-2</v>
      </c>
      <c r="E1057" s="21">
        <f t="shared" ca="1" si="83"/>
        <v>6.1585657963353385E-5</v>
      </c>
      <c r="F1057" s="11">
        <f t="shared" ca="1" si="84"/>
        <v>3.7905772107724176</v>
      </c>
      <c r="G1057" s="10">
        <f t="shared" ca="1" si="81"/>
        <v>0</v>
      </c>
    </row>
    <row r="1058" spans="1:7" x14ac:dyDescent="0.2">
      <c r="A1058" s="2">
        <v>19940510</v>
      </c>
      <c r="B1058" s="13">
        <v>3656.41</v>
      </c>
      <c r="C1058" s="2">
        <f t="shared" si="82"/>
        <v>7.5419394660846649E-3</v>
      </c>
      <c r="D1058" s="21">
        <f t="shared" ca="1" si="80"/>
        <v>7.1579870509777977E-3</v>
      </c>
      <c r="E1058" s="21">
        <f t="shared" ca="1" si="83"/>
        <v>6.4166247446325225E-5</v>
      </c>
      <c r="F1058" s="11">
        <f t="shared" ca="1" si="84"/>
        <v>4.4277663790660871</v>
      </c>
      <c r="G1058" s="10">
        <f t="shared" ca="1" si="81"/>
        <v>1</v>
      </c>
    </row>
    <row r="1059" spans="1:7" x14ac:dyDescent="0.2">
      <c r="A1059" s="2">
        <v>19940511</v>
      </c>
      <c r="B1059" s="13">
        <v>3629.04</v>
      </c>
      <c r="C1059" s="2">
        <f t="shared" si="82"/>
        <v>-7.4854843958964915E-3</v>
      </c>
      <c r="D1059" s="21">
        <f t="shared" ca="1" si="80"/>
        <v>-7.8694368110033587E-3</v>
      </c>
      <c r="E1059" s="21">
        <f t="shared" ca="1" si="83"/>
        <v>6.3713124780830896E-5</v>
      </c>
      <c r="F1059" s="11">
        <f t="shared" ca="1" si="84"/>
        <v>4.3445687897233336</v>
      </c>
      <c r="G1059" s="10">
        <f t="shared" ca="1" si="81"/>
        <v>1</v>
      </c>
    </row>
    <row r="1060" spans="1:7" x14ac:dyDescent="0.2">
      <c r="A1060" s="2">
        <v>19940512</v>
      </c>
      <c r="B1060" s="13">
        <v>3652.84</v>
      </c>
      <c r="C1060" s="2">
        <f t="shared" si="82"/>
        <v>6.5582082313780455E-3</v>
      </c>
      <c r="D1060" s="21">
        <f t="shared" ca="1" si="80"/>
        <v>6.1742558162711783E-3</v>
      </c>
      <c r="E1060" s="21">
        <f t="shared" ca="1" si="83"/>
        <v>6.3676061931201098E-5</v>
      </c>
      <c r="F1060" s="11">
        <f t="shared" ca="1" si="84"/>
        <v>4.5315121067697728</v>
      </c>
      <c r="G1060" s="10">
        <f t="shared" ca="1" si="81"/>
        <v>1</v>
      </c>
    </row>
    <row r="1061" spans="1:7" x14ac:dyDescent="0.2">
      <c r="A1061" s="2">
        <v>19940513</v>
      </c>
      <c r="B1061" s="13">
        <v>3659.68</v>
      </c>
      <c r="C1061" s="2">
        <f t="shared" si="82"/>
        <v>1.8725156316728054E-3</v>
      </c>
      <c r="D1061" s="21">
        <f t="shared" ca="1" si="80"/>
        <v>1.488563216565938E-3</v>
      </c>
      <c r="E1061" s="21">
        <f t="shared" ca="1" si="83"/>
        <v>6.2765463823092997E-5</v>
      </c>
      <c r="F1061" s="11">
        <f t="shared" ca="1" si="84"/>
        <v>4.8204011975811598</v>
      </c>
      <c r="G1061" s="10">
        <f t="shared" ca="1" si="81"/>
        <v>1</v>
      </c>
    </row>
    <row r="1062" spans="1:7" x14ac:dyDescent="0.2">
      <c r="A1062" s="2">
        <v>19940516</v>
      </c>
      <c r="B1062" s="13">
        <v>3671.5</v>
      </c>
      <c r="C1062" s="2">
        <f t="shared" si="82"/>
        <v>3.2297905827832389E-3</v>
      </c>
      <c r="D1062" s="21">
        <f t="shared" ca="1" si="80"/>
        <v>2.8458381676763718E-3</v>
      </c>
      <c r="E1062" s="21">
        <f t="shared" ca="1" si="83"/>
        <v>6.0580621037432369E-5</v>
      </c>
      <c r="F1062" s="11">
        <f t="shared" ca="1" si="84"/>
        <v>4.7889246351236672</v>
      </c>
      <c r="G1062" s="10">
        <f t="shared" ca="1" si="81"/>
        <v>1</v>
      </c>
    </row>
    <row r="1063" spans="1:7" x14ac:dyDescent="0.2">
      <c r="A1063" s="2">
        <v>19940517</v>
      </c>
      <c r="B1063" s="13">
        <v>3720.61</v>
      </c>
      <c r="C1063" s="2">
        <f t="shared" si="82"/>
        <v>1.3376004357891904E-2</v>
      </c>
      <c r="D1063" s="21">
        <f t="shared" ca="1" si="80"/>
        <v>1.2992051942785037E-2</v>
      </c>
      <c r="E1063" s="21">
        <f t="shared" ca="1" si="83"/>
        <v>5.872263740931598E-5</v>
      </c>
      <c r="F1063" s="11">
        <f t="shared" ca="1" si="84"/>
        <v>3.4341335642050694</v>
      </c>
      <c r="G1063" s="10">
        <f t="shared" ca="1" si="81"/>
        <v>0</v>
      </c>
    </row>
    <row r="1064" spans="1:7" x14ac:dyDescent="0.2">
      <c r="A1064" s="2">
        <v>19940518</v>
      </c>
      <c r="B1064" s="13">
        <v>3732.89</v>
      </c>
      <c r="C1064" s="2">
        <f t="shared" si="82"/>
        <v>3.3005340522117999E-3</v>
      </c>
      <c r="D1064" s="21">
        <f t="shared" ca="1" si="80"/>
        <v>2.9165816371049327E-3</v>
      </c>
      <c r="E1064" s="21">
        <f t="shared" ca="1" si="83"/>
        <v>6.286767149862925E-5</v>
      </c>
      <c r="F1064" s="11">
        <f t="shared" ca="1" si="84"/>
        <v>4.7695856477432912</v>
      </c>
      <c r="G1064" s="10">
        <f t="shared" ca="1" si="81"/>
        <v>1</v>
      </c>
    </row>
    <row r="1065" spans="1:7" x14ac:dyDescent="0.2">
      <c r="A1065" s="2">
        <v>19940519</v>
      </c>
      <c r="B1065" s="13">
        <v>3758.98</v>
      </c>
      <c r="C1065" s="2">
        <f t="shared" si="82"/>
        <v>6.9892228273536446E-3</v>
      </c>
      <c r="D1065" s="21">
        <f t="shared" ca="1" si="80"/>
        <v>6.6052704122467774E-3</v>
      </c>
      <c r="E1065" s="21">
        <f t="shared" ca="1" si="83"/>
        <v>6.0908975368162126E-5</v>
      </c>
      <c r="F1065" s="11">
        <f t="shared" ca="1" si="84"/>
        <v>4.4949109182570686</v>
      </c>
      <c r="G1065" s="10">
        <f t="shared" ca="1" si="81"/>
        <v>1</v>
      </c>
    </row>
    <row r="1066" spans="1:7" x14ac:dyDescent="0.2">
      <c r="A1066" s="2">
        <v>19940520</v>
      </c>
      <c r="B1066" s="13">
        <v>3766.35</v>
      </c>
      <c r="C1066" s="2">
        <f t="shared" si="82"/>
        <v>1.9606382582508792E-3</v>
      </c>
      <c r="D1066" s="21">
        <f t="shared" ca="1" si="80"/>
        <v>1.5766858431440121E-3</v>
      </c>
      <c r="E1066" s="21">
        <f t="shared" ca="1" si="83"/>
        <v>6.0340909826918071E-5</v>
      </c>
      <c r="F1066" s="11">
        <f t="shared" ca="1" si="84"/>
        <v>4.8371510115964824</v>
      </c>
      <c r="G1066" s="10">
        <f t="shared" ca="1" si="81"/>
        <v>1</v>
      </c>
    </row>
    <row r="1067" spans="1:7" x14ac:dyDescent="0.2">
      <c r="A1067" s="2">
        <v>19940523</v>
      </c>
      <c r="B1067" s="13">
        <v>3742.41</v>
      </c>
      <c r="C1067" s="2">
        <f t="shared" si="82"/>
        <v>-6.3562865904655845E-3</v>
      </c>
      <c r="D1067" s="21">
        <f t="shared" ca="1" si="80"/>
        <v>-6.7402390055724517E-3</v>
      </c>
      <c r="E1067" s="21">
        <f t="shared" ca="1" si="83"/>
        <v>5.8288658729323294E-5</v>
      </c>
      <c r="F1067" s="11">
        <f t="shared" ca="1" si="84"/>
        <v>4.4853460076947638</v>
      </c>
      <c r="G1067" s="10">
        <f t="shared" ca="1" si="81"/>
        <v>1</v>
      </c>
    </row>
    <row r="1068" spans="1:7" x14ac:dyDescent="0.2">
      <c r="A1068" s="2">
        <v>19940524</v>
      </c>
      <c r="B1068" s="13">
        <v>3745.17</v>
      </c>
      <c r="C1068" s="2">
        <f t="shared" si="82"/>
        <v>7.3749268519489265E-4</v>
      </c>
      <c r="D1068" s="21">
        <f t="shared" ca="1" si="80"/>
        <v>3.5354027008802536E-4</v>
      </c>
      <c r="E1068" s="21">
        <f t="shared" ca="1" si="83"/>
        <v>5.7919390044405579E-5</v>
      </c>
      <c r="F1068" s="11">
        <f t="shared" ca="1" si="84"/>
        <v>4.8771501646114048</v>
      </c>
      <c r="G1068" s="10">
        <f t="shared" ca="1" si="81"/>
        <v>1</v>
      </c>
    </row>
    <row r="1069" spans="1:7" x14ac:dyDescent="0.2">
      <c r="A1069" s="2">
        <v>19940525</v>
      </c>
      <c r="B1069" s="13">
        <v>3755.3</v>
      </c>
      <c r="C1069" s="2">
        <f t="shared" si="82"/>
        <v>2.7048171378068575E-3</v>
      </c>
      <c r="D1069" s="21">
        <f t="shared" ca="1" si="80"/>
        <v>2.3208647226999903E-3</v>
      </c>
      <c r="E1069" s="21">
        <f t="shared" ca="1" si="83"/>
        <v>5.590282826709376E-5</v>
      </c>
      <c r="F1069" s="11">
        <f t="shared" ca="1" si="84"/>
        <v>4.8477712217799214</v>
      </c>
      <c r="G1069" s="10">
        <f t="shared" ca="1" si="81"/>
        <v>1</v>
      </c>
    </row>
    <row r="1070" spans="1:7" x14ac:dyDescent="0.2">
      <c r="A1070" s="2">
        <v>19940526</v>
      </c>
      <c r="B1070" s="13">
        <v>3753.46</v>
      </c>
      <c r="C1070" s="2">
        <f t="shared" si="82"/>
        <v>-4.899741698399983E-4</v>
      </c>
      <c r="D1070" s="21">
        <f t="shared" ca="1" si="80"/>
        <v>-8.739265849468656E-4</v>
      </c>
      <c r="E1070" s="21">
        <f t="shared" ca="1" si="83"/>
        <v>5.4181756700155547E-5</v>
      </c>
      <c r="F1070" s="11">
        <f t="shared" ca="1" si="84"/>
        <v>4.9045351341396763</v>
      </c>
      <c r="G1070" s="10">
        <f t="shared" ca="1" si="81"/>
        <v>1</v>
      </c>
    </row>
    <row r="1071" spans="1:7" x14ac:dyDescent="0.2">
      <c r="A1071" s="2">
        <v>19940527</v>
      </c>
      <c r="B1071" s="13">
        <v>3757.14</v>
      </c>
      <c r="C1071" s="2">
        <f t="shared" si="82"/>
        <v>9.8042872443021545E-4</v>
      </c>
      <c r="D1071" s="21">
        <f t="shared" ca="1" si="80"/>
        <v>5.9647630932334816E-4</v>
      </c>
      <c r="E1071" s="21">
        <f t="shared" ca="1" si="83"/>
        <v>5.2377771232871162E-5</v>
      </c>
      <c r="F1071" s="11">
        <f t="shared" ca="1" si="84"/>
        <v>4.9251178087333338</v>
      </c>
      <c r="G1071" s="10">
        <f t="shared" ca="1" si="81"/>
        <v>1</v>
      </c>
    </row>
    <row r="1072" spans="1:7" x14ac:dyDescent="0.2">
      <c r="A1072" s="2">
        <v>19940531</v>
      </c>
      <c r="B1072" s="13">
        <v>3758.37</v>
      </c>
      <c r="C1072" s="2">
        <f t="shared" si="82"/>
        <v>3.273766748111644E-4</v>
      </c>
      <c r="D1072" s="21">
        <f t="shared" ca="1" si="80"/>
        <v>-5.6575740295702892E-5</v>
      </c>
      <c r="E1072" s="21">
        <f t="shared" ca="1" si="83"/>
        <v>5.0650048447222353E-5</v>
      </c>
      <c r="F1072" s="11">
        <f t="shared" ca="1" si="84"/>
        <v>4.9452535880323465</v>
      </c>
      <c r="G1072" s="10">
        <f t="shared" ca="1" si="81"/>
        <v>1</v>
      </c>
    </row>
    <row r="1073" spans="1:7" x14ac:dyDescent="0.2">
      <c r="A1073" s="2">
        <v>19940601</v>
      </c>
      <c r="B1073" s="13">
        <v>3760.83</v>
      </c>
      <c r="C1073" s="2">
        <f t="shared" si="82"/>
        <v>6.5453906879845163E-4</v>
      </c>
      <c r="D1073" s="21">
        <f t="shared" ca="1" si="80"/>
        <v>2.7058665369158433E-4</v>
      </c>
      <c r="E1073" s="21">
        <f t="shared" ca="1" si="83"/>
        <v>4.8996766627271765E-5</v>
      </c>
      <c r="F1073" s="11">
        <f t="shared" ca="1" si="84"/>
        <v>4.9611309616670782</v>
      </c>
      <c r="G1073" s="10">
        <f t="shared" ca="1" si="81"/>
        <v>1</v>
      </c>
    </row>
    <row r="1074" spans="1:7" x14ac:dyDescent="0.2">
      <c r="A1074" s="2">
        <v>19940602</v>
      </c>
      <c r="B1074" s="13">
        <v>3758.99</v>
      </c>
      <c r="C1074" s="2">
        <f t="shared" si="82"/>
        <v>-4.8925370197540048E-4</v>
      </c>
      <c r="D1074" s="21">
        <f t="shared" ca="1" si="80"/>
        <v>-8.7320611708226778E-4</v>
      </c>
      <c r="E1074" s="21">
        <f t="shared" ca="1" si="83"/>
        <v>4.7429699501399034E-5</v>
      </c>
      <c r="F1074" s="11">
        <f t="shared" ca="1" si="84"/>
        <v>4.9700928812044802</v>
      </c>
      <c r="G1074" s="10">
        <f t="shared" ca="1" si="81"/>
        <v>1</v>
      </c>
    </row>
    <row r="1075" spans="1:7" x14ac:dyDescent="0.2">
      <c r="A1075" s="2">
        <v>19940603</v>
      </c>
      <c r="B1075" s="13">
        <v>3772.22</v>
      </c>
      <c r="C1075" s="2">
        <f t="shared" si="82"/>
        <v>3.519562435654263E-3</v>
      </c>
      <c r="D1075" s="21">
        <f t="shared" ca="1" si="80"/>
        <v>3.1356100205473959E-3</v>
      </c>
      <c r="E1075" s="21">
        <f t="shared" ca="1" si="83"/>
        <v>4.5967256544466581E-5</v>
      </c>
      <c r="F1075" s="11">
        <f t="shared" ca="1" si="84"/>
        <v>4.8868443778576376</v>
      </c>
      <c r="G1075" s="10">
        <f t="shared" ca="1" si="81"/>
        <v>1</v>
      </c>
    </row>
    <row r="1076" spans="1:7" x14ac:dyDescent="0.2">
      <c r="A1076" s="2">
        <v>19940606</v>
      </c>
      <c r="B1076" s="13">
        <v>3768.52</v>
      </c>
      <c r="C1076" s="2">
        <f t="shared" si="82"/>
        <v>-9.8085477517213153E-4</v>
      </c>
      <c r="D1076" s="21">
        <f t="shared" ca="1" si="80"/>
        <v>-1.3648071902789987E-3</v>
      </c>
      <c r="E1076" s="21">
        <f t="shared" ca="1" si="83"/>
        <v>4.4912302662330189E-5</v>
      </c>
      <c r="F1076" s="11">
        <f t="shared" ca="1" si="84"/>
        <v>4.984662334819741</v>
      </c>
      <c r="G1076" s="10">
        <f t="shared" ca="1" si="81"/>
        <v>1</v>
      </c>
    </row>
    <row r="1077" spans="1:7" x14ac:dyDescent="0.2">
      <c r="A1077" s="2">
        <v>19940607</v>
      </c>
      <c r="B1077" s="13">
        <v>3755.91</v>
      </c>
      <c r="C1077" s="2">
        <f t="shared" si="82"/>
        <v>-3.3461411907061995E-3</v>
      </c>
      <c r="D1077" s="21">
        <f t="shared" ca="1" si="80"/>
        <v>-3.7300936058130667E-3</v>
      </c>
      <c r="E1077" s="21">
        <f t="shared" ca="1" si="83"/>
        <v>4.3617672273669946E-5</v>
      </c>
      <c r="F1077" s="11">
        <f t="shared" ca="1" si="84"/>
        <v>4.8605291152282399</v>
      </c>
      <c r="G1077" s="10">
        <f t="shared" ca="1" si="81"/>
        <v>1</v>
      </c>
    </row>
    <row r="1078" spans="1:7" x14ac:dyDescent="0.2">
      <c r="A1078" s="2">
        <v>19940608</v>
      </c>
      <c r="B1078" s="13">
        <v>3749.45</v>
      </c>
      <c r="C1078" s="2">
        <f t="shared" si="82"/>
        <v>-1.7199560159854833E-3</v>
      </c>
      <c r="D1078" s="21">
        <f t="shared" ca="1" si="80"/>
        <v>-2.1039084310923504E-3</v>
      </c>
      <c r="E1078" s="21">
        <f t="shared" ca="1" si="83"/>
        <v>4.2831670283903065E-5</v>
      </c>
      <c r="F1078" s="11">
        <f t="shared" ca="1" si="84"/>
        <v>4.9774439812003743</v>
      </c>
      <c r="G1078" s="10">
        <f t="shared" ca="1" si="81"/>
        <v>1</v>
      </c>
    </row>
    <row r="1079" spans="1:7" x14ac:dyDescent="0.2">
      <c r="A1079" s="2">
        <v>19940609</v>
      </c>
      <c r="B1079" s="13">
        <v>3753.14</v>
      </c>
      <c r="C1079" s="2">
        <f t="shared" si="82"/>
        <v>9.8414434117005288E-4</v>
      </c>
      <c r="D1079" s="21">
        <f t="shared" ca="1" si="80"/>
        <v>6.0019192606318558E-4</v>
      </c>
      <c r="E1079" s="21">
        <f t="shared" ca="1" si="83"/>
        <v>4.1736572675109606E-5</v>
      </c>
      <c r="F1079" s="11">
        <f t="shared" ca="1" si="84"/>
        <v>5.0377508616517783</v>
      </c>
      <c r="G1079" s="10">
        <f t="shared" ca="1" si="81"/>
        <v>1</v>
      </c>
    </row>
    <row r="1080" spans="1:7" x14ac:dyDescent="0.2">
      <c r="A1080" s="2">
        <v>19940610</v>
      </c>
      <c r="B1080" s="13">
        <v>3773.45</v>
      </c>
      <c r="C1080" s="2">
        <f t="shared" si="82"/>
        <v>5.4114687967941368E-3</v>
      </c>
      <c r="D1080" s="21">
        <f t="shared" ca="1" si="80"/>
        <v>5.0275163816872696E-3</v>
      </c>
      <c r="E1080" s="21">
        <f t="shared" ca="1" si="83"/>
        <v>4.0547355128704733E-5</v>
      </c>
      <c r="F1080" s="11">
        <f t="shared" ca="1" si="84"/>
        <v>4.7448360355752577</v>
      </c>
      <c r="G1080" s="10">
        <f t="shared" ca="1" si="81"/>
        <v>1</v>
      </c>
    </row>
    <row r="1081" spans="1:7" x14ac:dyDescent="0.2">
      <c r="A1081" s="2">
        <v>19940613</v>
      </c>
      <c r="B1081" s="13">
        <v>3783.12</v>
      </c>
      <c r="C1081" s="2">
        <f t="shared" si="82"/>
        <v>2.5626416144377356E-3</v>
      </c>
      <c r="D1081" s="21">
        <f t="shared" ca="1" si="80"/>
        <v>2.1786891993308684E-3</v>
      </c>
      <c r="E1081" s="21">
        <f t="shared" ca="1" si="83"/>
        <v>4.0334493937605929E-5</v>
      </c>
      <c r="F1081" s="11">
        <f t="shared" ca="1" si="84"/>
        <v>5.0003102335997083</v>
      </c>
      <c r="G1081" s="10">
        <f t="shared" ca="1" si="81"/>
        <v>1</v>
      </c>
    </row>
    <row r="1082" spans="1:7" x14ac:dyDescent="0.2">
      <c r="A1082" s="2">
        <v>19940614</v>
      </c>
      <c r="B1082" s="13">
        <v>3814.83</v>
      </c>
      <c r="C1082" s="2">
        <f t="shared" si="82"/>
        <v>8.3819704370995465E-3</v>
      </c>
      <c r="D1082" s="21">
        <f t="shared" ca="1" si="80"/>
        <v>7.9980180219926793E-3</v>
      </c>
      <c r="E1082" s="21">
        <f t="shared" ca="1" si="83"/>
        <v>3.9377505672529978E-5</v>
      </c>
      <c r="F1082" s="11">
        <f t="shared" ca="1" si="84"/>
        <v>4.2589138264405406</v>
      </c>
      <c r="G1082" s="10">
        <f t="shared" ca="1" si="81"/>
        <v>0</v>
      </c>
    </row>
    <row r="1083" spans="1:7" x14ac:dyDescent="0.2">
      <c r="A1083" s="2">
        <v>19940615</v>
      </c>
      <c r="B1083" s="13">
        <v>3790.41</v>
      </c>
      <c r="C1083" s="2">
        <f t="shared" si="82"/>
        <v>-6.4013337422637638E-3</v>
      </c>
      <c r="D1083" s="21">
        <f t="shared" ca="1" si="80"/>
        <v>-6.785286157370631E-3</v>
      </c>
      <c r="E1083" s="21">
        <f t="shared" ca="1" si="83"/>
        <v>4.0646613602451601E-5</v>
      </c>
      <c r="F1083" s="11">
        <f t="shared" ca="1" si="84"/>
        <v>4.4889513413617488</v>
      </c>
      <c r="G1083" s="10">
        <f t="shared" ca="1" si="81"/>
        <v>0</v>
      </c>
    </row>
    <row r="1084" spans="1:7" x14ac:dyDescent="0.2">
      <c r="A1084" s="2">
        <v>19940616</v>
      </c>
      <c r="B1084" s="13">
        <v>3811.34</v>
      </c>
      <c r="C1084" s="2">
        <f t="shared" si="82"/>
        <v>5.5218300922592256E-3</v>
      </c>
      <c r="D1084" s="21">
        <f t="shared" ca="1" si="80"/>
        <v>5.1378776771523584E-3</v>
      </c>
      <c r="E1084" s="21">
        <f t="shared" ca="1" si="83"/>
        <v>4.1192266313622936E-5</v>
      </c>
      <c r="F1084" s="11">
        <f t="shared" ca="1" si="84"/>
        <v>4.7282083753917385</v>
      </c>
      <c r="G1084" s="10">
        <f t="shared" ca="1" si="81"/>
        <v>1</v>
      </c>
    </row>
    <row r="1085" spans="1:7" x14ac:dyDescent="0.2">
      <c r="A1085" s="2">
        <v>19940617</v>
      </c>
      <c r="B1085" s="13">
        <v>3776.78</v>
      </c>
      <c r="C1085" s="2">
        <f t="shared" si="82"/>
        <v>-9.0676769849973877E-3</v>
      </c>
      <c r="D1085" s="21">
        <f t="shared" ca="1" si="80"/>
        <v>-9.4516294001042549E-3</v>
      </c>
      <c r="E1085" s="21">
        <f t="shared" ca="1" si="83"/>
        <v>4.0988031827088797E-5</v>
      </c>
      <c r="F1085" s="11">
        <f t="shared" ca="1" si="84"/>
        <v>3.9613666481232581</v>
      </c>
      <c r="G1085" s="10">
        <f t="shared" ca="1" si="81"/>
        <v>0</v>
      </c>
    </row>
    <row r="1086" spans="1:7" x14ac:dyDescent="0.2">
      <c r="A1086" s="2">
        <v>19940620</v>
      </c>
      <c r="B1086" s="13">
        <v>3741.9</v>
      </c>
      <c r="C1086" s="2">
        <f t="shared" si="82"/>
        <v>-9.2353804034124593E-3</v>
      </c>
      <c r="D1086" s="21">
        <f t="shared" ca="1" si="80"/>
        <v>-9.6193328185193265E-3</v>
      </c>
      <c r="E1086" s="21">
        <f t="shared" ca="1" si="83"/>
        <v>4.3108378269029735E-5</v>
      </c>
      <c r="F1086" s="11">
        <f t="shared" ca="1" si="84"/>
        <v>3.9526532063603312</v>
      </c>
      <c r="G1086" s="10">
        <f t="shared" ca="1" si="81"/>
        <v>0</v>
      </c>
    </row>
    <row r="1087" spans="1:7" x14ac:dyDescent="0.2">
      <c r="A1087" s="2">
        <v>19940621</v>
      </c>
      <c r="B1087" s="13">
        <v>3707.97</v>
      </c>
      <c r="C1087" s="2">
        <f t="shared" si="82"/>
        <v>-9.067585985729253E-3</v>
      </c>
      <c r="D1087" s="21">
        <f t="shared" ca="1" si="80"/>
        <v>-9.4515384008361202E-3</v>
      </c>
      <c r="E1087" s="21">
        <f t="shared" ca="1" si="83"/>
        <v>4.5239061495154229E-5</v>
      </c>
      <c r="F1087" s="11">
        <f t="shared" ca="1" si="84"/>
        <v>4.0144468931017894</v>
      </c>
      <c r="G1087" s="10">
        <f t="shared" ca="1" si="81"/>
        <v>0</v>
      </c>
    </row>
    <row r="1088" spans="1:7" x14ac:dyDescent="0.2">
      <c r="A1088" s="2">
        <v>19940622</v>
      </c>
      <c r="B1088" s="13">
        <v>3724.77</v>
      </c>
      <c r="C1088" s="2">
        <f t="shared" si="82"/>
        <v>4.5307809933737824E-3</v>
      </c>
      <c r="D1088" s="21">
        <f t="shared" ca="1" si="80"/>
        <v>4.1468285782669152E-3</v>
      </c>
      <c r="E1088" s="21">
        <f t="shared" ca="1" si="83"/>
        <v>4.7144283692658003E-5</v>
      </c>
      <c r="F1088" s="11">
        <f t="shared" ca="1" si="84"/>
        <v>4.7987706109820367</v>
      </c>
      <c r="G1088" s="10">
        <f t="shared" ca="1" si="81"/>
        <v>1</v>
      </c>
    </row>
    <row r="1089" spans="1:7" x14ac:dyDescent="0.2">
      <c r="A1089" s="2">
        <v>19940623</v>
      </c>
      <c r="B1089" s="13">
        <v>3699.09</v>
      </c>
      <c r="C1089" s="2">
        <f t="shared" si="82"/>
        <v>-6.8943854251403E-3</v>
      </c>
      <c r="D1089" s="21">
        <f t="shared" ca="1" si="80"/>
        <v>-7.2783378402471672E-3</v>
      </c>
      <c r="E1089" s="21">
        <f t="shared" ca="1" si="83"/>
        <v>4.6300575797241688E-5</v>
      </c>
      <c r="F1089" s="11">
        <f t="shared" ca="1" si="84"/>
        <v>4.4181095822426464</v>
      </c>
      <c r="G1089" s="10">
        <f t="shared" ca="1" si="81"/>
        <v>0</v>
      </c>
    </row>
    <row r="1090" spans="1:7" x14ac:dyDescent="0.2">
      <c r="A1090" s="2">
        <v>19940624</v>
      </c>
      <c r="B1090" s="13">
        <v>3636.94</v>
      </c>
      <c r="C1090" s="2">
        <f t="shared" si="82"/>
        <v>-1.6801429540778973E-2</v>
      </c>
      <c r="D1090" s="21">
        <f t="shared" ca="1" si="80"/>
        <v>-1.7185381955885842E-2</v>
      </c>
      <c r="E1090" s="21">
        <f t="shared" ca="1" si="83"/>
        <v>4.6815171423820673E-5</v>
      </c>
      <c r="F1090" s="11">
        <f t="shared" ca="1" si="84"/>
        <v>1.8303605604047291</v>
      </c>
      <c r="G1090" s="10">
        <f t="shared" ca="1" si="81"/>
        <v>0</v>
      </c>
    </row>
    <row r="1091" spans="1:7" x14ac:dyDescent="0.2">
      <c r="A1091" s="2">
        <v>19940627</v>
      </c>
      <c r="B1091" s="13">
        <v>3685.5</v>
      </c>
      <c r="C1091" s="2">
        <f t="shared" si="82"/>
        <v>1.3351883726429346E-2</v>
      </c>
      <c r="D1091" s="21">
        <f t="shared" ca="1" si="80"/>
        <v>1.2967931311322478E-2</v>
      </c>
      <c r="E1091" s="21">
        <f t="shared" ca="1" si="83"/>
        <v>5.6215849737250402E-5</v>
      </c>
      <c r="F1091" s="11">
        <f t="shared" ca="1" si="84"/>
        <v>3.3974278951423953</v>
      </c>
      <c r="G1091" s="10">
        <f t="shared" ca="1" si="81"/>
        <v>0</v>
      </c>
    </row>
    <row r="1092" spans="1:7" x14ac:dyDescent="0.2">
      <c r="A1092" s="2">
        <v>19940628</v>
      </c>
      <c r="B1092" s="13">
        <v>3669.64</v>
      </c>
      <c r="C1092" s="2">
        <f t="shared" si="82"/>
        <v>-4.3033509700176713E-3</v>
      </c>
      <c r="D1092" s="21">
        <f t="shared" ca="1" si="80"/>
        <v>-4.6873033851245385E-3</v>
      </c>
      <c r="E1092" s="21">
        <f t="shared" ca="1" si="83"/>
        <v>6.0464677632350883E-5</v>
      </c>
      <c r="F1092" s="11">
        <f t="shared" ca="1" si="84"/>
        <v>4.6750425609962711</v>
      </c>
      <c r="G1092" s="10">
        <f t="shared" ca="1" si="81"/>
        <v>1</v>
      </c>
    </row>
    <row r="1093" spans="1:7" x14ac:dyDescent="0.2">
      <c r="A1093" s="2">
        <v>19940629</v>
      </c>
      <c r="B1093" s="13">
        <v>3667.05</v>
      </c>
      <c r="C1093" s="2">
        <f t="shared" si="82"/>
        <v>-7.0579130377903306E-4</v>
      </c>
      <c r="D1093" s="21">
        <f t="shared" ca="1" si="80"/>
        <v>-1.0897437188859002E-3</v>
      </c>
      <c r="E1093" s="21">
        <f t="shared" ca="1" si="83"/>
        <v>5.9122657947757204E-5</v>
      </c>
      <c r="F1093" s="11">
        <f t="shared" ca="1" si="84"/>
        <v>4.8579051309094732</v>
      </c>
      <c r="G1093" s="10">
        <f t="shared" ca="1" si="81"/>
        <v>1</v>
      </c>
    </row>
    <row r="1094" spans="1:7" x14ac:dyDescent="0.2">
      <c r="A1094" s="2">
        <v>19940630</v>
      </c>
      <c r="B1094" s="13">
        <v>3624.96</v>
      </c>
      <c r="C1094" s="2">
        <f t="shared" si="82"/>
        <v>-1.1477890947764592E-2</v>
      </c>
      <c r="D1094" s="21">
        <f t="shared" ca="1" si="80"/>
        <v>-1.1861843362871459E-2</v>
      </c>
      <c r="E1094" s="21">
        <f t="shared" ca="1" si="83"/>
        <v>5.7084294293695815E-5</v>
      </c>
      <c r="F1094" s="11">
        <f t="shared" ca="1" si="84"/>
        <v>3.6530736053918647</v>
      </c>
      <c r="G1094" s="10">
        <f t="shared" ca="1" si="81"/>
        <v>0</v>
      </c>
    </row>
    <row r="1095" spans="1:7" x14ac:dyDescent="0.2">
      <c r="A1095" s="2">
        <v>19940701</v>
      </c>
      <c r="B1095" s="13">
        <v>3646.65</v>
      </c>
      <c r="C1095" s="2">
        <f t="shared" si="82"/>
        <v>5.9835143008474725E-3</v>
      </c>
      <c r="D1095" s="21">
        <f t="shared" ca="1" si="80"/>
        <v>5.5995618857406053E-3</v>
      </c>
      <c r="E1095" s="21">
        <f t="shared" ca="1" si="83"/>
        <v>6.0279291202187021E-5</v>
      </c>
      <c r="F1095" s="11">
        <f t="shared" ca="1" si="84"/>
        <v>4.5981791697316963</v>
      </c>
      <c r="G1095" s="10">
        <f t="shared" ca="1" si="81"/>
        <v>1</v>
      </c>
    </row>
    <row r="1096" spans="1:7" x14ac:dyDescent="0.2">
      <c r="A1096" s="2">
        <v>19940705</v>
      </c>
      <c r="B1096" s="13">
        <v>3652.48</v>
      </c>
      <c r="C1096" s="2">
        <f t="shared" si="82"/>
        <v>1.5987275993034503E-3</v>
      </c>
      <c r="D1096" s="21">
        <f t="shared" ca="1" si="80"/>
        <v>1.2147751841965829E-3</v>
      </c>
      <c r="E1096" s="21">
        <f t="shared" ca="1" si="83"/>
        <v>5.9291726649722671E-5</v>
      </c>
      <c r="F1096" s="11">
        <f t="shared" ca="1" si="84"/>
        <v>4.8540761678733997</v>
      </c>
      <c r="G1096" s="10">
        <f t="shared" ca="1" si="81"/>
        <v>1</v>
      </c>
    </row>
    <row r="1097" spans="1:7" x14ac:dyDescent="0.2">
      <c r="A1097" s="2">
        <v>19940706</v>
      </c>
      <c r="B1097" s="13">
        <v>3674.5</v>
      </c>
      <c r="C1097" s="2">
        <f t="shared" si="82"/>
        <v>6.0287804450674561E-3</v>
      </c>
      <c r="D1097" s="21">
        <f t="shared" ca="1" si="80"/>
        <v>5.6448280299605889E-3</v>
      </c>
      <c r="E1097" s="21">
        <f t="shared" ca="1" si="83"/>
        <v>5.7255405068751341E-5</v>
      </c>
      <c r="F1097" s="11">
        <f t="shared" ca="1" si="84"/>
        <v>4.6057315866405295</v>
      </c>
      <c r="G1097" s="10">
        <f t="shared" ca="1" si="81"/>
        <v>1</v>
      </c>
    </row>
    <row r="1098" spans="1:7" x14ac:dyDescent="0.2">
      <c r="A1098" s="2">
        <v>19940707</v>
      </c>
      <c r="B1098" s="13">
        <v>3688.42</v>
      </c>
      <c r="C1098" s="2">
        <f t="shared" si="82"/>
        <v>3.7882705129949853E-3</v>
      </c>
      <c r="D1098" s="21">
        <f t="shared" ca="1" si="80"/>
        <v>3.4043180978881181E-3</v>
      </c>
      <c r="E1098" s="21">
        <f t="shared" ca="1" si="83"/>
        <v>5.643953636891244E-5</v>
      </c>
      <c r="F1098" s="11">
        <f t="shared" ca="1" si="84"/>
        <v>4.7884995492837579</v>
      </c>
      <c r="G1098" s="10">
        <f t="shared" ca="1" si="81"/>
        <v>1</v>
      </c>
    </row>
    <row r="1099" spans="1:7" x14ac:dyDescent="0.2">
      <c r="A1099" s="2">
        <v>19940708</v>
      </c>
      <c r="B1099" s="13">
        <v>3709.14</v>
      </c>
      <c r="C1099" s="2">
        <f t="shared" si="82"/>
        <v>5.6175815118668154E-3</v>
      </c>
      <c r="D1099" s="21">
        <f t="shared" ca="1" si="80"/>
        <v>5.2336290967599482E-3</v>
      </c>
      <c r="E1099" s="21">
        <f t="shared" ca="1" si="83"/>
        <v>5.4919406550339767E-5</v>
      </c>
      <c r="F1099" s="11">
        <f t="shared" ca="1" si="84"/>
        <v>4.6554485346843508</v>
      </c>
      <c r="G1099" s="10">
        <f t="shared" ca="1" si="81"/>
        <v>1</v>
      </c>
    </row>
    <row r="1100" spans="1:7" x14ac:dyDescent="0.2">
      <c r="A1100" s="2">
        <v>19940711</v>
      </c>
      <c r="B1100" s="13">
        <v>3702.99</v>
      </c>
      <c r="C1100" s="2">
        <f t="shared" si="82"/>
        <v>-1.6580662902991236E-3</v>
      </c>
      <c r="D1100" s="21">
        <f t="shared" ca="1" si="80"/>
        <v>-2.042018705405991E-3</v>
      </c>
      <c r="E1100" s="21">
        <f t="shared" ca="1" si="83"/>
        <v>5.4057229043846194E-5</v>
      </c>
      <c r="F1100" s="11">
        <f t="shared" ca="1" si="84"/>
        <v>4.8741648795279087</v>
      </c>
      <c r="G1100" s="10">
        <f t="shared" ca="1" si="81"/>
        <v>1</v>
      </c>
    </row>
    <row r="1101" spans="1:7" x14ac:dyDescent="0.2">
      <c r="A1101" s="2">
        <v>19940712</v>
      </c>
      <c r="B1101" s="13">
        <v>3702.66</v>
      </c>
      <c r="C1101" s="2">
        <f t="shared" si="82"/>
        <v>-8.9117172879194176E-5</v>
      </c>
      <c r="D1101" s="21">
        <f t="shared" ca="1" si="80"/>
        <v>-4.7306958798606149E-4</v>
      </c>
      <c r="E1101" s="21">
        <f t="shared" ca="1" si="83"/>
        <v>5.2384791448112185E-5</v>
      </c>
      <c r="F1101" s="11">
        <f t="shared" ca="1" si="84"/>
        <v>4.9263110572817252</v>
      </c>
      <c r="G1101" s="10">
        <f t="shared" ca="1" si="81"/>
        <v>1</v>
      </c>
    </row>
    <row r="1102" spans="1:7" x14ac:dyDescent="0.2">
      <c r="A1102" s="2">
        <v>19940713</v>
      </c>
      <c r="B1102" s="13">
        <v>3704.28</v>
      </c>
      <c r="C1102" s="2">
        <f t="shared" si="82"/>
        <v>4.3752329406436069E-4</v>
      </c>
      <c r="D1102" s="21">
        <f t="shared" ref="D1102:D1165" ca="1" si="85">(C1102-mu)</f>
        <v>5.3570878957493395E-5</v>
      </c>
      <c r="E1102" s="21">
        <f t="shared" ca="1" si="83"/>
        <v>5.0651860035865881E-5</v>
      </c>
      <c r="F1102" s="11">
        <f t="shared" ca="1" si="84"/>
        <v>4.9452389732557238</v>
      </c>
      <c r="G1102" s="10">
        <f t="shared" ref="G1102:G1165" ca="1" si="86">IF(AND(C1102&lt;=mu+zvalue*SQRT(E1102),C1102&gt;=mu-zvalue*SQRT(E1102)),1,0)</f>
        <v>1</v>
      </c>
    </row>
    <row r="1103" spans="1:7" x14ac:dyDescent="0.2">
      <c r="A1103" s="2">
        <v>19940714</v>
      </c>
      <c r="B1103" s="13">
        <v>3739.25</v>
      </c>
      <c r="C1103" s="2">
        <f t="shared" ref="C1103:C1166" si="87">(B1103-B1102)/B1102</f>
        <v>9.4404310689256213E-3</v>
      </c>
      <c r="D1103" s="21">
        <f t="shared" ca="1" si="85"/>
        <v>9.0564786538187541E-3</v>
      </c>
      <c r="E1103" s="21">
        <f t="shared" ref="E1103:E1166" ca="1" si="88">(1-alpha-beta)*longvar+alpha*D1102^2+beta*E1102</f>
        <v>4.8998474396508995E-5</v>
      </c>
      <c r="F1103" s="11">
        <f t="shared" ref="F1103:F1166" ca="1" si="89">(-0.5)*(LN(E1103)+D1103^2/E1103)</f>
        <v>4.1248978470010389</v>
      </c>
      <c r="G1103" s="10">
        <f t="shared" ca="1" si="86"/>
        <v>0</v>
      </c>
    </row>
    <row r="1104" spans="1:7" x14ac:dyDescent="0.2">
      <c r="A1104" s="2">
        <v>19940715</v>
      </c>
      <c r="B1104" s="13">
        <v>3753.81</v>
      </c>
      <c r="C1104" s="2">
        <f t="shared" si="87"/>
        <v>3.8938289763989957E-3</v>
      </c>
      <c r="D1104" s="21">
        <f t="shared" ca="1" si="85"/>
        <v>3.5098765612921285E-3</v>
      </c>
      <c r="E1104" s="21">
        <f t="shared" ca="1" si="88"/>
        <v>5.0444640014667044E-5</v>
      </c>
      <c r="F1104" s="11">
        <f t="shared" ca="1" si="89"/>
        <v>4.8252105638265288</v>
      </c>
      <c r="G1104" s="10">
        <f t="shared" ca="1" si="86"/>
        <v>1</v>
      </c>
    </row>
    <row r="1105" spans="1:7" x14ac:dyDescent="0.2">
      <c r="A1105" s="2">
        <v>19940718</v>
      </c>
      <c r="B1105" s="13">
        <v>3755.43</v>
      </c>
      <c r="C1105" s="2">
        <f t="shared" si="87"/>
        <v>4.3156153348195323E-4</v>
      </c>
      <c r="D1105" s="21">
        <f t="shared" ca="1" si="85"/>
        <v>4.7609118375085936E-5</v>
      </c>
      <c r="E1105" s="21">
        <f t="shared" ca="1" si="88"/>
        <v>4.9254631900275012E-5</v>
      </c>
      <c r="F1105" s="11">
        <f t="shared" ca="1" si="89"/>
        <v>4.9592305637266367</v>
      </c>
      <c r="G1105" s="10">
        <f t="shared" ca="1" si="86"/>
        <v>1</v>
      </c>
    </row>
    <row r="1106" spans="1:7" x14ac:dyDescent="0.2">
      <c r="A1106" s="2">
        <v>19940719</v>
      </c>
      <c r="B1106" s="13">
        <v>3748.31</v>
      </c>
      <c r="C1106" s="2">
        <f t="shared" si="87"/>
        <v>-1.8959213725192297E-3</v>
      </c>
      <c r="D1106" s="21">
        <f t="shared" ca="1" si="85"/>
        <v>-2.2798737876260971E-3</v>
      </c>
      <c r="E1106" s="21">
        <f t="shared" ca="1" si="88"/>
        <v>4.7671910311236233E-5</v>
      </c>
      <c r="F1106" s="11">
        <f t="shared" ca="1" si="89"/>
        <v>4.9210674706484117</v>
      </c>
      <c r="G1106" s="10">
        <f t="shared" ca="1" si="86"/>
        <v>1</v>
      </c>
    </row>
    <row r="1107" spans="1:7" x14ac:dyDescent="0.2">
      <c r="A1107" s="2">
        <v>19940720</v>
      </c>
      <c r="B1107" s="13">
        <v>3727.27</v>
      </c>
      <c r="C1107" s="2">
        <f t="shared" si="87"/>
        <v>-5.6131963471537745E-3</v>
      </c>
      <c r="D1107" s="21">
        <f t="shared" ca="1" si="85"/>
        <v>-5.9971487622606416E-3</v>
      </c>
      <c r="E1107" s="21">
        <f t="shared" ca="1" si="88"/>
        <v>4.6360308862697527E-5</v>
      </c>
      <c r="F1107" s="11">
        <f t="shared" ca="1" si="89"/>
        <v>4.6016392015169378</v>
      </c>
      <c r="G1107" s="10">
        <f t="shared" ca="1" si="86"/>
        <v>1</v>
      </c>
    </row>
    <row r="1108" spans="1:7" x14ac:dyDescent="0.2">
      <c r="A1108" s="2">
        <v>19940721</v>
      </c>
      <c r="B1108" s="13">
        <v>3732.45</v>
      </c>
      <c r="C1108" s="2">
        <f t="shared" si="87"/>
        <v>1.3897571144563814E-3</v>
      </c>
      <c r="D1108" s="21">
        <f t="shared" ca="1" si="85"/>
        <v>1.005804699349514E-3</v>
      </c>
      <c r="E1108" s="21">
        <f t="shared" ca="1" si="88"/>
        <v>4.6246453698003494E-5</v>
      </c>
      <c r="F1108" s="11">
        <f t="shared" ca="1" si="89"/>
        <v>4.9798253661296892</v>
      </c>
      <c r="G1108" s="10">
        <f t="shared" ca="1" si="86"/>
        <v>1</v>
      </c>
    </row>
    <row r="1109" spans="1:7" x14ac:dyDescent="0.2">
      <c r="A1109" s="2">
        <v>19940722</v>
      </c>
      <c r="B1109" s="13">
        <v>3735.04</v>
      </c>
      <c r="C1109" s="2">
        <f t="shared" si="87"/>
        <v>6.9391418505275243E-4</v>
      </c>
      <c r="D1109" s="21">
        <f t="shared" ca="1" si="85"/>
        <v>3.0996176994588513E-4</v>
      </c>
      <c r="E1109" s="21">
        <f t="shared" ca="1" si="88"/>
        <v>4.4853033369743118E-5</v>
      </c>
      <c r="F1109" s="11">
        <f t="shared" ca="1" si="89"/>
        <v>5.0049886567649144</v>
      </c>
      <c r="G1109" s="10">
        <f t="shared" ca="1" si="86"/>
        <v>1</v>
      </c>
    </row>
    <row r="1110" spans="1:7" x14ac:dyDescent="0.2">
      <c r="A1110" s="2">
        <v>19940725</v>
      </c>
      <c r="B1110" s="13">
        <v>3741.84</v>
      </c>
      <c r="C1110" s="2">
        <f t="shared" si="87"/>
        <v>1.8205962988348671E-3</v>
      </c>
      <c r="D1110" s="21">
        <f t="shared" ca="1" si="85"/>
        <v>1.4366438837279997E-3</v>
      </c>
      <c r="E1110" s="21">
        <f t="shared" ca="1" si="88"/>
        <v>4.3496439645039976E-5</v>
      </c>
      <c r="F1110" s="11">
        <f t="shared" ca="1" si="89"/>
        <v>4.9976902801639476</v>
      </c>
      <c r="G1110" s="10">
        <f t="shared" ca="1" si="86"/>
        <v>1</v>
      </c>
    </row>
    <row r="1111" spans="1:7" x14ac:dyDescent="0.2">
      <c r="A1111" s="2">
        <v>19940726</v>
      </c>
      <c r="B1111" s="13">
        <v>3735.68</v>
      </c>
      <c r="C1111" s="2">
        <f t="shared" si="87"/>
        <v>-1.6462489042824678E-3</v>
      </c>
      <c r="D1111" s="21">
        <f t="shared" ca="1" si="85"/>
        <v>-2.030201319389335E-3</v>
      </c>
      <c r="E1111" s="21">
        <f t="shared" ca="1" si="88"/>
        <v>4.2280838435532992E-5</v>
      </c>
      <c r="F1111" s="11">
        <f t="shared" ca="1" si="89"/>
        <v>4.9868461397041592</v>
      </c>
      <c r="G1111" s="10">
        <f t="shared" ca="1" si="86"/>
        <v>1</v>
      </c>
    </row>
    <row r="1112" spans="1:7" x14ac:dyDescent="0.2">
      <c r="A1112" s="2">
        <v>19940727</v>
      </c>
      <c r="B1112" s="13">
        <v>3720.47</v>
      </c>
      <c r="C1112" s="2">
        <f t="shared" si="87"/>
        <v>-4.0715478841870925E-3</v>
      </c>
      <c r="D1112" s="21">
        <f t="shared" ca="1" si="85"/>
        <v>-4.4555002992939597E-3</v>
      </c>
      <c r="E1112" s="21">
        <f t="shared" ca="1" si="88"/>
        <v>4.1202402751631263E-5</v>
      </c>
      <c r="F1112" s="11">
        <f t="shared" ca="1" si="89"/>
        <v>4.8076049864451074</v>
      </c>
      <c r="G1112" s="10">
        <f t="shared" ca="1" si="86"/>
        <v>1</v>
      </c>
    </row>
    <row r="1113" spans="1:7" x14ac:dyDescent="0.2">
      <c r="A1113" s="2">
        <v>19940728</v>
      </c>
      <c r="B1113" s="13">
        <v>3730.83</v>
      </c>
      <c r="C1113" s="2">
        <f t="shared" si="87"/>
        <v>2.7845944195222989E-3</v>
      </c>
      <c r="D1113" s="21">
        <f t="shared" ca="1" si="85"/>
        <v>2.4006420044154317E-3</v>
      </c>
      <c r="E1113" s="21">
        <f t="shared" ca="1" si="88"/>
        <v>4.0756936427140834E-5</v>
      </c>
      <c r="F1113" s="11">
        <f t="shared" ca="1" si="89"/>
        <v>4.9832416284552634</v>
      </c>
      <c r="G1113" s="10">
        <f t="shared" ca="1" si="86"/>
        <v>1</v>
      </c>
    </row>
    <row r="1114" spans="1:7" x14ac:dyDescent="0.2">
      <c r="A1114" s="2">
        <v>19940729</v>
      </c>
      <c r="B1114" s="13">
        <v>3764.5</v>
      </c>
      <c r="C1114" s="2">
        <f t="shared" si="87"/>
        <v>9.024801451687714E-3</v>
      </c>
      <c r="D1114" s="21">
        <f t="shared" ca="1" si="85"/>
        <v>8.6408490365808468E-3</v>
      </c>
      <c r="E1114" s="21">
        <f t="shared" ca="1" si="88"/>
        <v>3.9815951291179955E-5</v>
      </c>
      <c r="F1114" s="11">
        <f t="shared" ca="1" si="89"/>
        <v>4.1280038863255877</v>
      </c>
      <c r="G1114" s="10">
        <f t="shared" ca="1" si="86"/>
        <v>0</v>
      </c>
    </row>
    <row r="1115" spans="1:7" x14ac:dyDescent="0.2">
      <c r="A1115" s="2">
        <v>19940801</v>
      </c>
      <c r="B1115" s="13">
        <v>3798.17</v>
      </c>
      <c r="C1115" s="2">
        <f t="shared" si="87"/>
        <v>8.9440828795324945E-3</v>
      </c>
      <c r="D1115" s="21">
        <f t="shared" ca="1" si="85"/>
        <v>8.5601304644256273E-3</v>
      </c>
      <c r="E1115" s="21">
        <f t="shared" ca="1" si="88"/>
        <v>4.1456187965557145E-5</v>
      </c>
      <c r="F1115" s="11">
        <f t="shared" ca="1" si="89"/>
        <v>4.161662320810783</v>
      </c>
      <c r="G1115" s="10">
        <f t="shared" ca="1" si="86"/>
        <v>0</v>
      </c>
    </row>
    <row r="1116" spans="1:7" x14ac:dyDescent="0.2">
      <c r="A1116" s="2">
        <v>19940802</v>
      </c>
      <c r="B1116" s="13">
        <v>3796.22</v>
      </c>
      <c r="C1116" s="2">
        <f t="shared" si="87"/>
        <v>-5.1340513984373336E-4</v>
      </c>
      <c r="D1116" s="21">
        <f t="shared" ca="1" si="85"/>
        <v>-8.9735755495060066E-4</v>
      </c>
      <c r="E1116" s="21">
        <f t="shared" ca="1" si="88"/>
        <v>4.2962389218398694E-5</v>
      </c>
      <c r="F1116" s="11">
        <f t="shared" ca="1" si="89"/>
        <v>5.0182211712944618</v>
      </c>
      <c r="G1116" s="10">
        <f t="shared" ca="1" si="86"/>
        <v>1</v>
      </c>
    </row>
    <row r="1117" spans="1:7" x14ac:dyDescent="0.2">
      <c r="A1117" s="2">
        <v>19940803</v>
      </c>
      <c r="B1117" s="13">
        <v>3792.66</v>
      </c>
      <c r="C1117" s="2">
        <f t="shared" si="87"/>
        <v>-9.3777494455009075E-4</v>
      </c>
      <c r="D1117" s="21">
        <f t="shared" ca="1" si="85"/>
        <v>-1.321727359656958E-3</v>
      </c>
      <c r="E1117" s="21">
        <f t="shared" ca="1" si="88"/>
        <v>4.1727521380456497E-5</v>
      </c>
      <c r="F1117" s="11">
        <f t="shared" ca="1" si="89"/>
        <v>5.0212418451967817</v>
      </c>
      <c r="G1117" s="10">
        <f t="shared" ca="1" si="86"/>
        <v>1</v>
      </c>
    </row>
    <row r="1118" spans="1:7" x14ac:dyDescent="0.2">
      <c r="A1118" s="2">
        <v>19940804</v>
      </c>
      <c r="B1118" s="13">
        <v>3765.79</v>
      </c>
      <c r="C1118" s="2">
        <f t="shared" si="87"/>
        <v>-7.0847373611132797E-3</v>
      </c>
      <c r="D1118" s="21">
        <f t="shared" ca="1" si="85"/>
        <v>-7.4686897762201469E-3</v>
      </c>
      <c r="E1118" s="21">
        <f t="shared" ca="1" si="88"/>
        <v>4.0589754330780965E-5</v>
      </c>
      <c r="F1118" s="11">
        <f t="shared" ca="1" si="89"/>
        <v>4.3688618819040528</v>
      </c>
      <c r="G1118" s="10">
        <f t="shared" ca="1" si="86"/>
        <v>0</v>
      </c>
    </row>
    <row r="1119" spans="1:7" x14ac:dyDescent="0.2">
      <c r="A1119" s="2">
        <v>19940805</v>
      </c>
      <c r="B1119" s="13">
        <v>3747.02</v>
      </c>
      <c r="C1119" s="2">
        <f t="shared" si="87"/>
        <v>-4.9843459141375333E-3</v>
      </c>
      <c r="D1119" s="21">
        <f t="shared" ca="1" si="85"/>
        <v>-5.3682983292444005E-3</v>
      </c>
      <c r="E1119" s="21">
        <f t="shared" ca="1" si="88"/>
        <v>4.1496485192777262E-5</v>
      </c>
      <c r="F1119" s="11">
        <f t="shared" ca="1" si="89"/>
        <v>4.697709131971715</v>
      </c>
      <c r="G1119" s="10">
        <f t="shared" ca="1" si="86"/>
        <v>1</v>
      </c>
    </row>
    <row r="1120" spans="1:7" x14ac:dyDescent="0.2">
      <c r="A1120" s="2">
        <v>19940808</v>
      </c>
      <c r="B1120" s="13">
        <v>3753.81</v>
      </c>
      <c r="C1120" s="2">
        <f t="shared" si="87"/>
        <v>1.8121066874476153E-3</v>
      </c>
      <c r="D1120" s="21">
        <f t="shared" ca="1" si="85"/>
        <v>1.4281542723407481E-3</v>
      </c>
      <c r="E1120" s="21">
        <f t="shared" ca="1" si="88"/>
        <v>4.1365878683972E-5</v>
      </c>
      <c r="F1120" s="11">
        <f t="shared" ca="1" si="89"/>
        <v>5.0218736349657593</v>
      </c>
      <c r="G1120" s="10">
        <f t="shared" ca="1" si="86"/>
        <v>1</v>
      </c>
    </row>
    <row r="1121" spans="1:7" x14ac:dyDescent="0.2">
      <c r="A1121" s="2">
        <v>19940809</v>
      </c>
      <c r="B1121" s="13">
        <v>3755.76</v>
      </c>
      <c r="C1121" s="2">
        <f t="shared" si="87"/>
        <v>5.1947221622838469E-4</v>
      </c>
      <c r="D1121" s="21">
        <f t="shared" ca="1" si="85"/>
        <v>1.3551980112151739E-4</v>
      </c>
      <c r="E1121" s="21">
        <f t="shared" ca="1" si="88"/>
        <v>4.0257168928519953E-5</v>
      </c>
      <c r="F1121" s="11">
        <f t="shared" ca="1" si="89"/>
        <v>5.0598831262902877</v>
      </c>
      <c r="G1121" s="10">
        <f t="shared" ca="1" si="86"/>
        <v>1</v>
      </c>
    </row>
    <row r="1122" spans="1:7" x14ac:dyDescent="0.2">
      <c r="A1122" s="2">
        <v>19940810</v>
      </c>
      <c r="B1122" s="13">
        <v>3766.76</v>
      </c>
      <c r="C1122" s="2">
        <f t="shared" si="87"/>
        <v>2.9288346433211918E-3</v>
      </c>
      <c r="D1122" s="21">
        <f t="shared" ca="1" si="85"/>
        <v>2.5448822282143247E-3</v>
      </c>
      <c r="E1122" s="21">
        <f t="shared" ca="1" si="88"/>
        <v>3.9130223941676461E-5</v>
      </c>
      <c r="F1122" s="11">
        <f t="shared" ca="1" si="89"/>
        <v>4.9915529269324148</v>
      </c>
      <c r="G1122" s="10">
        <f t="shared" ca="1" si="86"/>
        <v>1</v>
      </c>
    </row>
    <row r="1123" spans="1:7" x14ac:dyDescent="0.2">
      <c r="A1123" s="2">
        <v>19940811</v>
      </c>
      <c r="B1123" s="13">
        <v>3750.9</v>
      </c>
      <c r="C1123" s="2">
        <f t="shared" si="87"/>
        <v>-4.210515137678038E-3</v>
      </c>
      <c r="D1123" s="21">
        <f t="shared" ca="1" si="85"/>
        <v>-4.5944675527849052E-3</v>
      </c>
      <c r="E1123" s="21">
        <f t="shared" ca="1" si="88"/>
        <v>3.8297765612813167E-5</v>
      </c>
      <c r="F1123" s="11">
        <f t="shared" ca="1" si="89"/>
        <v>4.8094672864938639</v>
      </c>
      <c r="G1123" s="10">
        <f t="shared" ca="1" si="86"/>
        <v>1</v>
      </c>
    </row>
    <row r="1124" spans="1:7" x14ac:dyDescent="0.2">
      <c r="A1124" s="2">
        <v>19940812</v>
      </c>
      <c r="B1124" s="13">
        <v>3768.71</v>
      </c>
      <c r="C1124" s="2">
        <f t="shared" si="87"/>
        <v>4.7481937668292793E-3</v>
      </c>
      <c r="D1124" s="21">
        <f t="shared" ca="1" si="85"/>
        <v>4.3642413517224121E-3</v>
      </c>
      <c r="E1124" s="21">
        <f t="shared" ca="1" si="88"/>
        <v>3.8045491793706486E-5</v>
      </c>
      <c r="F1124" s="11">
        <f t="shared" ca="1" si="89"/>
        <v>4.8380504525609025</v>
      </c>
      <c r="G1124" s="10">
        <f t="shared" ca="1" si="86"/>
        <v>1</v>
      </c>
    </row>
    <row r="1125" spans="1:7" x14ac:dyDescent="0.2">
      <c r="A1125" s="2">
        <v>19940815</v>
      </c>
      <c r="B1125" s="13">
        <v>3760.29</v>
      </c>
      <c r="C1125" s="2">
        <f t="shared" si="87"/>
        <v>-2.2341862334857476E-3</v>
      </c>
      <c r="D1125" s="21">
        <f t="shared" ca="1" si="85"/>
        <v>-2.6181386485926148E-3</v>
      </c>
      <c r="E1125" s="21">
        <f t="shared" ca="1" si="88"/>
        <v>3.7730137778540746E-5</v>
      </c>
      <c r="F1125" s="11">
        <f t="shared" ca="1" si="89"/>
        <v>5.0016878256631525</v>
      </c>
      <c r="G1125" s="10">
        <f t="shared" ca="1" si="86"/>
        <v>1</v>
      </c>
    </row>
    <row r="1126" spans="1:7" x14ac:dyDescent="0.2">
      <c r="A1126" s="2">
        <v>19940816</v>
      </c>
      <c r="B1126" s="13">
        <v>3784.57</v>
      </c>
      <c r="C1126" s="2">
        <f t="shared" si="87"/>
        <v>6.4569487991618197E-3</v>
      </c>
      <c r="D1126" s="21">
        <f t="shared" ca="1" si="85"/>
        <v>6.0729963840549525E-3</v>
      </c>
      <c r="E1126" s="21">
        <f t="shared" ca="1" si="88"/>
        <v>3.6982418242275732E-5</v>
      </c>
      <c r="F1126" s="11">
        <f t="shared" ca="1" si="89"/>
        <v>4.6039012845170744</v>
      </c>
      <c r="G1126" s="10">
        <f t="shared" ca="1" si="86"/>
        <v>1</v>
      </c>
    </row>
    <row r="1127" spans="1:7" x14ac:dyDescent="0.2">
      <c r="A1127" s="2">
        <v>19940817</v>
      </c>
      <c r="B1127" s="13">
        <v>3776.48</v>
      </c>
      <c r="C1127" s="2">
        <f t="shared" si="87"/>
        <v>-2.1376272601643371E-3</v>
      </c>
      <c r="D1127" s="21">
        <f t="shared" ca="1" si="85"/>
        <v>-2.5215796752712043E-3</v>
      </c>
      <c r="E1127" s="21">
        <f t="shared" ca="1" si="88"/>
        <v>3.7376657884000358E-5</v>
      </c>
      <c r="F1127" s="11">
        <f t="shared" ca="1" si="89"/>
        <v>5.0121741310393348</v>
      </c>
      <c r="G1127" s="10">
        <f t="shared" ca="1" si="86"/>
        <v>1</v>
      </c>
    </row>
    <row r="1128" spans="1:7" x14ac:dyDescent="0.2">
      <c r="A1128" s="2">
        <v>19940818</v>
      </c>
      <c r="B1128" s="13">
        <v>3755.43</v>
      </c>
      <c r="C1128" s="2">
        <f t="shared" si="87"/>
        <v>-5.573973647417749E-3</v>
      </c>
      <c r="D1128" s="21">
        <f t="shared" ca="1" si="85"/>
        <v>-5.9579260625246162E-3</v>
      </c>
      <c r="E1128" s="21">
        <f t="shared" ca="1" si="88"/>
        <v>3.6628571712005505E-5</v>
      </c>
      <c r="F1128" s="11">
        <f t="shared" ca="1" si="89"/>
        <v>4.6227891563007528</v>
      </c>
      <c r="G1128" s="10">
        <f t="shared" ca="1" si="86"/>
        <v>1</v>
      </c>
    </row>
    <row r="1129" spans="1:7" x14ac:dyDescent="0.2">
      <c r="A1129" s="2">
        <v>19940819</v>
      </c>
      <c r="B1129" s="13">
        <v>3755.11</v>
      </c>
      <c r="C1129" s="2">
        <f t="shared" si="87"/>
        <v>-8.5209949326630764E-5</v>
      </c>
      <c r="D1129" s="21">
        <f t="shared" ca="1" si="85"/>
        <v>-4.6916236443349805E-4</v>
      </c>
      <c r="E1129" s="21">
        <f t="shared" ca="1" si="88"/>
        <v>3.6989805683233875E-5</v>
      </c>
      <c r="F1129" s="11">
        <f t="shared" ca="1" si="89"/>
        <v>5.09945877853042</v>
      </c>
      <c r="G1129" s="10">
        <f t="shared" ca="1" si="86"/>
        <v>1</v>
      </c>
    </row>
    <row r="1130" spans="1:7" x14ac:dyDescent="0.2">
      <c r="A1130" s="2">
        <v>19940822</v>
      </c>
      <c r="B1130" s="13">
        <v>3751.22</v>
      </c>
      <c r="C1130" s="2">
        <f t="shared" si="87"/>
        <v>-1.0359217173399255E-3</v>
      </c>
      <c r="D1130" s="21">
        <f t="shared" ca="1" si="85"/>
        <v>-1.4198741324467929E-3</v>
      </c>
      <c r="E1130" s="21">
        <f t="shared" ca="1" si="88"/>
        <v>3.6035576294268731E-5</v>
      </c>
      <c r="F1130" s="11">
        <f t="shared" ca="1" si="89"/>
        <v>5.0875289912619008</v>
      </c>
      <c r="G1130" s="10">
        <f t="shared" ca="1" si="86"/>
        <v>1</v>
      </c>
    </row>
    <row r="1131" spans="1:7" x14ac:dyDescent="0.2">
      <c r="A1131" s="2">
        <v>19940823</v>
      </c>
      <c r="B1131" s="13">
        <v>3775.83</v>
      </c>
      <c r="C1131" s="2">
        <f t="shared" si="87"/>
        <v>6.5605323068228813E-3</v>
      </c>
      <c r="D1131" s="21">
        <f t="shared" ca="1" si="85"/>
        <v>6.1765798917160141E-3</v>
      </c>
      <c r="E1131" s="21">
        <f t="shared" ca="1" si="88"/>
        <v>3.5195661137767794E-5</v>
      </c>
      <c r="F1131" s="11">
        <f t="shared" ca="1" si="89"/>
        <v>4.5853216820774678</v>
      </c>
      <c r="G1131" s="10">
        <f t="shared" ca="1" si="86"/>
        <v>0</v>
      </c>
    </row>
    <row r="1132" spans="1:7" x14ac:dyDescent="0.2">
      <c r="A1132" s="2">
        <v>19940824</v>
      </c>
      <c r="B1132" s="13">
        <v>3846.73</v>
      </c>
      <c r="C1132" s="2">
        <f t="shared" si="87"/>
        <v>1.8777328428451517E-2</v>
      </c>
      <c r="D1132" s="21">
        <f t="shared" ca="1" si="85"/>
        <v>1.8393376013344648E-2</v>
      </c>
      <c r="E1132" s="21">
        <f t="shared" ca="1" si="88"/>
        <v>3.5726951389651993E-5</v>
      </c>
      <c r="F1132" s="11">
        <f t="shared" ca="1" si="89"/>
        <v>0.38505379636073123</v>
      </c>
      <c r="G1132" s="10">
        <f t="shared" ca="1" si="86"/>
        <v>0</v>
      </c>
    </row>
    <row r="1133" spans="1:7" x14ac:dyDescent="0.2">
      <c r="A1133" s="2">
        <v>19940825</v>
      </c>
      <c r="B1133" s="13">
        <v>3829.89</v>
      </c>
      <c r="C1133" s="2">
        <f t="shared" si="87"/>
        <v>-4.3777442139167934E-3</v>
      </c>
      <c r="D1133" s="21">
        <f t="shared" ca="1" si="85"/>
        <v>-4.7616966290236606E-3</v>
      </c>
      <c r="E1133" s="21">
        <f t="shared" ca="1" si="88"/>
        <v>4.7268996638658749E-5</v>
      </c>
      <c r="F1133" s="11">
        <f t="shared" ca="1" si="89"/>
        <v>4.739990482217479</v>
      </c>
      <c r="G1133" s="10">
        <f t="shared" ca="1" si="86"/>
        <v>1</v>
      </c>
    </row>
    <row r="1134" spans="1:7" x14ac:dyDescent="0.2">
      <c r="A1134" s="2">
        <v>19940826</v>
      </c>
      <c r="B1134" s="13">
        <v>3881.05</v>
      </c>
      <c r="C1134" s="2">
        <f t="shared" si="87"/>
        <v>1.3358086002470126E-2</v>
      </c>
      <c r="D1134" s="21">
        <f t="shared" ca="1" si="85"/>
        <v>1.2974133587363259E-2</v>
      </c>
      <c r="E1134" s="21">
        <f t="shared" ca="1" si="88"/>
        <v>4.6620399196384666E-5</v>
      </c>
      <c r="F1134" s="11">
        <f t="shared" ca="1" si="89"/>
        <v>3.1814305072831495</v>
      </c>
      <c r="G1134" s="10">
        <f t="shared" ca="1" si="86"/>
        <v>0</v>
      </c>
    </row>
    <row r="1135" spans="1:7" x14ac:dyDescent="0.2">
      <c r="A1135" s="2">
        <v>19940829</v>
      </c>
      <c r="B1135" s="13">
        <v>3898.85</v>
      </c>
      <c r="C1135" s="2">
        <f t="shared" si="87"/>
        <v>4.586387704358286E-3</v>
      </c>
      <c r="D1135" s="21">
        <f t="shared" ca="1" si="85"/>
        <v>4.2024352892514188E-3</v>
      </c>
      <c r="E1135" s="21">
        <f t="shared" ca="1" si="88"/>
        <v>5.1360580662120542E-5</v>
      </c>
      <c r="F1135" s="11">
        <f t="shared" ca="1" si="89"/>
        <v>4.7663935630268641</v>
      </c>
      <c r="G1135" s="10">
        <f t="shared" ca="1" si="86"/>
        <v>1</v>
      </c>
    </row>
    <row r="1136" spans="1:7" x14ac:dyDescent="0.2">
      <c r="A1136" s="2">
        <v>19940830</v>
      </c>
      <c r="B1136" s="13">
        <v>3917.3</v>
      </c>
      <c r="C1136" s="2">
        <f t="shared" si="87"/>
        <v>4.7321646126422595E-3</v>
      </c>
      <c r="D1136" s="21">
        <f t="shared" ca="1" si="85"/>
        <v>4.3482121975353923E-3</v>
      </c>
      <c r="E1136" s="21">
        <f t="shared" ca="1" si="88"/>
        <v>5.0320641120919773E-5</v>
      </c>
      <c r="F1136" s="11">
        <f t="shared" ca="1" si="89"/>
        <v>4.760682852519861</v>
      </c>
      <c r="G1136" s="10">
        <f t="shared" ca="1" si="86"/>
        <v>1</v>
      </c>
    </row>
    <row r="1137" spans="1:7" x14ac:dyDescent="0.2">
      <c r="A1137" s="2">
        <v>19940831</v>
      </c>
      <c r="B1137" s="13">
        <v>3913.42</v>
      </c>
      <c r="C1137" s="2">
        <f t="shared" si="87"/>
        <v>-9.9047813545046566E-4</v>
      </c>
      <c r="D1137" s="21">
        <f t="shared" ca="1" si="85"/>
        <v>-1.3744305505573331E-3</v>
      </c>
      <c r="E1137" s="21">
        <f t="shared" ca="1" si="88"/>
        <v>4.9379147965263308E-5</v>
      </c>
      <c r="F1137" s="11">
        <f t="shared" ca="1" si="89"/>
        <v>4.9388630565472891</v>
      </c>
      <c r="G1137" s="10">
        <f t="shared" ca="1" si="86"/>
        <v>1</v>
      </c>
    </row>
    <row r="1138" spans="1:7" x14ac:dyDescent="0.2">
      <c r="A1138" s="2">
        <v>19940901</v>
      </c>
      <c r="B1138" s="13">
        <v>3901.44</v>
      </c>
      <c r="C1138" s="2">
        <f t="shared" si="87"/>
        <v>-3.061260994219894E-3</v>
      </c>
      <c r="D1138" s="21">
        <f t="shared" ca="1" si="85"/>
        <v>-3.4452134093267612E-3</v>
      </c>
      <c r="E1138" s="21">
        <f t="shared" ca="1" si="88"/>
        <v>4.7859507729879262E-5</v>
      </c>
      <c r="F1138" s="11">
        <f t="shared" ca="1" si="89"/>
        <v>4.8496168544405807</v>
      </c>
      <c r="G1138" s="10">
        <f t="shared" ca="1" si="86"/>
        <v>1</v>
      </c>
    </row>
    <row r="1139" spans="1:7" x14ac:dyDescent="0.2">
      <c r="A1139" s="2">
        <v>19940902</v>
      </c>
      <c r="B1139" s="13">
        <v>3885.58</v>
      </c>
      <c r="C1139" s="2">
        <f t="shared" si="87"/>
        <v>-4.0651656824147306E-3</v>
      </c>
      <c r="D1139" s="21">
        <f t="shared" ca="1" si="85"/>
        <v>-4.4491180975215977E-3</v>
      </c>
      <c r="E1139" s="21">
        <f t="shared" ca="1" si="88"/>
        <v>4.6783744655982719E-5</v>
      </c>
      <c r="F1139" s="11">
        <f t="shared" ca="1" si="89"/>
        <v>4.7734325720693107</v>
      </c>
      <c r="G1139" s="10">
        <f t="shared" ca="1" si="86"/>
        <v>1</v>
      </c>
    </row>
    <row r="1140" spans="1:7" x14ac:dyDescent="0.2">
      <c r="A1140" s="2">
        <v>19940906</v>
      </c>
      <c r="B1140" s="13">
        <v>3898.7</v>
      </c>
      <c r="C1140" s="2">
        <f t="shared" si="87"/>
        <v>3.3765872791191769E-3</v>
      </c>
      <c r="D1140" s="21">
        <f t="shared" ca="1" si="85"/>
        <v>2.9926348640123097E-3</v>
      </c>
      <c r="E1140" s="21">
        <f t="shared" ca="1" si="88"/>
        <v>4.6053826629092644E-5</v>
      </c>
      <c r="F1140" s="11">
        <f t="shared" ca="1" si="89"/>
        <v>4.8956172852157964</v>
      </c>
      <c r="G1140" s="10">
        <f t="shared" ca="1" si="86"/>
        <v>1</v>
      </c>
    </row>
    <row r="1141" spans="1:7" x14ac:dyDescent="0.2">
      <c r="A1141" s="2">
        <v>19940907</v>
      </c>
      <c r="B1141" s="13">
        <v>3886.25</v>
      </c>
      <c r="C1141" s="2">
        <f t="shared" si="87"/>
        <v>-3.1933721496908759E-3</v>
      </c>
      <c r="D1141" s="21">
        <f t="shared" ca="1" si="85"/>
        <v>-3.5773245647977431E-3</v>
      </c>
      <c r="E1141" s="21">
        <f t="shared" ca="1" si="88"/>
        <v>4.4962274220413481E-5</v>
      </c>
      <c r="F1141" s="11">
        <f t="shared" ca="1" si="89"/>
        <v>4.8625324004809123</v>
      </c>
      <c r="G1141" s="10">
        <f t="shared" ca="1" si="86"/>
        <v>1</v>
      </c>
    </row>
    <row r="1142" spans="1:7" x14ac:dyDescent="0.2">
      <c r="A1142" s="2">
        <v>19940908</v>
      </c>
      <c r="B1142" s="13">
        <v>3908.46</v>
      </c>
      <c r="C1142" s="2">
        <f t="shared" si="87"/>
        <v>5.7150209070440747E-3</v>
      </c>
      <c r="D1142" s="21">
        <f t="shared" ca="1" si="85"/>
        <v>5.3310684919372076E-3</v>
      </c>
      <c r="E1142" s="21">
        <f t="shared" ca="1" si="88"/>
        <v>4.4067198337257598E-5</v>
      </c>
      <c r="F1142" s="11">
        <f t="shared" ca="1" si="89"/>
        <v>4.6924320521671978</v>
      </c>
      <c r="G1142" s="10">
        <f t="shared" ca="1" si="86"/>
        <v>1</v>
      </c>
    </row>
    <row r="1143" spans="1:7" x14ac:dyDescent="0.2">
      <c r="A1143" s="2">
        <v>19940909</v>
      </c>
      <c r="B1143" s="13">
        <v>3874.81</v>
      </c>
      <c r="C1143" s="2">
        <f t="shared" si="87"/>
        <v>-8.6095290728317782E-3</v>
      </c>
      <c r="D1143" s="21">
        <f t="shared" ca="1" si="85"/>
        <v>-8.9934814879386454E-3</v>
      </c>
      <c r="E1143" s="21">
        <f t="shared" ca="1" si="88"/>
        <v>4.3791891105340418E-5</v>
      </c>
      <c r="F1143" s="11">
        <f t="shared" ca="1" si="89"/>
        <v>4.0945413772796249</v>
      </c>
      <c r="G1143" s="10">
        <f t="shared" ca="1" si="86"/>
        <v>0</v>
      </c>
    </row>
    <row r="1144" spans="1:7" x14ac:dyDescent="0.2">
      <c r="A1144" s="2">
        <v>19940912</v>
      </c>
      <c r="B1144" s="13">
        <v>3860.34</v>
      </c>
      <c r="C1144" s="2">
        <f t="shared" si="87"/>
        <v>-3.7343766533068203E-3</v>
      </c>
      <c r="D1144" s="21">
        <f t="shared" ca="1" si="85"/>
        <v>-4.1183290684136875E-3</v>
      </c>
      <c r="E1144" s="21">
        <f t="shared" ca="1" si="88"/>
        <v>4.5459646468945886E-5</v>
      </c>
      <c r="F1144" s="11">
        <f t="shared" ca="1" si="89"/>
        <v>4.8127967153160149</v>
      </c>
      <c r="G1144" s="10">
        <f t="shared" ca="1" si="86"/>
        <v>1</v>
      </c>
    </row>
    <row r="1145" spans="1:7" x14ac:dyDescent="0.2">
      <c r="A1145" s="2">
        <v>19940913</v>
      </c>
      <c r="B1145" s="13">
        <v>3879.86</v>
      </c>
      <c r="C1145" s="2">
        <f t="shared" si="87"/>
        <v>5.0565494231078045E-3</v>
      </c>
      <c r="D1145" s="21">
        <f t="shared" ca="1" si="85"/>
        <v>4.6725970080009373E-3</v>
      </c>
      <c r="E1145" s="21">
        <f t="shared" ca="1" si="88"/>
        <v>4.4692503232411896E-5</v>
      </c>
      <c r="F1145" s="11">
        <f t="shared" ca="1" si="89"/>
        <v>4.7635926028859803</v>
      </c>
      <c r="G1145" s="10">
        <f t="shared" ca="1" si="86"/>
        <v>1</v>
      </c>
    </row>
    <row r="1146" spans="1:7" x14ac:dyDescent="0.2">
      <c r="A1146" s="2">
        <v>19940914</v>
      </c>
      <c r="B1146" s="13">
        <v>3895.33</v>
      </c>
      <c r="C1146" s="2">
        <f t="shared" si="87"/>
        <v>3.9872572721695631E-3</v>
      </c>
      <c r="D1146" s="21">
        <f t="shared" ca="1" si="85"/>
        <v>3.6033048570626959E-3</v>
      </c>
      <c r="E1146" s="21">
        <f t="shared" ca="1" si="88"/>
        <v>4.4143341404807088E-5</v>
      </c>
      <c r="F1146" s="11">
        <f t="shared" ca="1" si="89"/>
        <v>4.8669700807250402</v>
      </c>
      <c r="G1146" s="10">
        <f t="shared" ca="1" si="86"/>
        <v>1</v>
      </c>
    </row>
    <row r="1147" spans="1:7" x14ac:dyDescent="0.2">
      <c r="A1147" s="2">
        <v>19940915</v>
      </c>
      <c r="B1147" s="13">
        <v>3953.88</v>
      </c>
      <c r="C1147" s="2">
        <f t="shared" si="87"/>
        <v>1.5030818955005142E-2</v>
      </c>
      <c r="D1147" s="21">
        <f t="shared" ca="1" si="85"/>
        <v>1.4646866539898275E-2</v>
      </c>
      <c r="E1147" s="21">
        <f t="shared" ca="1" si="88"/>
        <v>4.3296555550043841E-5</v>
      </c>
      <c r="F1147" s="11">
        <f t="shared" ca="1" si="89"/>
        <v>2.5462618505869501</v>
      </c>
      <c r="G1147" s="10">
        <f t="shared" ca="1" si="86"/>
        <v>0</v>
      </c>
    </row>
    <row r="1148" spans="1:7" x14ac:dyDescent="0.2">
      <c r="A1148" s="2">
        <v>19940916</v>
      </c>
      <c r="B1148" s="13">
        <v>3933.35</v>
      </c>
      <c r="C1148" s="2">
        <f t="shared" si="87"/>
        <v>-5.1923680030755105E-3</v>
      </c>
      <c r="D1148" s="21">
        <f t="shared" ca="1" si="85"/>
        <v>-5.5763204181823777E-3</v>
      </c>
      <c r="E1148" s="21">
        <f t="shared" ca="1" si="88"/>
        <v>4.9903840056487513E-5</v>
      </c>
      <c r="F1148" s="11">
        <f t="shared" ca="1" si="89"/>
        <v>4.6411536297551068</v>
      </c>
      <c r="G1148" s="10">
        <f t="shared" ca="1" si="86"/>
        <v>1</v>
      </c>
    </row>
    <row r="1149" spans="1:7" x14ac:dyDescent="0.2">
      <c r="A1149" s="2">
        <v>19940919</v>
      </c>
      <c r="B1149" s="13">
        <v>3936.72</v>
      </c>
      <c r="C1149" s="2">
        <f t="shared" si="87"/>
        <v>8.5677603061001209E-4</v>
      </c>
      <c r="D1149" s="21">
        <f t="shared" ca="1" si="85"/>
        <v>4.728236155031448E-4</v>
      </c>
      <c r="E1149" s="21">
        <f t="shared" ca="1" si="88"/>
        <v>4.9431621756800852E-5</v>
      </c>
      <c r="F1149" s="11">
        <f t="shared" ca="1" si="89"/>
        <v>4.9551987835107649</v>
      </c>
      <c r="G1149" s="10">
        <f t="shared" ca="1" si="86"/>
        <v>1</v>
      </c>
    </row>
    <row r="1150" spans="1:7" x14ac:dyDescent="0.2">
      <c r="A1150" s="2">
        <v>19940920</v>
      </c>
      <c r="B1150" s="13">
        <v>3869.09</v>
      </c>
      <c r="C1150" s="2">
        <f t="shared" si="87"/>
        <v>-1.7179276148671905E-2</v>
      </c>
      <c r="D1150" s="21">
        <f t="shared" ca="1" si="85"/>
        <v>-1.7563228563778774E-2</v>
      </c>
      <c r="E1150" s="21">
        <f t="shared" ca="1" si="88"/>
        <v>4.7848083616160809E-5</v>
      </c>
      <c r="F1150" s="11">
        <f t="shared" ca="1" si="89"/>
        <v>1.7503400366101145</v>
      </c>
      <c r="G1150" s="10">
        <f t="shared" ca="1" si="86"/>
        <v>0</v>
      </c>
    </row>
    <row r="1151" spans="1:7" x14ac:dyDescent="0.2">
      <c r="A1151" s="2">
        <v>19940921</v>
      </c>
      <c r="B1151" s="13">
        <v>3851.6</v>
      </c>
      <c r="C1151" s="2">
        <f t="shared" si="87"/>
        <v>-4.5204427914574841E-3</v>
      </c>
      <c r="D1151" s="21">
        <f t="shared" ca="1" si="85"/>
        <v>-4.9043952065643513E-3</v>
      </c>
      <c r="E1151" s="21">
        <f t="shared" ca="1" si="88"/>
        <v>5.7679306519107528E-5</v>
      </c>
      <c r="F1151" s="11">
        <f t="shared" ca="1" si="89"/>
        <v>4.6717989225031573</v>
      </c>
      <c r="G1151" s="10">
        <f t="shared" ca="1" si="86"/>
        <v>1</v>
      </c>
    </row>
    <row r="1152" spans="1:7" x14ac:dyDescent="0.2">
      <c r="A1152" s="2">
        <v>19940922</v>
      </c>
      <c r="B1152" s="13">
        <v>3837.13</v>
      </c>
      <c r="C1152" s="2">
        <f t="shared" si="87"/>
        <v>-3.7568802575552499E-3</v>
      </c>
      <c r="D1152" s="21">
        <f t="shared" ca="1" si="85"/>
        <v>-4.1408326726621175E-3</v>
      </c>
      <c r="E1152" s="21">
        <f t="shared" ca="1" si="88"/>
        <v>5.6554768722535552E-5</v>
      </c>
      <c r="F1152" s="11">
        <f t="shared" ca="1" si="89"/>
        <v>4.7385585667852492</v>
      </c>
      <c r="G1152" s="10">
        <f t="shared" ca="1" si="86"/>
        <v>1</v>
      </c>
    </row>
    <row r="1153" spans="1:7" x14ac:dyDescent="0.2">
      <c r="A1153" s="2">
        <v>19940923</v>
      </c>
      <c r="B1153" s="13">
        <v>3831.75</v>
      </c>
      <c r="C1153" s="2">
        <f t="shared" si="87"/>
        <v>-1.4020895825786743E-3</v>
      </c>
      <c r="D1153" s="21">
        <f t="shared" ca="1" si="85"/>
        <v>-1.7860419976855418E-3</v>
      </c>
      <c r="E1153" s="21">
        <f t="shared" ca="1" si="88"/>
        <v>5.5233154028046249E-5</v>
      </c>
      <c r="F1153" s="11">
        <f t="shared" ca="1" si="89"/>
        <v>4.8730964897582023</v>
      </c>
      <c r="G1153" s="10">
        <f t="shared" ca="1" si="86"/>
        <v>1</v>
      </c>
    </row>
    <row r="1154" spans="1:7" x14ac:dyDescent="0.2">
      <c r="A1154" s="2">
        <v>19940926</v>
      </c>
      <c r="B1154" s="13">
        <v>3849.24</v>
      </c>
      <c r="C1154" s="2">
        <f t="shared" si="87"/>
        <v>4.564494030142828E-3</v>
      </c>
      <c r="D1154" s="21">
        <f t="shared" ca="1" si="85"/>
        <v>4.1805416150359608E-3</v>
      </c>
      <c r="E1154" s="21">
        <f t="shared" ca="1" si="88"/>
        <v>5.3465193573034118E-5</v>
      </c>
      <c r="F1154" s="11">
        <f t="shared" ca="1" si="89"/>
        <v>4.7547977406979847</v>
      </c>
      <c r="G1154" s="10">
        <f t="shared" ca="1" si="86"/>
        <v>1</v>
      </c>
    </row>
    <row r="1155" spans="1:7" x14ac:dyDescent="0.2">
      <c r="A1155" s="2">
        <v>19940927</v>
      </c>
      <c r="B1155" s="13">
        <v>3863.04</v>
      </c>
      <c r="C1155" s="2">
        <f t="shared" si="87"/>
        <v>3.5851232970664812E-3</v>
      </c>
      <c r="D1155" s="21">
        <f t="shared" ca="1" si="85"/>
        <v>3.201170881959614E-3</v>
      </c>
      <c r="E1155" s="21">
        <f t="shared" ca="1" si="88"/>
        <v>5.2312032099979064E-5</v>
      </c>
      <c r="F1155" s="11">
        <f t="shared" ca="1" si="89"/>
        <v>4.8311962068057532</v>
      </c>
      <c r="G1155" s="10">
        <f t="shared" ca="1" si="86"/>
        <v>1</v>
      </c>
    </row>
    <row r="1156" spans="1:7" x14ac:dyDescent="0.2">
      <c r="A1156" s="2">
        <v>19940928</v>
      </c>
      <c r="B1156" s="13">
        <v>3878.18</v>
      </c>
      <c r="C1156" s="2">
        <f t="shared" si="87"/>
        <v>3.9191931742875745E-3</v>
      </c>
      <c r="D1156" s="21">
        <f t="shared" ca="1" si="85"/>
        <v>3.5352407591807073E-3</v>
      </c>
      <c r="E1156" s="21">
        <f t="shared" ca="1" si="88"/>
        <v>5.0951370564598464E-5</v>
      </c>
      <c r="F1156" s="11">
        <f t="shared" ca="1" si="89"/>
        <v>4.81967380607629</v>
      </c>
      <c r="G1156" s="10">
        <f t="shared" ca="1" si="86"/>
        <v>1</v>
      </c>
    </row>
    <row r="1157" spans="1:7" x14ac:dyDescent="0.2">
      <c r="A1157" s="2">
        <v>19940929</v>
      </c>
      <c r="B1157" s="13">
        <v>3854.63</v>
      </c>
      <c r="C1157" s="2">
        <f t="shared" si="87"/>
        <v>-6.072436039585509E-3</v>
      </c>
      <c r="D1157" s="21">
        <f t="shared" ca="1" si="85"/>
        <v>-6.4563884546923762E-3</v>
      </c>
      <c r="E1157" s="21">
        <f t="shared" ca="1" si="88"/>
        <v>4.9742297666027351E-5</v>
      </c>
      <c r="F1157" s="11">
        <f t="shared" ca="1" si="89"/>
        <v>4.5353183522669145</v>
      </c>
      <c r="G1157" s="10">
        <f t="shared" ca="1" si="86"/>
        <v>1</v>
      </c>
    </row>
    <row r="1158" spans="1:7" x14ac:dyDescent="0.2">
      <c r="A1158" s="2">
        <v>19940930</v>
      </c>
      <c r="B1158" s="13">
        <v>3843.19</v>
      </c>
      <c r="C1158" s="2">
        <f t="shared" si="87"/>
        <v>-2.9678594313851275E-3</v>
      </c>
      <c r="D1158" s="21">
        <f t="shared" ca="1" si="85"/>
        <v>-3.3518118464919947E-3</v>
      </c>
      <c r="E1158" s="21">
        <f t="shared" ca="1" si="88"/>
        <v>4.9667650021890952E-5</v>
      </c>
      <c r="F1158" s="11">
        <f t="shared" ca="1" si="89"/>
        <v>4.8419801807288838</v>
      </c>
      <c r="G1158" s="10">
        <f t="shared" ca="1" si="86"/>
        <v>1</v>
      </c>
    </row>
    <row r="1159" spans="1:7" x14ac:dyDescent="0.2">
      <c r="A1159" s="2">
        <v>19941003</v>
      </c>
      <c r="B1159" s="13">
        <v>3846.89</v>
      </c>
      <c r="C1159" s="2">
        <f t="shared" si="87"/>
        <v>9.6274188889953864E-4</v>
      </c>
      <c r="D1159" s="21">
        <f t="shared" ca="1" si="85"/>
        <v>5.7878947379267135E-4</v>
      </c>
      <c r="E1159" s="21">
        <f t="shared" ca="1" si="88"/>
        <v>4.8477067788825507E-5</v>
      </c>
      <c r="F1159" s="11">
        <f t="shared" ca="1" si="89"/>
        <v>4.9637546367943362</v>
      </c>
      <c r="G1159" s="10">
        <f t="shared" ca="1" si="86"/>
        <v>1</v>
      </c>
    </row>
    <row r="1160" spans="1:7" x14ac:dyDescent="0.2">
      <c r="A1160" s="2">
        <v>19941004</v>
      </c>
      <c r="B1160" s="13">
        <v>3801.13</v>
      </c>
      <c r="C1160" s="2">
        <f t="shared" si="87"/>
        <v>-1.1895323235132734E-2</v>
      </c>
      <c r="D1160" s="21">
        <f t="shared" ca="1" si="85"/>
        <v>-1.2279275650239601E-2</v>
      </c>
      <c r="E1160" s="21">
        <f t="shared" ca="1" si="88"/>
        <v>4.6945918510320583E-5</v>
      </c>
      <c r="F1160" s="11">
        <f t="shared" ca="1" si="89"/>
        <v>3.3773602391927051</v>
      </c>
      <c r="G1160" s="10">
        <f t="shared" ca="1" si="86"/>
        <v>0</v>
      </c>
    </row>
    <row r="1161" spans="1:7" x14ac:dyDescent="0.2">
      <c r="A1161" s="2">
        <v>19941005</v>
      </c>
      <c r="B1161" s="13">
        <v>3787.34</v>
      </c>
      <c r="C1161" s="2">
        <f t="shared" si="87"/>
        <v>-3.6278685548770929E-3</v>
      </c>
      <c r="D1161" s="21">
        <f t="shared" ca="1" si="85"/>
        <v>-4.0118209699839605E-3</v>
      </c>
      <c r="E1161" s="21">
        <f t="shared" ca="1" si="88"/>
        <v>5.1024378461908573E-5</v>
      </c>
      <c r="F1161" s="11">
        <f t="shared" ca="1" si="89"/>
        <v>4.7838876548531371</v>
      </c>
      <c r="G1161" s="10">
        <f t="shared" ca="1" si="86"/>
        <v>1</v>
      </c>
    </row>
    <row r="1162" spans="1:7" x14ac:dyDescent="0.2">
      <c r="A1162" s="2">
        <v>19941006</v>
      </c>
      <c r="B1162" s="13">
        <v>3775.56</v>
      </c>
      <c r="C1162" s="2">
        <f t="shared" si="87"/>
        <v>-3.110362417950382E-3</v>
      </c>
      <c r="D1162" s="21">
        <f t="shared" ca="1" si="85"/>
        <v>-3.4943148330572492E-3</v>
      </c>
      <c r="E1162" s="21">
        <f t="shared" ca="1" si="88"/>
        <v>4.9943871960442936E-5</v>
      </c>
      <c r="F1162" s="11">
        <f t="shared" ca="1" si="89"/>
        <v>4.8300657890471648</v>
      </c>
      <c r="G1162" s="10">
        <f t="shared" ca="1" si="86"/>
        <v>1</v>
      </c>
    </row>
    <row r="1163" spans="1:7" x14ac:dyDescent="0.2">
      <c r="A1163" s="2">
        <v>19941007</v>
      </c>
      <c r="B1163" s="13">
        <v>3797.43</v>
      </c>
      <c r="C1163" s="2">
        <f t="shared" si="87"/>
        <v>5.792518195976197E-3</v>
      </c>
      <c r="D1163" s="21">
        <f t="shared" ca="1" si="85"/>
        <v>5.4085657808693299E-3</v>
      </c>
      <c r="E1163" s="21">
        <f t="shared" ca="1" si="88"/>
        <v>4.877518984491856E-5</v>
      </c>
      <c r="F1163" s="11">
        <f t="shared" ca="1" si="89"/>
        <v>4.6642728370872746</v>
      </c>
      <c r="G1163" s="10">
        <f t="shared" ca="1" si="86"/>
        <v>1</v>
      </c>
    </row>
    <row r="1164" spans="1:7" x14ac:dyDescent="0.2">
      <c r="A1164" s="2">
        <v>19941010</v>
      </c>
      <c r="B1164" s="13">
        <v>3821.32</v>
      </c>
      <c r="C1164" s="2">
        <f t="shared" si="87"/>
        <v>6.2910968734118415E-3</v>
      </c>
      <c r="D1164" s="21">
        <f t="shared" ca="1" si="85"/>
        <v>5.9071444583049743E-3</v>
      </c>
      <c r="E1164" s="21">
        <f t="shared" ca="1" si="88"/>
        <v>4.8292308622382835E-5</v>
      </c>
      <c r="F1164" s="11">
        <f t="shared" ca="1" si="89"/>
        <v>4.6078363807931968</v>
      </c>
      <c r="G1164" s="10">
        <f t="shared" ca="1" si="86"/>
        <v>1</v>
      </c>
    </row>
    <row r="1165" spans="1:7" x14ac:dyDescent="0.2">
      <c r="A1165" s="2">
        <v>19941011</v>
      </c>
      <c r="B1165" s="13">
        <v>3876.83</v>
      </c>
      <c r="C1165" s="2">
        <f t="shared" si="87"/>
        <v>1.4526394020914176E-2</v>
      </c>
      <c r="D1165" s="21">
        <f t="shared" ca="1" si="85"/>
        <v>1.4142441605807309E-2</v>
      </c>
      <c r="E1165" s="21">
        <f t="shared" ca="1" si="88"/>
        <v>4.804131432144128E-5</v>
      </c>
      <c r="F1165" s="11">
        <f t="shared" ca="1" si="89"/>
        <v>2.8900928077437071</v>
      </c>
      <c r="G1165" s="10">
        <f t="shared" ca="1" si="86"/>
        <v>0</v>
      </c>
    </row>
    <row r="1166" spans="1:7" x14ac:dyDescent="0.2">
      <c r="A1166" s="2">
        <v>19941012</v>
      </c>
      <c r="B1166" s="13">
        <v>3875.15</v>
      </c>
      <c r="C1166" s="2">
        <f t="shared" si="87"/>
        <v>-4.3334373702221565E-4</v>
      </c>
      <c r="D1166" s="21">
        <f t="shared" ref="D1166:D1229" ca="1" si="90">(C1166-mu)</f>
        <v>-8.1729615212908289E-4</v>
      </c>
      <c r="E1166" s="21">
        <f t="shared" ca="1" si="88"/>
        <v>5.3874558973540197E-5</v>
      </c>
      <c r="F1166" s="11">
        <f t="shared" ca="1" si="89"/>
        <v>4.9082267617060271</v>
      </c>
      <c r="G1166" s="10">
        <f t="shared" ref="G1166:G1229" ca="1" si="91">IF(AND(C1166&lt;=mu+zvalue*SQRT(E1166),C1166&gt;=mu-zvalue*SQRT(E1166)),1,0)</f>
        <v>1</v>
      </c>
    </row>
    <row r="1167" spans="1:7" x14ac:dyDescent="0.2">
      <c r="A1167" s="2">
        <v>19941013</v>
      </c>
      <c r="B1167" s="13">
        <v>3889.95</v>
      </c>
      <c r="C1167" s="2">
        <f t="shared" ref="C1167:C1230" si="92">(B1167-B1166)/B1166</f>
        <v>3.8192069984386997E-3</v>
      </c>
      <c r="D1167" s="21">
        <f t="shared" ca="1" si="90"/>
        <v>3.4352545833318325E-3</v>
      </c>
      <c r="E1167" s="21">
        <f t="shared" ref="E1167:E1230" ca="1" si="93">(1-alpha-beta)*longvar+alpha*D1166^2+beta*E1166</f>
        <v>5.2082592938345918E-5</v>
      </c>
      <c r="F1167" s="11">
        <f t="shared" ref="F1167:F1230" ca="1" si="94">(-0.5)*(LN(E1167)+D1167^2/E1167)</f>
        <v>4.818048925451083</v>
      </c>
      <c r="G1167" s="10">
        <f t="shared" ca="1" si="91"/>
        <v>1</v>
      </c>
    </row>
    <row r="1168" spans="1:7" x14ac:dyDescent="0.2">
      <c r="A1168" s="2">
        <v>19941014</v>
      </c>
      <c r="B1168" s="13">
        <v>3910.47</v>
      </c>
      <c r="C1168" s="2">
        <f t="shared" si="92"/>
        <v>5.2751320711063076E-3</v>
      </c>
      <c r="D1168" s="21">
        <f t="shared" ca="1" si="90"/>
        <v>4.8911796559994404E-3</v>
      </c>
      <c r="E1168" s="21">
        <f t="shared" ca="1" si="93"/>
        <v>5.0790662942328969E-5</v>
      </c>
      <c r="F1168" s="11">
        <f t="shared" ca="1" si="94"/>
        <v>4.7083868409337688</v>
      </c>
      <c r="G1168" s="10">
        <f t="shared" ca="1" si="91"/>
        <v>1</v>
      </c>
    </row>
    <row r="1169" spans="1:7" x14ac:dyDescent="0.2">
      <c r="A1169" s="2">
        <v>19941017</v>
      </c>
      <c r="B1169" s="13">
        <v>3923.93</v>
      </c>
      <c r="C1169" s="2">
        <f t="shared" si="92"/>
        <v>3.4420414937334992E-3</v>
      </c>
      <c r="D1169" s="21">
        <f t="shared" ca="1" si="90"/>
        <v>3.0580890786266321E-3</v>
      </c>
      <c r="E1169" s="21">
        <f t="shared" ca="1" si="93"/>
        <v>5.0009863646006709E-5</v>
      </c>
      <c r="F1169" s="11">
        <f t="shared" ca="1" si="94"/>
        <v>4.8581445065525903</v>
      </c>
      <c r="G1169" s="10">
        <f t="shared" ca="1" si="91"/>
        <v>1</v>
      </c>
    </row>
    <row r="1170" spans="1:7" x14ac:dyDescent="0.2">
      <c r="A1170" s="2">
        <v>19941018</v>
      </c>
      <c r="B1170" s="13">
        <v>3917.54</v>
      </c>
      <c r="C1170" s="2">
        <f t="shared" si="92"/>
        <v>-1.6284694171404366E-3</v>
      </c>
      <c r="D1170" s="21">
        <f t="shared" ca="1" si="90"/>
        <v>-2.012421832247304E-3</v>
      </c>
      <c r="E1170" s="21">
        <f t="shared" ca="1" si="93"/>
        <v>4.8732737302325835E-5</v>
      </c>
      <c r="F1170" s="11">
        <f t="shared" ca="1" si="94"/>
        <v>4.923028214005698</v>
      </c>
      <c r="G1170" s="10">
        <f t="shared" ca="1" si="91"/>
        <v>1</v>
      </c>
    </row>
    <row r="1171" spans="1:7" x14ac:dyDescent="0.2">
      <c r="A1171" s="2">
        <v>19941019</v>
      </c>
      <c r="B1171" s="13">
        <v>3936.04</v>
      </c>
      <c r="C1171" s="2">
        <f t="shared" si="92"/>
        <v>4.7223512714611717E-3</v>
      </c>
      <c r="D1171" s="21">
        <f t="shared" ca="1" si="90"/>
        <v>4.3383988563543046E-3</v>
      </c>
      <c r="E1171" s="21">
        <f t="shared" ca="1" si="93"/>
        <v>4.7325254932946225E-5</v>
      </c>
      <c r="F1171" s="11">
        <f t="shared" ca="1" si="94"/>
        <v>4.7803784747575806</v>
      </c>
      <c r="G1171" s="10">
        <f t="shared" ca="1" si="91"/>
        <v>1</v>
      </c>
    </row>
    <row r="1172" spans="1:7" x14ac:dyDescent="0.2">
      <c r="A1172" s="2">
        <v>19941020</v>
      </c>
      <c r="B1172" s="13">
        <v>3911.15</v>
      </c>
      <c r="C1172" s="2">
        <f t="shared" si="92"/>
        <v>-6.3236145974125959E-3</v>
      </c>
      <c r="D1172" s="21">
        <f t="shared" ca="1" si="90"/>
        <v>-6.7075670125194631E-3</v>
      </c>
      <c r="E1172" s="21">
        <f t="shared" ca="1" si="93"/>
        <v>4.6532164755162517E-5</v>
      </c>
      <c r="F1172" s="11">
        <f t="shared" ca="1" si="94"/>
        <v>4.5042387022165205</v>
      </c>
      <c r="G1172" s="10">
        <f t="shared" ca="1" si="91"/>
        <v>1</v>
      </c>
    </row>
    <row r="1173" spans="1:7" x14ac:dyDescent="0.2">
      <c r="A1173" s="2">
        <v>19941021</v>
      </c>
      <c r="B1173" s="13">
        <v>3891.3</v>
      </c>
      <c r="C1173" s="2">
        <f t="shared" si="92"/>
        <v>-5.0752336269383452E-3</v>
      </c>
      <c r="D1173" s="21">
        <f t="shared" ca="1" si="90"/>
        <v>-5.4591860420452124E-3</v>
      </c>
      <c r="E1173" s="21">
        <f t="shared" ca="1" si="93"/>
        <v>4.6741504693442446E-5</v>
      </c>
      <c r="F1173" s="11">
        <f t="shared" ca="1" si="94"/>
        <v>4.6666355005226423</v>
      </c>
      <c r="G1173" s="10">
        <f t="shared" ca="1" si="91"/>
        <v>1</v>
      </c>
    </row>
    <row r="1174" spans="1:7" x14ac:dyDescent="0.2">
      <c r="A1174" s="2">
        <v>19941024</v>
      </c>
      <c r="B1174" s="13">
        <v>3855.3</v>
      </c>
      <c r="C1174" s="2">
        <f t="shared" si="92"/>
        <v>-9.2514069848122736E-3</v>
      </c>
      <c r="D1174" s="21">
        <f t="shared" ca="1" si="90"/>
        <v>-9.6353593999191408E-3</v>
      </c>
      <c r="E1174" s="21">
        <f t="shared" ca="1" si="93"/>
        <v>4.6381737455469536E-5</v>
      </c>
      <c r="F1174" s="11">
        <f t="shared" ca="1" si="94"/>
        <v>3.9884758090006613</v>
      </c>
      <c r="G1174" s="10">
        <f t="shared" ca="1" si="91"/>
        <v>0</v>
      </c>
    </row>
    <row r="1175" spans="1:7" x14ac:dyDescent="0.2">
      <c r="A1175" s="2">
        <v>19941025</v>
      </c>
      <c r="B1175" s="13">
        <v>3850.59</v>
      </c>
      <c r="C1175" s="2">
        <f t="shared" si="92"/>
        <v>-1.2216948097424419E-3</v>
      </c>
      <c r="D1175" s="21">
        <f t="shared" ca="1" si="90"/>
        <v>-1.6056472248493093E-3</v>
      </c>
      <c r="E1175" s="21">
        <f t="shared" ca="1" si="93"/>
        <v>4.8358167641383983E-5</v>
      </c>
      <c r="F1175" s="11">
        <f t="shared" ca="1" si="94"/>
        <v>4.9417813766830267</v>
      </c>
      <c r="G1175" s="10">
        <f t="shared" ca="1" si="91"/>
        <v>1</v>
      </c>
    </row>
    <row r="1176" spans="1:7" x14ac:dyDescent="0.2">
      <c r="A1176" s="2">
        <v>19941026</v>
      </c>
      <c r="B1176" s="13">
        <v>3848.23</v>
      </c>
      <c r="C1176" s="2">
        <f t="shared" si="92"/>
        <v>-6.128930891110524E-4</v>
      </c>
      <c r="D1176" s="21">
        <f t="shared" ca="1" si="90"/>
        <v>-9.968455042179197E-4</v>
      </c>
      <c r="E1176" s="21">
        <f t="shared" ca="1" si="93"/>
        <v>4.691551647569274E-5</v>
      </c>
      <c r="F1176" s="11">
        <f t="shared" ca="1" si="94"/>
        <v>4.9729907246269534</v>
      </c>
      <c r="G1176" s="10">
        <f t="shared" ca="1" si="91"/>
        <v>1</v>
      </c>
    </row>
    <row r="1177" spans="1:7" x14ac:dyDescent="0.2">
      <c r="A1177" s="2">
        <v>19941027</v>
      </c>
      <c r="B1177" s="13">
        <v>3875.15</v>
      </c>
      <c r="C1177" s="2">
        <f t="shared" si="92"/>
        <v>6.9954238701948881E-3</v>
      </c>
      <c r="D1177" s="21">
        <f t="shared" ca="1" si="90"/>
        <v>6.6114714550880209E-3</v>
      </c>
      <c r="E1177" s="21">
        <f t="shared" ca="1" si="93"/>
        <v>4.5487588277617286E-5</v>
      </c>
      <c r="F1177" s="11">
        <f t="shared" ca="1" si="94"/>
        <v>4.5185577039092548</v>
      </c>
      <c r="G1177" s="10">
        <f t="shared" ca="1" si="91"/>
        <v>1</v>
      </c>
    </row>
    <row r="1178" spans="1:7" x14ac:dyDescent="0.2">
      <c r="A1178" s="2">
        <v>19941028</v>
      </c>
      <c r="B1178" s="13">
        <v>3930.66</v>
      </c>
      <c r="C1178" s="2">
        <f t="shared" si="92"/>
        <v>1.4324606789414543E-2</v>
      </c>
      <c r="D1178" s="21">
        <f t="shared" ca="1" si="90"/>
        <v>1.3940654374307675E-2</v>
      </c>
      <c r="E1178" s="21">
        <f t="shared" ca="1" si="93"/>
        <v>4.5702709510407726E-5</v>
      </c>
      <c r="F1178" s="11">
        <f t="shared" ca="1" si="94"/>
        <v>2.8705241590224984</v>
      </c>
      <c r="G1178" s="10">
        <f t="shared" ca="1" si="91"/>
        <v>0</v>
      </c>
    </row>
    <row r="1179" spans="1:7" x14ac:dyDescent="0.2">
      <c r="A1179" s="2">
        <v>19941031</v>
      </c>
      <c r="B1179" s="13">
        <v>3908.12</v>
      </c>
      <c r="C1179" s="2">
        <f t="shared" si="92"/>
        <v>-5.7344059267400299E-3</v>
      </c>
      <c r="D1179" s="21">
        <f t="shared" ca="1" si="90"/>
        <v>-6.1183583418468971E-3</v>
      </c>
      <c r="E1179" s="21">
        <f t="shared" ca="1" si="93"/>
        <v>5.1445886444720903E-5</v>
      </c>
      <c r="F1179" s="11">
        <f t="shared" ca="1" si="94"/>
        <v>4.5736678487673927</v>
      </c>
      <c r="G1179" s="10">
        <f t="shared" ca="1" si="91"/>
        <v>1</v>
      </c>
    </row>
    <row r="1180" spans="1:7" x14ac:dyDescent="0.2">
      <c r="A1180" s="2">
        <v>19941101</v>
      </c>
      <c r="B1180" s="13">
        <v>3863.37</v>
      </c>
      <c r="C1180" s="2">
        <f t="shared" si="92"/>
        <v>-1.1450518407827804E-2</v>
      </c>
      <c r="D1180" s="21">
        <f t="shared" ca="1" si="90"/>
        <v>-1.1834470822934672E-2</v>
      </c>
      <c r="E1180" s="21">
        <f t="shared" ca="1" si="93"/>
        <v>5.1128750115515101E-5</v>
      </c>
      <c r="F1180" s="11">
        <f t="shared" ca="1" si="94"/>
        <v>3.5709541479563494</v>
      </c>
      <c r="G1180" s="10">
        <f t="shared" ca="1" si="91"/>
        <v>0</v>
      </c>
    </row>
    <row r="1181" spans="1:7" x14ac:dyDescent="0.2">
      <c r="A1181" s="2">
        <v>19941102</v>
      </c>
      <c r="B1181" s="13">
        <v>3837.13</v>
      </c>
      <c r="C1181" s="2">
        <f t="shared" si="92"/>
        <v>-6.7919976600739201E-3</v>
      </c>
      <c r="D1181" s="21">
        <f t="shared" ca="1" si="90"/>
        <v>-7.1759500751807873E-3</v>
      </c>
      <c r="E1181" s="21">
        <f t="shared" ca="1" si="93"/>
        <v>5.4601188769566386E-5</v>
      </c>
      <c r="F1181" s="11">
        <f t="shared" ca="1" si="94"/>
        <v>4.4361785655171193</v>
      </c>
      <c r="G1181" s="10">
        <f t="shared" ca="1" si="91"/>
        <v>1</v>
      </c>
    </row>
    <row r="1182" spans="1:7" x14ac:dyDescent="0.2">
      <c r="A1182" s="2">
        <v>19941103</v>
      </c>
      <c r="B1182" s="13">
        <v>3845.88</v>
      </c>
      <c r="C1182" s="2">
        <f t="shared" si="92"/>
        <v>2.2803501575396194E-3</v>
      </c>
      <c r="D1182" s="21">
        <f t="shared" ca="1" si="90"/>
        <v>1.8963977424327522E-3</v>
      </c>
      <c r="E1182" s="21">
        <f t="shared" ca="1" si="93"/>
        <v>5.4641433592739791E-5</v>
      </c>
      <c r="F1182" s="11">
        <f t="shared" ca="1" si="94"/>
        <v>4.8744506521621016</v>
      </c>
      <c r="G1182" s="10">
        <f t="shared" ca="1" si="91"/>
        <v>1</v>
      </c>
    </row>
    <row r="1183" spans="1:7" x14ac:dyDescent="0.2">
      <c r="A1183" s="2">
        <v>19941104</v>
      </c>
      <c r="B1183" s="13">
        <v>3807.52</v>
      </c>
      <c r="C1183" s="2">
        <f t="shared" si="92"/>
        <v>-9.9743101708841993E-3</v>
      </c>
      <c r="D1183" s="21">
        <f t="shared" ca="1" si="90"/>
        <v>-1.0358262585991066E-2</v>
      </c>
      <c r="E1183" s="21">
        <f t="shared" ca="1" si="93"/>
        <v>5.2918351711970871E-5</v>
      </c>
      <c r="F1183" s="11">
        <f t="shared" ca="1" si="94"/>
        <v>3.9096146335284283</v>
      </c>
      <c r="G1183" s="10">
        <f t="shared" ca="1" si="91"/>
        <v>0</v>
      </c>
    </row>
    <row r="1184" spans="1:7" x14ac:dyDescent="0.2">
      <c r="A1184" s="2">
        <v>19941107</v>
      </c>
      <c r="B1184" s="13">
        <v>3808.87</v>
      </c>
      <c r="C1184" s="2">
        <f t="shared" si="92"/>
        <v>3.545614993486335E-4</v>
      </c>
      <c r="D1184" s="21">
        <f t="shared" ca="1" si="90"/>
        <v>-2.9390915758233799E-5</v>
      </c>
      <c r="E1184" s="21">
        <f t="shared" ca="1" si="93"/>
        <v>5.5095571134871581E-5</v>
      </c>
      <c r="F1184" s="11">
        <f t="shared" ca="1" si="94"/>
        <v>4.9032127725157997</v>
      </c>
      <c r="G1184" s="10">
        <f t="shared" ca="1" si="91"/>
        <v>1</v>
      </c>
    </row>
    <row r="1185" spans="1:7" x14ac:dyDescent="0.2">
      <c r="A1185" s="2">
        <v>19941108</v>
      </c>
      <c r="B1185" s="13">
        <v>3830.74</v>
      </c>
      <c r="C1185" s="2">
        <f t="shared" si="92"/>
        <v>5.7418604467991538E-3</v>
      </c>
      <c r="D1185" s="21">
        <f t="shared" ca="1" si="90"/>
        <v>5.3579080316922866E-3</v>
      </c>
      <c r="E1185" s="21">
        <f t="shared" ca="1" si="93"/>
        <v>5.3217302923254774E-5</v>
      </c>
      <c r="F1185" s="11">
        <f t="shared" ca="1" si="94"/>
        <v>4.65084690021295</v>
      </c>
      <c r="G1185" s="10">
        <f t="shared" ca="1" si="91"/>
        <v>1</v>
      </c>
    </row>
    <row r="1186" spans="1:7" x14ac:dyDescent="0.2">
      <c r="A1186" s="2">
        <v>19941109</v>
      </c>
      <c r="B1186" s="13">
        <v>3831.75</v>
      </c>
      <c r="C1186" s="2">
        <f t="shared" si="92"/>
        <v>2.6365663031169392E-4</v>
      </c>
      <c r="D1186" s="21">
        <f t="shared" ca="1" si="90"/>
        <v>-1.2029578479517337E-4</v>
      </c>
      <c r="E1186" s="21">
        <f t="shared" ca="1" si="93"/>
        <v>5.2489638231172378E-5</v>
      </c>
      <c r="F1186" s="11">
        <f t="shared" ca="1" si="94"/>
        <v>4.9273095404593619</v>
      </c>
      <c r="G1186" s="10">
        <f t="shared" ca="1" si="91"/>
        <v>1</v>
      </c>
    </row>
    <row r="1187" spans="1:7" x14ac:dyDescent="0.2">
      <c r="A1187" s="2">
        <v>19941110</v>
      </c>
      <c r="B1187" s="13">
        <v>3821.99</v>
      </c>
      <c r="C1187" s="2">
        <f t="shared" si="92"/>
        <v>-2.547139035688711E-3</v>
      </c>
      <c r="D1187" s="21">
        <f t="shared" ca="1" si="90"/>
        <v>-2.9310914507955782E-3</v>
      </c>
      <c r="E1187" s="21">
        <f t="shared" ca="1" si="93"/>
        <v>5.0743705385532447E-5</v>
      </c>
      <c r="F1187" s="11">
        <f t="shared" ca="1" si="94"/>
        <v>4.8597076688941723</v>
      </c>
      <c r="G1187" s="10">
        <f t="shared" ca="1" si="91"/>
        <v>1</v>
      </c>
    </row>
    <row r="1188" spans="1:7" x14ac:dyDescent="0.2">
      <c r="A1188" s="2">
        <v>19941111</v>
      </c>
      <c r="B1188" s="13">
        <v>3801.47</v>
      </c>
      <c r="C1188" s="2">
        <f t="shared" si="92"/>
        <v>-5.3689308449263295E-3</v>
      </c>
      <c r="D1188" s="21">
        <f t="shared" ca="1" si="90"/>
        <v>-5.7528832600331967E-3</v>
      </c>
      <c r="E1188" s="21">
        <f t="shared" ca="1" si="93"/>
        <v>4.9401484725616928E-5</v>
      </c>
      <c r="F1188" s="11">
        <f t="shared" ca="1" si="94"/>
        <v>4.6227987324645312</v>
      </c>
      <c r="G1188" s="10">
        <f t="shared" ca="1" si="91"/>
        <v>1</v>
      </c>
    </row>
    <row r="1189" spans="1:7" x14ac:dyDescent="0.2">
      <c r="A1189" s="2">
        <v>19941114</v>
      </c>
      <c r="B1189" s="13">
        <v>3829.73</v>
      </c>
      <c r="C1189" s="2">
        <f t="shared" si="92"/>
        <v>7.4339663340760864E-3</v>
      </c>
      <c r="D1189" s="21">
        <f t="shared" ca="1" si="90"/>
        <v>7.0500139189692192E-3</v>
      </c>
      <c r="E1189" s="21">
        <f t="shared" ca="1" si="93"/>
        <v>4.9028235874103167E-5</v>
      </c>
      <c r="F1189" s="11">
        <f t="shared" ca="1" si="94"/>
        <v>4.454678806491744</v>
      </c>
      <c r="G1189" s="10">
        <f t="shared" ca="1" si="91"/>
        <v>0</v>
      </c>
    </row>
    <row r="1190" spans="1:7" x14ac:dyDescent="0.2">
      <c r="A1190" s="2">
        <v>19941115</v>
      </c>
      <c r="B1190" s="13">
        <v>3826.36</v>
      </c>
      <c r="C1190" s="2">
        <f t="shared" si="92"/>
        <v>-8.799575949218067E-4</v>
      </c>
      <c r="D1190" s="21">
        <f t="shared" ca="1" si="90"/>
        <v>-1.2639100100286741E-3</v>
      </c>
      <c r="E1190" s="21">
        <f t="shared" ca="1" si="93"/>
        <v>4.9284539311338573E-5</v>
      </c>
      <c r="F1190" s="11">
        <f t="shared" ca="1" si="94"/>
        <v>4.9427434764896896</v>
      </c>
      <c r="G1190" s="10">
        <f t="shared" ca="1" si="91"/>
        <v>1</v>
      </c>
    </row>
    <row r="1191" spans="1:7" x14ac:dyDescent="0.2">
      <c r="A1191" s="2">
        <v>19941116</v>
      </c>
      <c r="B1191" s="13">
        <v>3845.2</v>
      </c>
      <c r="C1191" s="2">
        <f t="shared" si="92"/>
        <v>4.9237395331332362E-3</v>
      </c>
      <c r="D1191" s="21">
        <f t="shared" ca="1" si="90"/>
        <v>4.539787118026369E-3</v>
      </c>
      <c r="E1191" s="21">
        <f t="shared" ca="1" si="93"/>
        <v>4.7758963055146622E-5</v>
      </c>
      <c r="F1191" s="11">
        <f t="shared" ca="1" si="94"/>
        <v>4.7589043694090885</v>
      </c>
      <c r="G1191" s="10">
        <f t="shared" ca="1" si="91"/>
        <v>1</v>
      </c>
    </row>
    <row r="1192" spans="1:7" x14ac:dyDescent="0.2">
      <c r="A1192" s="2">
        <v>19941117</v>
      </c>
      <c r="B1192" s="13">
        <v>3828.05</v>
      </c>
      <c r="C1192" s="2">
        <f t="shared" si="92"/>
        <v>-4.4601061063142718E-3</v>
      </c>
      <c r="D1192" s="21">
        <f t="shared" ca="1" si="90"/>
        <v>-4.8440585214211389E-3</v>
      </c>
      <c r="E1192" s="21">
        <f t="shared" ca="1" si="93"/>
        <v>4.7009677941448249E-5</v>
      </c>
      <c r="F1192" s="11">
        <f t="shared" ca="1" si="94"/>
        <v>4.7330032956262515</v>
      </c>
      <c r="G1192" s="10">
        <f t="shared" ca="1" si="91"/>
        <v>1</v>
      </c>
    </row>
    <row r="1193" spans="1:7" x14ac:dyDescent="0.2">
      <c r="A1193" s="2">
        <v>19941118</v>
      </c>
      <c r="B1193" s="13">
        <v>3815.26</v>
      </c>
      <c r="C1193" s="2">
        <f t="shared" si="92"/>
        <v>-3.3411266832982754E-3</v>
      </c>
      <c r="D1193" s="21">
        <f t="shared" ca="1" si="90"/>
        <v>-3.7250790984051426E-3</v>
      </c>
      <c r="E1193" s="21">
        <f t="shared" ca="1" si="93"/>
        <v>4.6403291417120398E-5</v>
      </c>
      <c r="F1193" s="11">
        <f t="shared" ca="1" si="94"/>
        <v>4.8395525176805343</v>
      </c>
      <c r="G1193" s="10">
        <f t="shared" ca="1" si="91"/>
        <v>1</v>
      </c>
    </row>
    <row r="1194" spans="1:7" x14ac:dyDescent="0.2">
      <c r="A1194" s="2">
        <v>19941121</v>
      </c>
      <c r="B1194" s="13">
        <v>3769.51</v>
      </c>
      <c r="C1194" s="2">
        <f t="shared" si="92"/>
        <v>-1.1991319071308376E-2</v>
      </c>
      <c r="D1194" s="21">
        <f t="shared" ca="1" si="90"/>
        <v>-1.2375271486415243E-2</v>
      </c>
      <c r="E1194" s="21">
        <f t="shared" ca="1" si="93"/>
        <v>4.5474989362037674E-5</v>
      </c>
      <c r="F1194" s="11">
        <f t="shared" ca="1" si="94"/>
        <v>3.315310590224021</v>
      </c>
      <c r="G1194" s="10">
        <f t="shared" ca="1" si="91"/>
        <v>0</v>
      </c>
    </row>
    <row r="1195" spans="1:7" x14ac:dyDescent="0.2">
      <c r="A1195" s="2">
        <v>19941122</v>
      </c>
      <c r="B1195" s="13">
        <v>3677.99</v>
      </c>
      <c r="C1195" s="2">
        <f t="shared" si="92"/>
        <v>-2.4279017697260503E-2</v>
      </c>
      <c r="D1195" s="21">
        <f t="shared" ca="1" si="90"/>
        <v>-2.4662970112367372E-2</v>
      </c>
      <c r="E1195" s="21">
        <f t="shared" ca="1" si="93"/>
        <v>4.9714893040313674E-5</v>
      </c>
      <c r="F1195" s="11">
        <f t="shared" ca="1" si="94"/>
        <v>-1.1629008003586048</v>
      </c>
      <c r="G1195" s="10">
        <f t="shared" ca="1" si="91"/>
        <v>0</v>
      </c>
    </row>
    <row r="1196" spans="1:7" x14ac:dyDescent="0.2">
      <c r="A1196" s="2">
        <v>19941123</v>
      </c>
      <c r="B1196" s="13">
        <v>3674.63</v>
      </c>
      <c r="C1196" s="2">
        <f t="shared" si="92"/>
        <v>-9.1354245117568908E-4</v>
      </c>
      <c r="D1196" s="21">
        <f t="shared" ca="1" si="90"/>
        <v>-1.2974948662825563E-3</v>
      </c>
      <c r="E1196" s="21">
        <f t="shared" ca="1" si="93"/>
        <v>7.0475662619475204E-5</v>
      </c>
      <c r="F1196" s="11">
        <f t="shared" ca="1" si="94"/>
        <v>4.7681777701236596</v>
      </c>
      <c r="G1196" s="10">
        <f t="shared" ca="1" si="91"/>
        <v>1</v>
      </c>
    </row>
    <row r="1197" spans="1:7" x14ac:dyDescent="0.2">
      <c r="A1197" s="2">
        <v>19941125</v>
      </c>
      <c r="B1197" s="13">
        <v>3708.27</v>
      </c>
      <c r="C1197" s="2">
        <f t="shared" si="92"/>
        <v>9.1546631905796965E-3</v>
      </c>
      <c r="D1197" s="21">
        <f t="shared" ca="1" si="90"/>
        <v>8.7707107754728293E-3</v>
      </c>
      <c r="E1197" s="21">
        <f t="shared" ca="1" si="93"/>
        <v>6.7881183725571306E-5</v>
      </c>
      <c r="F1197" s="11">
        <f t="shared" ca="1" si="94"/>
        <v>4.2322580872139728</v>
      </c>
      <c r="G1197" s="10">
        <f t="shared" ca="1" si="91"/>
        <v>0</v>
      </c>
    </row>
    <row r="1198" spans="1:7" x14ac:dyDescent="0.2">
      <c r="A1198" s="2">
        <v>19941128</v>
      </c>
      <c r="B1198" s="13">
        <v>3739.56</v>
      </c>
      <c r="C1198" s="2">
        <f t="shared" si="92"/>
        <v>8.4378969168911553E-3</v>
      </c>
      <c r="D1198" s="21">
        <f t="shared" ca="1" si="90"/>
        <v>8.0539445017842881E-3</v>
      </c>
      <c r="E1198" s="21">
        <f t="shared" ca="1" si="93"/>
        <v>6.8184735477301711E-5</v>
      </c>
      <c r="F1198" s="11">
        <f t="shared" ca="1" si="94"/>
        <v>4.3209811096905248</v>
      </c>
      <c r="G1198" s="10">
        <f t="shared" ca="1" si="91"/>
        <v>1</v>
      </c>
    </row>
    <row r="1199" spans="1:7" x14ac:dyDescent="0.2">
      <c r="A1199" s="2">
        <v>19941129</v>
      </c>
      <c r="B1199" s="13">
        <v>3738.55</v>
      </c>
      <c r="C1199" s="2">
        <f t="shared" si="92"/>
        <v>-2.7008525067113873E-4</v>
      </c>
      <c r="D1199" s="21">
        <f t="shared" ca="1" si="90"/>
        <v>-6.5403766577800597E-4</v>
      </c>
      <c r="E1199" s="21">
        <f t="shared" ca="1" si="93"/>
        <v>6.8029487256877094E-5</v>
      </c>
      <c r="F1199" s="11">
        <f t="shared" ca="1" si="94"/>
        <v>4.7946406858092487</v>
      </c>
      <c r="G1199" s="10">
        <f t="shared" ca="1" si="91"/>
        <v>1</v>
      </c>
    </row>
    <row r="1200" spans="1:7" x14ac:dyDescent="0.2">
      <c r="A1200" s="2">
        <v>19941130</v>
      </c>
      <c r="B1200" s="13">
        <v>3739.23</v>
      </c>
      <c r="C1200" s="2">
        <f t="shared" si="92"/>
        <v>1.8188870016445848E-4</v>
      </c>
      <c r="D1200" s="21">
        <f t="shared" ca="1" si="90"/>
        <v>-2.0206371494240882E-4</v>
      </c>
      <c r="E1200" s="21">
        <f t="shared" ca="1" si="93"/>
        <v>6.5512585881395758E-5</v>
      </c>
      <c r="F1200" s="11">
        <f t="shared" ca="1" si="94"/>
        <v>4.8163225238959644</v>
      </c>
      <c r="G1200" s="10">
        <f t="shared" ca="1" si="91"/>
        <v>1</v>
      </c>
    </row>
    <row r="1201" spans="1:7" x14ac:dyDescent="0.2">
      <c r="A1201" s="2">
        <v>19941201</v>
      </c>
      <c r="B1201" s="13">
        <v>3700.87</v>
      </c>
      <c r="C1201" s="2">
        <f t="shared" si="92"/>
        <v>-1.0258796597160412E-2</v>
      </c>
      <c r="D1201" s="21">
        <f t="shared" ca="1" si="90"/>
        <v>-1.0642749012267279E-2</v>
      </c>
      <c r="E1201" s="21">
        <f t="shared" ca="1" si="93"/>
        <v>6.3108787080424171E-5</v>
      </c>
      <c r="F1201" s="11">
        <f t="shared" ca="1" si="94"/>
        <v>3.9379216621055217</v>
      </c>
      <c r="G1201" s="10">
        <f t="shared" ca="1" si="91"/>
        <v>0</v>
      </c>
    </row>
    <row r="1202" spans="1:7" x14ac:dyDescent="0.2">
      <c r="A1202" s="2">
        <v>19941202</v>
      </c>
      <c r="B1202" s="13">
        <v>3745.62</v>
      </c>
      <c r="C1202" s="2">
        <f t="shared" si="92"/>
        <v>1.2091751398995371E-2</v>
      </c>
      <c r="D1202" s="21">
        <f t="shared" ca="1" si="90"/>
        <v>1.1707798983888504E-2</v>
      </c>
      <c r="E1202" s="21">
        <f t="shared" ca="1" si="93"/>
        <v>6.4990161920119293E-5</v>
      </c>
      <c r="F1202" s="11">
        <f t="shared" ca="1" si="94"/>
        <v>3.766073428723471</v>
      </c>
      <c r="G1202" s="10">
        <f t="shared" ca="1" si="91"/>
        <v>0</v>
      </c>
    </row>
    <row r="1203" spans="1:7" x14ac:dyDescent="0.2">
      <c r="A1203" s="2">
        <v>19941205</v>
      </c>
      <c r="B1203" s="13">
        <v>3741.92</v>
      </c>
      <c r="C1203" s="2">
        <f t="shared" si="92"/>
        <v>-9.8782044094163795E-4</v>
      </c>
      <c r="D1203" s="21">
        <f t="shared" ca="1" si="90"/>
        <v>-1.3717728560485054E-3</v>
      </c>
      <c r="E1203" s="21">
        <f t="shared" ca="1" si="93"/>
        <v>6.7651688596112361E-5</v>
      </c>
      <c r="F1203" s="11">
        <f t="shared" ca="1" si="94"/>
        <v>4.7866614067394888</v>
      </c>
      <c r="G1203" s="10">
        <f t="shared" ca="1" si="91"/>
        <v>1</v>
      </c>
    </row>
    <row r="1204" spans="1:7" x14ac:dyDescent="0.2">
      <c r="A1204" s="2">
        <v>19941206</v>
      </c>
      <c r="B1204" s="13">
        <v>3745.95</v>
      </c>
      <c r="C1204" s="2">
        <f t="shared" si="92"/>
        <v>1.0769872151194428E-3</v>
      </c>
      <c r="D1204" s="21">
        <f t="shared" ca="1" si="90"/>
        <v>6.9303480001257553E-4</v>
      </c>
      <c r="E1204" s="21">
        <f t="shared" ca="1" si="93"/>
        <v>6.5207366132566608E-5</v>
      </c>
      <c r="F1204" s="11">
        <f t="shared" ca="1" si="94"/>
        <v>4.8152862140413308</v>
      </c>
      <c r="G1204" s="10">
        <f t="shared" ca="1" si="91"/>
        <v>1</v>
      </c>
    </row>
    <row r="1205" spans="1:7" x14ac:dyDescent="0.2">
      <c r="A1205" s="2">
        <v>19941207</v>
      </c>
      <c r="B1205" s="13">
        <v>3735.52</v>
      </c>
      <c r="C1205" s="2">
        <f t="shared" si="92"/>
        <v>-2.7843404209879569E-3</v>
      </c>
      <c r="D1205" s="21">
        <f t="shared" ca="1" si="90"/>
        <v>-3.1682928360948241E-3</v>
      </c>
      <c r="E1205" s="21">
        <f t="shared" ca="1" si="93"/>
        <v>6.2835168486092554E-5</v>
      </c>
      <c r="F1205" s="11">
        <f t="shared" ca="1" si="94"/>
        <v>4.7576215329954081</v>
      </c>
      <c r="G1205" s="10">
        <f t="shared" ca="1" si="91"/>
        <v>1</v>
      </c>
    </row>
    <row r="1206" spans="1:7" x14ac:dyDescent="0.2">
      <c r="A1206" s="2">
        <v>19941208</v>
      </c>
      <c r="B1206" s="13">
        <v>3685.73</v>
      </c>
      <c r="C1206" s="2">
        <f t="shared" si="92"/>
        <v>-1.3328800274125146E-2</v>
      </c>
      <c r="D1206" s="21">
        <f t="shared" ca="1" si="90"/>
        <v>-1.3712752689232013E-2</v>
      </c>
      <c r="E1206" s="21">
        <f t="shared" ca="1" si="93"/>
        <v>6.0934437441716317E-5</v>
      </c>
      <c r="F1206" s="11">
        <f t="shared" ca="1" si="94"/>
        <v>3.3098895751244157</v>
      </c>
      <c r="G1206" s="10">
        <f t="shared" ca="1" si="91"/>
        <v>0</v>
      </c>
    </row>
    <row r="1207" spans="1:7" x14ac:dyDescent="0.2">
      <c r="A1207" s="2">
        <v>19941209</v>
      </c>
      <c r="B1207" s="13">
        <v>3691.11</v>
      </c>
      <c r="C1207" s="2">
        <f t="shared" si="92"/>
        <v>1.4596836990230183E-3</v>
      </c>
      <c r="D1207" s="21">
        <f t="shared" ca="1" si="90"/>
        <v>1.0757312839161509E-3</v>
      </c>
      <c r="E1207" s="21">
        <f t="shared" ca="1" si="93"/>
        <v>6.5675291211526055E-5</v>
      </c>
      <c r="F1207" s="11">
        <f t="shared" ca="1" si="94"/>
        <v>4.8065839005002342</v>
      </c>
      <c r="G1207" s="10">
        <f t="shared" ca="1" si="91"/>
        <v>1</v>
      </c>
    </row>
    <row r="1208" spans="1:7" x14ac:dyDescent="0.2">
      <c r="A1208" s="2">
        <v>19941212</v>
      </c>
      <c r="B1208" s="13">
        <v>3718.37</v>
      </c>
      <c r="C1208" s="2">
        <f t="shared" si="92"/>
        <v>7.3853122773365632E-3</v>
      </c>
      <c r="D1208" s="21">
        <f t="shared" ca="1" si="90"/>
        <v>7.001359862229696E-3</v>
      </c>
      <c r="E1208" s="21">
        <f t="shared" ca="1" si="93"/>
        <v>6.3304311896770783E-5</v>
      </c>
      <c r="F1208" s="11">
        <f t="shared" ca="1" si="94"/>
        <v>4.4466087218506702</v>
      </c>
      <c r="G1208" s="10">
        <f t="shared" ca="1" si="91"/>
        <v>1</v>
      </c>
    </row>
    <row r="1209" spans="1:7" x14ac:dyDescent="0.2">
      <c r="A1209" s="2">
        <v>19941213</v>
      </c>
      <c r="B1209" s="13">
        <v>3715.34</v>
      </c>
      <c r="C1209" s="2">
        <f t="shared" si="92"/>
        <v>-8.1487318367987733E-4</v>
      </c>
      <c r="D1209" s="21">
        <f t="shared" ca="1" si="90"/>
        <v>-1.1988255987867447E-3</v>
      </c>
      <c r="E1209" s="21">
        <f t="shared" ca="1" si="93"/>
        <v>6.2813244710201792E-5</v>
      </c>
      <c r="F1209" s="11">
        <f t="shared" ca="1" si="94"/>
        <v>4.8262321762599205</v>
      </c>
      <c r="G1209" s="10">
        <f t="shared" ca="1" si="91"/>
        <v>1</v>
      </c>
    </row>
    <row r="1210" spans="1:7" x14ac:dyDescent="0.2">
      <c r="A1210" s="2">
        <v>19941214</v>
      </c>
      <c r="B1210" s="13">
        <v>3746.29</v>
      </c>
      <c r="C1210" s="2">
        <f t="shared" si="92"/>
        <v>8.3303277761927075E-3</v>
      </c>
      <c r="D1210" s="21">
        <f t="shared" ca="1" si="90"/>
        <v>7.9463753610858404E-3</v>
      </c>
      <c r="E1210" s="21">
        <f t="shared" ca="1" si="93"/>
        <v>6.0597352808411469E-5</v>
      </c>
      <c r="F1210" s="11">
        <f t="shared" ca="1" si="94"/>
        <v>4.3346095435824648</v>
      </c>
      <c r="G1210" s="10">
        <f t="shared" ca="1" si="91"/>
        <v>0</v>
      </c>
    </row>
    <row r="1211" spans="1:7" x14ac:dyDescent="0.2">
      <c r="A1211" s="2">
        <v>19941215</v>
      </c>
      <c r="B1211" s="13">
        <v>3765.47</v>
      </c>
      <c r="C1211" s="2">
        <f t="shared" si="92"/>
        <v>5.1197317879822001E-3</v>
      </c>
      <c r="D1211" s="21">
        <f t="shared" ca="1" si="90"/>
        <v>4.7357793728753329E-3</v>
      </c>
      <c r="E1211" s="21">
        <f t="shared" ca="1" si="93"/>
        <v>6.0762663428252701E-5</v>
      </c>
      <c r="F1211" s="11">
        <f t="shared" ca="1" si="94"/>
        <v>4.6697166408888986</v>
      </c>
      <c r="G1211" s="10">
        <f t="shared" ca="1" si="91"/>
        <v>1</v>
      </c>
    </row>
    <row r="1212" spans="1:7" x14ac:dyDescent="0.2">
      <c r="A1212" s="2">
        <v>19941216</v>
      </c>
      <c r="B1212" s="13">
        <v>3807.19</v>
      </c>
      <c r="C1212" s="2">
        <f t="shared" si="92"/>
        <v>1.1079626182123416E-2</v>
      </c>
      <c r="D1212" s="21">
        <f t="shared" ca="1" si="90"/>
        <v>1.0695673767016549E-2</v>
      </c>
      <c r="E1212" s="21">
        <f t="shared" ca="1" si="93"/>
        <v>5.9422365629305581E-5</v>
      </c>
      <c r="F1212" s="11">
        <f t="shared" ca="1" si="94"/>
        <v>3.9028409824478372</v>
      </c>
      <c r="G1212" s="10">
        <f t="shared" ca="1" si="91"/>
        <v>0</v>
      </c>
    </row>
    <row r="1213" spans="1:7" x14ac:dyDescent="0.2">
      <c r="A1213" s="2">
        <v>19941219</v>
      </c>
      <c r="B1213" s="13">
        <v>3790.7</v>
      </c>
      <c r="C1213" s="2">
        <f t="shared" si="92"/>
        <v>-4.3312784494601627E-3</v>
      </c>
      <c r="D1213" s="21">
        <f t="shared" ca="1" si="90"/>
        <v>-4.7152308645670299E-3</v>
      </c>
      <c r="E1213" s="21">
        <f t="shared" ca="1" si="93"/>
        <v>6.1531765209118405E-5</v>
      </c>
      <c r="F1213" s="11">
        <f t="shared" ca="1" si="94"/>
        <v>4.6673124531627286</v>
      </c>
      <c r="G1213" s="10">
        <f t="shared" ca="1" si="91"/>
        <v>1</v>
      </c>
    </row>
    <row r="1214" spans="1:7" x14ac:dyDescent="0.2">
      <c r="A1214" s="2">
        <v>19941220</v>
      </c>
      <c r="B1214" s="13">
        <v>3767.15</v>
      </c>
      <c r="C1214" s="2">
        <f t="shared" si="92"/>
        <v>-6.2125728757220907E-3</v>
      </c>
      <c r="D1214" s="21">
        <f t="shared" ca="1" si="90"/>
        <v>-6.5965252908289579E-3</v>
      </c>
      <c r="E1214" s="21">
        <f t="shared" ca="1" si="93"/>
        <v>6.0145417071699003E-5</v>
      </c>
      <c r="F1214" s="11">
        <f t="shared" ca="1" si="94"/>
        <v>4.4976314947855274</v>
      </c>
      <c r="G1214" s="10">
        <f t="shared" ca="1" si="91"/>
        <v>1</v>
      </c>
    </row>
    <row r="1215" spans="1:7" x14ac:dyDescent="0.2">
      <c r="A1215" s="2">
        <v>19941221</v>
      </c>
      <c r="B1215" s="13">
        <v>3801.8</v>
      </c>
      <c r="C1215" s="2">
        <f t="shared" si="92"/>
        <v>9.1979347782806878E-3</v>
      </c>
      <c r="D1215" s="21">
        <f t="shared" ca="1" si="90"/>
        <v>8.8139823631738206E-3</v>
      </c>
      <c r="E1215" s="21">
        <f t="shared" ca="1" si="93"/>
        <v>5.9611734849967351E-5</v>
      </c>
      <c r="F1215" s="11">
        <f t="shared" ca="1" si="94"/>
        <v>4.2122267714504202</v>
      </c>
      <c r="G1215" s="10">
        <f t="shared" ca="1" si="91"/>
        <v>0</v>
      </c>
    </row>
    <row r="1216" spans="1:7" x14ac:dyDescent="0.2">
      <c r="A1216" s="2">
        <v>19941222</v>
      </c>
      <c r="B1216" s="13">
        <v>3814.92</v>
      </c>
      <c r="C1216" s="2">
        <f t="shared" si="92"/>
        <v>3.4509968962070309E-3</v>
      </c>
      <c r="D1216" s="21">
        <f t="shared" ca="1" si="90"/>
        <v>3.0670444811001637E-3</v>
      </c>
      <c r="E1216" s="21">
        <f t="shared" ca="1" si="93"/>
        <v>6.0361621011580376E-5</v>
      </c>
      <c r="F1216" s="11">
        <f t="shared" ca="1" si="94"/>
        <v>4.7796584777692832</v>
      </c>
      <c r="G1216" s="10">
        <f t="shared" ca="1" si="91"/>
        <v>1</v>
      </c>
    </row>
    <row r="1217" spans="1:7" x14ac:dyDescent="0.2">
      <c r="A1217" s="2">
        <v>19941223</v>
      </c>
      <c r="B1217" s="13">
        <v>3833.43</v>
      </c>
      <c r="C1217" s="2">
        <f t="shared" si="92"/>
        <v>4.8520021389700865E-3</v>
      </c>
      <c r="D1217" s="21">
        <f t="shared" ca="1" si="90"/>
        <v>4.4680497238632193E-3</v>
      </c>
      <c r="E1217" s="21">
        <f t="shared" ca="1" si="93"/>
        <v>5.8562812896229353E-5</v>
      </c>
      <c r="F1217" s="11">
        <f t="shared" ca="1" si="94"/>
        <v>4.7022604039590394</v>
      </c>
      <c r="G1217" s="10">
        <f t="shared" ca="1" si="91"/>
        <v>1</v>
      </c>
    </row>
    <row r="1218" spans="1:7" x14ac:dyDescent="0.2">
      <c r="A1218" s="2">
        <v>19941227</v>
      </c>
      <c r="B1218" s="13">
        <v>3861.69</v>
      </c>
      <c r="C1218" s="2">
        <f t="shared" si="92"/>
        <v>7.371988010737178E-3</v>
      </c>
      <c r="D1218" s="21">
        <f t="shared" ca="1" si="90"/>
        <v>6.9880355956303108E-3</v>
      </c>
      <c r="E1218" s="21">
        <f t="shared" ca="1" si="93"/>
        <v>5.7243195605708864E-5</v>
      </c>
      <c r="F1218" s="11">
        <f t="shared" ca="1" si="94"/>
        <v>4.4575642408726832</v>
      </c>
      <c r="G1218" s="10">
        <f t="shared" ca="1" si="91"/>
        <v>1</v>
      </c>
    </row>
    <row r="1219" spans="1:7" x14ac:dyDescent="0.2">
      <c r="A1219" s="2">
        <v>19941228</v>
      </c>
      <c r="B1219" s="13">
        <v>3839.49</v>
      </c>
      <c r="C1219" s="2">
        <f t="shared" si="92"/>
        <v>-5.7487783845933445E-3</v>
      </c>
      <c r="D1219" s="21">
        <f t="shared" ca="1" si="90"/>
        <v>-6.1327307997002117E-3</v>
      </c>
      <c r="E1219" s="21">
        <f t="shared" ca="1" si="93"/>
        <v>5.7051908092111496E-5</v>
      </c>
      <c r="F1219" s="11">
        <f t="shared" ca="1" si="94"/>
        <v>4.5561590125344686</v>
      </c>
      <c r="G1219" s="10">
        <f t="shared" ca="1" si="91"/>
        <v>1</v>
      </c>
    </row>
    <row r="1220" spans="1:7" x14ac:dyDescent="0.2">
      <c r="A1220" s="2">
        <v>19941229</v>
      </c>
      <c r="B1220" s="13">
        <v>3833.43</v>
      </c>
      <c r="C1220" s="2">
        <f t="shared" si="92"/>
        <v>-1.5783346225670455E-3</v>
      </c>
      <c r="D1220" s="21">
        <f t="shared" ca="1" si="90"/>
        <v>-1.9622870376739127E-3</v>
      </c>
      <c r="E1220" s="21">
        <f t="shared" ca="1" si="93"/>
        <v>5.6457635987048817E-5</v>
      </c>
      <c r="F1220" s="11">
        <f t="shared" ca="1" si="94"/>
        <v>4.856908589459767</v>
      </c>
      <c r="G1220" s="10">
        <f t="shared" ca="1" si="91"/>
        <v>1</v>
      </c>
    </row>
    <row r="1221" spans="1:7" x14ac:dyDescent="0.2">
      <c r="A1221" s="2">
        <v>19941230</v>
      </c>
      <c r="B1221" s="13">
        <v>3834.44</v>
      </c>
      <c r="C1221" s="2">
        <f t="shared" si="92"/>
        <v>2.6347161680276369E-4</v>
      </c>
      <c r="D1221" s="21">
        <f t="shared" ca="1" si="90"/>
        <v>-1.2048079830410361E-4</v>
      </c>
      <c r="E1221" s="21">
        <f t="shared" ca="1" si="93"/>
        <v>5.465202089924857E-5</v>
      </c>
      <c r="F1221" s="11">
        <f t="shared" ca="1" si="94"/>
        <v>4.9071293821201625</v>
      </c>
      <c r="G1221" s="10">
        <f t="shared" ca="1" si="91"/>
        <v>1</v>
      </c>
    </row>
    <row r="1222" spans="1:7" x14ac:dyDescent="0.2">
      <c r="A1222" s="2">
        <v>19950103</v>
      </c>
      <c r="B1222" s="13">
        <v>3838.48</v>
      </c>
      <c r="C1222" s="2">
        <f t="shared" si="92"/>
        <v>1.0536088711780504E-3</v>
      </c>
      <c r="D1222" s="21">
        <f t="shared" ca="1" si="90"/>
        <v>6.6965645607118313E-4</v>
      </c>
      <c r="E1222" s="21">
        <f t="shared" ca="1" si="93"/>
        <v>5.2796694040503326E-5</v>
      </c>
      <c r="F1222" s="11">
        <f t="shared" ca="1" si="94"/>
        <v>4.9202841364099514</v>
      </c>
      <c r="G1222" s="10">
        <f t="shared" ca="1" si="91"/>
        <v>1</v>
      </c>
    </row>
    <row r="1223" spans="1:7" x14ac:dyDescent="0.2">
      <c r="A1223" s="2">
        <v>19950104</v>
      </c>
      <c r="B1223" s="13">
        <v>3857.65</v>
      </c>
      <c r="C1223" s="2">
        <f t="shared" si="92"/>
        <v>4.9941643567245559E-3</v>
      </c>
      <c r="D1223" s="21">
        <f t="shared" ca="1" si="90"/>
        <v>4.6102119416176887E-3</v>
      </c>
      <c r="E1223" s="21">
        <f t="shared" ca="1" si="93"/>
        <v>5.1051184926949909E-5</v>
      </c>
      <c r="F1223" s="11">
        <f t="shared" ca="1" si="94"/>
        <v>4.733176740357659</v>
      </c>
      <c r="G1223" s="10">
        <f t="shared" ca="1" si="91"/>
        <v>1</v>
      </c>
    </row>
    <row r="1224" spans="1:7" x14ac:dyDescent="0.2">
      <c r="A1224" s="2">
        <v>19950105</v>
      </c>
      <c r="B1224" s="13">
        <v>3850.92</v>
      </c>
      <c r="C1224" s="2">
        <f t="shared" si="92"/>
        <v>-1.7445854341373681E-3</v>
      </c>
      <c r="D1224" s="21">
        <f t="shared" ca="1" si="90"/>
        <v>-2.1285378492442355E-3</v>
      </c>
      <c r="E1224" s="21">
        <f t="shared" ca="1" si="93"/>
        <v>5.0159040462426594E-5</v>
      </c>
      <c r="F1224" s="11">
        <f t="shared" ca="1" si="94"/>
        <v>4.9049928170612747</v>
      </c>
      <c r="G1224" s="10">
        <f t="shared" ca="1" si="91"/>
        <v>1</v>
      </c>
    </row>
    <row r="1225" spans="1:7" x14ac:dyDescent="0.2">
      <c r="A1225" s="2">
        <v>19950106</v>
      </c>
      <c r="B1225" s="13">
        <v>3867.41</v>
      </c>
      <c r="C1225" s="2">
        <f t="shared" si="92"/>
        <v>4.2820936295741747E-3</v>
      </c>
      <c r="D1225" s="21">
        <f t="shared" ca="1" si="90"/>
        <v>3.8981412144673076E-3</v>
      </c>
      <c r="E1225" s="21">
        <f t="shared" ca="1" si="93"/>
        <v>4.8697081969356465E-5</v>
      </c>
      <c r="F1225" s="11">
        <f t="shared" ca="1" si="94"/>
        <v>4.8089250313281671</v>
      </c>
      <c r="G1225" s="10">
        <f t="shared" ca="1" si="91"/>
        <v>1</v>
      </c>
    </row>
    <row r="1226" spans="1:7" x14ac:dyDescent="0.2">
      <c r="A1226" s="2">
        <v>19950109</v>
      </c>
      <c r="B1226" s="13">
        <v>3861.35</v>
      </c>
      <c r="C1226" s="2">
        <f t="shared" si="92"/>
        <v>-1.566940148574872E-3</v>
      </c>
      <c r="D1226" s="21">
        <f t="shared" ca="1" si="90"/>
        <v>-1.9508925636817394E-3</v>
      </c>
      <c r="E1226" s="21">
        <f t="shared" ca="1" si="93"/>
        <v>4.7701248915295971E-5</v>
      </c>
      <c r="F1226" s="11">
        <f t="shared" ca="1" si="94"/>
        <v>4.9353825460133534</v>
      </c>
      <c r="G1226" s="10">
        <f t="shared" ca="1" si="91"/>
        <v>1</v>
      </c>
    </row>
    <row r="1227" spans="1:7" x14ac:dyDescent="0.2">
      <c r="A1227" s="2">
        <v>19950110</v>
      </c>
      <c r="B1227" s="13">
        <v>3866.74</v>
      </c>
      <c r="C1227" s="2">
        <f t="shared" si="92"/>
        <v>1.3958848589223647E-3</v>
      </c>
      <c r="D1227" s="21">
        <f t="shared" ca="1" si="90"/>
        <v>1.0119324438154975E-3</v>
      </c>
      <c r="E1227" s="21">
        <f t="shared" ca="1" si="93"/>
        <v>4.6336982731092546E-5</v>
      </c>
      <c r="F1227" s="11">
        <f t="shared" ca="1" si="94"/>
        <v>4.9787355084448439</v>
      </c>
      <c r="G1227" s="10">
        <f t="shared" ca="1" si="91"/>
        <v>1</v>
      </c>
    </row>
    <row r="1228" spans="1:7" x14ac:dyDescent="0.2">
      <c r="A1228" s="2">
        <v>19950111</v>
      </c>
      <c r="B1228" s="13">
        <v>3862.03</v>
      </c>
      <c r="C1228" s="2">
        <f t="shared" si="92"/>
        <v>-1.2180803467519363E-3</v>
      </c>
      <c r="D1228" s="21">
        <f t="shared" ca="1" si="90"/>
        <v>-1.6020327618588037E-3</v>
      </c>
      <c r="E1228" s="21">
        <f t="shared" ca="1" si="93"/>
        <v>4.493943716163948E-5</v>
      </c>
      <c r="F1228" s="11">
        <f t="shared" ca="1" si="94"/>
        <v>4.9765422106669135</v>
      </c>
      <c r="G1228" s="10">
        <f t="shared" ca="1" si="91"/>
        <v>1</v>
      </c>
    </row>
    <row r="1229" spans="1:7" x14ac:dyDescent="0.2">
      <c r="A1229" s="2">
        <v>19950112</v>
      </c>
      <c r="B1229" s="13">
        <v>3859</v>
      </c>
      <c r="C1229" s="2">
        <f t="shared" si="92"/>
        <v>-7.8456148709362696E-4</v>
      </c>
      <c r="D1229" s="21">
        <f t="shared" ca="1" si="90"/>
        <v>-1.1685139022004944E-3</v>
      </c>
      <c r="E1229" s="21">
        <f t="shared" ca="1" si="93"/>
        <v>4.3669314363467859E-5</v>
      </c>
      <c r="F1229" s="11">
        <f t="shared" ca="1" si="94"/>
        <v>5.0037987590097428</v>
      </c>
      <c r="G1229" s="10">
        <f t="shared" ca="1" si="91"/>
        <v>1</v>
      </c>
    </row>
    <row r="1230" spans="1:7" x14ac:dyDescent="0.2">
      <c r="A1230" s="2">
        <v>19950113</v>
      </c>
      <c r="B1230" s="13">
        <v>3908.46</v>
      </c>
      <c r="C1230" s="2">
        <f t="shared" si="92"/>
        <v>1.2816791915003897E-2</v>
      </c>
      <c r="D1230" s="21">
        <f t="shared" ref="D1230:D1293" ca="1" si="95">(C1230-mu)</f>
        <v>1.2432839499897029E-2</v>
      </c>
      <c r="E1230" s="21">
        <f t="shared" ca="1" si="93"/>
        <v>4.2419281531559196E-5</v>
      </c>
      <c r="F1230" s="11">
        <f t="shared" ca="1" si="94"/>
        <v>3.2119580619750447</v>
      </c>
      <c r="G1230" s="10">
        <f t="shared" ref="G1230:G1293" ca="1" si="96">IF(AND(C1230&lt;=mu+zvalue*SQRT(E1230),C1230&gt;=mu-zvalue*SQRT(E1230)),1,0)</f>
        <v>0</v>
      </c>
    </row>
    <row r="1231" spans="1:7" x14ac:dyDescent="0.2">
      <c r="A1231" s="2">
        <v>19950116</v>
      </c>
      <c r="B1231" s="13">
        <v>3932.34</v>
      </c>
      <c r="C1231" s="2">
        <f t="shared" ref="C1231:C1294" si="97">(B1231-B1230)/B1230</f>
        <v>6.1098233063662183E-3</v>
      </c>
      <c r="D1231" s="21">
        <f t="shared" ca="1" si="95"/>
        <v>5.7258708912593511E-3</v>
      </c>
      <c r="E1231" s="21">
        <f t="shared" ref="E1231:E1294" ca="1" si="98">(1-alpha-beta)*longvar+alpha*D1230^2+beta*E1230</f>
        <v>4.686629017910005E-5</v>
      </c>
      <c r="F1231" s="11">
        <f t="shared" ref="F1231:F1294" ca="1" si="99">(-0.5)*(LN(E1231)+D1231^2/E1231)</f>
        <v>4.634327918530623</v>
      </c>
      <c r="G1231" s="10">
        <f t="shared" ca="1" si="96"/>
        <v>1</v>
      </c>
    </row>
    <row r="1232" spans="1:7" x14ac:dyDescent="0.2">
      <c r="A1232" s="2">
        <v>19950117</v>
      </c>
      <c r="B1232" s="13">
        <v>3930.66</v>
      </c>
      <c r="C1232" s="2">
        <f t="shared" si="97"/>
        <v>-4.2722653687124994E-4</v>
      </c>
      <c r="D1232" s="21">
        <f t="shared" ca="1" si="95"/>
        <v>-8.1117895197811729E-4</v>
      </c>
      <c r="E1232" s="21">
        <f t="shared" ca="1" si="98"/>
        <v>4.660989590018056E-5</v>
      </c>
      <c r="F1232" s="11">
        <f t="shared" ca="1" si="99"/>
        <v>4.9797901324808969</v>
      </c>
      <c r="G1232" s="10">
        <f t="shared" ca="1" si="96"/>
        <v>1</v>
      </c>
    </row>
    <row r="1233" spans="1:7" x14ac:dyDescent="0.2">
      <c r="A1233" s="2">
        <v>19950118</v>
      </c>
      <c r="B1233" s="13">
        <v>3928.98</v>
      </c>
      <c r="C1233" s="2">
        <f t="shared" si="97"/>
        <v>-4.2740913739673143E-4</v>
      </c>
      <c r="D1233" s="21">
        <f t="shared" ca="1" si="95"/>
        <v>-8.1136155250359867E-4</v>
      </c>
      <c r="E1233" s="21">
        <f t="shared" ca="1" si="98"/>
        <v>4.5185085252459248E-5</v>
      </c>
      <c r="F1233" s="11">
        <f t="shared" ca="1" si="99"/>
        <v>4.9950871818569613</v>
      </c>
      <c r="G1233" s="10">
        <f t="shared" ca="1" si="96"/>
        <v>1</v>
      </c>
    </row>
    <row r="1234" spans="1:7" x14ac:dyDescent="0.2">
      <c r="A1234" s="2">
        <v>19950119</v>
      </c>
      <c r="B1234" s="13">
        <v>3882.21</v>
      </c>
      <c r="C1234" s="2">
        <f t="shared" si="97"/>
        <v>-1.1903852908388432E-2</v>
      </c>
      <c r="D1234" s="21">
        <f t="shared" ca="1" si="95"/>
        <v>-1.2287805323495299E-2</v>
      </c>
      <c r="E1234" s="21">
        <f t="shared" ca="1" si="98"/>
        <v>4.3832367139158786E-5</v>
      </c>
      <c r="F1234" s="11">
        <f t="shared" ca="1" si="99"/>
        <v>3.2952098408901209</v>
      </c>
      <c r="G1234" s="10">
        <f t="shared" ca="1" si="96"/>
        <v>0</v>
      </c>
    </row>
    <row r="1235" spans="1:7" x14ac:dyDescent="0.2">
      <c r="A1235" s="2">
        <v>19950120</v>
      </c>
      <c r="B1235" s="13">
        <v>3869.43</v>
      </c>
      <c r="C1235" s="2">
        <f t="shared" si="97"/>
        <v>-3.2919393850410462E-3</v>
      </c>
      <c r="D1235" s="21">
        <f t="shared" ca="1" si="95"/>
        <v>-3.6758918001479133E-3</v>
      </c>
      <c r="E1235" s="21">
        <f t="shared" ca="1" si="98"/>
        <v>4.8076048168789356E-5</v>
      </c>
      <c r="F1235" s="11">
        <f t="shared" ca="1" si="99"/>
        <v>4.8308339971340359</v>
      </c>
      <c r="G1235" s="10">
        <f t="shared" ca="1" si="96"/>
        <v>1</v>
      </c>
    </row>
    <row r="1236" spans="1:7" x14ac:dyDescent="0.2">
      <c r="A1236" s="2">
        <v>19950123</v>
      </c>
      <c r="B1236" s="13">
        <v>3867.41</v>
      </c>
      <c r="C1236" s="2">
        <f t="shared" si="97"/>
        <v>-5.220407140069679E-4</v>
      </c>
      <c r="D1236" s="21">
        <f t="shared" ca="1" si="95"/>
        <v>-9.0599312911383519E-4</v>
      </c>
      <c r="E1236" s="21">
        <f t="shared" ca="1" si="98"/>
        <v>4.7049734641775774E-5</v>
      </c>
      <c r="F1236" s="11">
        <f t="shared" ca="1" si="99"/>
        <v>4.9734297309777711</v>
      </c>
      <c r="G1236" s="10">
        <f t="shared" ca="1" si="96"/>
        <v>1</v>
      </c>
    </row>
    <row r="1237" spans="1:7" x14ac:dyDescent="0.2">
      <c r="A1237" s="2">
        <v>19950124</v>
      </c>
      <c r="B1237" s="13">
        <v>3862.7</v>
      </c>
      <c r="C1237" s="2">
        <f t="shared" si="97"/>
        <v>-1.2178693233973218E-3</v>
      </c>
      <c r="D1237" s="21">
        <f t="shared" ca="1" si="95"/>
        <v>-1.601821738504189E-3</v>
      </c>
      <c r="E1237" s="21">
        <f t="shared" ca="1" si="98"/>
        <v>4.5608659298293688E-5</v>
      </c>
      <c r="F1237" s="11">
        <f t="shared" ca="1" si="99"/>
        <v>4.9695776903823479</v>
      </c>
      <c r="G1237" s="10">
        <f t="shared" ca="1" si="96"/>
        <v>1</v>
      </c>
    </row>
    <row r="1238" spans="1:7" x14ac:dyDescent="0.2">
      <c r="A1238" s="2">
        <v>19950125</v>
      </c>
      <c r="B1238" s="13">
        <v>3871.45</v>
      </c>
      <c r="C1238" s="2">
        <f t="shared" si="97"/>
        <v>2.2652548735340567E-3</v>
      </c>
      <c r="D1238" s="21">
        <f t="shared" ca="1" si="95"/>
        <v>1.8813024584271895E-3</v>
      </c>
      <c r="E1238" s="21">
        <f t="shared" ca="1" si="98"/>
        <v>4.4304655470936962E-5</v>
      </c>
      <c r="F1238" s="11">
        <f t="shared" ca="1" si="99"/>
        <v>4.9722676553340364</v>
      </c>
      <c r="G1238" s="10">
        <f t="shared" ca="1" si="96"/>
        <v>1</v>
      </c>
    </row>
    <row r="1239" spans="1:7" x14ac:dyDescent="0.2">
      <c r="A1239" s="2">
        <v>19950126</v>
      </c>
      <c r="B1239" s="13">
        <v>3870.44</v>
      </c>
      <c r="C1239" s="2">
        <f t="shared" si="97"/>
        <v>-2.6088416484773498E-4</v>
      </c>
      <c r="D1239" s="21">
        <f t="shared" ca="1" si="95"/>
        <v>-6.4483657995460233E-4</v>
      </c>
      <c r="E1239" s="21">
        <f t="shared" ca="1" si="98"/>
        <v>4.3102417673243446E-5</v>
      </c>
      <c r="F1239" s="11">
        <f t="shared" ca="1" si="99"/>
        <v>5.0211421737370365</v>
      </c>
      <c r="G1239" s="10">
        <f t="shared" ca="1" si="96"/>
        <v>1</v>
      </c>
    </row>
    <row r="1240" spans="1:7" x14ac:dyDescent="0.2">
      <c r="A1240" s="2">
        <v>19950127</v>
      </c>
      <c r="B1240" s="13">
        <v>3857.99</v>
      </c>
      <c r="C1240" s="2">
        <f t="shared" si="97"/>
        <v>-3.2166885418712788E-3</v>
      </c>
      <c r="D1240" s="21">
        <f t="shared" ca="1" si="95"/>
        <v>-3.600640956978146E-3</v>
      </c>
      <c r="E1240" s="21">
        <f t="shared" ca="1" si="98"/>
        <v>4.1846145494490945E-5</v>
      </c>
      <c r="F1240" s="11">
        <f t="shared" ca="1" si="99"/>
        <v>4.8858473159214117</v>
      </c>
      <c r="G1240" s="10">
        <f t="shared" ca="1" si="96"/>
        <v>1</v>
      </c>
    </row>
    <row r="1241" spans="1:7" x14ac:dyDescent="0.2">
      <c r="A1241" s="2">
        <v>19950130</v>
      </c>
      <c r="B1241" s="13">
        <v>3832.08</v>
      </c>
      <c r="C1241" s="2">
        <f t="shared" si="97"/>
        <v>-6.7159323896640102E-3</v>
      </c>
      <c r="D1241" s="21">
        <f t="shared" ca="1" si="95"/>
        <v>-7.0998848047708774E-3</v>
      </c>
      <c r="E1241" s="21">
        <f t="shared" ca="1" si="98"/>
        <v>4.1114869865644677E-5</v>
      </c>
      <c r="F1241" s="11">
        <f t="shared" ca="1" si="99"/>
        <v>4.436551699893176</v>
      </c>
      <c r="G1241" s="10">
        <f t="shared" ca="1" si="96"/>
        <v>0</v>
      </c>
    </row>
    <row r="1242" spans="1:7" x14ac:dyDescent="0.2">
      <c r="A1242" s="2">
        <v>19950131</v>
      </c>
      <c r="B1242" s="13">
        <v>3843.86</v>
      </c>
      <c r="C1242" s="2">
        <f t="shared" si="97"/>
        <v>3.0740485584852613E-3</v>
      </c>
      <c r="D1242" s="21">
        <f t="shared" ca="1" si="95"/>
        <v>2.6900961433783941E-3</v>
      </c>
      <c r="E1242" s="21">
        <f t="shared" ca="1" si="98"/>
        <v>4.1797461738714334E-5</v>
      </c>
      <c r="F1242" s="11">
        <f t="shared" ca="1" si="99"/>
        <v>4.9547698079612204</v>
      </c>
      <c r="G1242" s="10">
        <f t="shared" ca="1" si="96"/>
        <v>1</v>
      </c>
    </row>
    <row r="1243" spans="1:7" x14ac:dyDescent="0.2">
      <c r="A1243" s="2">
        <v>19950201</v>
      </c>
      <c r="B1243" s="13">
        <v>3847.56</v>
      </c>
      <c r="C1243" s="2">
        <f t="shared" si="97"/>
        <v>9.6257407918077609E-4</v>
      </c>
      <c r="D1243" s="21">
        <f t="shared" ca="1" si="95"/>
        <v>5.7862166407390879E-4</v>
      </c>
      <c r="E1243" s="21">
        <f t="shared" ca="1" si="98"/>
        <v>4.0858020547801173E-5</v>
      </c>
      <c r="F1243" s="11">
        <f t="shared" ca="1" si="99"/>
        <v>5.0486065553811237</v>
      </c>
      <c r="G1243" s="10">
        <f t="shared" ca="1" si="96"/>
        <v>1</v>
      </c>
    </row>
    <row r="1244" spans="1:7" x14ac:dyDescent="0.2">
      <c r="A1244" s="2">
        <v>19950202</v>
      </c>
      <c r="B1244" s="13">
        <v>3870.77</v>
      </c>
      <c r="C1244" s="2">
        <f t="shared" si="97"/>
        <v>6.0323945565501349E-3</v>
      </c>
      <c r="D1244" s="21">
        <f t="shared" ca="1" si="95"/>
        <v>5.6484421414432677E-3</v>
      </c>
      <c r="E1244" s="21">
        <f t="shared" ca="1" si="98"/>
        <v>3.9712314235913408E-5</v>
      </c>
      <c r="F1244" s="11">
        <f t="shared" ca="1" si="99"/>
        <v>4.6652242986530386</v>
      </c>
      <c r="G1244" s="10">
        <f t="shared" ca="1" si="96"/>
        <v>1</v>
      </c>
    </row>
    <row r="1245" spans="1:7" x14ac:dyDescent="0.2">
      <c r="A1245" s="2">
        <v>19950203</v>
      </c>
      <c r="B1245" s="13">
        <v>3928.64</v>
      </c>
      <c r="C1245" s="2">
        <f t="shared" si="97"/>
        <v>1.4950513722075941E-2</v>
      </c>
      <c r="D1245" s="21">
        <f t="shared" ca="1" si="95"/>
        <v>1.4566561306969074E-2</v>
      </c>
      <c r="E1245" s="21">
        <f t="shared" ca="1" si="98"/>
        <v>3.9785457121488522E-5</v>
      </c>
      <c r="F1245" s="11">
        <f t="shared" ca="1" si="99"/>
        <v>2.3993931396048227</v>
      </c>
      <c r="G1245" s="10">
        <f t="shared" ca="1" si="96"/>
        <v>0</v>
      </c>
    </row>
    <row r="1246" spans="1:7" x14ac:dyDescent="0.2">
      <c r="A1246" s="2">
        <v>19950206</v>
      </c>
      <c r="B1246" s="13">
        <v>3937.73</v>
      </c>
      <c r="C1246" s="2">
        <f t="shared" si="97"/>
        <v>2.3137777958785089E-3</v>
      </c>
      <c r="D1246" s="21">
        <f t="shared" ca="1" si="95"/>
        <v>1.9298253807716417E-3</v>
      </c>
      <c r="E1246" s="21">
        <f t="shared" ca="1" si="98"/>
        <v>4.6484103063528209E-5</v>
      </c>
      <c r="F1246" s="11">
        <f t="shared" ca="1" si="99"/>
        <v>4.9481409508476819</v>
      </c>
      <c r="G1246" s="10">
        <f t="shared" ca="1" si="96"/>
        <v>1</v>
      </c>
    </row>
    <row r="1247" spans="1:7" x14ac:dyDescent="0.2">
      <c r="A1247" s="2">
        <v>19950207</v>
      </c>
      <c r="B1247" s="13">
        <v>3937.39</v>
      </c>
      <c r="C1247" s="2">
        <f t="shared" si="97"/>
        <v>-8.6344162753704677E-5</v>
      </c>
      <c r="D1247" s="21">
        <f t="shared" ca="1" si="95"/>
        <v>-4.7029657786057199E-4</v>
      </c>
      <c r="E1247" s="21">
        <f t="shared" ca="1" si="98"/>
        <v>4.5178406385405647E-5</v>
      </c>
      <c r="F1247" s="11">
        <f t="shared" ca="1" si="99"/>
        <v>4.9999978217106733</v>
      </c>
      <c r="G1247" s="10">
        <f t="shared" ca="1" si="96"/>
        <v>1</v>
      </c>
    </row>
    <row r="1248" spans="1:7" x14ac:dyDescent="0.2">
      <c r="A1248" s="2">
        <v>19950208</v>
      </c>
      <c r="B1248" s="13">
        <v>3935.37</v>
      </c>
      <c r="C1248" s="2">
        <f t="shared" si="97"/>
        <v>-5.1303020528827015E-4</v>
      </c>
      <c r="D1248" s="21">
        <f t="shared" ca="1" si="95"/>
        <v>-8.9698262039513744E-4</v>
      </c>
      <c r="E1248" s="21">
        <f t="shared" ca="1" si="98"/>
        <v>4.3809952172725587E-5</v>
      </c>
      <c r="F1248" s="11">
        <f t="shared" ca="1" si="99"/>
        <v>5.0086421820483809</v>
      </c>
      <c r="G1248" s="10">
        <f t="shared" ca="1" si="96"/>
        <v>1</v>
      </c>
    </row>
    <row r="1249" spans="1:7" x14ac:dyDescent="0.2">
      <c r="A1249" s="2">
        <v>19950209</v>
      </c>
      <c r="B1249" s="13">
        <v>3932.68</v>
      </c>
      <c r="C1249" s="2">
        <f t="shared" si="97"/>
        <v>-6.8354436812804249E-4</v>
      </c>
      <c r="D1249" s="21">
        <f t="shared" ca="1" si="95"/>
        <v>-1.0674967832349099E-3</v>
      </c>
      <c r="E1249" s="21">
        <f t="shared" ca="1" si="98"/>
        <v>4.2532181107286915E-5</v>
      </c>
      <c r="F1249" s="11">
        <f t="shared" ca="1" si="99"/>
        <v>5.019228463428167</v>
      </c>
      <c r="G1249" s="10">
        <f t="shared" ca="1" si="96"/>
        <v>1</v>
      </c>
    </row>
    <row r="1250" spans="1:7" x14ac:dyDescent="0.2">
      <c r="A1250" s="2">
        <v>19950210</v>
      </c>
      <c r="B1250" s="13">
        <v>3939.07</v>
      </c>
      <c r="C1250" s="2">
        <f t="shared" si="97"/>
        <v>1.624846160887824E-3</v>
      </c>
      <c r="D1250" s="21">
        <f t="shared" ca="1" si="95"/>
        <v>1.2408937457809568E-3</v>
      </c>
      <c r="E1250" s="21">
        <f t="shared" ca="1" si="98"/>
        <v>4.1331370389944512E-5</v>
      </c>
      <c r="F1250" s="11">
        <f t="shared" ca="1" si="99"/>
        <v>5.0283166796840195</v>
      </c>
      <c r="G1250" s="10">
        <f t="shared" ca="1" si="96"/>
        <v>1</v>
      </c>
    </row>
    <row r="1251" spans="1:7" x14ac:dyDescent="0.2">
      <c r="A1251" s="2">
        <v>19950213</v>
      </c>
      <c r="B1251" s="13">
        <v>3954.21</v>
      </c>
      <c r="C1251" s="2">
        <f t="shared" si="97"/>
        <v>3.8435468270428988E-3</v>
      </c>
      <c r="D1251" s="21">
        <f t="shared" ca="1" si="95"/>
        <v>3.4595944119360316E-3</v>
      </c>
      <c r="E1251" s="21">
        <f t="shared" ca="1" si="98"/>
        <v>4.0206027631970497E-5</v>
      </c>
      <c r="F1251" s="11">
        <f t="shared" ca="1" si="99"/>
        <v>4.9119035432308706</v>
      </c>
      <c r="G1251" s="10">
        <f t="shared" ca="1" si="96"/>
        <v>1</v>
      </c>
    </row>
    <row r="1252" spans="1:7" x14ac:dyDescent="0.2">
      <c r="A1252" s="2">
        <v>19950214</v>
      </c>
      <c r="B1252" s="13">
        <v>3958.25</v>
      </c>
      <c r="C1252" s="2">
        <f t="shared" si="97"/>
        <v>1.0216958633962191E-3</v>
      </c>
      <c r="D1252" s="21">
        <f t="shared" ca="1" si="95"/>
        <v>6.3774344828935179E-4</v>
      </c>
      <c r="E1252" s="21">
        <f t="shared" ca="1" si="98"/>
        <v>3.9521107999264144E-5</v>
      </c>
      <c r="F1252" s="11">
        <f t="shared" ca="1" si="99"/>
        <v>5.0641922614819777</v>
      </c>
      <c r="G1252" s="10">
        <f t="shared" ca="1" si="96"/>
        <v>1</v>
      </c>
    </row>
    <row r="1253" spans="1:7" x14ac:dyDescent="0.2">
      <c r="A1253" s="2">
        <v>19950215</v>
      </c>
      <c r="B1253" s="13">
        <v>3986.17</v>
      </c>
      <c r="C1253" s="2">
        <f t="shared" si="97"/>
        <v>7.053622181519629E-3</v>
      </c>
      <c r="D1253" s="21">
        <f t="shared" ca="1" si="95"/>
        <v>6.6696697664127618E-3</v>
      </c>
      <c r="E1253" s="21">
        <f t="shared" ca="1" si="98"/>
        <v>3.8445680924824591E-5</v>
      </c>
      <c r="F1253" s="11">
        <f t="shared" ca="1" si="99"/>
        <v>4.5045951382302727</v>
      </c>
      <c r="G1253" s="10">
        <f t="shared" ca="1" si="96"/>
        <v>0</v>
      </c>
    </row>
    <row r="1254" spans="1:7" x14ac:dyDescent="0.2">
      <c r="A1254" s="2">
        <v>19950216</v>
      </c>
      <c r="B1254" s="13">
        <v>3987.52</v>
      </c>
      <c r="C1254" s="2">
        <f t="shared" si="97"/>
        <v>3.3867095482628917E-4</v>
      </c>
      <c r="D1254" s="21">
        <f t="shared" ca="1" si="95"/>
        <v>-4.5281460280578126E-5</v>
      </c>
      <c r="E1254" s="21">
        <f t="shared" ca="1" si="98"/>
        <v>3.9045476922320541E-5</v>
      </c>
      <c r="F1254" s="11">
        <f t="shared" ca="1" si="99"/>
        <v>5.0753655014216399</v>
      </c>
      <c r="G1254" s="10">
        <f t="shared" ca="1" si="96"/>
        <v>1</v>
      </c>
    </row>
    <row r="1255" spans="1:7" x14ac:dyDescent="0.2">
      <c r="A1255" s="2">
        <v>19950217</v>
      </c>
      <c r="B1255" s="13">
        <v>3953.54</v>
      </c>
      <c r="C1255" s="2">
        <f t="shared" si="97"/>
        <v>-8.5215873525399284E-3</v>
      </c>
      <c r="D1255" s="21">
        <f t="shared" ca="1" si="95"/>
        <v>-8.9055397676467956E-3</v>
      </c>
      <c r="E1255" s="21">
        <f t="shared" ca="1" si="98"/>
        <v>3.7979231894431321E-5</v>
      </c>
      <c r="F1255" s="11">
        <f t="shared" ca="1" si="99"/>
        <v>4.0451301866103329</v>
      </c>
      <c r="G1255" s="10">
        <f t="shared" ca="1" si="96"/>
        <v>0</v>
      </c>
    </row>
    <row r="1256" spans="1:7" x14ac:dyDescent="0.2">
      <c r="A1256" s="2">
        <v>19950221</v>
      </c>
      <c r="B1256" s="13">
        <v>3963.97</v>
      </c>
      <c r="C1256" s="2">
        <f t="shared" si="97"/>
        <v>2.638142019557115E-3</v>
      </c>
      <c r="D1256" s="21">
        <f t="shared" ca="1" si="95"/>
        <v>2.2541896044502479E-3</v>
      </c>
      <c r="E1256" s="21">
        <f t="shared" ca="1" si="98"/>
        <v>3.9883170272613986E-5</v>
      </c>
      <c r="F1256" s="11">
        <f t="shared" ca="1" si="99"/>
        <v>5.001074865030728</v>
      </c>
      <c r="G1256" s="10">
        <f t="shared" ca="1" si="96"/>
        <v>1</v>
      </c>
    </row>
    <row r="1257" spans="1:7" x14ac:dyDescent="0.2">
      <c r="A1257" s="2">
        <v>19950222</v>
      </c>
      <c r="B1257" s="13">
        <v>3973.05</v>
      </c>
      <c r="C1257" s="2">
        <f t="shared" si="97"/>
        <v>2.2906328756273084E-3</v>
      </c>
      <c r="D1257" s="21">
        <f t="shared" ca="1" si="95"/>
        <v>1.9066804605204412E-3</v>
      </c>
      <c r="E1257" s="21">
        <f t="shared" ca="1" si="98"/>
        <v>3.8961321540760165E-5</v>
      </c>
      <c r="F1257" s="11">
        <f t="shared" ca="1" si="99"/>
        <v>5.0298162281778342</v>
      </c>
      <c r="G1257" s="10">
        <f t="shared" ca="1" si="96"/>
        <v>1</v>
      </c>
    </row>
    <row r="1258" spans="1:7" x14ac:dyDescent="0.2">
      <c r="A1258" s="2">
        <v>19950223</v>
      </c>
      <c r="B1258" s="13">
        <v>4003.33</v>
      </c>
      <c r="C1258" s="2">
        <f t="shared" si="97"/>
        <v>7.6213488377945768E-3</v>
      </c>
      <c r="D1258" s="21">
        <f t="shared" ca="1" si="95"/>
        <v>7.2373964226877096E-3</v>
      </c>
      <c r="E1258" s="21">
        <f t="shared" ca="1" si="98"/>
        <v>3.803293968680501E-5</v>
      </c>
      <c r="F1258" s="11">
        <f t="shared" ca="1" si="99"/>
        <v>4.3999165801102151</v>
      </c>
      <c r="G1258" s="10">
        <f t="shared" ca="1" si="96"/>
        <v>0</v>
      </c>
    </row>
    <row r="1259" spans="1:7" x14ac:dyDescent="0.2">
      <c r="A1259" s="2">
        <v>19950224</v>
      </c>
      <c r="B1259" s="13">
        <v>4011.74</v>
      </c>
      <c r="C1259" s="2">
        <f t="shared" si="97"/>
        <v>2.1007511246886605E-3</v>
      </c>
      <c r="D1259" s="21">
        <f t="shared" ca="1" si="95"/>
        <v>1.7167987095817933E-3</v>
      </c>
      <c r="E1259" s="21">
        <f t="shared" ca="1" si="98"/>
        <v>3.894394449127864E-5</v>
      </c>
      <c r="F1259" s="11">
        <f t="shared" ca="1" si="99"/>
        <v>5.0388520914206323</v>
      </c>
      <c r="G1259" s="10">
        <f t="shared" ca="1" si="96"/>
        <v>1</v>
      </c>
    </row>
    <row r="1260" spans="1:7" x14ac:dyDescent="0.2">
      <c r="A1260" s="2">
        <v>19950227</v>
      </c>
      <c r="B1260" s="13">
        <v>3988.57</v>
      </c>
      <c r="C1260" s="2">
        <f t="shared" si="97"/>
        <v>-5.7755487643764598E-3</v>
      </c>
      <c r="D1260" s="21">
        <f t="shared" ca="1" si="95"/>
        <v>-6.159501179483327E-3</v>
      </c>
      <c r="E1260" s="21">
        <f t="shared" ca="1" si="98"/>
        <v>3.7991141589067669E-5</v>
      </c>
      <c r="F1260" s="11">
        <f t="shared" ca="1" si="99"/>
        <v>4.589759018914453</v>
      </c>
      <c r="G1260" s="10">
        <f t="shared" ca="1" si="96"/>
        <v>1</v>
      </c>
    </row>
    <row r="1261" spans="1:7" x14ac:dyDescent="0.2">
      <c r="A1261" s="2">
        <v>19950228</v>
      </c>
      <c r="B1261" s="13">
        <v>4011.05</v>
      </c>
      <c r="C1261" s="2">
        <f t="shared" si="97"/>
        <v>5.636105170524779E-3</v>
      </c>
      <c r="D1261" s="21">
        <f t="shared" ca="1" si="95"/>
        <v>5.2521527554179118E-3</v>
      </c>
      <c r="E1261" s="21">
        <f t="shared" ca="1" si="98"/>
        <v>3.8373260331999312E-5</v>
      </c>
      <c r="F1261" s="11">
        <f t="shared" ca="1" si="99"/>
        <v>4.7246434536651565</v>
      </c>
      <c r="G1261" s="10">
        <f t="shared" ca="1" si="96"/>
        <v>1</v>
      </c>
    </row>
    <row r="1262" spans="1:7" x14ac:dyDescent="0.2">
      <c r="A1262" s="2">
        <v>19950301</v>
      </c>
      <c r="B1262" s="13">
        <v>3994.8</v>
      </c>
      <c r="C1262" s="2">
        <f t="shared" si="97"/>
        <v>-4.0513082609291828E-3</v>
      </c>
      <c r="D1262" s="21">
        <f t="shared" ca="1" si="95"/>
        <v>-4.43526067603605E-3</v>
      </c>
      <c r="E1262" s="21">
        <f t="shared" ca="1" si="98"/>
        <v>3.8355300172450333E-5</v>
      </c>
      <c r="F1262" s="11">
        <f t="shared" ca="1" si="99"/>
        <v>4.8278706000036431</v>
      </c>
      <c r="G1262" s="10">
        <f t="shared" ca="1" si="96"/>
        <v>1</v>
      </c>
    </row>
    <row r="1263" spans="1:7" x14ac:dyDescent="0.2">
      <c r="A1263" s="2">
        <v>19950302</v>
      </c>
      <c r="B1263" s="13">
        <v>3979.93</v>
      </c>
      <c r="C1263" s="2">
        <f t="shared" si="97"/>
        <v>-3.7223390407530653E-3</v>
      </c>
      <c r="D1263" s="21">
        <f t="shared" ca="1" si="95"/>
        <v>-4.1062914558599329E-3</v>
      </c>
      <c r="E1263" s="21">
        <f t="shared" ca="1" si="98"/>
        <v>3.8047252789049564E-5</v>
      </c>
      <c r="F1263" s="11">
        <f t="shared" ca="1" si="99"/>
        <v>4.8667528352735632</v>
      </c>
      <c r="G1263" s="10">
        <f t="shared" ca="1" si="96"/>
        <v>1</v>
      </c>
    </row>
    <row r="1264" spans="1:7" x14ac:dyDescent="0.2">
      <c r="A1264" s="2">
        <v>19950303</v>
      </c>
      <c r="B1264" s="13">
        <v>3989.61</v>
      </c>
      <c r="C1264" s="2">
        <f t="shared" si="97"/>
        <v>2.432203581470099E-3</v>
      </c>
      <c r="D1264" s="21">
        <f t="shared" ca="1" si="95"/>
        <v>2.0482511663632318E-3</v>
      </c>
      <c r="E1264" s="21">
        <f t="shared" ca="1" si="98"/>
        <v>3.7651464410228822E-5</v>
      </c>
      <c r="F1264" s="11">
        <f t="shared" ca="1" si="99"/>
        <v>5.0378566099649973</v>
      </c>
      <c r="G1264" s="10">
        <f t="shared" ca="1" si="96"/>
        <v>1</v>
      </c>
    </row>
    <row r="1265" spans="1:7" x14ac:dyDescent="0.2">
      <c r="A1265" s="2">
        <v>19950306</v>
      </c>
      <c r="B1265" s="13">
        <v>3997.56</v>
      </c>
      <c r="C1265" s="2">
        <f t="shared" si="97"/>
        <v>1.9926759758472174E-3</v>
      </c>
      <c r="D1265" s="21">
        <f t="shared" ca="1" si="95"/>
        <v>1.6087235607403503E-3</v>
      </c>
      <c r="E1265" s="21">
        <f t="shared" ca="1" si="98"/>
        <v>3.6809937250939388E-5</v>
      </c>
      <c r="F1265" s="11">
        <f t="shared" ca="1" si="99"/>
        <v>5.0697179223274613</v>
      </c>
      <c r="G1265" s="10">
        <f t="shared" ca="1" si="96"/>
        <v>1</v>
      </c>
    </row>
    <row r="1266" spans="1:7" x14ac:dyDescent="0.2">
      <c r="A1266" s="2">
        <v>19950307</v>
      </c>
      <c r="B1266" s="13">
        <v>3962.63</v>
      </c>
      <c r="C1266" s="2">
        <f t="shared" si="97"/>
        <v>-8.73783007634653E-3</v>
      </c>
      <c r="D1266" s="21">
        <f t="shared" ca="1" si="95"/>
        <v>-9.1217824914533972E-3</v>
      </c>
      <c r="E1266" s="21">
        <f t="shared" ca="1" si="98"/>
        <v>3.5951878479950901E-5</v>
      </c>
      <c r="F1266" s="11">
        <f t="shared" ca="1" si="99"/>
        <v>3.9594661652143217</v>
      </c>
      <c r="G1266" s="10">
        <f t="shared" ca="1" si="96"/>
        <v>0</v>
      </c>
    </row>
    <row r="1267" spans="1:7" x14ac:dyDescent="0.2">
      <c r="A1267" s="2">
        <v>19950308</v>
      </c>
      <c r="B1267" s="13">
        <v>3979.23</v>
      </c>
      <c r="C1267" s="2">
        <f t="shared" si="97"/>
        <v>4.189137012539629E-3</v>
      </c>
      <c r="D1267" s="21">
        <f t="shared" ca="1" si="95"/>
        <v>3.8051845974327618E-3</v>
      </c>
      <c r="E1267" s="21">
        <f t="shared" ca="1" si="98"/>
        <v>3.8101727796636217E-5</v>
      </c>
      <c r="F1267" s="11">
        <f t="shared" ca="1" si="99"/>
        <v>4.8976153166531669</v>
      </c>
      <c r="G1267" s="10">
        <f t="shared" ca="1" si="96"/>
        <v>1</v>
      </c>
    </row>
    <row r="1268" spans="1:7" x14ac:dyDescent="0.2">
      <c r="A1268" s="2">
        <v>19950309</v>
      </c>
      <c r="B1268" s="13">
        <v>3983.39</v>
      </c>
      <c r="C1268" s="2">
        <f t="shared" si="97"/>
        <v>1.0454283868989364E-3</v>
      </c>
      <c r="D1268" s="21">
        <f t="shared" ca="1" si="95"/>
        <v>6.6147597179206914E-4</v>
      </c>
      <c r="E1268" s="21">
        <f t="shared" ca="1" si="98"/>
        <v>3.7615585866845826E-5</v>
      </c>
      <c r="F1268" s="11">
        <f t="shared" ca="1" si="99"/>
        <v>5.0882299585526694</v>
      </c>
      <c r="G1268" s="10">
        <f t="shared" ca="1" si="96"/>
        <v>1</v>
      </c>
    </row>
    <row r="1269" spans="1:7" x14ac:dyDescent="0.2">
      <c r="A1269" s="2">
        <v>19950310</v>
      </c>
      <c r="B1269" s="13">
        <v>4035.61</v>
      </c>
      <c r="C1269" s="2">
        <f t="shared" si="97"/>
        <v>1.3109436936880461E-2</v>
      </c>
      <c r="D1269" s="21">
        <f t="shared" ca="1" si="95"/>
        <v>1.2725484521773594E-2</v>
      </c>
      <c r="E1269" s="21">
        <f t="shared" ca="1" si="98"/>
        <v>3.663769359552976E-5</v>
      </c>
      <c r="F1269" s="11">
        <f t="shared" ca="1" si="99"/>
        <v>2.8972253460918149</v>
      </c>
      <c r="G1269" s="10">
        <f t="shared" ca="1" si="96"/>
        <v>0</v>
      </c>
    </row>
    <row r="1270" spans="1:7" x14ac:dyDescent="0.2">
      <c r="A1270" s="2">
        <v>19950313</v>
      </c>
      <c r="B1270" s="13">
        <v>4025.23</v>
      </c>
      <c r="C1270" s="2">
        <f t="shared" si="97"/>
        <v>-2.5721018631632165E-3</v>
      </c>
      <c r="D1270" s="21">
        <f t="shared" ca="1" si="95"/>
        <v>-2.9560542782700837E-3</v>
      </c>
      <c r="E1270" s="21">
        <f t="shared" ca="1" si="98"/>
        <v>4.1647925126715038E-5</v>
      </c>
      <c r="F1270" s="11">
        <f t="shared" ca="1" si="99"/>
        <v>4.9382232344651307</v>
      </c>
      <c r="G1270" s="10">
        <f t="shared" ca="1" si="96"/>
        <v>1</v>
      </c>
    </row>
    <row r="1271" spans="1:7" x14ac:dyDescent="0.2">
      <c r="A1271" s="2">
        <v>19950314</v>
      </c>
      <c r="B1271" s="13">
        <v>4048.75</v>
      </c>
      <c r="C1271" s="2">
        <f t="shared" si="97"/>
        <v>5.8431443669057373E-3</v>
      </c>
      <c r="D1271" s="21">
        <f t="shared" ca="1" si="95"/>
        <v>5.4591919517988701E-3</v>
      </c>
      <c r="E1271" s="21">
        <f t="shared" ca="1" si="98"/>
        <v>4.077126695356931E-5</v>
      </c>
      <c r="F1271" s="11">
        <f t="shared" ca="1" si="99"/>
        <v>4.6882789841539099</v>
      </c>
      <c r="G1271" s="10">
        <f t="shared" ca="1" si="96"/>
        <v>1</v>
      </c>
    </row>
    <row r="1272" spans="1:7" x14ac:dyDescent="0.2">
      <c r="A1272" s="2">
        <v>19950315</v>
      </c>
      <c r="B1272" s="13">
        <v>4038.37</v>
      </c>
      <c r="C1272" s="2">
        <f t="shared" si="97"/>
        <v>-2.5637542451374148E-3</v>
      </c>
      <c r="D1272" s="21">
        <f t="shared" ca="1" si="95"/>
        <v>-2.947706660244282E-3</v>
      </c>
      <c r="E1272" s="21">
        <f t="shared" ca="1" si="98"/>
        <v>4.0713538381336774E-5</v>
      </c>
      <c r="F1272" s="11">
        <f t="shared" ca="1" si="99"/>
        <v>4.9477662774774167</v>
      </c>
      <c r="G1272" s="10">
        <f t="shared" ca="1" si="96"/>
        <v>1</v>
      </c>
    </row>
    <row r="1273" spans="1:7" x14ac:dyDescent="0.2">
      <c r="A1273" s="2">
        <v>19950316</v>
      </c>
      <c r="B1273" s="13">
        <v>4069.15</v>
      </c>
      <c r="C1273" s="2">
        <f t="shared" si="97"/>
        <v>7.6218870484874345E-3</v>
      </c>
      <c r="D1273" s="21">
        <f t="shared" ca="1" si="95"/>
        <v>7.2379346333805673E-3</v>
      </c>
      <c r="E1273" s="21">
        <f t="shared" ca="1" si="98"/>
        <v>3.9882338943563587E-5</v>
      </c>
      <c r="F1273" s="11">
        <f t="shared" ca="1" si="99"/>
        <v>4.4080103302818152</v>
      </c>
      <c r="G1273" s="10">
        <f t="shared" ca="1" si="96"/>
        <v>0</v>
      </c>
    </row>
    <row r="1274" spans="1:7" x14ac:dyDescent="0.2">
      <c r="A1274" s="2">
        <v>19950317</v>
      </c>
      <c r="B1274" s="13">
        <v>4073.65</v>
      </c>
      <c r="C1274" s="2">
        <f t="shared" si="97"/>
        <v>1.1058820638216826E-3</v>
      </c>
      <c r="D1274" s="21">
        <f t="shared" ca="1" si="95"/>
        <v>7.2192964871481532E-4</v>
      </c>
      <c r="E1274" s="21">
        <f t="shared" ca="1" si="98"/>
        <v>4.0700068511205227E-5</v>
      </c>
      <c r="F1274" s="11">
        <f t="shared" ca="1" si="99"/>
        <v>5.0482376694713178</v>
      </c>
      <c r="G1274" s="10">
        <f t="shared" ca="1" si="96"/>
        <v>1</v>
      </c>
    </row>
    <row r="1275" spans="1:7" x14ac:dyDescent="0.2">
      <c r="A1275" s="2">
        <v>19950320</v>
      </c>
      <c r="B1275" s="13">
        <v>4083.68</v>
      </c>
      <c r="C1275" s="2">
        <f t="shared" si="97"/>
        <v>2.4621653799417587E-3</v>
      </c>
      <c r="D1275" s="21">
        <f t="shared" ca="1" si="95"/>
        <v>2.0782129648348915E-3</v>
      </c>
      <c r="E1275" s="21">
        <f t="shared" ca="1" si="98"/>
        <v>3.9569206540364496E-5</v>
      </c>
      <c r="F1275" s="11">
        <f t="shared" ca="1" si="99"/>
        <v>5.0141548008217534</v>
      </c>
      <c r="G1275" s="10">
        <f t="shared" ca="1" si="96"/>
        <v>1</v>
      </c>
    </row>
    <row r="1276" spans="1:7" x14ac:dyDescent="0.2">
      <c r="A1276" s="2">
        <v>19950321</v>
      </c>
      <c r="B1276" s="13">
        <v>4072.61</v>
      </c>
      <c r="C1276" s="2">
        <f t="shared" si="97"/>
        <v>-2.7107902676016997E-3</v>
      </c>
      <c r="D1276" s="21">
        <f t="shared" ca="1" si="95"/>
        <v>-3.0947426827085669E-3</v>
      </c>
      <c r="E1276" s="21">
        <f t="shared" ca="1" si="98"/>
        <v>3.8635206497404224E-5</v>
      </c>
      <c r="F1276" s="11">
        <f t="shared" ca="1" si="99"/>
        <v>4.9567263525668022</v>
      </c>
      <c r="G1276" s="10">
        <f t="shared" ca="1" si="96"/>
        <v>1</v>
      </c>
    </row>
    <row r="1277" spans="1:7" x14ac:dyDescent="0.2">
      <c r="A1277" s="2">
        <v>19950322</v>
      </c>
      <c r="B1277" s="13">
        <v>4082.99</v>
      </c>
      <c r="C1277" s="2">
        <f t="shared" si="97"/>
        <v>2.5487341041738969E-3</v>
      </c>
      <c r="D1277" s="21">
        <f t="shared" ca="1" si="95"/>
        <v>2.1647816890670297E-3</v>
      </c>
      <c r="E1277" s="21">
        <f t="shared" ca="1" si="98"/>
        <v>3.7941820695514844E-5</v>
      </c>
      <c r="F1277" s="11">
        <f t="shared" ca="1" si="99"/>
        <v>5.027972176341982</v>
      </c>
      <c r="G1277" s="10">
        <f t="shared" ca="1" si="96"/>
        <v>1</v>
      </c>
    </row>
    <row r="1278" spans="1:7" x14ac:dyDescent="0.2">
      <c r="A1278" s="2">
        <v>19950323</v>
      </c>
      <c r="B1278" s="13">
        <v>4087.83</v>
      </c>
      <c r="C1278" s="2">
        <f t="shared" si="97"/>
        <v>1.1854057933034727E-3</v>
      </c>
      <c r="D1278" s="21">
        <f t="shared" ca="1" si="95"/>
        <v>8.0145337819660537E-4</v>
      </c>
      <c r="E1278" s="21">
        <f t="shared" ca="1" si="98"/>
        <v>3.7103657291643504E-5</v>
      </c>
      <c r="F1278" s="11">
        <f t="shared" ca="1" si="99"/>
        <v>5.0922416551611223</v>
      </c>
      <c r="G1278" s="10">
        <f t="shared" ca="1" si="96"/>
        <v>1</v>
      </c>
    </row>
    <row r="1279" spans="1:7" x14ac:dyDescent="0.2">
      <c r="A1279" s="2">
        <v>19950324</v>
      </c>
      <c r="B1279" s="13">
        <v>4138.67</v>
      </c>
      <c r="C1279" s="2">
        <f t="shared" si="97"/>
        <v>1.2436916407971992E-2</v>
      </c>
      <c r="D1279" s="21">
        <f t="shared" ca="1" si="95"/>
        <v>1.2052963992865125E-2</v>
      </c>
      <c r="E1279" s="21">
        <f t="shared" ca="1" si="98"/>
        <v>3.6159193665412263E-5</v>
      </c>
      <c r="F1279" s="11">
        <f t="shared" ca="1" si="99"/>
        <v>3.1049790889771498</v>
      </c>
      <c r="G1279" s="10">
        <f t="shared" ca="1" si="96"/>
        <v>0</v>
      </c>
    </row>
    <row r="1280" spans="1:7" x14ac:dyDescent="0.2">
      <c r="A1280" s="2">
        <v>19950327</v>
      </c>
      <c r="B1280" s="13">
        <v>4157.34</v>
      </c>
      <c r="C1280" s="2">
        <f t="shared" si="97"/>
        <v>4.5111110574170138E-3</v>
      </c>
      <c r="D1280" s="21">
        <f t="shared" ca="1" si="95"/>
        <v>4.1271586423101466E-3</v>
      </c>
      <c r="E1280" s="21">
        <f t="shared" ca="1" si="98"/>
        <v>4.0580867726857274E-5</v>
      </c>
      <c r="F1280" s="11">
        <f t="shared" ca="1" si="99"/>
        <v>4.8462366118305065</v>
      </c>
      <c r="G1280" s="10">
        <f t="shared" ca="1" si="96"/>
        <v>1</v>
      </c>
    </row>
    <row r="1281" spans="1:7" x14ac:dyDescent="0.2">
      <c r="A1281" s="2">
        <v>19950328</v>
      </c>
      <c r="B1281" s="13">
        <v>4151.8100000000004</v>
      </c>
      <c r="C1281" s="2">
        <f t="shared" si="97"/>
        <v>-1.3301774692471016E-3</v>
      </c>
      <c r="D1281" s="21">
        <f t="shared" ca="1" si="95"/>
        <v>-1.714129884353969E-3</v>
      </c>
      <c r="E1281" s="21">
        <f t="shared" ca="1" si="98"/>
        <v>4.00632206487527E-5</v>
      </c>
      <c r="F1281" s="11">
        <f t="shared" ca="1" si="99"/>
        <v>5.0258558595325731</v>
      </c>
      <c r="G1281" s="10">
        <f t="shared" ca="1" si="96"/>
        <v>1</v>
      </c>
    </row>
    <row r="1282" spans="1:7" x14ac:dyDescent="0.2">
      <c r="A1282" s="2">
        <v>19950329</v>
      </c>
      <c r="B1282" s="13">
        <v>4160.8</v>
      </c>
      <c r="C1282" s="2">
        <f t="shared" si="97"/>
        <v>2.1653206673715275E-3</v>
      </c>
      <c r="D1282" s="21">
        <f t="shared" ca="1" si="95"/>
        <v>1.7813682522646603E-3</v>
      </c>
      <c r="E1282" s="21">
        <f t="shared" ca="1" si="98"/>
        <v>3.9053456494910808E-5</v>
      </c>
      <c r="F1282" s="11">
        <f t="shared" ca="1" si="99"/>
        <v>5.0346622872410585</v>
      </c>
      <c r="G1282" s="10">
        <f t="shared" ca="1" si="96"/>
        <v>1</v>
      </c>
    </row>
    <row r="1283" spans="1:7" x14ac:dyDescent="0.2">
      <c r="A1283" s="2">
        <v>19950330</v>
      </c>
      <c r="B1283" s="13">
        <v>4172.5600000000004</v>
      </c>
      <c r="C1283" s="2">
        <f t="shared" si="97"/>
        <v>2.8263795423957455E-3</v>
      </c>
      <c r="D1283" s="21">
        <f t="shared" ca="1" si="95"/>
        <v>2.4424271272888783E-3</v>
      </c>
      <c r="E1283" s="21">
        <f t="shared" ca="1" si="98"/>
        <v>3.8103419164022045E-5</v>
      </c>
      <c r="F1283" s="11">
        <f t="shared" ca="1" si="99"/>
        <v>5.0093235449985549</v>
      </c>
      <c r="G1283" s="10">
        <f t="shared" ca="1" si="96"/>
        <v>1</v>
      </c>
    </row>
    <row r="1284" spans="1:7" x14ac:dyDescent="0.2">
      <c r="A1284" s="2">
        <v>19950331</v>
      </c>
      <c r="B1284" s="13">
        <v>4157.6899999999996</v>
      </c>
      <c r="C1284" s="2">
        <f t="shared" si="97"/>
        <v>-3.5637594186784128E-3</v>
      </c>
      <c r="D1284" s="21">
        <f t="shared" ca="1" si="95"/>
        <v>-3.94771183378528E-3</v>
      </c>
      <c r="E1284" s="21">
        <f t="shared" ca="1" si="98"/>
        <v>3.7304117773594229E-5</v>
      </c>
      <c r="F1284" s="11">
        <f t="shared" ca="1" si="99"/>
        <v>4.8893199293425527</v>
      </c>
      <c r="G1284" s="10">
        <f t="shared" ca="1" si="96"/>
        <v>1</v>
      </c>
    </row>
    <row r="1285" spans="1:7" x14ac:dyDescent="0.2">
      <c r="A1285" s="2">
        <v>19950403</v>
      </c>
      <c r="B1285" s="13">
        <v>4168.41</v>
      </c>
      <c r="C1285" s="2">
        <f t="shared" si="97"/>
        <v>2.5783548075975493E-3</v>
      </c>
      <c r="D1285" s="21">
        <f t="shared" ca="1" si="95"/>
        <v>2.1944023924906821E-3</v>
      </c>
      <c r="E1285" s="21">
        <f t="shared" ca="1" si="98"/>
        <v>3.6898959936503182E-5</v>
      </c>
      <c r="F1285" s="11">
        <f t="shared" ca="1" si="99"/>
        <v>5.0384124097899354</v>
      </c>
      <c r="G1285" s="10">
        <f t="shared" ca="1" si="96"/>
        <v>1</v>
      </c>
    </row>
    <row r="1286" spans="1:7" x14ac:dyDescent="0.2">
      <c r="A1286" s="2">
        <v>19950404</v>
      </c>
      <c r="B1286" s="13">
        <v>4201.6099999999997</v>
      </c>
      <c r="C1286" s="2">
        <f t="shared" si="97"/>
        <v>7.9646675830831945E-3</v>
      </c>
      <c r="D1286" s="21">
        <f t="shared" ca="1" si="95"/>
        <v>7.5807151679763273E-3</v>
      </c>
      <c r="E1286" s="21">
        <f t="shared" ca="1" si="98"/>
        <v>3.611830324683498E-5</v>
      </c>
      <c r="F1286" s="11">
        <f t="shared" ca="1" si="99"/>
        <v>4.318813568345357</v>
      </c>
      <c r="G1286" s="10">
        <f t="shared" ca="1" si="96"/>
        <v>0</v>
      </c>
    </row>
    <row r="1287" spans="1:7" x14ac:dyDescent="0.2">
      <c r="A1287" s="2">
        <v>19950405</v>
      </c>
      <c r="B1287" s="13">
        <v>4200.57</v>
      </c>
      <c r="C1287" s="2">
        <f t="shared" si="97"/>
        <v>-2.4752416335641899E-4</v>
      </c>
      <c r="D1287" s="21">
        <f t="shared" ca="1" si="95"/>
        <v>-6.3147657846328634E-4</v>
      </c>
      <c r="E1287" s="21">
        <f t="shared" ca="1" si="98"/>
        <v>3.7313240347512698E-5</v>
      </c>
      <c r="F1287" s="11">
        <f t="shared" ca="1" si="99"/>
        <v>5.0927377152677078</v>
      </c>
      <c r="G1287" s="10">
        <f t="shared" ca="1" si="96"/>
        <v>1</v>
      </c>
    </row>
    <row r="1288" spans="1:7" x14ac:dyDescent="0.2">
      <c r="A1288" s="2">
        <v>19950406</v>
      </c>
      <c r="B1288" s="13">
        <v>4205.41</v>
      </c>
      <c r="C1288" s="2">
        <f t="shared" si="97"/>
        <v>1.1522245790452595E-3</v>
      </c>
      <c r="D1288" s="21">
        <f t="shared" ca="1" si="95"/>
        <v>7.6827216393839223E-4</v>
      </c>
      <c r="E1288" s="21">
        <f t="shared" ca="1" si="98"/>
        <v>3.6349217540730059E-5</v>
      </c>
      <c r="F1288" s="11">
        <f t="shared" ca="1" si="99"/>
        <v>5.1030498914925033</v>
      </c>
      <c r="G1288" s="10">
        <f t="shared" ca="1" si="96"/>
        <v>1</v>
      </c>
    </row>
    <row r="1289" spans="1:7" x14ac:dyDescent="0.2">
      <c r="A1289" s="2">
        <v>19950407</v>
      </c>
      <c r="B1289" s="13">
        <v>4192.62</v>
      </c>
      <c r="C1289" s="2">
        <f t="shared" si="97"/>
        <v>-3.0413205846754453E-3</v>
      </c>
      <c r="D1289" s="21">
        <f t="shared" ca="1" si="95"/>
        <v>-3.4252729997823125E-3</v>
      </c>
      <c r="E1289" s="21">
        <f t="shared" ca="1" si="98"/>
        <v>3.5441005998822948E-5</v>
      </c>
      <c r="F1289" s="11">
        <f t="shared" ca="1" si="99"/>
        <v>4.9582990490882137</v>
      </c>
      <c r="G1289" s="10">
        <f t="shared" ca="1" si="96"/>
        <v>1</v>
      </c>
    </row>
    <row r="1290" spans="1:7" x14ac:dyDescent="0.2">
      <c r="A1290" s="2">
        <v>19950410</v>
      </c>
      <c r="B1290" s="13">
        <v>4198.1499999999996</v>
      </c>
      <c r="C1290" s="2">
        <f t="shared" si="97"/>
        <v>1.3189843105265312E-3</v>
      </c>
      <c r="D1290" s="21">
        <f t="shared" ca="1" si="95"/>
        <v>9.3503189541966388E-4</v>
      </c>
      <c r="E1290" s="21">
        <f t="shared" ca="1" si="98"/>
        <v>3.4988461275760194E-5</v>
      </c>
      <c r="F1290" s="11">
        <f t="shared" ca="1" si="99"/>
        <v>5.1177522147218886</v>
      </c>
      <c r="G1290" s="10">
        <f t="shared" ca="1" si="96"/>
        <v>1</v>
      </c>
    </row>
    <row r="1291" spans="1:7" x14ac:dyDescent="0.2">
      <c r="A1291" s="2">
        <v>19950411</v>
      </c>
      <c r="B1291" s="13">
        <v>4187.08</v>
      </c>
      <c r="C1291" s="2">
        <f t="shared" si="97"/>
        <v>-2.6368757667066946E-3</v>
      </c>
      <c r="D1291" s="21">
        <f t="shared" ca="1" si="95"/>
        <v>-3.0208281818135617E-3</v>
      </c>
      <c r="E1291" s="21">
        <f t="shared" ca="1" si="98"/>
        <v>3.4159535581036697E-5</v>
      </c>
      <c r="F1291" s="11">
        <f t="shared" ca="1" si="99"/>
        <v>5.0086640326493734</v>
      </c>
      <c r="G1291" s="10">
        <f t="shared" ca="1" si="96"/>
        <v>1</v>
      </c>
    </row>
    <row r="1292" spans="1:7" x14ac:dyDescent="0.2">
      <c r="A1292" s="2">
        <v>19950412</v>
      </c>
      <c r="B1292" s="13">
        <v>4197.8100000000004</v>
      </c>
      <c r="C1292" s="2">
        <f t="shared" si="97"/>
        <v>2.5626450891792067E-3</v>
      </c>
      <c r="D1292" s="21">
        <f t="shared" ca="1" si="95"/>
        <v>2.1786926740723395E-3</v>
      </c>
      <c r="E1292" s="21">
        <f t="shared" ca="1" si="98"/>
        <v>3.3675953535353912E-5</v>
      </c>
      <c r="F1292" s="11">
        <f t="shared" ca="1" si="99"/>
        <v>5.0788871299802159</v>
      </c>
      <c r="G1292" s="10">
        <f t="shared" ca="1" si="96"/>
        <v>1</v>
      </c>
    </row>
    <row r="1293" spans="1:7" x14ac:dyDescent="0.2">
      <c r="A1293" s="2">
        <v>19950413</v>
      </c>
      <c r="B1293" s="13">
        <v>4208.18</v>
      </c>
      <c r="C1293" s="2">
        <f t="shared" si="97"/>
        <v>2.4703357226744161E-3</v>
      </c>
      <c r="D1293" s="21">
        <f t="shared" ca="1" si="95"/>
        <v>2.0863833075675489E-3</v>
      </c>
      <c r="E1293" s="21">
        <f t="shared" ca="1" si="98"/>
        <v>3.3055823578400188E-5</v>
      </c>
      <c r="F1293" s="11">
        <f t="shared" ca="1" si="99"/>
        <v>5.0928133084405349</v>
      </c>
      <c r="G1293" s="10">
        <f t="shared" ca="1" si="96"/>
        <v>1</v>
      </c>
    </row>
    <row r="1294" spans="1:7" x14ac:dyDescent="0.2">
      <c r="A1294" s="2">
        <v>19950417</v>
      </c>
      <c r="B1294" s="13">
        <v>4195.38</v>
      </c>
      <c r="C1294" s="2">
        <f t="shared" si="97"/>
        <v>-3.0416949845301724E-3</v>
      </c>
      <c r="D1294" s="21">
        <f t="shared" ref="D1294:D1357" ca="1" si="100">(C1294-mu)</f>
        <v>-3.4256473996370396E-3</v>
      </c>
      <c r="E1294" s="21">
        <f t="shared" ca="1" si="98"/>
        <v>3.2452588926119115E-5</v>
      </c>
      <c r="F1294" s="11">
        <f t="shared" ca="1" si="99"/>
        <v>4.9870620257039331</v>
      </c>
      <c r="G1294" s="10">
        <f t="shared" ref="G1294:G1357" ca="1" si="101">IF(AND(C1294&lt;=mu+zvalue*SQRT(E1294),C1294&gt;=mu-zvalue*SQRT(E1294)),1,0)</f>
        <v>1</v>
      </c>
    </row>
    <row r="1295" spans="1:7" x14ac:dyDescent="0.2">
      <c r="A1295" s="2">
        <v>19950418</v>
      </c>
      <c r="B1295" s="13">
        <v>4179.13</v>
      </c>
      <c r="C1295" s="2">
        <f t="shared" ref="C1295:C1358" si="102">(B1295-B1294)/B1294</f>
        <v>-3.8733082581315637E-3</v>
      </c>
      <c r="D1295" s="21">
        <f t="shared" ca="1" si="100"/>
        <v>-4.2572606732384308E-3</v>
      </c>
      <c r="E1295" s="21">
        <f t="shared" ref="E1295:E1358" ca="1" si="103">(1-alpha-beta)*longvar+alpha*D1294^2+beta*E1294</f>
        <v>3.2151323525669102E-5</v>
      </c>
      <c r="F1295" s="11">
        <f t="shared" ref="F1295:F1358" ca="1" si="104">(-0.5)*(LN(E1295)+D1295^2/E1295)</f>
        <v>4.8906696470531719</v>
      </c>
      <c r="G1295" s="10">
        <f t="shared" ca="1" si="101"/>
        <v>1</v>
      </c>
    </row>
    <row r="1296" spans="1:7" x14ac:dyDescent="0.2">
      <c r="A1296" s="2">
        <v>19950419</v>
      </c>
      <c r="B1296" s="13">
        <v>4207.49</v>
      </c>
      <c r="C1296" s="2">
        <f t="shared" si="102"/>
        <v>6.7861014134520036E-3</v>
      </c>
      <c r="D1296" s="21">
        <f t="shared" ca="1" si="100"/>
        <v>6.4021489983451365E-3</v>
      </c>
      <c r="E1296" s="21">
        <f t="shared" ca="1" si="103"/>
        <v>3.2100241587296284E-5</v>
      </c>
      <c r="F1296" s="11">
        <f t="shared" ca="1" si="104"/>
        <v>4.5348935425704786</v>
      </c>
      <c r="G1296" s="10">
        <f t="shared" ca="1" si="101"/>
        <v>0</v>
      </c>
    </row>
    <row r="1297" spans="1:7" x14ac:dyDescent="0.2">
      <c r="A1297" s="2">
        <v>19950420</v>
      </c>
      <c r="B1297" s="13">
        <v>4230.66</v>
      </c>
      <c r="C1297" s="2">
        <f t="shared" si="102"/>
        <v>5.5068461244114839E-3</v>
      </c>
      <c r="D1297" s="21">
        <f t="shared" ca="1" si="100"/>
        <v>5.1228937093046167E-3</v>
      </c>
      <c r="E1297" s="21">
        <f t="shared" ca="1" si="103"/>
        <v>3.289246527954495E-5</v>
      </c>
      <c r="F1297" s="11">
        <f t="shared" ca="1" si="104"/>
        <v>4.7621965165047291</v>
      </c>
      <c r="G1297" s="10">
        <f t="shared" ca="1" si="101"/>
        <v>1</v>
      </c>
    </row>
    <row r="1298" spans="1:7" x14ac:dyDescent="0.2">
      <c r="A1298" s="2">
        <v>19950421</v>
      </c>
      <c r="B1298" s="13">
        <v>4270.09</v>
      </c>
      <c r="C1298" s="2">
        <f t="shared" si="102"/>
        <v>9.3200588087911321E-3</v>
      </c>
      <c r="D1298" s="21">
        <f t="shared" ca="1" si="100"/>
        <v>8.936106393684265E-3</v>
      </c>
      <c r="E1298" s="21">
        <f t="shared" ca="1" si="103"/>
        <v>3.3102466911992748E-5</v>
      </c>
      <c r="F1298" s="11">
        <f t="shared" ca="1" si="104"/>
        <v>3.9517875305518171</v>
      </c>
      <c r="G1298" s="10">
        <f t="shared" ca="1" si="101"/>
        <v>0</v>
      </c>
    </row>
    <row r="1299" spans="1:7" x14ac:dyDescent="0.2">
      <c r="A1299" s="2">
        <v>19950424</v>
      </c>
      <c r="B1299" s="13">
        <v>4303.9799999999996</v>
      </c>
      <c r="C1299" s="2">
        <f t="shared" si="102"/>
        <v>7.9366008678972613E-3</v>
      </c>
      <c r="D1299" s="21">
        <f t="shared" ca="1" si="100"/>
        <v>7.5526484527903941E-3</v>
      </c>
      <c r="E1299" s="21">
        <f t="shared" ca="1" si="103"/>
        <v>3.5273176236316792E-5</v>
      </c>
      <c r="F1299" s="11">
        <f t="shared" ca="1" si="104"/>
        <v>4.3176120532884186</v>
      </c>
      <c r="G1299" s="10">
        <f t="shared" ca="1" si="101"/>
        <v>0</v>
      </c>
    </row>
    <row r="1300" spans="1:7" x14ac:dyDescent="0.2">
      <c r="A1300" s="2">
        <v>19950425</v>
      </c>
      <c r="B1300" s="13">
        <v>4300.17</v>
      </c>
      <c r="C1300" s="2">
        <f t="shared" si="102"/>
        <v>-8.8522716183613568E-4</v>
      </c>
      <c r="D1300" s="21">
        <f t="shared" ca="1" si="100"/>
        <v>-1.269179576943003E-3</v>
      </c>
      <c r="E1300" s="21">
        <f t="shared" ca="1" si="103"/>
        <v>3.649525001933728E-5</v>
      </c>
      <c r="F1300" s="11">
        <f t="shared" ca="1" si="104"/>
        <v>5.0870953656462614</v>
      </c>
      <c r="G1300" s="10">
        <f t="shared" ca="1" si="101"/>
        <v>1</v>
      </c>
    </row>
    <row r="1301" spans="1:7" x14ac:dyDescent="0.2">
      <c r="A1301" s="2">
        <v>19950426</v>
      </c>
      <c r="B1301" s="13">
        <v>4299.83</v>
      </c>
      <c r="C1301" s="2">
        <f t="shared" si="102"/>
        <v>-7.9066641551414361E-5</v>
      </c>
      <c r="D1301" s="21">
        <f t="shared" ca="1" si="100"/>
        <v>-4.6301905665828164E-4</v>
      </c>
      <c r="E1301" s="21">
        <f t="shared" ca="1" si="103"/>
        <v>3.5617178959232939E-5</v>
      </c>
      <c r="F1301" s="11">
        <f t="shared" ca="1" si="104"/>
        <v>5.1183316446171894</v>
      </c>
      <c r="G1301" s="10">
        <f t="shared" ca="1" si="101"/>
        <v>1</v>
      </c>
    </row>
    <row r="1302" spans="1:7" x14ac:dyDescent="0.2">
      <c r="A1302" s="2">
        <v>19950427</v>
      </c>
      <c r="B1302" s="13">
        <v>4314.7</v>
      </c>
      <c r="C1302" s="2">
        <f t="shared" si="102"/>
        <v>3.4582762574334081E-3</v>
      </c>
      <c r="D1302" s="21">
        <f t="shared" ca="1" si="100"/>
        <v>3.0743238423265409E-3</v>
      </c>
      <c r="E1302" s="21">
        <f t="shared" ca="1" si="103"/>
        <v>3.4732180628265938E-5</v>
      </c>
      <c r="F1302" s="11">
        <f t="shared" ca="1" si="104"/>
        <v>4.9978598494110651</v>
      </c>
      <c r="G1302" s="10">
        <f t="shared" ca="1" si="101"/>
        <v>1</v>
      </c>
    </row>
    <row r="1303" spans="1:7" x14ac:dyDescent="0.2">
      <c r="A1303" s="2">
        <v>19950428</v>
      </c>
      <c r="B1303" s="13">
        <v>4321.2700000000004</v>
      </c>
      <c r="C1303" s="2">
        <f t="shared" si="102"/>
        <v>1.5227014624424916E-3</v>
      </c>
      <c r="D1303" s="21">
        <f t="shared" ca="1" si="100"/>
        <v>1.1387490473356242E-3</v>
      </c>
      <c r="E1303" s="21">
        <f t="shared" ca="1" si="103"/>
        <v>3.4231618230441434E-5</v>
      </c>
      <c r="F1303" s="11">
        <f t="shared" ca="1" si="104"/>
        <v>5.1222396021735888</v>
      </c>
      <c r="G1303" s="10">
        <f t="shared" ca="1" si="101"/>
        <v>1</v>
      </c>
    </row>
    <row r="1304" spans="1:7" x14ac:dyDescent="0.2">
      <c r="A1304" s="2">
        <v>19950501</v>
      </c>
      <c r="B1304" s="13">
        <v>4316.08</v>
      </c>
      <c r="C1304" s="2">
        <f t="shared" si="102"/>
        <v>-1.201035806603269E-3</v>
      </c>
      <c r="D1304" s="21">
        <f t="shared" ca="1" si="100"/>
        <v>-1.5849882217101362E-3</v>
      </c>
      <c r="E1304" s="21">
        <f t="shared" ca="1" si="103"/>
        <v>3.3456516240985601E-5</v>
      </c>
      <c r="F1304" s="11">
        <f t="shared" ca="1" si="104"/>
        <v>5.1150879211674258</v>
      </c>
      <c r="G1304" s="10">
        <f t="shared" ca="1" si="101"/>
        <v>1</v>
      </c>
    </row>
    <row r="1305" spans="1:7" x14ac:dyDescent="0.2">
      <c r="A1305" s="2">
        <v>19950502</v>
      </c>
      <c r="B1305" s="13">
        <v>4328.88</v>
      </c>
      <c r="C1305" s="2">
        <f t="shared" si="102"/>
        <v>2.9656540193880054E-3</v>
      </c>
      <c r="D1305" s="21">
        <f t="shared" ca="1" si="100"/>
        <v>2.5817016042811382E-3</v>
      </c>
      <c r="E1305" s="21">
        <f t="shared" ca="1" si="103"/>
        <v>3.2765320703795648E-5</v>
      </c>
      <c r="F1305" s="11">
        <f t="shared" ca="1" si="104"/>
        <v>5.0613590081933806</v>
      </c>
      <c r="G1305" s="10">
        <f t="shared" ca="1" si="101"/>
        <v>1</v>
      </c>
    </row>
    <row r="1306" spans="1:7" x14ac:dyDescent="0.2">
      <c r="A1306" s="2">
        <v>19950503</v>
      </c>
      <c r="B1306" s="13">
        <v>4373.1499999999996</v>
      </c>
      <c r="C1306" s="2">
        <f t="shared" si="102"/>
        <v>1.0226663709781635E-2</v>
      </c>
      <c r="D1306" s="21">
        <f t="shared" ca="1" si="100"/>
        <v>9.8427112946747677E-3</v>
      </c>
      <c r="E1306" s="21">
        <f t="shared" ca="1" si="103"/>
        <v>3.2261805872668058E-5</v>
      </c>
      <c r="F1306" s="11">
        <f t="shared" ca="1" si="104"/>
        <v>3.6693634280329182</v>
      </c>
      <c r="G1306" s="10">
        <f t="shared" ca="1" si="101"/>
        <v>0</v>
      </c>
    </row>
    <row r="1307" spans="1:7" x14ac:dyDescent="0.2">
      <c r="A1307" s="2">
        <v>19950504</v>
      </c>
      <c r="B1307" s="13">
        <v>4359.66</v>
      </c>
      <c r="C1307" s="2">
        <f t="shared" si="102"/>
        <v>-3.0847329727998773E-3</v>
      </c>
      <c r="D1307" s="21">
        <f t="shared" ca="1" si="100"/>
        <v>-3.4686853879067445E-3</v>
      </c>
      <c r="E1307" s="21">
        <f t="shared" ca="1" si="103"/>
        <v>3.5101082321081756E-5</v>
      </c>
      <c r="F1307" s="11">
        <f t="shared" ca="1" si="104"/>
        <v>4.9572517275366073</v>
      </c>
      <c r="G1307" s="10">
        <f t="shared" ca="1" si="101"/>
        <v>1</v>
      </c>
    </row>
    <row r="1308" spans="1:7" x14ac:dyDescent="0.2">
      <c r="A1308" s="2">
        <v>19950505</v>
      </c>
      <c r="B1308" s="13">
        <v>4343.3999999999996</v>
      </c>
      <c r="C1308" s="2">
        <f t="shared" si="102"/>
        <v>-3.729648642325369E-3</v>
      </c>
      <c r="D1308" s="21">
        <f t="shared" ca="1" si="100"/>
        <v>-4.1136010574322366E-3</v>
      </c>
      <c r="E1308" s="21">
        <f t="shared" ca="1" si="103"/>
        <v>3.4676739614525716E-5</v>
      </c>
      <c r="F1308" s="11">
        <f t="shared" ca="1" si="104"/>
        <v>4.8907284299759715</v>
      </c>
      <c r="G1308" s="10">
        <f t="shared" ca="1" si="101"/>
        <v>1</v>
      </c>
    </row>
    <row r="1309" spans="1:7" x14ac:dyDescent="0.2">
      <c r="A1309" s="2">
        <v>19950508</v>
      </c>
      <c r="B1309" s="13">
        <v>4383.87</v>
      </c>
      <c r="C1309" s="2">
        <f t="shared" si="102"/>
        <v>9.3175853018373292E-3</v>
      </c>
      <c r="D1309" s="21">
        <f t="shared" ca="1" si="100"/>
        <v>8.933632886730462E-3</v>
      </c>
      <c r="E1309" s="21">
        <f t="shared" ca="1" si="103"/>
        <v>3.4453676005703309E-5</v>
      </c>
      <c r="F1309" s="11">
        <f t="shared" ca="1" si="104"/>
        <v>3.9797285433002649</v>
      </c>
      <c r="G1309" s="10">
        <f t="shared" ca="1" si="101"/>
        <v>0</v>
      </c>
    </row>
    <row r="1310" spans="1:7" x14ac:dyDescent="0.2">
      <c r="A1310" s="2">
        <v>19950509</v>
      </c>
      <c r="B1310" s="13">
        <v>4390.78</v>
      </c>
      <c r="C1310" s="2">
        <f t="shared" si="102"/>
        <v>1.5762328718688862E-3</v>
      </c>
      <c r="D1310" s="21">
        <f t="shared" ca="1" si="100"/>
        <v>1.1922804567620188E-3</v>
      </c>
      <c r="E1310" s="21">
        <f t="shared" ca="1" si="103"/>
        <v>3.6554401871905561E-5</v>
      </c>
      <c r="F1310" s="11">
        <f t="shared" ca="1" si="104"/>
        <v>5.0889104025213747</v>
      </c>
      <c r="G1310" s="10">
        <f t="shared" ca="1" si="101"/>
        <v>1</v>
      </c>
    </row>
    <row r="1311" spans="1:7" x14ac:dyDescent="0.2">
      <c r="A1311" s="2">
        <v>19950510</v>
      </c>
      <c r="B1311" s="13">
        <v>4404.62</v>
      </c>
      <c r="C1311" s="2">
        <f t="shared" si="102"/>
        <v>3.1520595429513996E-3</v>
      </c>
      <c r="D1311" s="21">
        <f t="shared" ca="1" si="100"/>
        <v>2.7681071278445324E-3</v>
      </c>
      <c r="E1311" s="21">
        <f t="shared" ca="1" si="103"/>
        <v>3.5666377992844517E-5</v>
      </c>
      <c r="F1311" s="11">
        <f t="shared" ca="1" si="104"/>
        <v>5.0132331217807131</v>
      </c>
      <c r="G1311" s="10">
        <f t="shared" ca="1" si="101"/>
        <v>1</v>
      </c>
    </row>
    <row r="1312" spans="1:7" x14ac:dyDescent="0.2">
      <c r="A1312" s="2">
        <v>19950511</v>
      </c>
      <c r="B1312" s="13">
        <v>4411.1899999999996</v>
      </c>
      <c r="C1312" s="2">
        <f t="shared" si="102"/>
        <v>1.4916156217788842E-3</v>
      </c>
      <c r="D1312" s="21">
        <f t="shared" ca="1" si="100"/>
        <v>1.1076632066720168E-3</v>
      </c>
      <c r="E1312" s="21">
        <f t="shared" ca="1" si="103"/>
        <v>3.5052767749884245E-5</v>
      </c>
      <c r="F1312" s="11">
        <f t="shared" ca="1" si="104"/>
        <v>5.1118269794717754</v>
      </c>
      <c r="G1312" s="10">
        <f t="shared" ca="1" si="101"/>
        <v>1</v>
      </c>
    </row>
    <row r="1313" spans="1:7" x14ac:dyDescent="0.2">
      <c r="A1313" s="2">
        <v>19950512</v>
      </c>
      <c r="B1313" s="13">
        <v>4430.5600000000004</v>
      </c>
      <c r="C1313" s="2">
        <f t="shared" si="102"/>
        <v>4.3911053479901803E-3</v>
      </c>
      <c r="D1313" s="21">
        <f t="shared" ca="1" si="100"/>
        <v>4.0071529328833131E-3</v>
      </c>
      <c r="E1313" s="21">
        <f t="shared" ca="1" si="103"/>
        <v>3.4233555705510846E-5</v>
      </c>
      <c r="F1313" s="11">
        <f t="shared" ca="1" si="104"/>
        <v>4.9066267471010834</v>
      </c>
      <c r="G1313" s="10">
        <f t="shared" ca="1" si="101"/>
        <v>1</v>
      </c>
    </row>
    <row r="1314" spans="1:7" x14ac:dyDescent="0.2">
      <c r="A1314" s="2">
        <v>19950515</v>
      </c>
      <c r="B1314" s="13">
        <v>4437.47</v>
      </c>
      <c r="C1314" s="2">
        <f t="shared" si="102"/>
        <v>1.5596222599400197E-3</v>
      </c>
      <c r="D1314" s="21">
        <f t="shared" ca="1" si="100"/>
        <v>1.1756698448331525E-3</v>
      </c>
      <c r="E1314" s="21">
        <f t="shared" ca="1" si="103"/>
        <v>3.4001125984005192E-5</v>
      </c>
      <c r="F1314" s="11">
        <f t="shared" ca="1" si="104"/>
        <v>5.1242326670214231</v>
      </c>
      <c r="G1314" s="10">
        <f t="shared" ca="1" si="101"/>
        <v>1</v>
      </c>
    </row>
    <row r="1315" spans="1:7" x14ac:dyDescent="0.2">
      <c r="A1315" s="2">
        <v>19950516</v>
      </c>
      <c r="B1315" s="13">
        <v>4435.05</v>
      </c>
      <c r="C1315" s="2">
        <f t="shared" si="102"/>
        <v>-5.4535579958852058E-4</v>
      </c>
      <c r="D1315" s="21">
        <f t="shared" ca="1" si="100"/>
        <v>-9.2930821469538788E-4</v>
      </c>
      <c r="E1315" s="21">
        <f t="shared" ca="1" si="103"/>
        <v>3.3240826825921457E-5</v>
      </c>
      <c r="F1315" s="11">
        <f t="shared" ca="1" si="104"/>
        <v>5.1428756000628768</v>
      </c>
      <c r="G1315" s="10">
        <f t="shared" ca="1" si="101"/>
        <v>1</v>
      </c>
    </row>
    <row r="1316" spans="1:7" x14ac:dyDescent="0.2">
      <c r="A1316" s="2">
        <v>19950517</v>
      </c>
      <c r="B1316" s="13">
        <v>4422.6000000000004</v>
      </c>
      <c r="C1316" s="2">
        <f t="shared" si="102"/>
        <v>-2.8071836845130985E-3</v>
      </c>
      <c r="D1316" s="21">
        <f t="shared" ca="1" si="100"/>
        <v>-3.1911360996199657E-3</v>
      </c>
      <c r="E1316" s="21">
        <f t="shared" ca="1" si="103"/>
        <v>3.2499922146281754E-5</v>
      </c>
      <c r="F1316" s="11">
        <f t="shared" ca="1" si="104"/>
        <v>5.0104691397489267</v>
      </c>
      <c r="G1316" s="10">
        <f t="shared" ca="1" si="101"/>
        <v>1</v>
      </c>
    </row>
    <row r="1317" spans="1:7" x14ac:dyDescent="0.2">
      <c r="A1317" s="2">
        <v>19950518</v>
      </c>
      <c r="B1317" s="13">
        <v>4340.6400000000003</v>
      </c>
      <c r="C1317" s="2">
        <f t="shared" si="102"/>
        <v>-1.8532085198751873E-2</v>
      </c>
      <c r="D1317" s="21">
        <f t="shared" ca="1" si="100"/>
        <v>-1.8916037613858742E-2</v>
      </c>
      <c r="E1317" s="21">
        <f t="shared" ca="1" si="103"/>
        <v>3.2139203038181427E-5</v>
      </c>
      <c r="F1317" s="11">
        <f t="shared" ca="1" si="104"/>
        <v>-0.39394995747712525</v>
      </c>
      <c r="G1317" s="10">
        <f t="shared" ca="1" si="101"/>
        <v>0</v>
      </c>
    </row>
    <row r="1318" spans="1:7" x14ac:dyDescent="0.2">
      <c r="A1318" s="2">
        <v>19950519</v>
      </c>
      <c r="B1318" s="13">
        <v>4341.33</v>
      </c>
      <c r="C1318" s="2">
        <f t="shared" si="102"/>
        <v>1.5896273360601197E-4</v>
      </c>
      <c r="D1318" s="21">
        <f t="shared" ca="1" si="100"/>
        <v>-2.2498968150085532E-4</v>
      </c>
      <c r="E1318" s="21">
        <f t="shared" ca="1" si="103"/>
        <v>4.4579809980469789E-5</v>
      </c>
      <c r="F1318" s="11">
        <f t="shared" ca="1" si="104"/>
        <v>5.00854699642304</v>
      </c>
      <c r="G1318" s="10">
        <f t="shared" ca="1" si="101"/>
        <v>1</v>
      </c>
    </row>
    <row r="1319" spans="1:7" x14ac:dyDescent="0.2">
      <c r="A1319" s="2">
        <v>19950522</v>
      </c>
      <c r="B1319" s="13">
        <v>4395.63</v>
      </c>
      <c r="C1319" s="2">
        <f t="shared" si="102"/>
        <v>1.2507687736246768E-2</v>
      </c>
      <c r="D1319" s="21">
        <f t="shared" ca="1" si="100"/>
        <v>1.2123735321139901E-2</v>
      </c>
      <c r="E1319" s="21">
        <f t="shared" ca="1" si="103"/>
        <v>4.3235367222635447E-5</v>
      </c>
      <c r="F1319" s="11">
        <f t="shared" ca="1" si="104"/>
        <v>3.3246026836590108</v>
      </c>
      <c r="G1319" s="10">
        <f t="shared" ca="1" si="101"/>
        <v>0</v>
      </c>
    </row>
    <row r="1320" spans="1:7" x14ac:dyDescent="0.2">
      <c r="A1320" s="2">
        <v>19950523</v>
      </c>
      <c r="B1320" s="13">
        <v>4436.4399999999996</v>
      </c>
      <c r="C1320" s="2">
        <f t="shared" si="102"/>
        <v>9.2842209194130276E-3</v>
      </c>
      <c r="D1320" s="21">
        <f t="shared" ca="1" si="100"/>
        <v>8.9002685043061604E-3</v>
      </c>
      <c r="E1320" s="21">
        <f t="shared" ca="1" si="103"/>
        <v>4.7361972421046087E-5</v>
      </c>
      <c r="F1320" s="11">
        <f t="shared" ca="1" si="104"/>
        <v>4.1425756072140993</v>
      </c>
      <c r="G1320" s="10">
        <f t="shared" ca="1" si="101"/>
        <v>0</v>
      </c>
    </row>
    <row r="1321" spans="1:7" x14ac:dyDescent="0.2">
      <c r="A1321" s="2">
        <v>19950524</v>
      </c>
      <c r="B1321" s="13">
        <v>4438.16</v>
      </c>
      <c r="C1321" s="2">
        <f t="shared" si="102"/>
        <v>3.8769824453847114E-4</v>
      </c>
      <c r="D1321" s="21">
        <f t="shared" ca="1" si="100"/>
        <v>3.7458294316038425E-6</v>
      </c>
      <c r="E1321" s="21">
        <f t="shared" ca="1" si="103"/>
        <v>4.8787783503434961E-5</v>
      </c>
      <c r="F1321" s="11">
        <f t="shared" ca="1" si="104"/>
        <v>4.9640151634459846</v>
      </c>
      <c r="G1321" s="10">
        <f t="shared" ca="1" si="101"/>
        <v>1</v>
      </c>
    </row>
    <row r="1322" spans="1:7" x14ac:dyDescent="0.2">
      <c r="A1322" s="2">
        <v>19950525</v>
      </c>
      <c r="B1322" s="13">
        <v>4412.2299999999996</v>
      </c>
      <c r="C1322" s="2">
        <f t="shared" si="102"/>
        <v>-5.8425113109938113E-3</v>
      </c>
      <c r="D1322" s="21">
        <f t="shared" ca="1" si="100"/>
        <v>-6.2264637261006785E-3</v>
      </c>
      <c r="E1322" s="21">
        <f t="shared" ca="1" si="103"/>
        <v>4.7228597096587142E-5</v>
      </c>
      <c r="F1322" s="11">
        <f t="shared" ca="1" si="104"/>
        <v>4.5698171856329104</v>
      </c>
      <c r="G1322" s="10">
        <f t="shared" ca="1" si="101"/>
        <v>1</v>
      </c>
    </row>
    <row r="1323" spans="1:7" x14ac:dyDescent="0.2">
      <c r="A1323" s="2">
        <v>19950526</v>
      </c>
      <c r="B1323" s="13">
        <v>4369</v>
      </c>
      <c r="C1323" s="2">
        <f t="shared" si="102"/>
        <v>-9.7977666622092608E-3</v>
      </c>
      <c r="D1323" s="21">
        <f t="shared" ca="1" si="100"/>
        <v>-1.0181719077316128E-2</v>
      </c>
      <c r="E1323" s="21">
        <f t="shared" ca="1" si="103"/>
        <v>4.7173888253808618E-5</v>
      </c>
      <c r="F1323" s="11">
        <f t="shared" ca="1" si="104"/>
        <v>3.882055509582111</v>
      </c>
      <c r="G1323" s="10">
        <f t="shared" ca="1" si="101"/>
        <v>0</v>
      </c>
    </row>
    <row r="1324" spans="1:7" x14ac:dyDescent="0.2">
      <c r="A1324" s="2">
        <v>19950530</v>
      </c>
      <c r="B1324" s="13">
        <v>4378.68</v>
      </c>
      <c r="C1324" s="2">
        <f t="shared" si="102"/>
        <v>2.2156099794003871E-3</v>
      </c>
      <c r="D1324" s="21">
        <f t="shared" ca="1" si="100"/>
        <v>1.8316575642935199E-3</v>
      </c>
      <c r="E1324" s="21">
        <f t="shared" ca="1" si="103"/>
        <v>4.9508380253141448E-5</v>
      </c>
      <c r="F1324" s="11">
        <f t="shared" ca="1" si="104"/>
        <v>4.9228014585073598</v>
      </c>
      <c r="G1324" s="10">
        <f t="shared" ca="1" si="101"/>
        <v>1</v>
      </c>
    </row>
    <row r="1325" spans="1:7" x14ac:dyDescent="0.2">
      <c r="A1325" s="2">
        <v>19950531</v>
      </c>
      <c r="B1325" s="13">
        <v>4465.1400000000003</v>
      </c>
      <c r="C1325" s="2">
        <f t="shared" si="102"/>
        <v>1.9745676779303358E-2</v>
      </c>
      <c r="D1325" s="21">
        <f t="shared" ca="1" si="100"/>
        <v>1.9361724364196489E-2</v>
      </c>
      <c r="E1325" s="21">
        <f t="shared" ca="1" si="103"/>
        <v>4.8036106187485893E-5</v>
      </c>
      <c r="F1325" s="11">
        <f t="shared" ca="1" si="104"/>
        <v>1.0697517700908481</v>
      </c>
      <c r="G1325" s="10">
        <f t="shared" ca="1" si="101"/>
        <v>0</v>
      </c>
    </row>
    <row r="1326" spans="1:7" x14ac:dyDescent="0.2">
      <c r="A1326" s="2">
        <v>19950601</v>
      </c>
      <c r="B1326" s="13">
        <v>4472.75</v>
      </c>
      <c r="C1326" s="2">
        <f t="shared" si="102"/>
        <v>1.7043138624991986E-3</v>
      </c>
      <c r="D1326" s="21">
        <f t="shared" ca="1" si="100"/>
        <v>1.3203614473923314E-3</v>
      </c>
      <c r="E1326" s="21">
        <f t="shared" ca="1" si="103"/>
        <v>6.0299805557341447E-5</v>
      </c>
      <c r="F1326" s="11">
        <f t="shared" ca="1" si="104"/>
        <v>4.8436351182398987</v>
      </c>
      <c r="G1326" s="10">
        <f t="shared" ca="1" si="101"/>
        <v>1</v>
      </c>
    </row>
    <row r="1327" spans="1:7" x14ac:dyDescent="0.2">
      <c r="A1327" s="2">
        <v>19950602</v>
      </c>
      <c r="B1327" s="13">
        <v>4444.3900000000003</v>
      </c>
      <c r="C1327" s="2">
        <f t="shared" si="102"/>
        <v>-6.3406181879156389E-3</v>
      </c>
      <c r="D1327" s="21">
        <f t="shared" ca="1" si="100"/>
        <v>-6.7245706030225061E-3</v>
      </c>
      <c r="E1327" s="21">
        <f t="shared" ca="1" si="103"/>
        <v>5.8222327831828611E-5</v>
      </c>
      <c r="F1327" s="11">
        <f t="shared" ca="1" si="104"/>
        <v>4.4872831182173449</v>
      </c>
      <c r="G1327" s="10">
        <f t="shared" ca="1" si="101"/>
        <v>1</v>
      </c>
    </row>
    <row r="1328" spans="1:7" x14ac:dyDescent="0.2">
      <c r="A1328" s="2">
        <v>19950605</v>
      </c>
      <c r="B1328" s="13">
        <v>4476.55</v>
      </c>
      <c r="C1328" s="2">
        <f t="shared" si="102"/>
        <v>7.2360886420858323E-3</v>
      </c>
      <c r="D1328" s="21">
        <f t="shared" ca="1" si="100"/>
        <v>6.8521362269789651E-3</v>
      </c>
      <c r="E1328" s="21">
        <f t="shared" ca="1" si="103"/>
        <v>5.7848657037944958E-5</v>
      </c>
      <c r="F1328" s="11">
        <f t="shared" ca="1" si="104"/>
        <v>4.4730245946407372</v>
      </c>
      <c r="G1328" s="10">
        <f t="shared" ca="1" si="101"/>
        <v>1</v>
      </c>
    </row>
    <row r="1329" spans="1:7" x14ac:dyDescent="0.2">
      <c r="A1329" s="2">
        <v>19950606</v>
      </c>
      <c r="B1329" s="13">
        <v>4485.2</v>
      </c>
      <c r="C1329" s="2">
        <f t="shared" si="102"/>
        <v>1.9322916084930663E-3</v>
      </c>
      <c r="D1329" s="21">
        <f t="shared" ca="1" si="100"/>
        <v>1.5483391933861991E-3</v>
      </c>
      <c r="E1329" s="21">
        <f t="shared" ca="1" si="103"/>
        <v>5.7557576134615667E-5</v>
      </c>
      <c r="F1329" s="11">
        <f t="shared" ca="1" si="104"/>
        <v>4.8605366880527434</v>
      </c>
      <c r="G1329" s="10">
        <f t="shared" ca="1" si="101"/>
        <v>1</v>
      </c>
    </row>
    <row r="1330" spans="1:7" x14ac:dyDescent="0.2">
      <c r="A1330" s="2">
        <v>19950607</v>
      </c>
      <c r="B1330" s="13">
        <v>4462.03</v>
      </c>
      <c r="C1330" s="2">
        <f t="shared" si="102"/>
        <v>-5.1658788905734583E-3</v>
      </c>
      <c r="D1330" s="21">
        <f t="shared" ca="1" si="100"/>
        <v>-5.5498313056803255E-3</v>
      </c>
      <c r="E1330" s="21">
        <f t="shared" ca="1" si="103"/>
        <v>5.5642877416975562E-5</v>
      </c>
      <c r="F1330" s="11">
        <f t="shared" ca="1" si="104"/>
        <v>4.6215076172453502</v>
      </c>
      <c r="G1330" s="10">
        <f t="shared" ca="1" si="101"/>
        <v>1</v>
      </c>
    </row>
    <row r="1331" spans="1:7" x14ac:dyDescent="0.2">
      <c r="A1331" s="2">
        <v>19950608</v>
      </c>
      <c r="B1331" s="13">
        <v>4458.57</v>
      </c>
      <c r="C1331" s="2">
        <f t="shared" si="102"/>
        <v>-7.7543181018505851E-4</v>
      </c>
      <c r="D1331" s="21">
        <f t="shared" ca="1" si="100"/>
        <v>-1.1593842252919258E-3</v>
      </c>
      <c r="E1331" s="21">
        <f t="shared" ca="1" si="103"/>
        <v>5.4869481889262041E-5</v>
      </c>
      <c r="F1331" s="11">
        <f t="shared" ca="1" si="104"/>
        <v>4.893027814134209</v>
      </c>
      <c r="G1331" s="10">
        <f t="shared" ca="1" si="101"/>
        <v>1</v>
      </c>
    </row>
    <row r="1332" spans="1:7" x14ac:dyDescent="0.2">
      <c r="A1332" s="2">
        <v>19950609</v>
      </c>
      <c r="B1332" s="13">
        <v>4423.99</v>
      </c>
      <c r="C1332" s="2">
        <f t="shared" si="102"/>
        <v>-7.7558499698333616E-3</v>
      </c>
      <c r="D1332" s="21">
        <f t="shared" ca="1" si="100"/>
        <v>-8.1398023849402288E-3</v>
      </c>
      <c r="E1332" s="21">
        <f t="shared" ca="1" si="103"/>
        <v>5.3052047386042057E-5</v>
      </c>
      <c r="F1332" s="11">
        <f t="shared" ca="1" si="104"/>
        <v>4.2976715576274369</v>
      </c>
      <c r="G1332" s="10">
        <f t="shared" ca="1" si="101"/>
        <v>0</v>
      </c>
    </row>
    <row r="1333" spans="1:7" x14ac:dyDescent="0.2">
      <c r="A1333" s="2">
        <v>19950612</v>
      </c>
      <c r="B1333" s="13">
        <v>4446.46</v>
      </c>
      <c r="C1333" s="2">
        <f t="shared" si="102"/>
        <v>5.0791254048947344E-3</v>
      </c>
      <c r="D1333" s="21">
        <f t="shared" ca="1" si="100"/>
        <v>4.6951729897878672E-3</v>
      </c>
      <c r="E1333" s="21">
        <f t="shared" ca="1" si="103"/>
        <v>5.3713492834091095E-5</v>
      </c>
      <c r="F1333" s="11">
        <f t="shared" ca="1" si="104"/>
        <v>4.7107172798501784</v>
      </c>
      <c r="G1333" s="10">
        <f t="shared" ca="1" si="101"/>
        <v>1</v>
      </c>
    </row>
    <row r="1334" spans="1:7" x14ac:dyDescent="0.2">
      <c r="A1334" s="2">
        <v>19950613</v>
      </c>
      <c r="B1334" s="13">
        <v>4484.51</v>
      </c>
      <c r="C1334" s="2">
        <f t="shared" si="102"/>
        <v>8.5573692330528518E-3</v>
      </c>
      <c r="D1334" s="21">
        <f t="shared" ca="1" si="100"/>
        <v>8.1734168179459846E-3</v>
      </c>
      <c r="E1334" s="21">
        <f t="shared" ca="1" si="103"/>
        <v>5.2715732903973695E-5</v>
      </c>
      <c r="F1334" s="11">
        <f t="shared" ca="1" si="104"/>
        <v>4.2916663814221341</v>
      </c>
      <c r="G1334" s="10">
        <f t="shared" ca="1" si="101"/>
        <v>0</v>
      </c>
    </row>
    <row r="1335" spans="1:7" x14ac:dyDescent="0.2">
      <c r="A1335" s="2">
        <v>19950614</v>
      </c>
      <c r="B1335" s="13">
        <v>4491.08</v>
      </c>
      <c r="C1335" s="2">
        <f t="shared" si="102"/>
        <v>1.4650430035833811E-3</v>
      </c>
      <c r="D1335" s="21">
        <f t="shared" ca="1" si="100"/>
        <v>1.0810905884765139E-3</v>
      </c>
      <c r="E1335" s="21">
        <f t="shared" ca="1" si="103"/>
        <v>5.3414356752875526E-5</v>
      </c>
      <c r="F1335" s="11">
        <f t="shared" ca="1" si="104"/>
        <v>4.907775022624568</v>
      </c>
      <c r="G1335" s="10">
        <f t="shared" ca="1" si="101"/>
        <v>1</v>
      </c>
    </row>
    <row r="1336" spans="1:7" x14ac:dyDescent="0.2">
      <c r="A1336" s="2">
        <v>19950615</v>
      </c>
      <c r="B1336" s="13">
        <v>4496.2700000000004</v>
      </c>
      <c r="C1336" s="2">
        <f t="shared" si="102"/>
        <v>1.1556240369800827E-3</v>
      </c>
      <c r="D1336" s="21">
        <f t="shared" ca="1" si="100"/>
        <v>7.7167162187321539E-4</v>
      </c>
      <c r="E1336" s="21">
        <f t="shared" ca="1" si="103"/>
        <v>5.166408719648484E-5</v>
      </c>
      <c r="F1336" s="11">
        <f t="shared" ca="1" si="104"/>
        <v>4.9296108588412961</v>
      </c>
      <c r="G1336" s="10">
        <f t="shared" ca="1" si="101"/>
        <v>1</v>
      </c>
    </row>
    <row r="1337" spans="1:7" x14ac:dyDescent="0.2">
      <c r="A1337" s="2">
        <v>19950616</v>
      </c>
      <c r="B1337" s="13">
        <v>4510.79</v>
      </c>
      <c r="C1337" s="2">
        <f t="shared" si="102"/>
        <v>3.2293434335570431E-3</v>
      </c>
      <c r="D1337" s="21">
        <f t="shared" ca="1" si="100"/>
        <v>2.8453910184501759E-3</v>
      </c>
      <c r="E1337" s="21">
        <f t="shared" ca="1" si="103"/>
        <v>4.9981283855192452E-5</v>
      </c>
      <c r="F1337" s="11">
        <f t="shared" ca="1" si="104"/>
        <v>4.8709381548093411</v>
      </c>
      <c r="G1337" s="10">
        <f t="shared" ca="1" si="101"/>
        <v>1</v>
      </c>
    </row>
    <row r="1338" spans="1:7" x14ac:dyDescent="0.2">
      <c r="A1338" s="2">
        <v>19950619</v>
      </c>
      <c r="B1338" s="13">
        <v>4553.68</v>
      </c>
      <c r="C1338" s="2">
        <f t="shared" si="102"/>
        <v>9.5083122911951857E-3</v>
      </c>
      <c r="D1338" s="21">
        <f t="shared" ca="1" si="100"/>
        <v>9.1243598760883185E-3</v>
      </c>
      <c r="E1338" s="21">
        <f t="shared" ca="1" si="103"/>
        <v>4.8659430607313088E-5</v>
      </c>
      <c r="F1338" s="11">
        <f t="shared" ca="1" si="104"/>
        <v>4.1098565326654528</v>
      </c>
      <c r="G1338" s="10">
        <f t="shared" ca="1" si="101"/>
        <v>0</v>
      </c>
    </row>
    <row r="1339" spans="1:7" x14ac:dyDescent="0.2">
      <c r="A1339" s="2">
        <v>19950620</v>
      </c>
      <c r="B1339" s="13">
        <v>4550.5600000000004</v>
      </c>
      <c r="C1339" s="2">
        <f t="shared" si="102"/>
        <v>-6.8516013422108941E-4</v>
      </c>
      <c r="D1339" s="21">
        <f t="shared" ca="1" si="100"/>
        <v>-1.0691125493279567E-3</v>
      </c>
      <c r="E1339" s="21">
        <f t="shared" ca="1" si="103"/>
        <v>5.0168129954657236E-5</v>
      </c>
      <c r="F1339" s="11">
        <f t="shared" ca="1" si="104"/>
        <v>4.938673586493417</v>
      </c>
      <c r="G1339" s="10">
        <f t="shared" ca="1" si="101"/>
        <v>1</v>
      </c>
    </row>
    <row r="1340" spans="1:7" x14ac:dyDescent="0.2">
      <c r="A1340" s="2">
        <v>19950621</v>
      </c>
      <c r="B1340" s="13">
        <v>4547.1000000000004</v>
      </c>
      <c r="C1340" s="2">
        <f t="shared" si="102"/>
        <v>-7.6034597939595035E-4</v>
      </c>
      <c r="D1340" s="21">
        <f t="shared" ca="1" si="100"/>
        <v>-1.1442983945028178E-3</v>
      </c>
      <c r="E1340" s="21">
        <f t="shared" ca="1" si="103"/>
        <v>4.8581141016542737E-5</v>
      </c>
      <c r="F1340" s="11">
        <f t="shared" ca="1" si="104"/>
        <v>4.9526609571218412</v>
      </c>
      <c r="G1340" s="10">
        <f t="shared" ca="1" si="101"/>
        <v>1</v>
      </c>
    </row>
    <row r="1341" spans="1:7" x14ac:dyDescent="0.2">
      <c r="A1341" s="2">
        <v>19950622</v>
      </c>
      <c r="B1341" s="13">
        <v>4589.6400000000003</v>
      </c>
      <c r="C1341" s="2">
        <f t="shared" si="102"/>
        <v>9.3554133403707766E-3</v>
      </c>
      <c r="D1341" s="21">
        <f t="shared" ca="1" si="100"/>
        <v>8.9714609252639094E-3</v>
      </c>
      <c r="E1341" s="21">
        <f t="shared" ca="1" si="103"/>
        <v>4.7080557821352413E-5</v>
      </c>
      <c r="F1341" s="11">
        <f t="shared" ca="1" si="104"/>
        <v>4.1270444415068681</v>
      </c>
      <c r="G1341" s="10">
        <f t="shared" ca="1" si="101"/>
        <v>0</v>
      </c>
    </row>
    <row r="1342" spans="1:7" x14ac:dyDescent="0.2">
      <c r="A1342" s="2">
        <v>19950623</v>
      </c>
      <c r="B1342" s="13">
        <v>4585.84</v>
      </c>
      <c r="C1342" s="2">
        <f t="shared" si="102"/>
        <v>-8.2795164762381834E-4</v>
      </c>
      <c r="D1342" s="21">
        <f t="shared" ca="1" si="100"/>
        <v>-1.2119040627306856E-3</v>
      </c>
      <c r="E1342" s="21">
        <f t="shared" ca="1" si="103"/>
        <v>4.8567391618600407E-5</v>
      </c>
      <c r="F1342" s="11">
        <f t="shared" ca="1" si="104"/>
        <v>4.9511587580600951</v>
      </c>
      <c r="G1342" s="10">
        <f t="shared" ca="1" si="101"/>
        <v>1</v>
      </c>
    </row>
    <row r="1343" spans="1:7" x14ac:dyDescent="0.2">
      <c r="A1343" s="2">
        <v>19950626</v>
      </c>
      <c r="B1343" s="13">
        <v>4551.25</v>
      </c>
      <c r="C1343" s="2">
        <f t="shared" si="102"/>
        <v>-7.5427838738377582E-3</v>
      </c>
      <c r="D1343" s="21">
        <f t="shared" ca="1" si="100"/>
        <v>-7.9267362889446254E-3</v>
      </c>
      <c r="E1343" s="21">
        <f t="shared" ca="1" si="103"/>
        <v>4.7073361478543307E-5</v>
      </c>
      <c r="F1343" s="11">
        <f t="shared" ca="1" si="104"/>
        <v>4.3145056253547542</v>
      </c>
      <c r="G1343" s="10">
        <f t="shared" ca="1" si="101"/>
        <v>0</v>
      </c>
    </row>
    <row r="1344" spans="1:7" x14ac:dyDescent="0.2">
      <c r="A1344" s="2">
        <v>19950627</v>
      </c>
      <c r="B1344" s="13">
        <v>4542.6099999999997</v>
      </c>
      <c r="C1344" s="2">
        <f t="shared" si="102"/>
        <v>-1.8983795660533541E-3</v>
      </c>
      <c r="D1344" s="21">
        <f t="shared" ca="1" si="100"/>
        <v>-2.2823319811602215E-3</v>
      </c>
      <c r="E1344" s="21">
        <f t="shared" ca="1" si="103"/>
        <v>4.7911392299223985E-5</v>
      </c>
      <c r="F1344" s="11">
        <f t="shared" ca="1" si="104"/>
        <v>4.9187174472397581</v>
      </c>
      <c r="G1344" s="10">
        <f t="shared" ca="1" si="101"/>
        <v>1</v>
      </c>
    </row>
    <row r="1345" spans="1:7" x14ac:dyDescent="0.2">
      <c r="A1345" s="2">
        <v>19950628</v>
      </c>
      <c r="B1345" s="13">
        <v>4556.79</v>
      </c>
      <c r="C1345" s="2">
        <f t="shared" si="102"/>
        <v>3.1215534681604392E-3</v>
      </c>
      <c r="D1345" s="21">
        <f t="shared" ca="1" si="100"/>
        <v>2.737601053053572E-3</v>
      </c>
      <c r="E1345" s="21">
        <f t="shared" ca="1" si="103"/>
        <v>4.6588087765275884E-5</v>
      </c>
      <c r="F1345" s="11">
        <f t="shared" ca="1" si="104"/>
        <v>4.9066496216473912</v>
      </c>
      <c r="G1345" s="10">
        <f t="shared" ca="1" si="101"/>
        <v>1</v>
      </c>
    </row>
    <row r="1346" spans="1:7" x14ac:dyDescent="0.2">
      <c r="A1346" s="2">
        <v>19950629</v>
      </c>
      <c r="B1346" s="13">
        <v>4550.5600000000004</v>
      </c>
      <c r="C1346" s="2">
        <f t="shared" si="102"/>
        <v>-1.3671905003301806E-3</v>
      </c>
      <c r="D1346" s="21">
        <f t="shared" ca="1" si="100"/>
        <v>-1.751142915437048E-3</v>
      </c>
      <c r="E1346" s="21">
        <f t="shared" ca="1" si="103"/>
        <v>4.5415768536587931E-5</v>
      </c>
      <c r="F1346" s="11">
        <f t="shared" ca="1" si="104"/>
        <v>4.9660652770365639</v>
      </c>
      <c r="G1346" s="10">
        <f t="shared" ca="1" si="101"/>
        <v>1</v>
      </c>
    </row>
    <row r="1347" spans="1:7" x14ac:dyDescent="0.2">
      <c r="A1347" s="2">
        <v>19950630</v>
      </c>
      <c r="B1347" s="13">
        <v>4556.1000000000004</v>
      </c>
      <c r="C1347" s="2">
        <f t="shared" si="102"/>
        <v>1.2174325797264431E-3</v>
      </c>
      <c r="D1347" s="21">
        <f t="shared" ca="1" si="100"/>
        <v>8.3348016461957583E-4</v>
      </c>
      <c r="E1347" s="21">
        <f t="shared" ca="1" si="103"/>
        <v>4.4139933576033014E-5</v>
      </c>
      <c r="F1347" s="11">
        <f t="shared" ca="1" si="104"/>
        <v>5.0062036620952526</v>
      </c>
      <c r="G1347" s="10">
        <f t="shared" ca="1" si="101"/>
        <v>1</v>
      </c>
    </row>
    <row r="1348" spans="1:7" x14ac:dyDescent="0.2">
      <c r="A1348" s="2">
        <v>19950703</v>
      </c>
      <c r="B1348" s="13">
        <v>4585.1499999999996</v>
      </c>
      <c r="C1348" s="2">
        <f t="shared" si="102"/>
        <v>6.37606725049917E-3</v>
      </c>
      <c r="D1348" s="21">
        <f t="shared" ca="1" si="100"/>
        <v>5.9921148353923029E-3</v>
      </c>
      <c r="E1348" s="21">
        <f t="shared" ca="1" si="103"/>
        <v>4.2841427845715947E-5</v>
      </c>
      <c r="F1348" s="11">
        <f t="shared" ca="1" si="104"/>
        <v>4.6099520303329049</v>
      </c>
      <c r="G1348" s="10">
        <f t="shared" ca="1" si="101"/>
        <v>1</v>
      </c>
    </row>
    <row r="1349" spans="1:7" x14ac:dyDescent="0.2">
      <c r="A1349" s="2">
        <v>19950705</v>
      </c>
      <c r="B1349" s="13">
        <v>4615.2299999999996</v>
      </c>
      <c r="C1349" s="2">
        <f t="shared" si="102"/>
        <v>6.5603088230483039E-3</v>
      </c>
      <c r="D1349" s="21">
        <f t="shared" ca="1" si="100"/>
        <v>6.1763564079414367E-3</v>
      </c>
      <c r="E1349" s="21">
        <f t="shared" ca="1" si="103"/>
        <v>4.2903374742323292E-5</v>
      </c>
      <c r="F1349" s="11">
        <f t="shared" ca="1" si="104"/>
        <v>4.5837068666242615</v>
      </c>
      <c r="G1349" s="10">
        <f t="shared" ca="1" si="101"/>
        <v>1</v>
      </c>
    </row>
    <row r="1350" spans="1:7" x14ac:dyDescent="0.2">
      <c r="A1350" s="2">
        <v>19950706</v>
      </c>
      <c r="B1350" s="13">
        <v>4664</v>
      </c>
      <c r="C1350" s="2">
        <f t="shared" si="102"/>
        <v>1.0567187334109121E-2</v>
      </c>
      <c r="D1350" s="21">
        <f t="shared" ca="1" si="100"/>
        <v>1.0183234919002254E-2</v>
      </c>
      <c r="E1350" s="21">
        <f t="shared" ca="1" si="103"/>
        <v>4.3044627710023767E-5</v>
      </c>
      <c r="F1350" s="11">
        <f t="shared" ca="1" si="104"/>
        <v>3.8220928266479488</v>
      </c>
      <c r="G1350" s="10">
        <f t="shared" ca="1" si="101"/>
        <v>0</v>
      </c>
    </row>
    <row r="1351" spans="1:7" x14ac:dyDescent="0.2">
      <c r="A1351" s="2">
        <v>19950707</v>
      </c>
      <c r="B1351" s="13">
        <v>4702.7299999999996</v>
      </c>
      <c r="C1351" s="2">
        <f t="shared" si="102"/>
        <v>8.304030874785498E-3</v>
      </c>
      <c r="D1351" s="21">
        <f t="shared" ca="1" si="100"/>
        <v>7.9200784596786308E-3</v>
      </c>
      <c r="E1351" s="21">
        <f t="shared" ca="1" si="103"/>
        <v>4.5589155505384157E-5</v>
      </c>
      <c r="F1351" s="11">
        <f t="shared" ca="1" si="104"/>
        <v>4.3099536320625331</v>
      </c>
      <c r="G1351" s="10">
        <f t="shared" ca="1" si="101"/>
        <v>0</v>
      </c>
    </row>
    <row r="1352" spans="1:7" x14ac:dyDescent="0.2">
      <c r="A1352" s="2">
        <v>19950710</v>
      </c>
      <c r="B1352" s="13">
        <v>4702.3900000000003</v>
      </c>
      <c r="C1352" s="2">
        <f t="shared" si="102"/>
        <v>-7.2298430911244327E-5</v>
      </c>
      <c r="D1352" s="21">
        <f t="shared" ca="1" si="100"/>
        <v>-4.5625084601811164E-4</v>
      </c>
      <c r="E1352" s="21">
        <f t="shared" ca="1" si="103"/>
        <v>4.6498393177645377E-5</v>
      </c>
      <c r="F1352" s="11">
        <f t="shared" ca="1" si="104"/>
        <v>4.985807991741118</v>
      </c>
      <c r="G1352" s="10">
        <f t="shared" ca="1" si="101"/>
        <v>1</v>
      </c>
    </row>
    <row r="1353" spans="1:7" x14ac:dyDescent="0.2">
      <c r="A1353" s="2">
        <v>19950711</v>
      </c>
      <c r="B1353" s="13">
        <v>4680.6000000000004</v>
      </c>
      <c r="C1353" s="2">
        <f t="shared" si="102"/>
        <v>-4.6338138691176109E-3</v>
      </c>
      <c r="D1353" s="21">
        <f t="shared" ca="1" si="100"/>
        <v>-5.017766284224478E-3</v>
      </c>
      <c r="E1353" s="21">
        <f t="shared" ca="1" si="103"/>
        <v>4.5062681849670472E-5</v>
      </c>
      <c r="F1353" s="11">
        <f t="shared" ca="1" si="104"/>
        <v>4.7243618747648704</v>
      </c>
      <c r="G1353" s="10">
        <f t="shared" ca="1" si="101"/>
        <v>1</v>
      </c>
    </row>
    <row r="1354" spans="1:7" x14ac:dyDescent="0.2">
      <c r="A1354" s="2">
        <v>19950712</v>
      </c>
      <c r="B1354" s="13">
        <v>4727.29</v>
      </c>
      <c r="C1354" s="2">
        <f t="shared" si="102"/>
        <v>9.9752168525401863E-3</v>
      </c>
      <c r="D1354" s="21">
        <f t="shared" ca="1" si="100"/>
        <v>9.5912644374333191E-3</v>
      </c>
      <c r="E1354" s="21">
        <f t="shared" ca="1" si="103"/>
        <v>4.46177872768353E-5</v>
      </c>
      <c r="F1354" s="11">
        <f t="shared" ca="1" si="104"/>
        <v>3.9777957074114534</v>
      </c>
      <c r="G1354" s="10">
        <f t="shared" ca="1" si="101"/>
        <v>0</v>
      </c>
    </row>
    <row r="1355" spans="1:7" x14ac:dyDescent="0.2">
      <c r="A1355" s="2">
        <v>19950713</v>
      </c>
      <c r="B1355" s="13">
        <v>4727.4799999999996</v>
      </c>
      <c r="C1355" s="2">
        <f t="shared" si="102"/>
        <v>4.0192160836250755E-5</v>
      </c>
      <c r="D1355" s="21">
        <f t="shared" ca="1" si="100"/>
        <v>-3.4376025427061653E-4</v>
      </c>
      <c r="E1355" s="21">
        <f t="shared" ca="1" si="103"/>
        <v>4.6652281297664842E-5</v>
      </c>
      <c r="F1355" s="11">
        <f t="shared" ca="1" si="104"/>
        <v>4.9851278552525864</v>
      </c>
      <c r="G1355" s="10">
        <f t="shared" ca="1" si="101"/>
        <v>1</v>
      </c>
    </row>
    <row r="1356" spans="1:7" x14ac:dyDescent="0.2">
      <c r="A1356" s="2">
        <v>19950714</v>
      </c>
      <c r="B1356" s="13">
        <v>4708.82</v>
      </c>
      <c r="C1356" s="2">
        <f t="shared" si="102"/>
        <v>-3.9471346256356151E-3</v>
      </c>
      <c r="D1356" s="21">
        <f t="shared" ca="1" si="100"/>
        <v>-4.3310870407424823E-3</v>
      </c>
      <c r="E1356" s="21">
        <f t="shared" ca="1" si="103"/>
        <v>4.5205475492734289E-5</v>
      </c>
      <c r="F1356" s="11">
        <f t="shared" ca="1" si="104"/>
        <v>4.794667819377187</v>
      </c>
      <c r="G1356" s="10">
        <f t="shared" ca="1" si="101"/>
        <v>1</v>
      </c>
    </row>
    <row r="1357" spans="1:7" x14ac:dyDescent="0.2">
      <c r="A1357" s="2">
        <v>19950717</v>
      </c>
      <c r="B1357" s="13">
        <v>4736.29</v>
      </c>
      <c r="C1357" s="2">
        <f t="shared" si="102"/>
        <v>5.833733291992528E-3</v>
      </c>
      <c r="D1357" s="21">
        <f t="shared" ca="1" si="100"/>
        <v>5.4497808768856609E-3</v>
      </c>
      <c r="E1357" s="21">
        <f t="shared" ca="1" si="103"/>
        <v>4.4517294705497962E-5</v>
      </c>
      <c r="F1357" s="11">
        <f t="shared" ca="1" si="104"/>
        <v>4.6762369244621036</v>
      </c>
      <c r="G1357" s="10">
        <f t="shared" ca="1" si="101"/>
        <v>1</v>
      </c>
    </row>
    <row r="1358" spans="1:7" x14ac:dyDescent="0.2">
      <c r="A1358" s="2">
        <v>19950718</v>
      </c>
      <c r="B1358" s="13">
        <v>4686.28</v>
      </c>
      <c r="C1358" s="2">
        <f t="shared" si="102"/>
        <v>-1.0558897364815124E-2</v>
      </c>
      <c r="D1358" s="21">
        <f t="shared" ref="D1358:D1421" ca="1" si="105">(C1358-mu)</f>
        <v>-1.0942849779921991E-2</v>
      </c>
      <c r="E1358" s="21">
        <f t="shared" ca="1" si="103"/>
        <v>4.4266278178651791E-5</v>
      </c>
      <c r="F1358" s="11">
        <f t="shared" ca="1" si="104"/>
        <v>3.6600795488522042</v>
      </c>
      <c r="G1358" s="10">
        <f t="shared" ref="G1358:G1421" ca="1" si="106">IF(AND(C1358&lt;=mu+zvalue*SQRT(E1358),C1358&gt;=mu-zvalue*SQRT(E1358)),1,0)</f>
        <v>0</v>
      </c>
    </row>
    <row r="1359" spans="1:7" x14ac:dyDescent="0.2">
      <c r="A1359" s="2">
        <v>19950719</v>
      </c>
      <c r="B1359" s="13">
        <v>4628.87</v>
      </c>
      <c r="C1359" s="2">
        <f t="shared" ref="C1359:C1422" si="107">(B1359-B1358)/B1358</f>
        <v>-1.2250655103834994E-2</v>
      </c>
      <c r="D1359" s="21">
        <f t="shared" ca="1" si="105"/>
        <v>-1.2634607518941861E-2</v>
      </c>
      <c r="E1359" s="21">
        <f t="shared" ref="E1359:E1422" ca="1" si="108">(1-alpha-beta)*longvar+alpha*D1358^2+beta*E1358</f>
        <v>4.7339103778304921E-5</v>
      </c>
      <c r="F1359" s="11">
        <f t="shared" ref="F1359:F1422" ca="1" si="109">(-0.5)*(LN(E1359)+D1359^2/E1359)</f>
        <v>3.2930251628515919</v>
      </c>
      <c r="G1359" s="10">
        <f t="shared" ca="1" si="106"/>
        <v>0</v>
      </c>
    </row>
    <row r="1360" spans="1:7" x14ac:dyDescent="0.2">
      <c r="A1360" s="2">
        <v>19950720</v>
      </c>
      <c r="B1360" s="13">
        <v>4641.55</v>
      </c>
      <c r="C1360" s="2">
        <f t="shared" si="107"/>
        <v>2.7393294691793659E-3</v>
      </c>
      <c r="D1360" s="21">
        <f t="shared" ca="1" si="105"/>
        <v>2.3553770540724987E-3</v>
      </c>
      <c r="E1360" s="21">
        <f t="shared" ca="1" si="108"/>
        <v>5.172320147125217E-5</v>
      </c>
      <c r="F1360" s="11">
        <f t="shared" ca="1" si="109"/>
        <v>4.8811723383504679</v>
      </c>
      <c r="G1360" s="10">
        <f t="shared" ca="1" si="106"/>
        <v>1</v>
      </c>
    </row>
    <row r="1361" spans="1:7" x14ac:dyDescent="0.2">
      <c r="A1361" s="2">
        <v>19950721</v>
      </c>
      <c r="B1361" s="13">
        <v>4641.55</v>
      </c>
      <c r="C1361" s="2">
        <f t="shared" si="107"/>
        <v>0</v>
      </c>
      <c r="D1361" s="21">
        <f t="shared" ca="1" si="105"/>
        <v>-3.839524151068673E-4</v>
      </c>
      <c r="E1361" s="21">
        <f t="shared" ca="1" si="108"/>
        <v>5.0219513118880923E-5</v>
      </c>
      <c r="F1361" s="11">
        <f t="shared" ca="1" si="109"/>
        <v>4.9480856988634612</v>
      </c>
      <c r="G1361" s="10">
        <f t="shared" ca="1" si="106"/>
        <v>1</v>
      </c>
    </row>
    <row r="1362" spans="1:7" x14ac:dyDescent="0.2">
      <c r="A1362" s="2">
        <v>19950724</v>
      </c>
      <c r="B1362" s="13">
        <v>4668.67</v>
      </c>
      <c r="C1362" s="2">
        <f t="shared" si="107"/>
        <v>5.842875763484157E-3</v>
      </c>
      <c r="D1362" s="21">
        <f t="shared" ca="1" si="105"/>
        <v>5.4589233483772898E-3</v>
      </c>
      <c r="E1362" s="21">
        <f t="shared" ca="1" si="108"/>
        <v>4.8593315394254781E-5</v>
      </c>
      <c r="F1362" s="11">
        <f t="shared" ca="1" si="109"/>
        <v>4.6593873572374189</v>
      </c>
      <c r="G1362" s="10">
        <f t="shared" ca="1" si="106"/>
        <v>1</v>
      </c>
    </row>
    <row r="1363" spans="1:7" x14ac:dyDescent="0.2">
      <c r="A1363" s="2">
        <v>19950725</v>
      </c>
      <c r="B1363" s="13">
        <v>4714.45</v>
      </c>
      <c r="C1363" s="2">
        <f t="shared" si="107"/>
        <v>9.8057905142149137E-3</v>
      </c>
      <c r="D1363" s="21">
        <f t="shared" ca="1" si="105"/>
        <v>9.4218380991080465E-3</v>
      </c>
      <c r="E1363" s="21">
        <f t="shared" ca="1" si="108"/>
        <v>4.8139758977478469E-5</v>
      </c>
      <c r="F1363" s="11">
        <f t="shared" ca="1" si="109"/>
        <v>4.0486873808893682</v>
      </c>
      <c r="G1363" s="10">
        <f t="shared" ca="1" si="106"/>
        <v>0</v>
      </c>
    </row>
    <row r="1364" spans="1:7" x14ac:dyDescent="0.2">
      <c r="A1364" s="2">
        <v>19950726</v>
      </c>
      <c r="B1364" s="13">
        <v>4707.0600000000004</v>
      </c>
      <c r="C1364" s="2">
        <f t="shared" si="107"/>
        <v>-1.5675211318392215E-3</v>
      </c>
      <c r="D1364" s="21">
        <f t="shared" ca="1" si="105"/>
        <v>-1.9514735469460887E-3</v>
      </c>
      <c r="E1364" s="21">
        <f t="shared" ca="1" si="108"/>
        <v>4.9877621716725089E-5</v>
      </c>
      <c r="F1364" s="11">
        <f t="shared" ca="1" si="109"/>
        <v>4.9147931310581958</v>
      </c>
      <c r="G1364" s="10">
        <f t="shared" ca="1" si="106"/>
        <v>1</v>
      </c>
    </row>
    <row r="1365" spans="1:7" x14ac:dyDescent="0.2">
      <c r="A1365" s="2">
        <v>19950727</v>
      </c>
      <c r="B1365" s="13">
        <v>4732.7700000000004</v>
      </c>
      <c r="C1365" s="2">
        <f t="shared" si="107"/>
        <v>5.4620081324648576E-3</v>
      </c>
      <c r="D1365" s="21">
        <f t="shared" ca="1" si="105"/>
        <v>5.0780557173579904E-3</v>
      </c>
      <c r="E1365" s="21">
        <f t="shared" ca="1" si="108"/>
        <v>4.8403335485143881E-5</v>
      </c>
      <c r="F1365" s="11">
        <f t="shared" ca="1" si="109"/>
        <v>4.7015982618445138</v>
      </c>
      <c r="G1365" s="10">
        <f t="shared" ca="1" si="106"/>
        <v>1</v>
      </c>
    </row>
    <row r="1366" spans="1:7" x14ac:dyDescent="0.2">
      <c r="A1366" s="2">
        <v>19950728</v>
      </c>
      <c r="B1366" s="13">
        <v>4715.51</v>
      </c>
      <c r="C1366" s="2">
        <f t="shared" si="107"/>
        <v>-3.6469129072404147E-3</v>
      </c>
      <c r="D1366" s="21">
        <f t="shared" ca="1" si="105"/>
        <v>-4.0308653223472823E-3</v>
      </c>
      <c r="E1366" s="21">
        <f t="shared" ca="1" si="108"/>
        <v>4.7811818054545613E-5</v>
      </c>
      <c r="F1366" s="11">
        <f t="shared" ca="1" si="109"/>
        <v>4.8042040103323345</v>
      </c>
      <c r="G1366" s="10">
        <f t="shared" ca="1" si="106"/>
        <v>1</v>
      </c>
    </row>
    <row r="1367" spans="1:7" x14ac:dyDescent="0.2">
      <c r="A1367" s="2">
        <v>19950731</v>
      </c>
      <c r="B1367" s="13">
        <v>4708.47</v>
      </c>
      <c r="C1367" s="2">
        <f t="shared" si="107"/>
        <v>-1.4929456198799203E-3</v>
      </c>
      <c r="D1367" s="21">
        <f t="shared" ca="1" si="105"/>
        <v>-1.8768980349867874E-3</v>
      </c>
      <c r="E1367" s="21">
        <f t="shared" ca="1" si="108"/>
        <v>4.6899468287537937E-5</v>
      </c>
      <c r="F1367" s="11">
        <f t="shared" ca="1" si="109"/>
        <v>4.946195754085168</v>
      </c>
      <c r="G1367" s="10">
        <f t="shared" ca="1" si="106"/>
        <v>1</v>
      </c>
    </row>
    <row r="1368" spans="1:7" x14ac:dyDescent="0.2">
      <c r="A1368" s="2">
        <v>19950801</v>
      </c>
      <c r="B1368" s="13">
        <v>4700.37</v>
      </c>
      <c r="C1368" s="2">
        <f t="shared" si="107"/>
        <v>-1.7203040478117866E-3</v>
      </c>
      <c r="D1368" s="21">
        <f t="shared" ca="1" si="105"/>
        <v>-2.104256462918654E-3</v>
      </c>
      <c r="E1368" s="21">
        <f t="shared" ca="1" si="108"/>
        <v>4.5565349383159212E-5</v>
      </c>
      <c r="F1368" s="11">
        <f t="shared" ca="1" si="109"/>
        <v>4.9495931015398149</v>
      </c>
      <c r="G1368" s="10">
        <f t="shared" ca="1" si="106"/>
        <v>1</v>
      </c>
    </row>
    <row r="1369" spans="1:7" x14ac:dyDescent="0.2">
      <c r="A1369" s="2">
        <v>19950802</v>
      </c>
      <c r="B1369" s="13">
        <v>4690.1499999999996</v>
      </c>
      <c r="C1369" s="2">
        <f t="shared" si="107"/>
        <v>-2.1742969170512653E-3</v>
      </c>
      <c r="D1369" s="21">
        <f t="shared" ca="1" si="105"/>
        <v>-2.5582493321581324E-3</v>
      </c>
      <c r="E1369" s="21">
        <f t="shared" ca="1" si="108"/>
        <v>4.4332007903622982E-5</v>
      </c>
      <c r="F1369" s="11">
        <f t="shared" ca="1" si="109"/>
        <v>4.9380878757505666</v>
      </c>
      <c r="G1369" s="10">
        <f t="shared" ca="1" si="106"/>
        <v>1</v>
      </c>
    </row>
    <row r="1370" spans="1:7" x14ac:dyDescent="0.2">
      <c r="A1370" s="2">
        <v>19950803</v>
      </c>
      <c r="B1370" s="13">
        <v>4701.42</v>
      </c>
      <c r="C1370" s="2">
        <f t="shared" si="107"/>
        <v>2.4029082225516109E-3</v>
      </c>
      <c r="D1370" s="21">
        <f t="shared" ca="1" si="105"/>
        <v>2.0189558074447437E-3</v>
      </c>
      <c r="E1370" s="21">
        <f t="shared" ca="1" si="108"/>
        <v>4.3238897962557679E-5</v>
      </c>
      <c r="F1370" s="11">
        <f t="shared" ca="1" si="109"/>
        <v>4.9772494288580278</v>
      </c>
      <c r="G1370" s="10">
        <f t="shared" ca="1" si="106"/>
        <v>1</v>
      </c>
    </row>
    <row r="1371" spans="1:7" x14ac:dyDescent="0.2">
      <c r="A1371" s="2">
        <v>19950804</v>
      </c>
      <c r="B1371" s="13">
        <v>4683.46</v>
      </c>
      <c r="C1371" s="2">
        <f t="shared" si="107"/>
        <v>-3.8201224310952936E-3</v>
      </c>
      <c r="D1371" s="21">
        <f t="shared" ca="1" si="105"/>
        <v>-4.2040748462021608E-3</v>
      </c>
      <c r="E1371" s="21">
        <f t="shared" ca="1" si="108"/>
        <v>4.2110319335978405E-5</v>
      </c>
      <c r="F1371" s="11">
        <f t="shared" ca="1" si="109"/>
        <v>4.8277524035874571</v>
      </c>
      <c r="G1371" s="10">
        <f t="shared" ca="1" si="106"/>
        <v>1</v>
      </c>
    </row>
    <row r="1372" spans="1:7" x14ac:dyDescent="0.2">
      <c r="A1372" s="2">
        <v>19950807</v>
      </c>
      <c r="B1372" s="13">
        <v>4693.32</v>
      </c>
      <c r="C1372" s="2">
        <f t="shared" si="107"/>
        <v>2.1052811383036629E-3</v>
      </c>
      <c r="D1372" s="21">
        <f t="shared" ca="1" si="105"/>
        <v>1.7213287231967957E-3</v>
      </c>
      <c r="E1372" s="21">
        <f t="shared" ca="1" si="108"/>
        <v>4.1538860384263138E-5</v>
      </c>
      <c r="F1372" s="11">
        <f t="shared" ca="1" si="109"/>
        <v>5.0087755188809417</v>
      </c>
      <c r="G1372" s="10">
        <f t="shared" ca="1" si="106"/>
        <v>1</v>
      </c>
    </row>
    <row r="1373" spans="1:7" x14ac:dyDescent="0.2">
      <c r="A1373" s="2">
        <v>19950808</v>
      </c>
      <c r="B1373" s="13">
        <v>4693.32</v>
      </c>
      <c r="C1373" s="2">
        <f t="shared" si="107"/>
        <v>0</v>
      </c>
      <c r="D1373" s="21">
        <f t="shared" ca="1" si="105"/>
        <v>-3.839524151068673E-4</v>
      </c>
      <c r="E1373" s="21">
        <f t="shared" ca="1" si="108"/>
        <v>4.0455352543882465E-5</v>
      </c>
      <c r="F1373" s="11">
        <f t="shared" ca="1" si="109"/>
        <v>5.0558337972527232</v>
      </c>
      <c r="G1373" s="10">
        <f t="shared" ca="1" si="106"/>
        <v>1</v>
      </c>
    </row>
    <row r="1374" spans="1:7" x14ac:dyDescent="0.2">
      <c r="A1374" s="2">
        <v>19950809</v>
      </c>
      <c r="B1374" s="13">
        <v>4671.49</v>
      </c>
      <c r="C1374" s="2">
        <f t="shared" si="107"/>
        <v>-4.6512916229875497E-3</v>
      </c>
      <c r="D1374" s="21">
        <f t="shared" ca="1" si="105"/>
        <v>-5.0352440380944169E-3</v>
      </c>
      <c r="E1374" s="21">
        <f t="shared" ca="1" si="108"/>
        <v>3.9323126917734849E-5</v>
      </c>
      <c r="F1374" s="11">
        <f t="shared" ca="1" si="109"/>
        <v>4.7494726442025934</v>
      </c>
      <c r="G1374" s="10">
        <f t="shared" ca="1" si="106"/>
        <v>1</v>
      </c>
    </row>
    <row r="1375" spans="1:7" x14ac:dyDescent="0.2">
      <c r="A1375" s="2">
        <v>19950810</v>
      </c>
      <c r="B1375" s="13">
        <v>4643.66</v>
      </c>
      <c r="C1375" s="2">
        <f t="shared" si="107"/>
        <v>-5.9574140156566594E-3</v>
      </c>
      <c r="D1375" s="21">
        <f t="shared" ca="1" si="105"/>
        <v>-6.3413664307635266E-3</v>
      </c>
      <c r="E1375" s="21">
        <f t="shared" ca="1" si="108"/>
        <v>3.9175059263077481E-5</v>
      </c>
      <c r="F1375" s="11">
        <f t="shared" ca="1" si="109"/>
        <v>4.5604885761296741</v>
      </c>
      <c r="G1375" s="10">
        <f t="shared" ca="1" si="106"/>
        <v>0</v>
      </c>
    </row>
    <row r="1376" spans="1:7" x14ac:dyDescent="0.2">
      <c r="A1376" s="2">
        <v>19950811</v>
      </c>
      <c r="B1376" s="13">
        <v>4618.3</v>
      </c>
      <c r="C1376" s="2">
        <f t="shared" si="107"/>
        <v>-5.4612094770072903E-3</v>
      </c>
      <c r="D1376" s="21">
        <f t="shared" ca="1" si="105"/>
        <v>-5.8451618921141575E-3</v>
      </c>
      <c r="E1376" s="21">
        <f t="shared" ca="1" si="108"/>
        <v>3.9580882808640898E-5</v>
      </c>
      <c r="F1376" s="11">
        <f t="shared" ca="1" si="109"/>
        <v>4.6369859527794297</v>
      </c>
      <c r="G1376" s="10">
        <f t="shared" ca="1" si="106"/>
        <v>1</v>
      </c>
    </row>
    <row r="1377" spans="1:7" x14ac:dyDescent="0.2">
      <c r="A1377" s="2">
        <v>19950814</v>
      </c>
      <c r="B1377" s="13">
        <v>4659.8599999999997</v>
      </c>
      <c r="C1377" s="2">
        <f t="shared" si="107"/>
        <v>8.9989823095077172E-3</v>
      </c>
      <c r="D1377" s="21">
        <f t="shared" ca="1" si="105"/>
        <v>8.61502989440085E-3</v>
      </c>
      <c r="E1377" s="21">
        <f t="shared" ca="1" si="108"/>
        <v>3.9743816466923566E-5</v>
      </c>
      <c r="F1377" s="11">
        <f t="shared" ca="1" si="109"/>
        <v>4.1328138380050898</v>
      </c>
      <c r="G1377" s="10">
        <f t="shared" ca="1" si="106"/>
        <v>0</v>
      </c>
    </row>
    <row r="1378" spans="1:7" x14ac:dyDescent="0.2">
      <c r="A1378" s="2">
        <v>19950815</v>
      </c>
      <c r="B1378" s="13">
        <v>4640.84</v>
      </c>
      <c r="C1378" s="2">
        <f t="shared" si="107"/>
        <v>-4.0816676895871398E-3</v>
      </c>
      <c r="D1378" s="21">
        <f t="shared" ca="1" si="105"/>
        <v>-4.4656201046940069E-3</v>
      </c>
      <c r="E1378" s="21">
        <f t="shared" ca="1" si="108"/>
        <v>4.1371319476561824E-5</v>
      </c>
      <c r="F1378" s="11">
        <f t="shared" ca="1" si="109"/>
        <v>4.805451831141335</v>
      </c>
      <c r="G1378" s="10">
        <f t="shared" ca="1" si="106"/>
        <v>1</v>
      </c>
    </row>
    <row r="1379" spans="1:7" x14ac:dyDescent="0.2">
      <c r="A1379" s="2">
        <v>19950816</v>
      </c>
      <c r="B1379" s="13">
        <v>4639.08</v>
      </c>
      <c r="C1379" s="2">
        <f t="shared" si="107"/>
        <v>-3.7924168900462381E-4</v>
      </c>
      <c r="D1379" s="21">
        <f t="shared" ca="1" si="105"/>
        <v>-7.6319410411149115E-4</v>
      </c>
      <c r="E1379" s="21">
        <f t="shared" ca="1" si="108"/>
        <v>4.0920627352661717E-5</v>
      </c>
      <c r="F1379" s="11">
        <f t="shared" ca="1" si="109"/>
        <v>5.044821130304431</v>
      </c>
      <c r="G1379" s="10">
        <f t="shared" ca="1" si="106"/>
        <v>1</v>
      </c>
    </row>
    <row r="1380" spans="1:7" x14ac:dyDescent="0.2">
      <c r="A1380" s="2">
        <v>19950817</v>
      </c>
      <c r="B1380" s="13">
        <v>4630.63</v>
      </c>
      <c r="C1380" s="2">
        <f t="shared" si="107"/>
        <v>-1.8214818455383004E-3</v>
      </c>
      <c r="D1380" s="21">
        <f t="shared" ca="1" si="105"/>
        <v>-2.2054342606451678E-3</v>
      </c>
      <c r="E1380" s="21">
        <f t="shared" ca="1" si="108"/>
        <v>3.9780860713808706E-5</v>
      </c>
      <c r="F1380" s="11">
        <f t="shared" ca="1" si="109"/>
        <v>5.0049281479948915</v>
      </c>
      <c r="G1380" s="10">
        <f t="shared" ca="1" si="106"/>
        <v>1</v>
      </c>
    </row>
    <row r="1381" spans="1:7" x14ac:dyDescent="0.2">
      <c r="A1381" s="2">
        <v>19950818</v>
      </c>
      <c r="B1381" s="13">
        <v>4617.6000000000004</v>
      </c>
      <c r="C1381" s="2">
        <f t="shared" si="107"/>
        <v>-2.8138719785428213E-3</v>
      </c>
      <c r="D1381" s="21">
        <f t="shared" ca="1" si="105"/>
        <v>-3.1978243936496885E-3</v>
      </c>
      <c r="E1381" s="21">
        <f t="shared" ca="1" si="108"/>
        <v>3.885619255728464E-5</v>
      </c>
      <c r="F1381" s="11">
        <f t="shared" ca="1" si="109"/>
        <v>4.9462327312594452</v>
      </c>
      <c r="G1381" s="10">
        <f t="shared" ca="1" si="106"/>
        <v>1</v>
      </c>
    </row>
    <row r="1382" spans="1:7" x14ac:dyDescent="0.2">
      <c r="A1382" s="2">
        <v>19950821</v>
      </c>
      <c r="B1382" s="13">
        <v>4614.78</v>
      </c>
      <c r="C1382" s="2">
        <f t="shared" si="107"/>
        <v>-6.1070686070699464E-4</v>
      </c>
      <c r="D1382" s="21">
        <f t="shared" ca="1" si="105"/>
        <v>-9.9465927581386194E-4</v>
      </c>
      <c r="E1382" s="21">
        <f t="shared" ca="1" si="108"/>
        <v>3.8175478938736922E-5</v>
      </c>
      <c r="F1382" s="11">
        <f t="shared" ca="1" si="109"/>
        <v>5.0737006936573303</v>
      </c>
      <c r="G1382" s="10">
        <f t="shared" ca="1" si="106"/>
        <v>1</v>
      </c>
    </row>
    <row r="1383" spans="1:7" x14ac:dyDescent="0.2">
      <c r="A1383" s="2">
        <v>19950822</v>
      </c>
      <c r="B1383" s="13">
        <v>4620.42</v>
      </c>
      <c r="C1383" s="2">
        <f t="shared" si="107"/>
        <v>1.2221601029735606E-3</v>
      </c>
      <c r="D1383" s="21">
        <f t="shared" ca="1" si="105"/>
        <v>8.3820768786669329E-4</v>
      </c>
      <c r="E1383" s="21">
        <f t="shared" ca="1" si="108"/>
        <v>3.7189552017509854E-5</v>
      </c>
      <c r="F1383" s="11">
        <f t="shared" ca="1" si="109"/>
        <v>5.0902952523303808</v>
      </c>
      <c r="G1383" s="10">
        <f t="shared" ca="1" si="106"/>
        <v>1</v>
      </c>
    </row>
    <row r="1384" spans="1:7" x14ac:dyDescent="0.2">
      <c r="A1384" s="2">
        <v>19950823</v>
      </c>
      <c r="B1384" s="13">
        <v>4584.8500000000004</v>
      </c>
      <c r="C1384" s="2">
        <f t="shared" si="107"/>
        <v>-7.6984343414667296E-3</v>
      </c>
      <c r="D1384" s="21">
        <f t="shared" ca="1" si="105"/>
        <v>-8.0823867565735976E-3</v>
      </c>
      <c r="E1384" s="21">
        <f t="shared" ca="1" si="108"/>
        <v>3.6242958983770699E-5</v>
      </c>
      <c r="F1384" s="11">
        <f t="shared" ca="1" si="109"/>
        <v>4.2114235215755222</v>
      </c>
      <c r="G1384" s="10">
        <f t="shared" ca="1" si="106"/>
        <v>0</v>
      </c>
    </row>
    <row r="1385" spans="1:7" x14ac:dyDescent="0.2">
      <c r="A1385" s="2">
        <v>19950824</v>
      </c>
      <c r="B1385" s="13">
        <v>4580.62</v>
      </c>
      <c r="C1385" s="2">
        <f t="shared" si="107"/>
        <v>-9.2260379292680736E-4</v>
      </c>
      <c r="D1385" s="21">
        <f t="shared" ca="1" si="105"/>
        <v>-1.3065562080336747E-3</v>
      </c>
      <c r="E1385" s="21">
        <f t="shared" ca="1" si="108"/>
        <v>3.7720532280321888E-5</v>
      </c>
      <c r="F1385" s="11">
        <f t="shared" ca="1" si="109"/>
        <v>5.0700248789394289</v>
      </c>
      <c r="G1385" s="10">
        <f t="shared" ca="1" si="106"/>
        <v>1</v>
      </c>
    </row>
    <row r="1386" spans="1:7" x14ac:dyDescent="0.2">
      <c r="A1386" s="2">
        <v>19950825</v>
      </c>
      <c r="B1386" s="13">
        <v>4601.3999999999996</v>
      </c>
      <c r="C1386" s="2">
        <f t="shared" si="107"/>
        <v>4.5365037920630279E-3</v>
      </c>
      <c r="D1386" s="21">
        <f t="shared" ca="1" si="105"/>
        <v>4.1525513769561607E-3</v>
      </c>
      <c r="E1386" s="21">
        <f t="shared" ca="1" si="108"/>
        <v>3.6784013888723849E-5</v>
      </c>
      <c r="F1386" s="11">
        <f t="shared" ca="1" si="109"/>
        <v>4.870832615162592</v>
      </c>
      <c r="G1386" s="10">
        <f t="shared" ca="1" si="106"/>
        <v>1</v>
      </c>
    </row>
    <row r="1387" spans="1:7" x14ac:dyDescent="0.2">
      <c r="A1387" s="2">
        <v>19950828</v>
      </c>
      <c r="B1387" s="13">
        <v>4594</v>
      </c>
      <c r="C1387" s="2">
        <f t="shared" si="107"/>
        <v>-1.6082061981135386E-3</v>
      </c>
      <c r="D1387" s="21">
        <f t="shared" ca="1" si="105"/>
        <v>-1.9921586132204058E-3</v>
      </c>
      <c r="E1387" s="21">
        <f t="shared" ca="1" si="108"/>
        <v>3.6466181953065502E-5</v>
      </c>
      <c r="F1387" s="11">
        <f t="shared" ca="1" si="109"/>
        <v>5.0551465088176588</v>
      </c>
      <c r="G1387" s="10">
        <f t="shared" ca="1" si="106"/>
        <v>1</v>
      </c>
    </row>
    <row r="1388" spans="1:7" x14ac:dyDescent="0.2">
      <c r="A1388" s="2">
        <v>19950829</v>
      </c>
      <c r="B1388" s="13">
        <v>4608.4399999999996</v>
      </c>
      <c r="C1388" s="2">
        <f t="shared" si="107"/>
        <v>3.1432303003917283E-3</v>
      </c>
      <c r="D1388" s="21">
        <f t="shared" ca="1" si="105"/>
        <v>2.7592778852848611E-3</v>
      </c>
      <c r="E1388" s="21">
        <f t="shared" ca="1" si="108"/>
        <v>3.5676284789013148E-5</v>
      </c>
      <c r="F1388" s="11">
        <f t="shared" ca="1" si="109"/>
        <v>5.0138080525285522</v>
      </c>
      <c r="G1388" s="10">
        <f t="shared" ca="1" si="106"/>
        <v>1</v>
      </c>
    </row>
    <row r="1389" spans="1:7" x14ac:dyDescent="0.2">
      <c r="A1389" s="2">
        <v>19950830</v>
      </c>
      <c r="B1389" s="13">
        <v>4604.57</v>
      </c>
      <c r="C1389" s="2">
        <f t="shared" si="107"/>
        <v>-8.3976356424297406E-4</v>
      </c>
      <c r="D1389" s="21">
        <f t="shared" ca="1" si="105"/>
        <v>-1.2237159793498415E-3</v>
      </c>
      <c r="E1389" s="21">
        <f t="shared" ca="1" si="108"/>
        <v>3.5060378800313314E-5</v>
      </c>
      <c r="F1389" s="11">
        <f t="shared" ca="1" si="109"/>
        <v>5.1078636952358814</v>
      </c>
      <c r="G1389" s="10">
        <f t="shared" ca="1" si="106"/>
        <v>1</v>
      </c>
    </row>
    <row r="1390" spans="1:7" x14ac:dyDescent="0.2">
      <c r="A1390" s="2">
        <v>19950831</v>
      </c>
      <c r="B1390" s="13">
        <v>4610.5600000000004</v>
      </c>
      <c r="C1390" s="2">
        <f t="shared" si="107"/>
        <v>1.3008815155379745E-3</v>
      </c>
      <c r="D1390" s="21">
        <f t="shared" ca="1" si="105"/>
        <v>9.1692910043110725E-4</v>
      </c>
      <c r="E1390" s="21">
        <f t="shared" ca="1" si="108"/>
        <v>3.4250730785006069E-5</v>
      </c>
      <c r="F1390" s="11">
        <f t="shared" ca="1" si="109"/>
        <v>5.1286277365738071</v>
      </c>
      <c r="G1390" s="10">
        <f t="shared" ca="1" si="106"/>
        <v>1</v>
      </c>
    </row>
    <row r="1391" spans="1:7" x14ac:dyDescent="0.2">
      <c r="A1391" s="2">
        <v>19950901</v>
      </c>
      <c r="B1391" s="13">
        <v>4647.54</v>
      </c>
      <c r="C1391" s="2">
        <f t="shared" si="107"/>
        <v>8.0207176568572059E-3</v>
      </c>
      <c r="D1391" s="21">
        <f t="shared" ca="1" si="105"/>
        <v>7.6367652417503387E-3</v>
      </c>
      <c r="E1391" s="21">
        <f t="shared" ca="1" si="108"/>
        <v>3.3457894321286198E-5</v>
      </c>
      <c r="F1391" s="11">
        <f t="shared" ca="1" si="109"/>
        <v>4.2810654661091636</v>
      </c>
      <c r="G1391" s="10">
        <f t="shared" ca="1" si="106"/>
        <v>0</v>
      </c>
    </row>
    <row r="1392" spans="1:7" x14ac:dyDescent="0.2">
      <c r="A1392" s="2">
        <v>19950905</v>
      </c>
      <c r="B1392" s="13">
        <v>4670.08</v>
      </c>
      <c r="C1392" s="2">
        <f t="shared" si="107"/>
        <v>4.8498775696389843E-3</v>
      </c>
      <c r="D1392" s="21">
        <f t="shared" ca="1" si="105"/>
        <v>4.4659251545321171E-3</v>
      </c>
      <c r="E1392" s="21">
        <f t="shared" ca="1" si="108"/>
        <v>3.4818786511639038E-5</v>
      </c>
      <c r="F1392" s="11">
        <f t="shared" ca="1" si="109"/>
        <v>4.8462726220864312</v>
      </c>
      <c r="G1392" s="10">
        <f t="shared" ca="1" si="106"/>
        <v>1</v>
      </c>
    </row>
    <row r="1393" spans="1:7" x14ac:dyDescent="0.2">
      <c r="A1393" s="2">
        <v>19950906</v>
      </c>
      <c r="B1393" s="13">
        <v>4683.8100000000004</v>
      </c>
      <c r="C1393" s="2">
        <f t="shared" si="107"/>
        <v>2.9399924626559871E-3</v>
      </c>
      <c r="D1393" s="21">
        <f t="shared" ca="1" si="105"/>
        <v>2.5560400475491199E-3</v>
      </c>
      <c r="E1393" s="21">
        <f t="shared" ca="1" si="108"/>
        <v>3.4699689375014506E-5</v>
      </c>
      <c r="F1393" s="11">
        <f t="shared" ca="1" si="109"/>
        <v>5.0402487124003086</v>
      </c>
      <c r="G1393" s="10">
        <f t="shared" ca="1" si="106"/>
        <v>1</v>
      </c>
    </row>
    <row r="1394" spans="1:7" x14ac:dyDescent="0.2">
      <c r="A1394" s="2">
        <v>19950907</v>
      </c>
      <c r="B1394" s="13">
        <v>4669.72</v>
      </c>
      <c r="C1394" s="2">
        <f t="shared" si="107"/>
        <v>-3.0082347490611584E-3</v>
      </c>
      <c r="D1394" s="21">
        <f t="shared" ca="1" si="105"/>
        <v>-3.3921871641680256E-3</v>
      </c>
      <c r="E1394" s="21">
        <f t="shared" ca="1" si="108"/>
        <v>3.4093466118843258E-5</v>
      </c>
      <c r="F1394" s="11">
        <f t="shared" ca="1" si="109"/>
        <v>4.9744466966766598</v>
      </c>
      <c r="G1394" s="10">
        <f t="shared" ca="1" si="106"/>
        <v>1</v>
      </c>
    </row>
    <row r="1395" spans="1:7" x14ac:dyDescent="0.2">
      <c r="A1395" s="2">
        <v>19950908</v>
      </c>
      <c r="B1395" s="13">
        <v>4700.72</v>
      </c>
      <c r="C1395" s="2">
        <f t="shared" si="107"/>
        <v>6.6385136582064871E-3</v>
      </c>
      <c r="D1395" s="21">
        <f t="shared" ca="1" si="105"/>
        <v>6.2545612430996199E-3</v>
      </c>
      <c r="E1395" s="21">
        <f t="shared" ca="1" si="108"/>
        <v>3.3700799596726138E-5</v>
      </c>
      <c r="F1395" s="11">
        <f t="shared" ca="1" si="109"/>
        <v>4.5685997168698629</v>
      </c>
      <c r="G1395" s="10">
        <f t="shared" ca="1" si="106"/>
        <v>0</v>
      </c>
    </row>
    <row r="1396" spans="1:7" x14ac:dyDescent="0.2">
      <c r="A1396" s="2">
        <v>19950911</v>
      </c>
      <c r="B1396" s="13">
        <v>4704.9399999999996</v>
      </c>
      <c r="C1396" s="2">
        <f t="shared" si="107"/>
        <v>8.9773481509201674E-4</v>
      </c>
      <c r="D1396" s="21">
        <f t="shared" ca="1" si="105"/>
        <v>5.1378239998514945E-4</v>
      </c>
      <c r="E1396" s="21">
        <f t="shared" ca="1" si="108"/>
        <v>3.4343361813279247E-5</v>
      </c>
      <c r="F1396" s="11">
        <f t="shared" ca="1" si="109"/>
        <v>5.1357077696594926</v>
      </c>
      <c r="G1396" s="10">
        <f t="shared" ca="1" si="106"/>
        <v>1</v>
      </c>
    </row>
    <row r="1397" spans="1:7" x14ac:dyDescent="0.2">
      <c r="A1397" s="2">
        <v>19950912</v>
      </c>
      <c r="B1397" s="13">
        <v>4747.21</v>
      </c>
      <c r="C1397" s="2">
        <f t="shared" si="107"/>
        <v>8.9841740808597852E-3</v>
      </c>
      <c r="D1397" s="21">
        <f t="shared" ca="1" si="105"/>
        <v>8.600221665752918E-3</v>
      </c>
      <c r="E1397" s="21">
        <f t="shared" ca="1" si="108"/>
        <v>3.3524629664199856E-5</v>
      </c>
      <c r="F1397" s="11">
        <f t="shared" ca="1" si="109"/>
        <v>4.0484886185863722</v>
      </c>
      <c r="G1397" s="10">
        <f t="shared" ca="1" si="106"/>
        <v>0</v>
      </c>
    </row>
    <row r="1398" spans="1:7" x14ac:dyDescent="0.2">
      <c r="A1398" s="2">
        <v>19950913</v>
      </c>
      <c r="B1398" s="13">
        <v>4765.5200000000004</v>
      </c>
      <c r="C1398" s="2">
        <f t="shared" si="107"/>
        <v>3.8570023234700801E-3</v>
      </c>
      <c r="D1398" s="21">
        <f t="shared" ca="1" si="105"/>
        <v>3.473049908363213E-3</v>
      </c>
      <c r="E1398" s="21">
        <f t="shared" ca="1" si="108"/>
        <v>3.5457389257017132E-5</v>
      </c>
      <c r="F1398" s="11">
        <f t="shared" ca="1" si="109"/>
        <v>4.953496890323513</v>
      </c>
      <c r="G1398" s="10">
        <f t="shared" ca="1" si="106"/>
        <v>1</v>
      </c>
    </row>
    <row r="1399" spans="1:7" x14ac:dyDescent="0.2">
      <c r="A1399" s="2">
        <v>19950914</v>
      </c>
      <c r="B1399" s="13">
        <v>4801.8</v>
      </c>
      <c r="C1399" s="2">
        <f t="shared" si="107"/>
        <v>7.6130201950678506E-3</v>
      </c>
      <c r="D1399" s="21">
        <f t="shared" ca="1" si="105"/>
        <v>7.2290677799609834E-3</v>
      </c>
      <c r="E1399" s="21">
        <f t="shared" ca="1" si="108"/>
        <v>3.5016134951555103E-5</v>
      </c>
      <c r="F1399" s="11">
        <f t="shared" ca="1" si="109"/>
        <v>4.3836316513634142</v>
      </c>
      <c r="G1399" s="10">
        <f t="shared" ca="1" si="106"/>
        <v>0</v>
      </c>
    </row>
    <row r="1400" spans="1:7" x14ac:dyDescent="0.2">
      <c r="A1400" s="2">
        <v>19950915</v>
      </c>
      <c r="B1400" s="13">
        <v>4797.57</v>
      </c>
      <c r="C1400" s="2">
        <f t="shared" si="107"/>
        <v>-8.8091965512942497E-4</v>
      </c>
      <c r="D1400" s="21">
        <f t="shared" ca="1" si="105"/>
        <v>-1.2648720702362923E-3</v>
      </c>
      <c r="E1400" s="21">
        <f t="shared" ca="1" si="108"/>
        <v>3.6075330419880641E-5</v>
      </c>
      <c r="F1400" s="11">
        <f t="shared" ca="1" si="109"/>
        <v>5.092776195208347</v>
      </c>
      <c r="G1400" s="10">
        <f t="shared" ca="1" si="106"/>
        <v>1</v>
      </c>
    </row>
    <row r="1401" spans="1:7" x14ac:dyDescent="0.2">
      <c r="A1401" s="2">
        <v>19950918</v>
      </c>
      <c r="B1401" s="13">
        <v>4780.41</v>
      </c>
      <c r="C1401" s="2">
        <f t="shared" si="107"/>
        <v>-3.5768107604474465E-3</v>
      </c>
      <c r="D1401" s="21">
        <f t="shared" ca="1" si="105"/>
        <v>-3.9607631755543141E-3</v>
      </c>
      <c r="E1401" s="21">
        <f t="shared" ca="1" si="108"/>
        <v>3.5218101850625475E-5</v>
      </c>
      <c r="F1401" s="11">
        <f t="shared" ca="1" si="109"/>
        <v>4.9042538457188938</v>
      </c>
      <c r="G1401" s="10">
        <f t="shared" ca="1" si="106"/>
        <v>1</v>
      </c>
    </row>
    <row r="1402" spans="1:7" x14ac:dyDescent="0.2">
      <c r="A1402" s="2">
        <v>19950919</v>
      </c>
      <c r="B1402" s="13">
        <v>4767.04</v>
      </c>
      <c r="C1402" s="2">
        <f t="shared" si="107"/>
        <v>-2.7968312341409818E-3</v>
      </c>
      <c r="D1402" s="21">
        <f t="shared" ca="1" si="105"/>
        <v>-3.180783649247849E-3</v>
      </c>
      <c r="E1402" s="21">
        <f t="shared" ca="1" si="108"/>
        <v>3.4922271686198064E-5</v>
      </c>
      <c r="F1402" s="11">
        <f t="shared" ca="1" si="109"/>
        <v>4.9863371245222456</v>
      </c>
      <c r="G1402" s="10">
        <f t="shared" ca="1" si="106"/>
        <v>1</v>
      </c>
    </row>
    <row r="1403" spans="1:7" x14ac:dyDescent="0.2">
      <c r="A1403" s="2">
        <v>19950920</v>
      </c>
      <c r="B1403" s="13">
        <v>4792.6899999999996</v>
      </c>
      <c r="C1403" s="2">
        <f t="shared" si="107"/>
        <v>5.3806974558635208E-3</v>
      </c>
      <c r="D1403" s="21">
        <f t="shared" ca="1" si="105"/>
        <v>4.9967450407566536E-3</v>
      </c>
      <c r="E1403" s="21">
        <f t="shared" ca="1" si="108"/>
        <v>3.4436579469678215E-5</v>
      </c>
      <c r="F1403" s="11">
        <f t="shared" ca="1" si="109"/>
        <v>4.7756819397820438</v>
      </c>
      <c r="G1403" s="10">
        <f t="shared" ca="1" si="106"/>
        <v>1</v>
      </c>
    </row>
    <row r="1404" spans="1:7" x14ac:dyDescent="0.2">
      <c r="A1404" s="2">
        <v>19950921</v>
      </c>
      <c r="B1404" s="13">
        <v>4767.3999999999996</v>
      </c>
      <c r="C1404" s="2">
        <f t="shared" si="107"/>
        <v>-5.276786105506504E-3</v>
      </c>
      <c r="D1404" s="21">
        <f t="shared" ca="1" si="105"/>
        <v>-5.6607385206133712E-3</v>
      </c>
      <c r="E1404" s="21">
        <f t="shared" ca="1" si="108"/>
        <v>3.4521521819701385E-5</v>
      </c>
      <c r="F1404" s="11">
        <f t="shared" ca="1" si="109"/>
        <v>4.6728481027679392</v>
      </c>
      <c r="G1404" s="10">
        <f t="shared" ca="1" si="106"/>
        <v>1</v>
      </c>
    </row>
    <row r="1405" spans="1:7" x14ac:dyDescent="0.2">
      <c r="A1405" s="2">
        <v>19950922</v>
      </c>
      <c r="B1405" s="13">
        <v>4764.1499999999996</v>
      </c>
      <c r="C1405" s="2">
        <f t="shared" si="107"/>
        <v>-6.8171330284851289E-4</v>
      </c>
      <c r="D1405" s="21">
        <f t="shared" ca="1" si="105"/>
        <v>-1.0656657179553802E-3</v>
      </c>
      <c r="E1405" s="21">
        <f t="shared" ca="1" si="108"/>
        <v>3.4862382154330437E-5</v>
      </c>
      <c r="F1405" s="11">
        <f t="shared" ca="1" si="109"/>
        <v>5.1157635736722922</v>
      </c>
      <c r="G1405" s="10">
        <f t="shared" ca="1" si="106"/>
        <v>1</v>
      </c>
    </row>
    <row r="1406" spans="1:7" x14ac:dyDescent="0.2">
      <c r="A1406" s="2">
        <v>19950925</v>
      </c>
      <c r="B1406" s="13">
        <v>4769.93</v>
      </c>
      <c r="C1406" s="2">
        <f t="shared" si="107"/>
        <v>1.2132279630155758E-3</v>
      </c>
      <c r="D1406" s="21">
        <f t="shared" ca="1" si="105"/>
        <v>8.2927554790870851E-4</v>
      </c>
      <c r="E1406" s="21">
        <f t="shared" ca="1" si="108"/>
        <v>3.4049445462447452E-5</v>
      </c>
      <c r="F1406" s="11">
        <f t="shared" ca="1" si="109"/>
        <v>5.133749886879575</v>
      </c>
      <c r="G1406" s="10">
        <f t="shared" ca="1" si="106"/>
        <v>1</v>
      </c>
    </row>
    <row r="1407" spans="1:7" x14ac:dyDescent="0.2">
      <c r="A1407" s="2">
        <v>19950926</v>
      </c>
      <c r="B1407" s="13">
        <v>4765.6000000000004</v>
      </c>
      <c r="C1407" s="2">
        <f t="shared" si="107"/>
        <v>-9.077701349914835E-4</v>
      </c>
      <c r="D1407" s="21">
        <f t="shared" ca="1" si="105"/>
        <v>-1.2917225500983509E-3</v>
      </c>
      <c r="E1407" s="21">
        <f t="shared" ca="1" si="108"/>
        <v>3.3261163767747761E-5</v>
      </c>
      <c r="F1407" s="11">
        <f t="shared" ca="1" si="109"/>
        <v>5.130477534382047</v>
      </c>
      <c r="G1407" s="10">
        <f t="shared" ca="1" si="106"/>
        <v>1</v>
      </c>
    </row>
    <row r="1408" spans="1:7" x14ac:dyDescent="0.2">
      <c r="A1408" s="2">
        <v>19950927</v>
      </c>
      <c r="B1408" s="13">
        <v>4762.3500000000004</v>
      </c>
      <c r="C1408" s="2">
        <f t="shared" si="107"/>
        <v>-6.8197079066644275E-4</v>
      </c>
      <c r="D1408" s="21">
        <f t="shared" ca="1" si="105"/>
        <v>-1.0659232057733102E-3</v>
      </c>
      <c r="E1408" s="21">
        <f t="shared" ca="1" si="108"/>
        <v>3.2548829041672749E-5</v>
      </c>
      <c r="F1408" s="11">
        <f t="shared" ca="1" si="109"/>
        <v>5.1489309237450289</v>
      </c>
      <c r="G1408" s="10">
        <f t="shared" ca="1" si="106"/>
        <v>1</v>
      </c>
    </row>
    <row r="1409" spans="1:7" x14ac:dyDescent="0.2">
      <c r="A1409" s="2">
        <v>19950928</v>
      </c>
      <c r="B1409" s="13">
        <v>4787.6400000000003</v>
      </c>
      <c r="C1409" s="2">
        <f t="shared" si="107"/>
        <v>5.3104034772748663E-3</v>
      </c>
      <c r="D1409" s="21">
        <f t="shared" ca="1" si="105"/>
        <v>4.9264510621679991E-3</v>
      </c>
      <c r="E1409" s="21">
        <f t="shared" ca="1" si="108"/>
        <v>3.1852955946003162E-5</v>
      </c>
      <c r="F1409" s="11">
        <f t="shared" ca="1" si="109"/>
        <v>4.7962220882159405</v>
      </c>
      <c r="G1409" s="10">
        <f t="shared" ca="1" si="106"/>
        <v>1</v>
      </c>
    </row>
    <row r="1410" spans="1:7" x14ac:dyDescent="0.2">
      <c r="A1410" s="2">
        <v>19950929</v>
      </c>
      <c r="B1410" s="13">
        <v>4789.08</v>
      </c>
      <c r="C1410" s="2">
        <f t="shared" si="107"/>
        <v>3.0077449432279783E-4</v>
      </c>
      <c r="D1410" s="21">
        <f t="shared" ca="1" si="105"/>
        <v>-8.3177920784069468E-5</v>
      </c>
      <c r="E1410" s="21">
        <f t="shared" ca="1" si="108"/>
        <v>3.2042954862687186E-5</v>
      </c>
      <c r="F1410" s="11">
        <f t="shared" ca="1" si="109"/>
        <v>5.174108650233082</v>
      </c>
      <c r="G1410" s="10">
        <f t="shared" ca="1" si="106"/>
        <v>1</v>
      </c>
    </row>
    <row r="1411" spans="1:7" x14ac:dyDescent="0.2">
      <c r="A1411" s="2">
        <v>19951002</v>
      </c>
      <c r="B1411" s="13">
        <v>4761.26</v>
      </c>
      <c r="C1411" s="2">
        <f t="shared" si="107"/>
        <v>-5.8090489196254208E-3</v>
      </c>
      <c r="D1411" s="21">
        <f t="shared" ca="1" si="105"/>
        <v>-6.193001334732288E-3</v>
      </c>
      <c r="E1411" s="21">
        <f t="shared" ca="1" si="108"/>
        <v>3.1331148742066273E-5</v>
      </c>
      <c r="F1411" s="11">
        <f t="shared" ca="1" si="109"/>
        <v>4.5733860256019883</v>
      </c>
      <c r="G1411" s="10">
        <f t="shared" ca="1" si="106"/>
        <v>0</v>
      </c>
    </row>
    <row r="1412" spans="1:7" x14ac:dyDescent="0.2">
      <c r="A1412" s="2">
        <v>19951003</v>
      </c>
      <c r="B1412" s="13">
        <v>4749.7</v>
      </c>
      <c r="C1412" s="2">
        <f t="shared" si="107"/>
        <v>-2.42792874155169E-3</v>
      </c>
      <c r="D1412" s="21">
        <f t="shared" ca="1" si="105"/>
        <v>-2.8118811566585572E-3</v>
      </c>
      <c r="E1412" s="21">
        <f t="shared" ca="1" si="108"/>
        <v>3.2065415259907358E-5</v>
      </c>
      <c r="F1412" s="11">
        <f t="shared" ca="1" si="109"/>
        <v>5.0505764828487409</v>
      </c>
      <c r="G1412" s="10">
        <f t="shared" ca="1" si="106"/>
        <v>1</v>
      </c>
    </row>
    <row r="1413" spans="1:7" x14ac:dyDescent="0.2">
      <c r="A1413" s="2">
        <v>19951004</v>
      </c>
      <c r="B1413" s="13">
        <v>4740.67</v>
      </c>
      <c r="C1413" s="2">
        <f t="shared" si="107"/>
        <v>-1.9011727056445135E-3</v>
      </c>
      <c r="D1413" s="21">
        <f t="shared" ca="1" si="105"/>
        <v>-2.2851251207513809E-3</v>
      </c>
      <c r="E1413" s="21">
        <f t="shared" ca="1" si="108"/>
        <v>3.1642960721305196E-5</v>
      </c>
      <c r="F1413" s="11">
        <f t="shared" ca="1" si="109"/>
        <v>5.0979862300515419</v>
      </c>
      <c r="G1413" s="10">
        <f t="shared" ca="1" si="106"/>
        <v>1</v>
      </c>
    </row>
    <row r="1414" spans="1:7" x14ac:dyDescent="0.2">
      <c r="A1414" s="2">
        <v>19951005</v>
      </c>
      <c r="B1414" s="13">
        <v>4762.71</v>
      </c>
      <c r="C1414" s="2">
        <f t="shared" si="107"/>
        <v>4.6491318737646708E-3</v>
      </c>
      <c r="D1414" s="21">
        <f t="shared" ca="1" si="105"/>
        <v>4.2651794586578036E-3</v>
      </c>
      <c r="E1414" s="21">
        <f t="shared" ca="1" si="108"/>
        <v>3.1143150614712071E-5</v>
      </c>
      <c r="F1414" s="11">
        <f t="shared" ca="1" si="109"/>
        <v>4.896391388610378</v>
      </c>
      <c r="G1414" s="10">
        <f t="shared" ca="1" si="106"/>
        <v>1</v>
      </c>
    </row>
    <row r="1415" spans="1:7" x14ac:dyDescent="0.2">
      <c r="A1415" s="2">
        <v>19951006</v>
      </c>
      <c r="B1415" s="13">
        <v>4769.21</v>
      </c>
      <c r="C1415" s="2">
        <f t="shared" si="107"/>
        <v>1.3647692175253164E-3</v>
      </c>
      <c r="D1415" s="21">
        <f t="shared" ca="1" si="105"/>
        <v>9.808168024184492E-4</v>
      </c>
      <c r="E1415" s="21">
        <f t="shared" ca="1" si="108"/>
        <v>3.1145554104462056E-5</v>
      </c>
      <c r="F1415" s="11">
        <f t="shared" ca="1" si="109"/>
        <v>5.1729758817472868</v>
      </c>
      <c r="G1415" s="10">
        <f t="shared" ca="1" si="106"/>
        <v>1</v>
      </c>
    </row>
    <row r="1416" spans="1:7" x14ac:dyDescent="0.2">
      <c r="A1416" s="2">
        <v>19951009</v>
      </c>
      <c r="B1416" s="13">
        <v>4726.22</v>
      </c>
      <c r="C1416" s="2">
        <f t="shared" si="107"/>
        <v>-9.014071512892026E-3</v>
      </c>
      <c r="D1416" s="21">
        <f t="shared" ca="1" si="105"/>
        <v>-9.3980239279988931E-3</v>
      </c>
      <c r="E1416" s="21">
        <f t="shared" ca="1" si="108"/>
        <v>3.0514267854439827E-5</v>
      </c>
      <c r="F1416" s="11">
        <f t="shared" ca="1" si="109"/>
        <v>3.7514194734121333</v>
      </c>
      <c r="G1416" s="10">
        <f t="shared" ca="1" si="106"/>
        <v>0</v>
      </c>
    </row>
    <row r="1417" spans="1:7" x14ac:dyDescent="0.2">
      <c r="A1417" s="2">
        <v>19951010</v>
      </c>
      <c r="B1417" s="13">
        <v>4720.8</v>
      </c>
      <c r="C1417" s="2">
        <f t="shared" si="107"/>
        <v>-1.1467938437059791E-3</v>
      </c>
      <c r="D1417" s="21">
        <f t="shared" ca="1" si="105"/>
        <v>-1.5307462588128465E-3</v>
      </c>
      <c r="E1417" s="21">
        <f t="shared" ca="1" si="108"/>
        <v>3.3127329653429835E-5</v>
      </c>
      <c r="F1417" s="11">
        <f t="shared" ca="1" si="109"/>
        <v>5.1222096440319547</v>
      </c>
      <c r="G1417" s="10">
        <f t="shared" ca="1" si="106"/>
        <v>1</v>
      </c>
    </row>
    <row r="1418" spans="1:7" x14ac:dyDescent="0.2">
      <c r="A1418" s="2">
        <v>19951011</v>
      </c>
      <c r="B1418" s="13">
        <v>4735.25</v>
      </c>
      <c r="C1418" s="2">
        <f t="shared" si="107"/>
        <v>3.0609218776478176E-3</v>
      </c>
      <c r="D1418" s="21">
        <f t="shared" ca="1" si="105"/>
        <v>2.6769694625409504E-3</v>
      </c>
      <c r="E1418" s="21">
        <f t="shared" ca="1" si="108"/>
        <v>3.2446573218321653E-5</v>
      </c>
      <c r="F1418" s="11">
        <f t="shared" ca="1" si="109"/>
        <v>5.0575276247203353</v>
      </c>
      <c r="G1418" s="10">
        <f t="shared" ca="1" si="106"/>
        <v>1</v>
      </c>
    </row>
    <row r="1419" spans="1:7" x14ac:dyDescent="0.2">
      <c r="A1419" s="2">
        <v>19951012</v>
      </c>
      <c r="B1419" s="13">
        <v>4764.88</v>
      </c>
      <c r="C1419" s="2">
        <f t="shared" si="107"/>
        <v>6.2573253788079002E-3</v>
      </c>
      <c r="D1419" s="21">
        <f t="shared" ca="1" si="105"/>
        <v>5.873372963701033E-3</v>
      </c>
      <c r="E1419" s="21">
        <f t="shared" ca="1" si="108"/>
        <v>3.1977605922442892E-5</v>
      </c>
      <c r="F1419" s="11">
        <f t="shared" ca="1" si="109"/>
        <v>4.6358519192644563</v>
      </c>
      <c r="G1419" s="10">
        <f t="shared" ca="1" si="106"/>
        <v>0</v>
      </c>
    </row>
    <row r="1420" spans="1:7" x14ac:dyDescent="0.2">
      <c r="A1420" s="2">
        <v>19951013</v>
      </c>
      <c r="B1420" s="13">
        <v>4793.78</v>
      </c>
      <c r="C1420" s="2">
        <f t="shared" si="107"/>
        <v>6.0652104565066985E-3</v>
      </c>
      <c r="D1420" s="21">
        <f t="shared" ca="1" si="105"/>
        <v>5.6812580413998313E-3</v>
      </c>
      <c r="E1420" s="21">
        <f t="shared" ca="1" si="108"/>
        <v>3.2537348322609163E-5</v>
      </c>
      <c r="F1420" s="11">
        <f t="shared" ca="1" si="109"/>
        <v>4.6705664545396557</v>
      </c>
      <c r="G1420" s="10">
        <f t="shared" ca="1" si="106"/>
        <v>1</v>
      </c>
    </row>
    <row r="1421" spans="1:7" x14ac:dyDescent="0.2">
      <c r="A1421" s="2">
        <v>19951016</v>
      </c>
      <c r="B1421" s="13">
        <v>4784.38</v>
      </c>
      <c r="C1421" s="2">
        <f t="shared" si="107"/>
        <v>-1.9608742996131729E-3</v>
      </c>
      <c r="D1421" s="21">
        <f t="shared" ca="1" si="105"/>
        <v>-2.34482671472004E-3</v>
      </c>
      <c r="E1421" s="21">
        <f t="shared" ca="1" si="108"/>
        <v>3.298714662206425E-5</v>
      </c>
      <c r="F1421" s="11">
        <f t="shared" ca="1" si="109"/>
        <v>5.0763575769138418</v>
      </c>
      <c r="G1421" s="10">
        <f t="shared" ca="1" si="106"/>
        <v>1</v>
      </c>
    </row>
    <row r="1422" spans="1:7" x14ac:dyDescent="0.2">
      <c r="A1422" s="2">
        <v>19951017</v>
      </c>
      <c r="B1422" s="13">
        <v>4795.95</v>
      </c>
      <c r="C1422" s="2">
        <f t="shared" si="107"/>
        <v>2.4182861729209865E-3</v>
      </c>
      <c r="D1422" s="21">
        <f t="shared" ref="D1422:D1485" ca="1" si="110">(C1422-mu)</f>
        <v>2.0343337578141193E-3</v>
      </c>
      <c r="E1422" s="21">
        <f t="shared" ca="1" si="108"/>
        <v>3.2429497988897044E-5</v>
      </c>
      <c r="F1422" s="11">
        <f t="shared" ca="1" si="109"/>
        <v>5.104413197211306</v>
      </c>
      <c r="G1422" s="10">
        <f t="shared" ref="G1422:G1485" ca="1" si="111">IF(AND(C1422&lt;=mu+zvalue*SQRT(E1422),C1422&gt;=mu-zvalue*SQRT(E1422)),1,0)</f>
        <v>1</v>
      </c>
    </row>
    <row r="1423" spans="1:7" x14ac:dyDescent="0.2">
      <c r="A1423" s="2">
        <v>19951018</v>
      </c>
      <c r="B1423" s="13">
        <v>4777.5200000000004</v>
      </c>
      <c r="C1423" s="2">
        <f t="shared" ref="C1423:C1486" si="112">(B1423-B1422)/B1422</f>
        <v>-3.8428257175323727E-3</v>
      </c>
      <c r="D1423" s="21">
        <f t="shared" ca="1" si="110"/>
        <v>-4.2267781326392403E-3</v>
      </c>
      <c r="E1423" s="21">
        <f t="shared" ref="E1423:E1486" ca="1" si="113">(1-alpha-beta)*longvar+alpha*D1422^2+beta*E1422</f>
        <v>3.1850062496345638E-5</v>
      </c>
      <c r="F1423" s="11">
        <f t="shared" ref="F1423:F1486" ca="1" si="114">(-0.5)*(LN(E1423)+D1423^2/E1423)</f>
        <v>4.8967706409907796</v>
      </c>
      <c r="G1423" s="10">
        <f t="shared" ca="1" si="111"/>
        <v>1</v>
      </c>
    </row>
    <row r="1424" spans="1:7" x14ac:dyDescent="0.2">
      <c r="A1424" s="2">
        <v>19951019</v>
      </c>
      <c r="B1424" s="13">
        <v>4802.45</v>
      </c>
      <c r="C1424" s="2">
        <f t="shared" si="112"/>
        <v>5.2181885162174892E-3</v>
      </c>
      <c r="D1424" s="21">
        <f t="shared" ca="1" si="110"/>
        <v>4.834236101110622E-3</v>
      </c>
      <c r="E1424" s="21">
        <f t="shared" ca="1" si="113"/>
        <v>3.1804711725428141E-5</v>
      </c>
      <c r="F1424" s="11">
        <f t="shared" ca="1" si="114"/>
        <v>4.8105521982262953</v>
      </c>
      <c r="G1424" s="10">
        <f t="shared" ca="1" si="111"/>
        <v>1</v>
      </c>
    </row>
    <row r="1425" spans="1:7" x14ac:dyDescent="0.2">
      <c r="A1425" s="2">
        <v>19951020</v>
      </c>
      <c r="B1425" s="13">
        <v>4794.8599999999997</v>
      </c>
      <c r="C1425" s="2">
        <f t="shared" si="112"/>
        <v>-1.5804433153911329E-3</v>
      </c>
      <c r="D1425" s="21">
        <f t="shared" ca="1" si="110"/>
        <v>-1.9643957304980001E-3</v>
      </c>
      <c r="E1425" s="21">
        <f t="shared" ca="1" si="113"/>
        <v>3.196405376894439E-5</v>
      </c>
      <c r="F1425" s="11">
        <f t="shared" ca="1" si="114"/>
        <v>5.1150869565201935</v>
      </c>
      <c r="G1425" s="10">
        <f t="shared" ca="1" si="111"/>
        <v>1</v>
      </c>
    </row>
    <row r="1426" spans="1:7" x14ac:dyDescent="0.2">
      <c r="A1426" s="2">
        <v>19951023</v>
      </c>
      <c r="B1426" s="13">
        <v>4755.4799999999996</v>
      </c>
      <c r="C1426" s="2">
        <f t="shared" si="112"/>
        <v>-8.2129613794772131E-3</v>
      </c>
      <c r="D1426" s="21">
        <f t="shared" ca="1" si="110"/>
        <v>-8.5969137945840803E-3</v>
      </c>
      <c r="E1426" s="21">
        <f t="shared" ca="1" si="113"/>
        <v>3.1397881546646564E-5</v>
      </c>
      <c r="F1426" s="11">
        <f t="shared" ca="1" si="114"/>
        <v>4.0074437711052706</v>
      </c>
      <c r="G1426" s="10">
        <f t="shared" ca="1" si="111"/>
        <v>0</v>
      </c>
    </row>
    <row r="1427" spans="1:7" x14ac:dyDescent="0.2">
      <c r="A1427" s="2">
        <v>19951024</v>
      </c>
      <c r="B1427" s="13">
        <v>4783.66</v>
      </c>
      <c r="C1427" s="2">
        <f t="shared" si="112"/>
        <v>5.9257950827256755E-3</v>
      </c>
      <c r="D1427" s="21">
        <f t="shared" ca="1" si="110"/>
        <v>5.5418426676188083E-3</v>
      </c>
      <c r="E1427" s="21">
        <f t="shared" ca="1" si="113"/>
        <v>3.3436142232809253E-5</v>
      </c>
      <c r="F1427" s="11">
        <f t="shared" ca="1" si="114"/>
        <v>4.6936727600439543</v>
      </c>
      <c r="G1427" s="10">
        <f t="shared" ca="1" si="111"/>
        <v>1</v>
      </c>
    </row>
    <row r="1428" spans="1:7" x14ac:dyDescent="0.2">
      <c r="A1428" s="2">
        <v>19951025</v>
      </c>
      <c r="B1428" s="13">
        <v>4753.68</v>
      </c>
      <c r="C1428" s="2">
        <f t="shared" si="112"/>
        <v>-6.2671678171106566E-3</v>
      </c>
      <c r="D1428" s="21">
        <f t="shared" ca="1" si="110"/>
        <v>-6.6511202322175238E-3</v>
      </c>
      <c r="E1428" s="21">
        <f t="shared" ca="1" si="113"/>
        <v>3.3782934502281543E-5</v>
      </c>
      <c r="F1428" s="11">
        <f t="shared" ca="1" si="114"/>
        <v>4.4930474055158749</v>
      </c>
      <c r="G1428" s="10">
        <f t="shared" ca="1" si="111"/>
        <v>0</v>
      </c>
    </row>
    <row r="1429" spans="1:7" x14ac:dyDescent="0.2">
      <c r="A1429" s="2">
        <v>19951026</v>
      </c>
      <c r="B1429" s="13">
        <v>4703.82</v>
      </c>
      <c r="C1429" s="2">
        <f t="shared" si="112"/>
        <v>-1.0488716110466119E-2</v>
      </c>
      <c r="D1429" s="21">
        <f t="shared" ca="1" si="110"/>
        <v>-1.0872668525572986E-2</v>
      </c>
      <c r="E1429" s="21">
        <f t="shared" ca="1" si="113"/>
        <v>3.4609534282219961E-5</v>
      </c>
      <c r="F1429" s="11">
        <f t="shared" ca="1" si="114"/>
        <v>3.427853180342729</v>
      </c>
      <c r="G1429" s="10">
        <f t="shared" ca="1" si="111"/>
        <v>0</v>
      </c>
    </row>
    <row r="1430" spans="1:7" x14ac:dyDescent="0.2">
      <c r="A1430" s="2">
        <v>19951027</v>
      </c>
      <c r="B1430" s="13">
        <v>4741.75</v>
      </c>
      <c r="C1430" s="2">
        <f t="shared" si="112"/>
        <v>8.0636588985123353E-3</v>
      </c>
      <c r="D1430" s="21">
        <f t="shared" ca="1" si="110"/>
        <v>7.6797064834054681E-3</v>
      </c>
      <c r="E1430" s="21">
        <f t="shared" ca="1" si="113"/>
        <v>3.8114598705005475E-5</v>
      </c>
      <c r="F1430" s="11">
        <f t="shared" ca="1" si="114"/>
        <v>4.3137649648386116</v>
      </c>
      <c r="G1430" s="10">
        <f t="shared" ca="1" si="111"/>
        <v>0</v>
      </c>
    </row>
    <row r="1431" spans="1:7" x14ac:dyDescent="0.2">
      <c r="A1431" s="2">
        <v>19951030</v>
      </c>
      <c r="B1431" s="13">
        <v>4756.57</v>
      </c>
      <c r="C1431" s="2">
        <f t="shared" si="112"/>
        <v>3.1254283755996646E-3</v>
      </c>
      <c r="D1431" s="21">
        <f t="shared" ca="1" si="110"/>
        <v>2.7414759604927974E-3</v>
      </c>
      <c r="E1431" s="21">
        <f t="shared" ca="1" si="113"/>
        <v>3.9264091770382243E-5</v>
      </c>
      <c r="F1431" s="11">
        <f t="shared" ca="1" si="114"/>
        <v>4.976893157842964</v>
      </c>
      <c r="G1431" s="10">
        <f t="shared" ca="1" si="111"/>
        <v>1</v>
      </c>
    </row>
    <row r="1432" spans="1:7" x14ac:dyDescent="0.2">
      <c r="A1432" s="2">
        <v>19951031</v>
      </c>
      <c r="B1432" s="13">
        <v>4755.4799999999996</v>
      </c>
      <c r="C1432" s="2">
        <f t="shared" si="112"/>
        <v>-2.2915672427823949E-4</v>
      </c>
      <c r="D1432" s="21">
        <f t="shared" ca="1" si="110"/>
        <v>-6.1310913938510678E-4</v>
      </c>
      <c r="E1432" s="21">
        <f t="shared" ca="1" si="113"/>
        <v>3.8463076608468058E-5</v>
      </c>
      <c r="F1432" s="11">
        <f t="shared" ca="1" si="114"/>
        <v>5.0780193717948592</v>
      </c>
      <c r="G1432" s="10">
        <f t="shared" ca="1" si="111"/>
        <v>1</v>
      </c>
    </row>
    <row r="1433" spans="1:7" x14ac:dyDescent="0.2">
      <c r="A1433" s="2">
        <v>19951101</v>
      </c>
      <c r="B1433" s="13">
        <v>4766.68</v>
      </c>
      <c r="C1433" s="2">
        <f t="shared" si="112"/>
        <v>2.3551776056256633E-3</v>
      </c>
      <c r="D1433" s="21">
        <f t="shared" ca="1" si="110"/>
        <v>1.9712251905187961E-3</v>
      </c>
      <c r="E1433" s="21">
        <f t="shared" ca="1" si="113"/>
        <v>3.7440042609958382E-5</v>
      </c>
      <c r="F1433" s="11">
        <f t="shared" ca="1" si="114"/>
        <v>5.0444921981109401</v>
      </c>
      <c r="G1433" s="10">
        <f t="shared" ca="1" si="111"/>
        <v>1</v>
      </c>
    </row>
    <row r="1434" spans="1:7" x14ac:dyDescent="0.2">
      <c r="A1434" s="2">
        <v>19951102</v>
      </c>
      <c r="B1434" s="13">
        <v>4808.59</v>
      </c>
      <c r="C1434" s="2">
        <f t="shared" si="112"/>
        <v>8.7922830985087842E-3</v>
      </c>
      <c r="D1434" s="21">
        <f t="shared" ca="1" si="110"/>
        <v>8.408330683401917E-3</v>
      </c>
      <c r="E1434" s="21">
        <f t="shared" ca="1" si="113"/>
        <v>3.6597826666230805E-5</v>
      </c>
      <c r="F1434" s="11">
        <f t="shared" ca="1" si="114"/>
        <v>4.1418561594655952</v>
      </c>
      <c r="G1434" s="10">
        <f t="shared" ca="1" si="111"/>
        <v>0</v>
      </c>
    </row>
    <row r="1435" spans="1:7" x14ac:dyDescent="0.2">
      <c r="A1435" s="2">
        <v>19951103</v>
      </c>
      <c r="B1435" s="13">
        <v>4825.57</v>
      </c>
      <c r="C1435" s="2">
        <f t="shared" si="112"/>
        <v>3.531180657947457E-3</v>
      </c>
      <c r="D1435" s="21">
        <f t="shared" ca="1" si="110"/>
        <v>3.1472282428405898E-3</v>
      </c>
      <c r="E1435" s="21">
        <f t="shared" ca="1" si="113"/>
        <v>3.8255097034002522E-5</v>
      </c>
      <c r="F1435" s="11">
        <f t="shared" ca="1" si="114"/>
        <v>4.9561564063212131</v>
      </c>
      <c r="G1435" s="10">
        <f t="shared" ca="1" si="111"/>
        <v>1</v>
      </c>
    </row>
    <row r="1436" spans="1:7" x14ac:dyDescent="0.2">
      <c r="A1436" s="2">
        <v>19951106</v>
      </c>
      <c r="B1436" s="13">
        <v>4814.01</v>
      </c>
      <c r="C1436" s="2">
        <f t="shared" si="112"/>
        <v>-2.3955719220733491E-3</v>
      </c>
      <c r="D1436" s="21">
        <f t="shared" ca="1" si="110"/>
        <v>-2.7795243371802163E-3</v>
      </c>
      <c r="E1436" s="21">
        <f t="shared" ca="1" si="113"/>
        <v>3.7592988009576275E-5</v>
      </c>
      <c r="F1436" s="11">
        <f t="shared" ca="1" si="114"/>
        <v>4.991591233376873</v>
      </c>
      <c r="G1436" s="10">
        <f t="shared" ca="1" si="111"/>
        <v>1</v>
      </c>
    </row>
    <row r="1437" spans="1:7" x14ac:dyDescent="0.2">
      <c r="A1437" s="2">
        <v>19951107</v>
      </c>
      <c r="B1437" s="13">
        <v>4797.03</v>
      </c>
      <c r="C1437" s="2">
        <f t="shared" si="112"/>
        <v>-3.5272049704924736E-3</v>
      </c>
      <c r="D1437" s="21">
        <f t="shared" ca="1" si="110"/>
        <v>-3.9111573855993408E-3</v>
      </c>
      <c r="E1437" s="21">
        <f t="shared" ca="1" si="113"/>
        <v>3.6884238997630458E-5</v>
      </c>
      <c r="F1437" s="11">
        <f t="shared" ca="1" si="114"/>
        <v>4.8964960569692177</v>
      </c>
      <c r="G1437" s="10">
        <f t="shared" ca="1" si="111"/>
        <v>1</v>
      </c>
    </row>
    <row r="1438" spans="1:7" x14ac:dyDescent="0.2">
      <c r="A1438" s="2">
        <v>19951108</v>
      </c>
      <c r="B1438" s="13">
        <v>4852.67</v>
      </c>
      <c r="C1438" s="2">
        <f t="shared" si="112"/>
        <v>1.1598843451052073E-2</v>
      </c>
      <c r="D1438" s="21">
        <f t="shared" ca="1" si="110"/>
        <v>1.1214891035945206E-2</v>
      </c>
      <c r="E1438" s="21">
        <f t="shared" ca="1" si="113"/>
        <v>3.6489759302868189E-5</v>
      </c>
      <c r="F1438" s="11">
        <f t="shared" ca="1" si="114"/>
        <v>3.3858274131322008</v>
      </c>
      <c r="G1438" s="10">
        <f t="shared" ca="1" si="111"/>
        <v>0</v>
      </c>
    </row>
    <row r="1439" spans="1:7" x14ac:dyDescent="0.2">
      <c r="A1439" s="2">
        <v>19951109</v>
      </c>
      <c r="B1439" s="13">
        <v>4864.2299999999996</v>
      </c>
      <c r="C1439" s="2">
        <f t="shared" si="112"/>
        <v>2.3821937201580759E-3</v>
      </c>
      <c r="D1439" s="21">
        <f t="shared" ca="1" si="110"/>
        <v>1.9982413050512087E-3</v>
      </c>
      <c r="E1439" s="21">
        <f t="shared" ca="1" si="113"/>
        <v>4.0177655006077058E-5</v>
      </c>
      <c r="F1439" s="11">
        <f t="shared" ca="1" si="114"/>
        <v>5.0114083755089194</v>
      </c>
      <c r="G1439" s="10">
        <f t="shared" ca="1" si="111"/>
        <v>1</v>
      </c>
    </row>
    <row r="1440" spans="1:7" x14ac:dyDescent="0.2">
      <c r="A1440" s="2">
        <v>19951110</v>
      </c>
      <c r="B1440" s="13">
        <v>4870.37</v>
      </c>
      <c r="C1440" s="2">
        <f t="shared" si="112"/>
        <v>1.2622758381080517E-3</v>
      </c>
      <c r="D1440" s="21">
        <f t="shared" ca="1" si="110"/>
        <v>8.783234230011844E-4</v>
      </c>
      <c r="E1440" s="21">
        <f t="shared" ca="1" si="113"/>
        <v>3.9200885735752678E-5</v>
      </c>
      <c r="F1440" s="11">
        <f t="shared" ca="1" si="114"/>
        <v>5.0635658809622139</v>
      </c>
      <c r="G1440" s="10">
        <f t="shared" ca="1" si="111"/>
        <v>1</v>
      </c>
    </row>
    <row r="1441" spans="1:7" x14ac:dyDescent="0.2">
      <c r="A1441" s="2">
        <v>19951113</v>
      </c>
      <c r="B1441" s="13">
        <v>4872.8999999999996</v>
      </c>
      <c r="C1441" s="2">
        <f t="shared" si="112"/>
        <v>5.1946772011156144E-4</v>
      </c>
      <c r="D1441" s="21">
        <f t="shared" ca="1" si="110"/>
        <v>1.3551530500469414E-4</v>
      </c>
      <c r="E1441" s="21">
        <f t="shared" ca="1" si="113"/>
        <v>3.8155070765974769E-5</v>
      </c>
      <c r="F1441" s="11">
        <f t="shared" ca="1" si="114"/>
        <v>5.0866852915154235</v>
      </c>
      <c r="G1441" s="10">
        <f t="shared" ca="1" si="111"/>
        <v>1</v>
      </c>
    </row>
    <row r="1442" spans="1:7" x14ac:dyDescent="0.2">
      <c r="A1442" s="2">
        <v>19951114</v>
      </c>
      <c r="B1442" s="13">
        <v>4871.8100000000004</v>
      </c>
      <c r="C1442" s="2">
        <f t="shared" si="112"/>
        <v>-2.2368610067911019E-4</v>
      </c>
      <c r="D1442" s="21">
        <f t="shared" ca="1" si="110"/>
        <v>-6.0763851578597749E-4</v>
      </c>
      <c r="E1442" s="21">
        <f t="shared" ca="1" si="113"/>
        <v>3.7134471572510032E-5</v>
      </c>
      <c r="F1442" s="11">
        <f t="shared" ca="1" si="114"/>
        <v>5.0955109803479672</v>
      </c>
      <c r="G1442" s="10">
        <f t="shared" ca="1" si="111"/>
        <v>1</v>
      </c>
    </row>
    <row r="1443" spans="1:7" x14ac:dyDescent="0.2">
      <c r="A1443" s="2">
        <v>19951115</v>
      </c>
      <c r="B1443" s="13">
        <v>4922.75</v>
      </c>
      <c r="C1443" s="2">
        <f t="shared" si="112"/>
        <v>1.0456072794300187E-2</v>
      </c>
      <c r="D1443" s="21">
        <f t="shared" ca="1" si="110"/>
        <v>1.0072120379193319E-2</v>
      </c>
      <c r="E1443" s="21">
        <f t="shared" ca="1" si="113"/>
        <v>3.6178406569284388E-5</v>
      </c>
      <c r="F1443" s="11">
        <f t="shared" ca="1" si="114"/>
        <v>3.7114776664898086</v>
      </c>
      <c r="G1443" s="10">
        <f t="shared" ca="1" si="111"/>
        <v>0</v>
      </c>
    </row>
    <row r="1444" spans="1:7" x14ac:dyDescent="0.2">
      <c r="A1444" s="2">
        <v>19951116</v>
      </c>
      <c r="B1444" s="13">
        <v>4969.3599999999997</v>
      </c>
      <c r="C1444" s="2">
        <f t="shared" si="112"/>
        <v>9.4682850033009341E-3</v>
      </c>
      <c r="D1444" s="21">
        <f t="shared" ca="1" si="110"/>
        <v>9.0843325881940669E-3</v>
      </c>
      <c r="E1444" s="21">
        <f t="shared" ca="1" si="113"/>
        <v>3.8987537890163933E-5</v>
      </c>
      <c r="F1444" s="11">
        <f t="shared" ca="1" si="114"/>
        <v>4.0177819805828179</v>
      </c>
      <c r="G1444" s="10">
        <f t="shared" ca="1" si="111"/>
        <v>0</v>
      </c>
    </row>
    <row r="1445" spans="1:7" x14ac:dyDescent="0.2">
      <c r="A1445" s="2">
        <v>19951117</v>
      </c>
      <c r="B1445" s="13">
        <v>4989.95</v>
      </c>
      <c r="C1445" s="2">
        <f t="shared" si="112"/>
        <v>4.1433906981985904E-3</v>
      </c>
      <c r="D1445" s="21">
        <f t="shared" ca="1" si="110"/>
        <v>3.7594382830917232E-3</v>
      </c>
      <c r="E1445" s="21">
        <f t="shared" ca="1" si="113"/>
        <v>4.0958740587041437E-5</v>
      </c>
      <c r="F1445" s="11">
        <f t="shared" ca="1" si="114"/>
        <v>4.8789407926472688</v>
      </c>
      <c r="G1445" s="10">
        <f t="shared" ca="1" si="111"/>
        <v>1</v>
      </c>
    </row>
    <row r="1446" spans="1:7" x14ac:dyDescent="0.2">
      <c r="A1446" s="2">
        <v>19951120</v>
      </c>
      <c r="B1446" s="13">
        <v>4983.09</v>
      </c>
      <c r="C1446" s="2">
        <f t="shared" si="112"/>
        <v>-1.3747632741810385E-3</v>
      </c>
      <c r="D1446" s="21">
        <f t="shared" ca="1" si="110"/>
        <v>-1.7587156892879059E-3</v>
      </c>
      <c r="E1446" s="21">
        <f t="shared" ca="1" si="113"/>
        <v>4.031533644377993E-5</v>
      </c>
      <c r="F1446" s="11">
        <f t="shared" ca="1" si="114"/>
        <v>5.0210282075761752</v>
      </c>
      <c r="G1446" s="10">
        <f t="shared" ca="1" si="111"/>
        <v>1</v>
      </c>
    </row>
    <row r="1447" spans="1:7" x14ac:dyDescent="0.2">
      <c r="A1447" s="2">
        <v>19951121</v>
      </c>
      <c r="B1447" s="13">
        <v>5023.55</v>
      </c>
      <c r="C1447" s="2">
        <f t="shared" si="112"/>
        <v>8.1194600137665662E-3</v>
      </c>
      <c r="D1447" s="21">
        <f t="shared" ca="1" si="110"/>
        <v>7.735507598659699E-3</v>
      </c>
      <c r="E1447" s="21">
        <f t="shared" ca="1" si="113"/>
        <v>3.9298511391867162E-5</v>
      </c>
      <c r="F1447" s="11">
        <f t="shared" ca="1" si="114"/>
        <v>4.3108344214615304</v>
      </c>
      <c r="G1447" s="10">
        <f t="shared" ca="1" si="111"/>
        <v>0</v>
      </c>
    </row>
    <row r="1448" spans="1:7" x14ac:dyDescent="0.2">
      <c r="A1448" s="2">
        <v>19951122</v>
      </c>
      <c r="B1448" s="13">
        <v>5041.6099999999997</v>
      </c>
      <c r="C1448" s="2">
        <f t="shared" si="112"/>
        <v>3.5950672333309092E-3</v>
      </c>
      <c r="D1448" s="21">
        <f t="shared" ca="1" si="110"/>
        <v>3.2111148182240421E-3</v>
      </c>
      <c r="E1448" s="21">
        <f t="shared" ca="1" si="113"/>
        <v>4.0419740470802736E-5</v>
      </c>
      <c r="F1448" s="11">
        <f t="shared" ca="1" si="114"/>
        <v>4.9305438748393016</v>
      </c>
      <c r="G1448" s="10">
        <f t="shared" ca="1" si="111"/>
        <v>1</v>
      </c>
    </row>
    <row r="1449" spans="1:7" x14ac:dyDescent="0.2">
      <c r="A1449" s="2">
        <v>19951124</v>
      </c>
      <c r="B1449" s="13">
        <v>5048.84</v>
      </c>
      <c r="C1449" s="2">
        <f t="shared" si="112"/>
        <v>1.4340657052014085E-3</v>
      </c>
      <c r="D1449" s="21">
        <f t="shared" ca="1" si="110"/>
        <v>1.0501132900945414E-3</v>
      </c>
      <c r="E1449" s="21">
        <f t="shared" ca="1" si="113"/>
        <v>3.9663058574741563E-5</v>
      </c>
      <c r="F1449" s="11">
        <f t="shared" ca="1" si="114"/>
        <v>5.0536438366701022</v>
      </c>
      <c r="G1449" s="10">
        <f t="shared" ca="1" si="111"/>
        <v>1</v>
      </c>
    </row>
    <row r="1450" spans="1:7" x14ac:dyDescent="0.2">
      <c r="A1450" s="2">
        <v>19951127</v>
      </c>
      <c r="B1450" s="13">
        <v>5070.88</v>
      </c>
      <c r="C1450" s="2">
        <f t="shared" si="112"/>
        <v>4.3653591716116893E-3</v>
      </c>
      <c r="D1450" s="21">
        <f t="shared" ca="1" si="110"/>
        <v>3.9814067565048222E-3</v>
      </c>
      <c r="E1450" s="21">
        <f t="shared" ca="1" si="113"/>
        <v>3.8606044089354722E-5</v>
      </c>
      <c r="F1450" s="11">
        <f t="shared" ca="1" si="114"/>
        <v>4.8757513987723398</v>
      </c>
      <c r="G1450" s="10">
        <f t="shared" ca="1" si="111"/>
        <v>1</v>
      </c>
    </row>
    <row r="1451" spans="1:7" x14ac:dyDescent="0.2">
      <c r="A1451" s="2">
        <v>19951128</v>
      </c>
      <c r="B1451" s="13">
        <v>5078.1000000000004</v>
      </c>
      <c r="C1451" s="2">
        <f t="shared" si="112"/>
        <v>1.4238159846023282E-3</v>
      </c>
      <c r="D1451" s="21">
        <f t="shared" ca="1" si="110"/>
        <v>1.039863569495461E-3</v>
      </c>
      <c r="E1451" s="21">
        <f t="shared" ca="1" si="113"/>
        <v>3.81448457168369E-5</v>
      </c>
      <c r="F1451" s="11">
        <f t="shared" ca="1" si="114"/>
        <v>5.0728861389959157</v>
      </c>
      <c r="G1451" s="10">
        <f t="shared" ca="1" si="111"/>
        <v>1</v>
      </c>
    </row>
    <row r="1452" spans="1:7" x14ac:dyDescent="0.2">
      <c r="A1452" s="2">
        <v>19951129</v>
      </c>
      <c r="B1452" s="13">
        <v>5105.5600000000004</v>
      </c>
      <c r="C1452" s="2">
        <f t="shared" si="112"/>
        <v>5.4075343140150911E-3</v>
      </c>
      <c r="D1452" s="21">
        <f t="shared" ca="1" si="110"/>
        <v>5.023581898908224E-3</v>
      </c>
      <c r="E1452" s="21">
        <f t="shared" ca="1" si="113"/>
        <v>3.7163850407289431E-5</v>
      </c>
      <c r="F1452" s="11">
        <f t="shared" ca="1" si="114"/>
        <v>4.7605584848646227</v>
      </c>
      <c r="G1452" s="10">
        <f t="shared" ca="1" si="111"/>
        <v>1</v>
      </c>
    </row>
    <row r="1453" spans="1:7" x14ac:dyDescent="0.2">
      <c r="A1453" s="2">
        <v>19951130</v>
      </c>
      <c r="B1453" s="13">
        <v>5074.49</v>
      </c>
      <c r="C1453" s="2">
        <f t="shared" si="112"/>
        <v>-6.0855224500349844E-3</v>
      </c>
      <c r="D1453" s="21">
        <f t="shared" ca="1" si="110"/>
        <v>-6.4694748651418516E-3</v>
      </c>
      <c r="E1453" s="21">
        <f t="shared" ca="1" si="113"/>
        <v>3.7120707663311621E-5</v>
      </c>
      <c r="F1453" s="11">
        <f t="shared" ca="1" si="114"/>
        <v>4.5369109620487773</v>
      </c>
      <c r="G1453" s="10">
        <f t="shared" ca="1" si="111"/>
        <v>0</v>
      </c>
    </row>
    <row r="1454" spans="1:7" x14ac:dyDescent="0.2">
      <c r="A1454" s="2">
        <v>19951201</v>
      </c>
      <c r="B1454" s="13">
        <v>5087.13</v>
      </c>
      <c r="C1454" s="2">
        <f t="shared" si="112"/>
        <v>2.4908907101995133E-3</v>
      </c>
      <c r="D1454" s="21">
        <f t="shared" ca="1" si="110"/>
        <v>2.1069382950926461E-3</v>
      </c>
      <c r="E1454" s="21">
        <f t="shared" ca="1" si="113"/>
        <v>3.7690810470029867E-5</v>
      </c>
      <c r="F1454" s="11">
        <f t="shared" ca="1" si="114"/>
        <v>5.0341575836972252</v>
      </c>
      <c r="G1454" s="10">
        <f t="shared" ca="1" si="111"/>
        <v>1</v>
      </c>
    </row>
    <row r="1455" spans="1:7" x14ac:dyDescent="0.2">
      <c r="A1455" s="2">
        <v>19951204</v>
      </c>
      <c r="B1455" s="13">
        <v>5139.5200000000004</v>
      </c>
      <c r="C1455" s="2">
        <f t="shared" si="112"/>
        <v>1.0298537682347479E-2</v>
      </c>
      <c r="D1455" s="21">
        <f t="shared" ca="1" si="110"/>
        <v>9.9145852672406116E-3</v>
      </c>
      <c r="E1455" s="21">
        <f t="shared" ca="1" si="113"/>
        <v>3.6856259796628533E-5</v>
      </c>
      <c r="F1455" s="11">
        <f t="shared" ca="1" si="114"/>
        <v>3.7706970105225031</v>
      </c>
      <c r="G1455" s="10">
        <f t="shared" ca="1" si="111"/>
        <v>0</v>
      </c>
    </row>
    <row r="1456" spans="1:7" x14ac:dyDescent="0.2">
      <c r="A1456" s="2">
        <v>19951205</v>
      </c>
      <c r="B1456" s="13">
        <v>5177.45</v>
      </c>
      <c r="C1456" s="2">
        <f t="shared" si="112"/>
        <v>7.3800666210072884E-3</v>
      </c>
      <c r="D1456" s="21">
        <f t="shared" ca="1" si="110"/>
        <v>6.9961142059004212E-3</v>
      </c>
      <c r="E1456" s="21">
        <f t="shared" ca="1" si="113"/>
        <v>3.9515318489017613E-5</v>
      </c>
      <c r="F1456" s="11">
        <f t="shared" ca="1" si="114"/>
        <v>4.4500865219057451</v>
      </c>
      <c r="G1456" s="10">
        <f t="shared" ca="1" si="111"/>
        <v>0</v>
      </c>
    </row>
    <row r="1457" spans="1:7" x14ac:dyDescent="0.2">
      <c r="A1457" s="2">
        <v>19951206</v>
      </c>
      <c r="B1457" s="13">
        <v>5199.13</v>
      </c>
      <c r="C1457" s="2">
        <f t="shared" si="112"/>
        <v>4.1873895450463628E-3</v>
      </c>
      <c r="D1457" s="21">
        <f t="shared" ca="1" si="110"/>
        <v>3.8034371299394956E-3</v>
      </c>
      <c r="E1457" s="21">
        <f t="shared" ca="1" si="113"/>
        <v>4.0225044311851208E-5</v>
      </c>
      <c r="F1457" s="11">
        <f t="shared" ca="1" si="114"/>
        <v>4.8806953653911842</v>
      </c>
      <c r="G1457" s="10">
        <f t="shared" ca="1" si="111"/>
        <v>1</v>
      </c>
    </row>
    <row r="1458" spans="1:7" x14ac:dyDescent="0.2">
      <c r="A1458" s="2">
        <v>19951207</v>
      </c>
      <c r="B1458" s="13">
        <v>5159.3900000000003</v>
      </c>
      <c r="C1458" s="2">
        <f t="shared" si="112"/>
        <v>-7.6435865231297894E-3</v>
      </c>
      <c r="D1458" s="21">
        <f t="shared" ca="1" si="110"/>
        <v>-8.0275389382366575E-3</v>
      </c>
      <c r="E1458" s="21">
        <f t="shared" ca="1" si="113"/>
        <v>3.9630994189938998E-5</v>
      </c>
      <c r="F1458" s="11">
        <f t="shared" ca="1" si="114"/>
        <v>4.2549320603066159</v>
      </c>
      <c r="G1458" s="10">
        <f t="shared" ca="1" si="111"/>
        <v>0</v>
      </c>
    </row>
    <row r="1459" spans="1:7" x14ac:dyDescent="0.2">
      <c r="A1459" s="2">
        <v>19951208</v>
      </c>
      <c r="B1459" s="13">
        <v>5156.8599999999997</v>
      </c>
      <c r="C1459" s="2">
        <f t="shared" si="112"/>
        <v>-4.9036804738557358E-4</v>
      </c>
      <c r="D1459" s="21">
        <f t="shared" ca="1" si="110"/>
        <v>-8.7432046249244087E-4</v>
      </c>
      <c r="E1459" s="21">
        <f t="shared" ca="1" si="113"/>
        <v>4.0904674365454442E-5</v>
      </c>
      <c r="F1459" s="11">
        <f t="shared" ca="1" si="114"/>
        <v>5.0427889881198054</v>
      </c>
      <c r="G1459" s="10">
        <f t="shared" ca="1" si="111"/>
        <v>1</v>
      </c>
    </row>
    <row r="1460" spans="1:7" x14ac:dyDescent="0.2">
      <c r="A1460" s="2">
        <v>19951211</v>
      </c>
      <c r="B1460" s="13">
        <v>5184.32</v>
      </c>
      <c r="C1460" s="2">
        <f t="shared" si="112"/>
        <v>5.3249458003513843E-3</v>
      </c>
      <c r="D1460" s="21">
        <f t="shared" ca="1" si="110"/>
        <v>4.9409933852445171E-3</v>
      </c>
      <c r="E1460" s="21">
        <f t="shared" ca="1" si="113"/>
        <v>3.9772406186001492E-5</v>
      </c>
      <c r="F1460" s="11">
        <f t="shared" ca="1" si="114"/>
        <v>4.7592546104741915</v>
      </c>
      <c r="G1460" s="10">
        <f t="shared" ca="1" si="111"/>
        <v>1</v>
      </c>
    </row>
    <row r="1461" spans="1:7" x14ac:dyDescent="0.2">
      <c r="A1461" s="2">
        <v>19951212</v>
      </c>
      <c r="B1461" s="13">
        <v>5174.92</v>
      </c>
      <c r="C1461" s="2">
        <f t="shared" si="112"/>
        <v>-1.8131596815010719E-3</v>
      </c>
      <c r="D1461" s="21">
        <f t="shared" ca="1" si="110"/>
        <v>-2.1971120966079393E-3</v>
      </c>
      <c r="E1461" s="21">
        <f t="shared" ca="1" si="113"/>
        <v>3.9567034089930385E-5</v>
      </c>
      <c r="F1461" s="11">
        <f t="shared" ca="1" si="114"/>
        <v>5.0077555699830922</v>
      </c>
      <c r="G1461" s="10">
        <f t="shared" ca="1" si="111"/>
        <v>1</v>
      </c>
    </row>
    <row r="1462" spans="1:7" x14ac:dyDescent="0.2">
      <c r="A1462" s="2">
        <v>19951213</v>
      </c>
      <c r="B1462" s="13">
        <v>5216.47</v>
      </c>
      <c r="C1462" s="2">
        <f t="shared" si="112"/>
        <v>8.0291096287479196E-3</v>
      </c>
      <c r="D1462" s="21">
        <f t="shared" ca="1" si="110"/>
        <v>7.6451572136410524E-3</v>
      </c>
      <c r="E1462" s="21">
        <f t="shared" ca="1" si="113"/>
        <v>3.8651836223265105E-5</v>
      </c>
      <c r="F1462" s="11">
        <f t="shared" ca="1" si="114"/>
        <v>4.3243694942361701</v>
      </c>
      <c r="G1462" s="10">
        <f t="shared" ca="1" si="111"/>
        <v>0</v>
      </c>
    </row>
    <row r="1463" spans="1:7" x14ac:dyDescent="0.2">
      <c r="A1463" s="2">
        <v>19951214</v>
      </c>
      <c r="B1463" s="13">
        <v>5182.1499999999996</v>
      </c>
      <c r="C1463" s="2">
        <f t="shared" si="112"/>
        <v>-6.5791617703160601E-3</v>
      </c>
      <c r="D1463" s="21">
        <f t="shared" ca="1" si="110"/>
        <v>-6.9631141854229273E-3</v>
      </c>
      <c r="E1463" s="21">
        <f t="shared" ca="1" si="113"/>
        <v>3.9754680992239459E-5</v>
      </c>
      <c r="F1463" s="11">
        <f t="shared" ca="1" si="114"/>
        <v>4.4565895921419409</v>
      </c>
      <c r="G1463" s="10">
        <f t="shared" ca="1" si="111"/>
        <v>0</v>
      </c>
    </row>
    <row r="1464" spans="1:7" x14ac:dyDescent="0.2">
      <c r="A1464" s="2">
        <v>19951215</v>
      </c>
      <c r="B1464" s="13">
        <v>5176.7299999999996</v>
      </c>
      <c r="C1464" s="2">
        <f t="shared" si="112"/>
        <v>-1.0458979381145032E-3</v>
      </c>
      <c r="D1464" s="21">
        <f t="shared" ca="1" si="110"/>
        <v>-1.4298503532213704E-3</v>
      </c>
      <c r="E1464" s="21">
        <f t="shared" ca="1" si="113"/>
        <v>4.0435358305063518E-5</v>
      </c>
      <c r="F1464" s="11">
        <f t="shared" ca="1" si="114"/>
        <v>5.0326222292565959</v>
      </c>
      <c r="G1464" s="10">
        <f t="shared" ca="1" si="111"/>
        <v>1</v>
      </c>
    </row>
    <row r="1465" spans="1:7" x14ac:dyDescent="0.2">
      <c r="A1465" s="2">
        <v>19951218</v>
      </c>
      <c r="B1465" s="13">
        <v>5075.21</v>
      </c>
      <c r="C1465" s="2">
        <f t="shared" si="112"/>
        <v>-1.961083541154349E-2</v>
      </c>
      <c r="D1465" s="21">
        <f t="shared" ca="1" si="110"/>
        <v>-1.9994787826650359E-2</v>
      </c>
      <c r="E1465" s="21">
        <f t="shared" ca="1" si="113"/>
        <v>3.937390212958685E-5</v>
      </c>
      <c r="F1465" s="11">
        <f t="shared" ca="1" si="114"/>
        <v>-5.6558545403202487E-3</v>
      </c>
      <c r="G1465" s="10">
        <f t="shared" ca="1" si="111"/>
        <v>0</v>
      </c>
    </row>
    <row r="1466" spans="1:7" x14ac:dyDescent="0.2">
      <c r="A1466" s="2">
        <v>19951219</v>
      </c>
      <c r="B1466" s="13">
        <v>5109.8900000000003</v>
      </c>
      <c r="C1466" s="2">
        <f t="shared" si="112"/>
        <v>6.8332147832307023E-3</v>
      </c>
      <c r="D1466" s="21">
        <f t="shared" ca="1" si="110"/>
        <v>6.4492623681238351E-3</v>
      </c>
      <c r="E1466" s="21">
        <f t="shared" ca="1" si="113"/>
        <v>5.2991999554346087E-5</v>
      </c>
      <c r="F1466" s="11">
        <f t="shared" ca="1" si="114"/>
        <v>4.5302389115701462</v>
      </c>
      <c r="G1466" s="10">
        <f t="shared" ca="1" si="111"/>
        <v>1</v>
      </c>
    </row>
    <row r="1467" spans="1:7" x14ac:dyDescent="0.2">
      <c r="A1467" s="2">
        <v>19951220</v>
      </c>
      <c r="B1467" s="13">
        <v>5059.32</v>
      </c>
      <c r="C1467" s="2">
        <f t="shared" si="112"/>
        <v>-9.8964948364838809E-3</v>
      </c>
      <c r="D1467" s="21">
        <f t="shared" ca="1" si="110"/>
        <v>-1.0280447251590748E-2</v>
      </c>
      <c r="E1467" s="21">
        <f t="shared" ca="1" si="113"/>
        <v>5.2749566642406573E-5</v>
      </c>
      <c r="F1467" s="11">
        <f t="shared" ca="1" si="114"/>
        <v>3.9231911122652541</v>
      </c>
      <c r="G1467" s="10">
        <f t="shared" ca="1" si="111"/>
        <v>0</v>
      </c>
    </row>
    <row r="1468" spans="1:7" x14ac:dyDescent="0.2">
      <c r="A1468" s="2">
        <v>19951221</v>
      </c>
      <c r="B1468" s="13">
        <v>5096.53</v>
      </c>
      <c r="C1468" s="2">
        <f t="shared" si="112"/>
        <v>7.3547433251899543E-3</v>
      </c>
      <c r="D1468" s="21">
        <f t="shared" ca="1" si="110"/>
        <v>6.9707909100830872E-3</v>
      </c>
      <c r="E1468" s="21">
        <f t="shared" ca="1" si="113"/>
        <v>5.4876269235269158E-5</v>
      </c>
      <c r="F1468" s="11">
        <f t="shared" ca="1" si="114"/>
        <v>4.4624739856696269</v>
      </c>
      <c r="G1468" s="10">
        <f t="shared" ca="1" si="111"/>
        <v>1</v>
      </c>
    </row>
    <row r="1469" spans="1:7" x14ac:dyDescent="0.2">
      <c r="A1469" s="2">
        <v>19951222</v>
      </c>
      <c r="B1469" s="13">
        <v>5097.97</v>
      </c>
      <c r="C1469" s="2">
        <f t="shared" si="112"/>
        <v>2.8254518270284085E-4</v>
      </c>
      <c r="D1469" s="21">
        <f t="shared" ca="1" si="110"/>
        <v>-1.0140723240402644E-4</v>
      </c>
      <c r="E1469" s="21">
        <f t="shared" ca="1" si="113"/>
        <v>5.4795873774151015E-5</v>
      </c>
      <c r="F1469" s="11">
        <f t="shared" ca="1" si="114"/>
        <v>4.9058539975166218</v>
      </c>
      <c r="G1469" s="10">
        <f t="shared" ca="1" si="111"/>
        <v>1</v>
      </c>
    </row>
    <row r="1470" spans="1:7" x14ac:dyDescent="0.2">
      <c r="A1470" s="2">
        <v>19951226</v>
      </c>
      <c r="B1470" s="13">
        <v>5110.26</v>
      </c>
      <c r="C1470" s="2">
        <f t="shared" si="112"/>
        <v>2.4107634999813578E-3</v>
      </c>
      <c r="D1470" s="21">
        <f t="shared" ca="1" si="110"/>
        <v>2.0268110848744906E-3</v>
      </c>
      <c r="E1470" s="21">
        <f t="shared" ca="1" si="113"/>
        <v>5.2933113725863182E-5</v>
      </c>
      <c r="F1470" s="11">
        <f t="shared" ca="1" si="114"/>
        <v>4.8844373837127204</v>
      </c>
      <c r="G1470" s="10">
        <f t="shared" ca="1" si="111"/>
        <v>1</v>
      </c>
    </row>
    <row r="1471" spans="1:7" x14ac:dyDescent="0.2">
      <c r="A1471" s="2">
        <v>19951227</v>
      </c>
      <c r="B1471" s="13">
        <v>5105.92</v>
      </c>
      <c r="C1471" s="2">
        <f t="shared" si="112"/>
        <v>-8.4927185700926083E-4</v>
      </c>
      <c r="D1471" s="21">
        <f t="shared" ca="1" si="110"/>
        <v>-1.233224272116128E-3</v>
      </c>
      <c r="E1471" s="21">
        <f t="shared" ca="1" si="113"/>
        <v>5.1315270160796951E-5</v>
      </c>
      <c r="F1471" s="11">
        <f t="shared" ca="1" si="114"/>
        <v>4.9239424815610739</v>
      </c>
      <c r="G1471" s="10">
        <f t="shared" ca="1" si="111"/>
        <v>1</v>
      </c>
    </row>
    <row r="1472" spans="1:7" x14ac:dyDescent="0.2">
      <c r="A1472" s="2">
        <v>19951228</v>
      </c>
      <c r="B1472" s="13">
        <v>5095.8</v>
      </c>
      <c r="C1472" s="2">
        <f t="shared" si="112"/>
        <v>-1.9820130358485623E-3</v>
      </c>
      <c r="D1472" s="21">
        <f t="shared" ca="1" si="110"/>
        <v>-2.3659654509554295E-3</v>
      </c>
      <c r="E1472" s="21">
        <f t="shared" ca="1" si="113"/>
        <v>4.9684140875464079E-5</v>
      </c>
      <c r="F1472" s="11">
        <f t="shared" ca="1" si="114"/>
        <v>4.8985785904075696</v>
      </c>
      <c r="G1472" s="10">
        <f t="shared" ca="1" si="111"/>
        <v>1</v>
      </c>
    </row>
    <row r="1473" spans="1:7" x14ac:dyDescent="0.2">
      <c r="A1473" s="2">
        <v>19951229</v>
      </c>
      <c r="B1473" s="13">
        <v>5117.12</v>
      </c>
      <c r="C1473" s="2">
        <f t="shared" si="112"/>
        <v>4.1838376702381785E-3</v>
      </c>
      <c r="D1473" s="21">
        <f t="shared" ca="1" si="110"/>
        <v>3.7998852551313113E-3</v>
      </c>
      <c r="E1473" s="21">
        <f t="shared" ca="1" si="113"/>
        <v>4.8285447542863645E-5</v>
      </c>
      <c r="F1473" s="11">
        <f t="shared" ca="1" si="114"/>
        <v>4.8196717447895496</v>
      </c>
      <c r="G1473" s="10">
        <f t="shared" ca="1" si="111"/>
        <v>1</v>
      </c>
    </row>
    <row r="1474" spans="1:7" x14ac:dyDescent="0.2">
      <c r="A1474" s="2">
        <v>19960102</v>
      </c>
      <c r="B1474" s="13">
        <v>5177.45</v>
      </c>
      <c r="C1474" s="2">
        <f t="shared" si="112"/>
        <v>1.178983490713525E-2</v>
      </c>
      <c r="D1474" s="21">
        <f t="shared" ca="1" si="110"/>
        <v>1.1405882492028382E-2</v>
      </c>
      <c r="E1474" s="21">
        <f t="shared" ca="1" si="113"/>
        <v>4.7282625907907289E-5</v>
      </c>
      <c r="F1474" s="11">
        <f t="shared" ca="1" si="114"/>
        <v>3.6039760140394015</v>
      </c>
      <c r="G1474" s="10">
        <f t="shared" ca="1" si="111"/>
        <v>0</v>
      </c>
    </row>
    <row r="1475" spans="1:7" x14ac:dyDescent="0.2">
      <c r="A1475" s="2">
        <v>19960103</v>
      </c>
      <c r="B1475" s="13">
        <v>5194.07</v>
      </c>
      <c r="C1475" s="2">
        <f t="shared" si="112"/>
        <v>3.2100744575031901E-3</v>
      </c>
      <c r="D1475" s="21">
        <f t="shared" ca="1" si="110"/>
        <v>2.8261220423963229E-3</v>
      </c>
      <c r="E1475" s="21">
        <f t="shared" ca="1" si="113"/>
        <v>5.0583374648841803E-5</v>
      </c>
      <c r="F1475" s="11">
        <f t="shared" ca="1" si="114"/>
        <v>4.8669952733505442</v>
      </c>
      <c r="G1475" s="10">
        <f t="shared" ca="1" si="111"/>
        <v>1</v>
      </c>
    </row>
    <row r="1476" spans="1:7" x14ac:dyDescent="0.2">
      <c r="A1476" s="2">
        <v>19960104</v>
      </c>
      <c r="B1476" s="13">
        <v>5173.84</v>
      </c>
      <c r="C1476" s="2">
        <f t="shared" si="112"/>
        <v>-3.8948262152800335E-3</v>
      </c>
      <c r="D1476" s="21">
        <f t="shared" ca="1" si="110"/>
        <v>-4.2787786303869011E-3</v>
      </c>
      <c r="E1476" s="21">
        <f t="shared" ca="1" si="113"/>
        <v>4.9227042856800365E-5</v>
      </c>
      <c r="F1476" s="11">
        <f t="shared" ca="1" si="114"/>
        <v>4.773579559387529</v>
      </c>
      <c r="G1476" s="10">
        <f t="shared" ca="1" si="111"/>
        <v>1</v>
      </c>
    </row>
    <row r="1477" spans="1:7" x14ac:dyDescent="0.2">
      <c r="A1477" s="2">
        <v>19960105</v>
      </c>
      <c r="B1477" s="13">
        <v>5181.43</v>
      </c>
      <c r="C1477" s="2">
        <f t="shared" si="112"/>
        <v>1.4669955004407065E-3</v>
      </c>
      <c r="D1477" s="21">
        <f t="shared" ca="1" si="110"/>
        <v>1.0830430853338391E-3</v>
      </c>
      <c r="E1477" s="21">
        <f t="shared" ca="1" si="113"/>
        <v>4.8318848820516581E-5</v>
      </c>
      <c r="F1477" s="11">
        <f t="shared" ca="1" si="114"/>
        <v>4.9567064769476046</v>
      </c>
      <c r="G1477" s="10">
        <f t="shared" ca="1" si="111"/>
        <v>1</v>
      </c>
    </row>
    <row r="1478" spans="1:7" x14ac:dyDescent="0.2">
      <c r="A1478" s="2">
        <v>19960108</v>
      </c>
      <c r="B1478" s="13">
        <v>5197.7</v>
      </c>
      <c r="C1478" s="2">
        <f t="shared" si="112"/>
        <v>3.1400597904438594E-3</v>
      </c>
      <c r="D1478" s="21">
        <f t="shared" ca="1" si="110"/>
        <v>2.7561073753369922E-3</v>
      </c>
      <c r="E1478" s="21">
        <f t="shared" ca="1" si="113"/>
        <v>4.6826518065889093E-5</v>
      </c>
      <c r="F1478" s="11">
        <f t="shared" ca="1" si="114"/>
        <v>4.9034211914183832</v>
      </c>
      <c r="G1478" s="10">
        <f t="shared" ca="1" si="111"/>
        <v>1</v>
      </c>
    </row>
    <row r="1479" spans="1:7" x14ac:dyDescent="0.2">
      <c r="A1479" s="2">
        <v>19960109</v>
      </c>
      <c r="B1479" s="13">
        <v>5130.13</v>
      </c>
      <c r="C1479" s="2">
        <f t="shared" si="112"/>
        <v>-1.2999980760721033E-2</v>
      </c>
      <c r="D1479" s="21">
        <f t="shared" ca="1" si="110"/>
        <v>-1.33839331758279E-2</v>
      </c>
      <c r="E1479" s="21">
        <f t="shared" ca="1" si="113"/>
        <v>4.5645875092118493E-5</v>
      </c>
      <c r="F1479" s="11">
        <f t="shared" ca="1" si="114"/>
        <v>3.0351315731866069</v>
      </c>
      <c r="G1479" s="10">
        <f t="shared" ca="1" si="111"/>
        <v>0</v>
      </c>
    </row>
    <row r="1480" spans="1:7" x14ac:dyDescent="0.2">
      <c r="A1480" s="2">
        <v>19960110</v>
      </c>
      <c r="B1480" s="13">
        <v>5032.9399999999996</v>
      </c>
      <c r="C1480" s="2">
        <f t="shared" si="112"/>
        <v>-1.8944939017140016E-2</v>
      </c>
      <c r="D1480" s="21">
        <f t="shared" ca="1" si="110"/>
        <v>-1.9328891432246885E-2</v>
      </c>
      <c r="E1480" s="21">
        <f t="shared" ca="1" si="113"/>
        <v>5.0832548984160503E-5</v>
      </c>
      <c r="F1480" s="11">
        <f t="shared" ca="1" si="114"/>
        <v>1.268616590139231</v>
      </c>
      <c r="G1480" s="10">
        <f t="shared" ca="1" si="111"/>
        <v>0</v>
      </c>
    </row>
    <row r="1481" spans="1:7" x14ac:dyDescent="0.2">
      <c r="A1481" s="2">
        <v>19960111</v>
      </c>
      <c r="B1481" s="13">
        <v>5065.1000000000004</v>
      </c>
      <c r="C1481" s="2">
        <f t="shared" si="112"/>
        <v>6.3899033169480994E-3</v>
      </c>
      <c r="D1481" s="21">
        <f t="shared" ca="1" si="110"/>
        <v>6.0059509018412323E-3</v>
      </c>
      <c r="E1481" s="21">
        <f t="shared" ca="1" si="113"/>
        <v>6.2908063274021007E-5</v>
      </c>
      <c r="F1481" s="11">
        <f t="shared" ca="1" si="114"/>
        <v>4.550218401294126</v>
      </c>
      <c r="G1481" s="10">
        <f t="shared" ca="1" si="111"/>
        <v>1</v>
      </c>
    </row>
    <row r="1482" spans="1:7" x14ac:dyDescent="0.2">
      <c r="A1482" s="2">
        <v>19960112</v>
      </c>
      <c r="B1482" s="13">
        <v>5061.12</v>
      </c>
      <c r="C1482" s="2">
        <f t="shared" si="112"/>
        <v>-7.8576928392341176E-4</v>
      </c>
      <c r="D1482" s="21">
        <f t="shared" ca="1" si="110"/>
        <v>-1.1697216990302791E-3</v>
      </c>
      <c r="E1482" s="21">
        <f t="shared" ca="1" si="113"/>
        <v>6.1960936808837938E-5</v>
      </c>
      <c r="F1482" s="11">
        <f t="shared" ca="1" si="114"/>
        <v>4.8334619899948388</v>
      </c>
      <c r="G1482" s="10">
        <f t="shared" ca="1" si="111"/>
        <v>1</v>
      </c>
    </row>
    <row r="1483" spans="1:7" x14ac:dyDescent="0.2">
      <c r="A1483" s="2">
        <v>19960115</v>
      </c>
      <c r="B1483" s="13">
        <v>5043.78</v>
      </c>
      <c r="C1483" s="2">
        <f t="shared" si="112"/>
        <v>-3.4261191198786327E-3</v>
      </c>
      <c r="D1483" s="21">
        <f t="shared" ca="1" si="110"/>
        <v>-3.8100715349854999E-3</v>
      </c>
      <c r="E1483" s="21">
        <f t="shared" ca="1" si="113"/>
        <v>5.9785628622226157E-5</v>
      </c>
      <c r="F1483" s="11">
        <f t="shared" ca="1" si="114"/>
        <v>4.7409668169467833</v>
      </c>
      <c r="G1483" s="10">
        <f t="shared" ca="1" si="111"/>
        <v>1</v>
      </c>
    </row>
    <row r="1484" spans="1:7" x14ac:dyDescent="0.2">
      <c r="A1484" s="2">
        <v>19960116</v>
      </c>
      <c r="B1484" s="13">
        <v>5088.22</v>
      </c>
      <c r="C1484" s="2">
        <f t="shared" si="112"/>
        <v>8.8108521783266738E-3</v>
      </c>
      <c r="D1484" s="21">
        <f t="shared" ca="1" si="110"/>
        <v>8.4268997632198066E-3</v>
      </c>
      <c r="E1484" s="21">
        <f t="shared" ca="1" si="113"/>
        <v>5.8203859480803217E-5</v>
      </c>
      <c r="F1484" s="11">
        <f t="shared" ca="1" si="114"/>
        <v>4.2657456759695656</v>
      </c>
      <c r="G1484" s="10">
        <f t="shared" ca="1" si="111"/>
        <v>0</v>
      </c>
    </row>
    <row r="1485" spans="1:7" x14ac:dyDescent="0.2">
      <c r="A1485" s="2">
        <v>19960117</v>
      </c>
      <c r="B1485" s="13">
        <v>5066.8999999999996</v>
      </c>
      <c r="C1485" s="2">
        <f t="shared" si="112"/>
        <v>-4.1900703978995828E-3</v>
      </c>
      <c r="D1485" s="21">
        <f t="shared" ca="1" si="110"/>
        <v>-4.57402281300645E-3</v>
      </c>
      <c r="E1485" s="21">
        <f t="shared" ca="1" si="113"/>
        <v>5.8779568924143975E-5</v>
      </c>
      <c r="F1485" s="11">
        <f t="shared" ca="1" si="114"/>
        <v>4.6928907954474841</v>
      </c>
      <c r="G1485" s="10">
        <f t="shared" ca="1" si="111"/>
        <v>1</v>
      </c>
    </row>
    <row r="1486" spans="1:7" x14ac:dyDescent="0.2">
      <c r="A1486" s="2">
        <v>19960118</v>
      </c>
      <c r="B1486" s="13">
        <v>5124.3500000000004</v>
      </c>
      <c r="C1486" s="2">
        <f t="shared" si="112"/>
        <v>1.1338293631214497E-2</v>
      </c>
      <c r="D1486" s="21">
        <f t="shared" ref="D1486:D1549" ca="1" si="115">(C1486-mu)</f>
        <v>1.0954341216107629E-2</v>
      </c>
      <c r="E1486" s="21">
        <f t="shared" ca="1" si="113"/>
        <v>5.7484221163412163E-5</v>
      </c>
      <c r="F1486" s="11">
        <f t="shared" ca="1" si="114"/>
        <v>3.8382562955096251</v>
      </c>
      <c r="G1486" s="10">
        <f t="shared" ref="G1486:G1549" ca="1" si="116">IF(AND(C1486&lt;=mu+zvalue*SQRT(E1486),C1486&gt;=mu-zvalue*SQRT(E1486)),1,0)</f>
        <v>0</v>
      </c>
    </row>
    <row r="1487" spans="1:7" x14ac:dyDescent="0.2">
      <c r="A1487" s="2">
        <v>19960119</v>
      </c>
      <c r="B1487" s="13">
        <v>5184.68</v>
      </c>
      <c r="C1487" s="2">
        <f t="shared" ref="C1487:C1550" si="117">(B1487-B1486)/B1486</f>
        <v>1.1773200503478475E-2</v>
      </c>
      <c r="D1487" s="21">
        <f t="shared" ca="1" si="115"/>
        <v>1.1389248088371608E-2</v>
      </c>
      <c r="E1487" s="21">
        <f t="shared" ref="E1487:E1550" ca="1" si="118">(1-alpha-beta)*longvar+alpha*D1486^2+beta*E1486</f>
        <v>5.9897599556088153E-5</v>
      </c>
      <c r="F1487" s="11">
        <f t="shared" ref="F1487:F1550" ca="1" si="119">(-0.5)*(LN(E1487)+D1487^2/E1487)</f>
        <v>3.7786309666795912</v>
      </c>
      <c r="G1487" s="10">
        <f t="shared" ca="1" si="116"/>
        <v>0</v>
      </c>
    </row>
    <row r="1488" spans="1:7" x14ac:dyDescent="0.2">
      <c r="A1488" s="2">
        <v>19960122</v>
      </c>
      <c r="B1488" s="13">
        <v>5219.3599999999997</v>
      </c>
      <c r="C1488" s="2">
        <f t="shared" si="117"/>
        <v>6.688937407901622E-3</v>
      </c>
      <c r="D1488" s="21">
        <f t="shared" ca="1" si="115"/>
        <v>6.3049849927947548E-3</v>
      </c>
      <c r="E1488" s="21">
        <f t="shared" ca="1" si="118"/>
        <v>6.2546209390682765E-5</v>
      </c>
      <c r="F1488" s="11">
        <f t="shared" ca="1" si="119"/>
        <v>4.522014732440585</v>
      </c>
      <c r="G1488" s="10">
        <f t="shared" ca="1" si="116"/>
        <v>1</v>
      </c>
    </row>
    <row r="1489" spans="1:7" x14ac:dyDescent="0.2">
      <c r="A1489" s="2">
        <v>19960123</v>
      </c>
      <c r="B1489" s="13">
        <v>5192.2700000000004</v>
      </c>
      <c r="C1489" s="2">
        <f t="shared" si="117"/>
        <v>-5.1902915299958689E-3</v>
      </c>
      <c r="D1489" s="21">
        <f t="shared" ca="1" si="115"/>
        <v>-5.5742439451027361E-3</v>
      </c>
      <c r="E1489" s="21">
        <f t="shared" ca="1" si="118"/>
        <v>6.1752760353281626E-5</v>
      </c>
      <c r="F1489" s="11">
        <f t="shared" ca="1" si="119"/>
        <v>4.5946004619042293</v>
      </c>
      <c r="G1489" s="10">
        <f t="shared" ca="1" si="116"/>
        <v>1</v>
      </c>
    </row>
    <row r="1490" spans="1:7" x14ac:dyDescent="0.2">
      <c r="A1490" s="2">
        <v>19960124</v>
      </c>
      <c r="B1490" s="13">
        <v>5242.84</v>
      </c>
      <c r="C1490" s="2">
        <f t="shared" si="117"/>
        <v>9.7394781088039929E-3</v>
      </c>
      <c r="D1490" s="21">
        <f t="shared" ca="1" si="115"/>
        <v>9.3555256936971257E-3</v>
      </c>
      <c r="E1490" s="21">
        <f t="shared" ca="1" si="118"/>
        <v>6.0680249866982162E-5</v>
      </c>
      <c r="F1490" s="11">
        <f t="shared" ca="1" si="119"/>
        <v>4.1337406336717128</v>
      </c>
      <c r="G1490" s="10">
        <f t="shared" ca="1" si="116"/>
        <v>0</v>
      </c>
    </row>
    <row r="1491" spans="1:7" x14ac:dyDescent="0.2">
      <c r="A1491" s="2">
        <v>19960125</v>
      </c>
      <c r="B1491" s="13">
        <v>5216.83</v>
      </c>
      <c r="C1491" s="2">
        <f t="shared" si="117"/>
        <v>-4.9610516437656339E-3</v>
      </c>
      <c r="D1491" s="21">
        <f t="shared" ca="1" si="115"/>
        <v>-5.345004058872501E-3</v>
      </c>
      <c r="E1491" s="21">
        <f t="shared" ca="1" si="118"/>
        <v>6.1737897888526776E-5</v>
      </c>
      <c r="F1491" s="11">
        <f t="shared" ca="1" si="119"/>
        <v>4.6149324587123042</v>
      </c>
      <c r="G1491" s="10">
        <f t="shared" ca="1" si="116"/>
        <v>1</v>
      </c>
    </row>
    <row r="1492" spans="1:7" x14ac:dyDescent="0.2">
      <c r="A1492" s="2">
        <v>19960126</v>
      </c>
      <c r="B1492" s="13">
        <v>5271.75</v>
      </c>
      <c r="C1492" s="2">
        <f t="shared" si="117"/>
        <v>1.0527465913207844E-2</v>
      </c>
      <c r="D1492" s="21">
        <f t="shared" ca="1" si="115"/>
        <v>1.0143513498100977E-2</v>
      </c>
      <c r="E1492" s="21">
        <f t="shared" ca="1" si="118"/>
        <v>6.0574094942588649E-5</v>
      </c>
      <c r="F1492" s="11">
        <f t="shared" ca="1" si="119"/>
        <v>4.0065240230708232</v>
      </c>
      <c r="G1492" s="10">
        <f t="shared" ca="1" si="116"/>
        <v>0</v>
      </c>
    </row>
    <row r="1493" spans="1:7" x14ac:dyDescent="0.2">
      <c r="A1493" s="2">
        <v>19960129</v>
      </c>
      <c r="B1493" s="13">
        <v>5304.98</v>
      </c>
      <c r="C1493" s="2">
        <f t="shared" si="117"/>
        <v>6.3034096836912914E-3</v>
      </c>
      <c r="D1493" s="21">
        <f t="shared" ca="1" si="115"/>
        <v>5.9194572685844242E-3</v>
      </c>
      <c r="E1493" s="21">
        <f t="shared" ca="1" si="118"/>
        <v>6.2202111441551745E-5</v>
      </c>
      <c r="F1493" s="11">
        <f t="shared" ca="1" si="119"/>
        <v>4.560898548132716</v>
      </c>
      <c r="G1493" s="10">
        <f t="shared" ca="1" si="116"/>
        <v>1</v>
      </c>
    </row>
    <row r="1494" spans="1:7" x14ac:dyDescent="0.2">
      <c r="A1494" s="2">
        <v>19960130</v>
      </c>
      <c r="B1494" s="13">
        <v>5381.21</v>
      </c>
      <c r="C1494" s="2">
        <f t="shared" si="117"/>
        <v>1.4369516944456054E-2</v>
      </c>
      <c r="D1494" s="21">
        <f t="shared" ca="1" si="115"/>
        <v>1.3985564529349187E-2</v>
      </c>
      <c r="E1494" s="21">
        <f t="shared" ca="1" si="118"/>
        <v>6.1252770289965116E-5</v>
      </c>
      <c r="F1494" s="11">
        <f t="shared" ca="1" si="119"/>
        <v>3.2536207895672877</v>
      </c>
      <c r="G1494" s="10">
        <f t="shared" ca="1" si="116"/>
        <v>0</v>
      </c>
    </row>
    <row r="1495" spans="1:7" x14ac:dyDescent="0.2">
      <c r="A1495" s="2">
        <v>19960131</v>
      </c>
      <c r="B1495" s="13">
        <v>5395.3</v>
      </c>
      <c r="C1495" s="2">
        <f t="shared" si="117"/>
        <v>2.618370217850659E-3</v>
      </c>
      <c r="D1495" s="21">
        <f t="shared" ca="1" si="115"/>
        <v>2.2344178027437918E-3</v>
      </c>
      <c r="E1495" s="21">
        <f t="shared" ca="1" si="118"/>
        <v>6.6255382580278745E-5</v>
      </c>
      <c r="F1495" s="11">
        <f t="shared" ca="1" si="119"/>
        <v>4.7733198131248731</v>
      </c>
      <c r="G1495" s="10">
        <f t="shared" ca="1" si="116"/>
        <v>1</v>
      </c>
    </row>
    <row r="1496" spans="1:7" x14ac:dyDescent="0.2">
      <c r="A1496" s="2">
        <v>19960201</v>
      </c>
      <c r="B1496" s="13">
        <v>5405.06</v>
      </c>
      <c r="C1496" s="2">
        <f t="shared" si="117"/>
        <v>1.8089818916464733E-3</v>
      </c>
      <c r="D1496" s="21">
        <f t="shared" ca="1" si="115"/>
        <v>1.4250294765396059E-3</v>
      </c>
      <c r="E1496" s="21">
        <f t="shared" ca="1" si="118"/>
        <v>6.3996091530744439E-5</v>
      </c>
      <c r="F1496" s="11">
        <f t="shared" ca="1" si="119"/>
        <v>4.8124783900910986</v>
      </c>
      <c r="G1496" s="10">
        <f t="shared" ca="1" si="116"/>
        <v>1</v>
      </c>
    </row>
    <row r="1497" spans="1:7" x14ac:dyDescent="0.2">
      <c r="A1497" s="2">
        <v>19960202</v>
      </c>
      <c r="B1497" s="13">
        <v>5373.99</v>
      </c>
      <c r="C1497" s="2">
        <f t="shared" si="117"/>
        <v>-5.7483173174767005E-3</v>
      </c>
      <c r="D1497" s="21">
        <f t="shared" ca="1" si="115"/>
        <v>-6.1322697325835677E-3</v>
      </c>
      <c r="E1497" s="21">
        <f t="shared" ca="1" si="118"/>
        <v>6.1742184013263915E-5</v>
      </c>
      <c r="F1497" s="11">
        <f t="shared" ca="1" si="119"/>
        <v>4.5417412790713687</v>
      </c>
      <c r="G1497" s="10">
        <f t="shared" ca="1" si="116"/>
        <v>1</v>
      </c>
    </row>
    <row r="1498" spans="1:7" x14ac:dyDescent="0.2">
      <c r="A1498" s="2">
        <v>19960205</v>
      </c>
      <c r="B1498" s="13">
        <v>5407.59</v>
      </c>
      <c r="C1498" s="2">
        <f t="shared" si="117"/>
        <v>6.2523376485628676E-3</v>
      </c>
      <c r="D1498" s="21">
        <f t="shared" ca="1" si="115"/>
        <v>5.8683852334560005E-3</v>
      </c>
      <c r="E1498" s="21">
        <f t="shared" ca="1" si="118"/>
        <v>6.0910421361211301E-5</v>
      </c>
      <c r="F1498" s="11">
        <f t="shared" ca="1" si="119"/>
        <v>4.5703597620812371</v>
      </c>
      <c r="G1498" s="10">
        <f t="shared" ca="1" si="116"/>
        <v>1</v>
      </c>
    </row>
    <row r="1499" spans="1:7" x14ac:dyDescent="0.2">
      <c r="A1499" s="2">
        <v>19960206</v>
      </c>
      <c r="B1499" s="13">
        <v>5459.61</v>
      </c>
      <c r="C1499" s="2">
        <f t="shared" si="117"/>
        <v>9.6198121529183101E-3</v>
      </c>
      <c r="D1499" s="21">
        <f t="shared" ca="1" si="115"/>
        <v>9.2358597378114429E-3</v>
      </c>
      <c r="E1499" s="21">
        <f t="shared" ca="1" si="118"/>
        <v>6.0004289574684771E-5</v>
      </c>
      <c r="F1499" s="11">
        <f t="shared" ca="1" si="119"/>
        <v>4.1497555267919672</v>
      </c>
      <c r="G1499" s="10">
        <f t="shared" ca="1" si="116"/>
        <v>0</v>
      </c>
    </row>
    <row r="1500" spans="1:7" x14ac:dyDescent="0.2">
      <c r="A1500" s="2">
        <v>19960207</v>
      </c>
      <c r="B1500" s="13">
        <v>5492.12</v>
      </c>
      <c r="C1500" s="2">
        <f t="shared" si="117"/>
        <v>5.9546377854828858E-3</v>
      </c>
      <c r="D1500" s="21">
        <f t="shared" ca="1" si="115"/>
        <v>5.5706853703760186E-3</v>
      </c>
      <c r="E1500" s="21">
        <f t="shared" ca="1" si="118"/>
        <v>6.1014326490687508E-5</v>
      </c>
      <c r="F1500" s="11">
        <f t="shared" ca="1" si="119"/>
        <v>4.5978956116598546</v>
      </c>
      <c r="G1500" s="10">
        <f t="shared" ca="1" si="116"/>
        <v>1</v>
      </c>
    </row>
    <row r="1501" spans="1:7" x14ac:dyDescent="0.2">
      <c r="A1501" s="2">
        <v>19960208</v>
      </c>
      <c r="B1501" s="13">
        <v>5539.45</v>
      </c>
      <c r="C1501" s="2">
        <f t="shared" si="117"/>
        <v>8.6178015047012682E-3</v>
      </c>
      <c r="D1501" s="21">
        <f t="shared" ca="1" si="115"/>
        <v>8.233849089594401E-3</v>
      </c>
      <c r="E1501" s="21">
        <f t="shared" ca="1" si="118"/>
        <v>5.9977715246842573E-5</v>
      </c>
      <c r="F1501" s="11">
        <f t="shared" ca="1" si="119"/>
        <v>4.2955899005426925</v>
      </c>
      <c r="G1501" s="10">
        <f t="shared" ca="1" si="116"/>
        <v>0</v>
      </c>
    </row>
    <row r="1502" spans="1:7" x14ac:dyDescent="0.2">
      <c r="A1502" s="2">
        <v>19960209</v>
      </c>
      <c r="B1502" s="13">
        <v>5541.62</v>
      </c>
      <c r="C1502" s="2">
        <f t="shared" si="117"/>
        <v>3.9173564162508422E-4</v>
      </c>
      <c r="D1502" s="21">
        <f t="shared" ca="1" si="115"/>
        <v>7.7832265182169202E-6</v>
      </c>
      <c r="E1502" s="21">
        <f t="shared" ca="1" si="118"/>
        <v>6.0345413246604124E-5</v>
      </c>
      <c r="F1502" s="11">
        <f t="shared" ca="1" si="119"/>
        <v>4.8577123059931973</v>
      </c>
      <c r="G1502" s="10">
        <f t="shared" ca="1" si="116"/>
        <v>1</v>
      </c>
    </row>
    <row r="1503" spans="1:7" x14ac:dyDescent="0.2">
      <c r="A1503" s="2">
        <v>19960212</v>
      </c>
      <c r="B1503" s="13">
        <v>5600.15</v>
      </c>
      <c r="C1503" s="2">
        <f t="shared" si="117"/>
        <v>1.0561893453538812E-2</v>
      </c>
      <c r="D1503" s="21">
        <f t="shared" ca="1" si="115"/>
        <v>1.0177941038431945E-2</v>
      </c>
      <c r="E1503" s="21">
        <f t="shared" ca="1" si="118"/>
        <v>5.8201524257163005E-5</v>
      </c>
      <c r="F1503" s="11">
        <f t="shared" ca="1" si="119"/>
        <v>3.9858702042184899</v>
      </c>
      <c r="G1503" s="10">
        <f t="shared" ca="1" si="116"/>
        <v>0</v>
      </c>
    </row>
    <row r="1504" spans="1:7" x14ac:dyDescent="0.2">
      <c r="A1504" s="2">
        <v>19960213</v>
      </c>
      <c r="B1504" s="13">
        <v>5601.23</v>
      </c>
      <c r="C1504" s="2">
        <f t="shared" si="117"/>
        <v>1.9285197717916971E-4</v>
      </c>
      <c r="D1504" s="21">
        <f t="shared" ca="1" si="115"/>
        <v>-1.9110043792769759E-4</v>
      </c>
      <c r="E1504" s="21">
        <f t="shared" ca="1" si="118"/>
        <v>5.9975296052538686E-5</v>
      </c>
      <c r="F1504" s="11">
        <f t="shared" ca="1" si="119"/>
        <v>4.8604844529942834</v>
      </c>
      <c r="G1504" s="10">
        <f t="shared" ca="1" si="116"/>
        <v>1</v>
      </c>
    </row>
    <row r="1505" spans="1:7" x14ac:dyDescent="0.2">
      <c r="A1505" s="2">
        <v>19960214</v>
      </c>
      <c r="B1505" s="13">
        <v>5579.55</v>
      </c>
      <c r="C1505" s="2">
        <f t="shared" si="117"/>
        <v>-3.8705784265240639E-3</v>
      </c>
      <c r="D1505" s="21">
        <f t="shared" ca="1" si="115"/>
        <v>-4.254530841630931E-3</v>
      </c>
      <c r="E1505" s="21">
        <f t="shared" ca="1" si="118"/>
        <v>5.785147206750094E-5</v>
      </c>
      <c r="F1505" s="11">
        <f t="shared" ca="1" si="119"/>
        <v>4.7223718180320287</v>
      </c>
      <c r="G1505" s="10">
        <f t="shared" ca="1" si="116"/>
        <v>1</v>
      </c>
    </row>
    <row r="1506" spans="1:7" x14ac:dyDescent="0.2">
      <c r="A1506" s="2">
        <v>19960215</v>
      </c>
      <c r="B1506" s="13">
        <v>5551.37</v>
      </c>
      <c r="C1506" s="2">
        <f t="shared" si="117"/>
        <v>-5.0505865168338467E-3</v>
      </c>
      <c r="D1506" s="21">
        <f t="shared" ca="1" si="115"/>
        <v>-5.4345389319407139E-3</v>
      </c>
      <c r="E1506" s="21">
        <f t="shared" ca="1" si="118"/>
        <v>5.6499356732881301E-5</v>
      </c>
      <c r="F1506" s="11">
        <f t="shared" ca="1" si="119"/>
        <v>4.6292729564502908</v>
      </c>
      <c r="G1506" s="10">
        <f t="shared" ca="1" si="116"/>
        <v>1</v>
      </c>
    </row>
    <row r="1507" spans="1:7" x14ac:dyDescent="0.2">
      <c r="A1507" s="2">
        <v>19960216</v>
      </c>
      <c r="B1507" s="13">
        <v>5503.32</v>
      </c>
      <c r="C1507" s="2">
        <f t="shared" si="117"/>
        <v>-8.6555210695738495E-3</v>
      </c>
      <c r="D1507" s="21">
        <f t="shared" ca="1" si="115"/>
        <v>-9.0394734846807167E-3</v>
      </c>
      <c r="E1507" s="21">
        <f t="shared" ca="1" si="118"/>
        <v>5.56360633762037E-5</v>
      </c>
      <c r="F1507" s="11">
        <f t="shared" ca="1" si="119"/>
        <v>4.163994913268005</v>
      </c>
      <c r="G1507" s="10">
        <f t="shared" ca="1" si="116"/>
        <v>0</v>
      </c>
    </row>
    <row r="1508" spans="1:7" x14ac:dyDescent="0.2">
      <c r="A1508" s="2">
        <v>19960220</v>
      </c>
      <c r="B1508" s="13">
        <v>5458.53</v>
      </c>
      <c r="C1508" s="2">
        <f t="shared" si="117"/>
        <v>-8.1387235341575572E-3</v>
      </c>
      <c r="D1508" s="21">
        <f t="shared" ca="1" si="115"/>
        <v>-8.5226759492644244E-3</v>
      </c>
      <c r="E1508" s="21">
        <f t="shared" ca="1" si="118"/>
        <v>5.6735115606850649E-5</v>
      </c>
      <c r="F1508" s="11">
        <f t="shared" ca="1" si="119"/>
        <v>4.2484259092661203</v>
      </c>
      <c r="G1508" s="10">
        <f t="shared" ca="1" si="116"/>
        <v>0</v>
      </c>
    </row>
    <row r="1509" spans="1:7" x14ac:dyDescent="0.2">
      <c r="A1509" s="2">
        <v>19960221</v>
      </c>
      <c r="B1509" s="13">
        <v>5515.97</v>
      </c>
      <c r="C1509" s="2">
        <f t="shared" si="117"/>
        <v>1.0522979630047011E-2</v>
      </c>
      <c r="D1509" s="21">
        <f t="shared" ca="1" si="115"/>
        <v>1.0139027214940144E-2</v>
      </c>
      <c r="E1509" s="21">
        <f t="shared" ca="1" si="118"/>
        <v>5.7444823278259843E-5</v>
      </c>
      <c r="F1509" s="11">
        <f t="shared" ca="1" si="119"/>
        <v>3.9875722775598752</v>
      </c>
      <c r="G1509" s="10">
        <f t="shared" ca="1" si="116"/>
        <v>0</v>
      </c>
    </row>
    <row r="1510" spans="1:7" x14ac:dyDescent="0.2">
      <c r="A1510" s="2">
        <v>19960222</v>
      </c>
      <c r="B1510" s="13">
        <v>5608.46</v>
      </c>
      <c r="C1510" s="2">
        <f t="shared" si="117"/>
        <v>1.6767676401430714E-2</v>
      </c>
      <c r="D1510" s="21">
        <f t="shared" ca="1" si="115"/>
        <v>1.6383723986323845E-2</v>
      </c>
      <c r="E1510" s="21">
        <f t="shared" ca="1" si="118"/>
        <v>5.9227804681469265E-5</v>
      </c>
      <c r="F1510" s="11">
        <f t="shared" ca="1" si="119"/>
        <v>2.6010090673238206</v>
      </c>
      <c r="G1510" s="10">
        <f t="shared" ca="1" si="116"/>
        <v>0</v>
      </c>
    </row>
    <row r="1511" spans="1:7" x14ac:dyDescent="0.2">
      <c r="A1511" s="2">
        <v>19960223</v>
      </c>
      <c r="B1511" s="13">
        <v>5630.49</v>
      </c>
      <c r="C1511" s="2">
        <f t="shared" si="117"/>
        <v>3.9279944940321847E-3</v>
      </c>
      <c r="D1511" s="21">
        <f t="shared" ca="1" si="115"/>
        <v>3.5440420789253175E-3</v>
      </c>
      <c r="E1511" s="21">
        <f t="shared" ca="1" si="118"/>
        <v>6.7010961491632199E-5</v>
      </c>
      <c r="F1511" s="11">
        <f t="shared" ca="1" si="119"/>
        <v>4.711609414962842</v>
      </c>
      <c r="G1511" s="10">
        <f t="shared" ca="1" si="116"/>
        <v>1</v>
      </c>
    </row>
    <row r="1512" spans="1:7" x14ac:dyDescent="0.2">
      <c r="A1512" s="2">
        <v>19960226</v>
      </c>
      <c r="B1512" s="13">
        <v>5565.1</v>
      </c>
      <c r="C1512" s="2">
        <f t="shared" si="117"/>
        <v>-1.1613554060126104E-2</v>
      </c>
      <c r="D1512" s="21">
        <f t="shared" ca="1" si="115"/>
        <v>-1.1997506475232971E-2</v>
      </c>
      <c r="E1512" s="21">
        <f t="shared" ca="1" si="118"/>
        <v>6.499171973856378E-5</v>
      </c>
      <c r="F1512" s="11">
        <f t="shared" ca="1" si="119"/>
        <v>3.7132522631760301</v>
      </c>
      <c r="G1512" s="10">
        <f t="shared" ca="1" si="116"/>
        <v>0</v>
      </c>
    </row>
    <row r="1513" spans="1:7" x14ac:dyDescent="0.2">
      <c r="A1513" s="2">
        <v>19960227</v>
      </c>
      <c r="B1513" s="13">
        <v>5549.21</v>
      </c>
      <c r="C1513" s="2">
        <f t="shared" si="117"/>
        <v>-2.8552946038706089E-3</v>
      </c>
      <c r="D1513" s="21">
        <f t="shared" ca="1" si="115"/>
        <v>-3.2392470189774761E-3</v>
      </c>
      <c r="E1513" s="21">
        <f t="shared" ca="1" si="118"/>
        <v>6.7905701415433379E-5</v>
      </c>
      <c r="F1513" s="11">
        <f t="shared" ca="1" si="119"/>
        <v>4.7214357782756027</v>
      </c>
      <c r="G1513" s="10">
        <f t="shared" ca="1" si="116"/>
        <v>1</v>
      </c>
    </row>
    <row r="1514" spans="1:7" x14ac:dyDescent="0.2">
      <c r="A1514" s="2">
        <v>19960228</v>
      </c>
      <c r="B1514" s="13">
        <v>5506.21</v>
      </c>
      <c r="C1514" s="2">
        <f t="shared" si="117"/>
        <v>-7.7488507373121582E-3</v>
      </c>
      <c r="D1514" s="21">
        <f t="shared" ca="1" si="115"/>
        <v>-8.1328031524190263E-3</v>
      </c>
      <c r="E1514" s="21">
        <f t="shared" ca="1" si="118"/>
        <v>6.5765168411762785E-5</v>
      </c>
      <c r="F1514" s="11">
        <f t="shared" ca="1" si="119"/>
        <v>4.3118414256592512</v>
      </c>
      <c r="G1514" s="10">
        <f t="shared" ca="1" si="116"/>
        <v>0</v>
      </c>
    </row>
    <row r="1515" spans="1:7" x14ac:dyDescent="0.2">
      <c r="A1515" s="2">
        <v>19960229</v>
      </c>
      <c r="B1515" s="13">
        <v>5485.62</v>
      </c>
      <c r="C1515" s="2">
        <f t="shared" si="117"/>
        <v>-3.7394142250295839E-3</v>
      </c>
      <c r="D1515" s="21">
        <f t="shared" ca="1" si="115"/>
        <v>-4.1233666401364515E-3</v>
      </c>
      <c r="E1515" s="21">
        <f t="shared" ca="1" si="118"/>
        <v>6.577926473555342E-5</v>
      </c>
      <c r="F1515" s="11">
        <f t="shared" ca="1" si="119"/>
        <v>4.6853665344430189</v>
      </c>
      <c r="G1515" s="10">
        <f t="shared" ca="1" si="116"/>
        <v>1</v>
      </c>
    </row>
    <row r="1516" spans="1:7" x14ac:dyDescent="0.2">
      <c r="A1516" s="2">
        <v>19960301</v>
      </c>
      <c r="B1516" s="13">
        <v>5536.56</v>
      </c>
      <c r="C1516" s="2">
        <f t="shared" si="117"/>
        <v>9.2860971047940815E-3</v>
      </c>
      <c r="D1516" s="21">
        <f t="shared" ca="1" si="115"/>
        <v>8.9021446896872143E-3</v>
      </c>
      <c r="E1516" s="21">
        <f t="shared" ca="1" si="118"/>
        <v>6.3985672014639348E-5</v>
      </c>
      <c r="F1516" s="11">
        <f t="shared" ca="1" si="119"/>
        <v>4.2091606425548198</v>
      </c>
      <c r="G1516" s="10">
        <f t="shared" ca="1" si="116"/>
        <v>0</v>
      </c>
    </row>
    <row r="1517" spans="1:7" x14ac:dyDescent="0.2">
      <c r="A1517" s="2">
        <v>19960304</v>
      </c>
      <c r="B1517" s="13">
        <v>5600.15</v>
      </c>
      <c r="C1517" s="2">
        <f t="shared" si="117"/>
        <v>1.1485471122863156E-2</v>
      </c>
      <c r="D1517" s="21">
        <f t="shared" ca="1" si="115"/>
        <v>1.1101518707756289E-2</v>
      </c>
      <c r="E1517" s="21">
        <f t="shared" ca="1" si="118"/>
        <v>6.4571712860385686E-5</v>
      </c>
      <c r="F1517" s="11">
        <f t="shared" ca="1" si="119"/>
        <v>3.8695504415522142</v>
      </c>
      <c r="G1517" s="10">
        <f t="shared" ca="1" si="116"/>
        <v>0</v>
      </c>
    </row>
    <row r="1518" spans="1:7" x14ac:dyDescent="0.2">
      <c r="A1518" s="2">
        <v>19960305</v>
      </c>
      <c r="B1518" s="13">
        <v>5642.42</v>
      </c>
      <c r="C1518" s="2">
        <f t="shared" si="117"/>
        <v>7.5480121068186457E-3</v>
      </c>
      <c r="D1518" s="21">
        <f t="shared" ca="1" si="115"/>
        <v>7.1640596917117785E-3</v>
      </c>
      <c r="E1518" s="21">
        <f t="shared" ca="1" si="118"/>
        <v>6.6745898440501451E-5</v>
      </c>
      <c r="F1518" s="11">
        <f t="shared" ca="1" si="119"/>
        <v>4.4228376551068074</v>
      </c>
      <c r="G1518" s="10">
        <f t="shared" ca="1" si="116"/>
        <v>1</v>
      </c>
    </row>
    <row r="1519" spans="1:7" x14ac:dyDescent="0.2">
      <c r="A1519" s="2">
        <v>19960306</v>
      </c>
      <c r="B1519" s="13">
        <v>5629.77</v>
      </c>
      <c r="C1519" s="2">
        <f t="shared" si="117"/>
        <v>-2.2419458317529777E-3</v>
      </c>
      <c r="D1519" s="21">
        <f t="shared" ca="1" si="115"/>
        <v>-2.6258982468598448E-3</v>
      </c>
      <c r="E1519" s="21">
        <f t="shared" ca="1" si="118"/>
        <v>6.6165468517819336E-5</v>
      </c>
      <c r="F1519" s="11">
        <f t="shared" ca="1" si="119"/>
        <v>4.7595691278628749</v>
      </c>
      <c r="G1519" s="10">
        <f t="shared" ca="1" si="116"/>
        <v>1</v>
      </c>
    </row>
    <row r="1520" spans="1:7" x14ac:dyDescent="0.2">
      <c r="A1520" s="2">
        <v>19960307</v>
      </c>
      <c r="B1520" s="13">
        <v>5641.69</v>
      </c>
      <c r="C1520" s="2">
        <f t="shared" si="117"/>
        <v>2.1173156274588772E-3</v>
      </c>
      <c r="D1520" s="21">
        <f t="shared" ca="1" si="115"/>
        <v>1.73336321235201E-3</v>
      </c>
      <c r="E1520" s="21">
        <f t="shared" ca="1" si="118"/>
        <v>6.3980692538617809E-5</v>
      </c>
      <c r="F1520" s="11">
        <f t="shared" ca="1" si="119"/>
        <v>4.8049844846893137</v>
      </c>
      <c r="G1520" s="10">
        <f t="shared" ca="1" si="116"/>
        <v>1</v>
      </c>
    </row>
    <row r="1521" spans="1:7" x14ac:dyDescent="0.2">
      <c r="A1521" s="2">
        <v>19960308</v>
      </c>
      <c r="B1521" s="13">
        <v>5470.45</v>
      </c>
      <c r="C1521" s="2">
        <f t="shared" si="117"/>
        <v>-3.0352607108862735E-2</v>
      </c>
      <c r="D1521" s="21">
        <f t="shared" ca="1" si="115"/>
        <v>-3.0736559523969604E-2</v>
      </c>
      <c r="E1521" s="21">
        <f t="shared" ca="1" si="118"/>
        <v>6.1763373822240522E-5</v>
      </c>
      <c r="F1521" s="11">
        <f t="shared" ca="1" si="119"/>
        <v>-2.8019285265562788</v>
      </c>
      <c r="G1521" s="10">
        <f t="shared" ca="1" si="116"/>
        <v>0</v>
      </c>
    </row>
    <row r="1522" spans="1:7" x14ac:dyDescent="0.2">
      <c r="A1522" s="2">
        <v>19960311</v>
      </c>
      <c r="B1522" s="13">
        <v>5581</v>
      </c>
      <c r="C1522" s="2">
        <f t="shared" si="117"/>
        <v>2.0208575162920819E-2</v>
      </c>
      <c r="D1522" s="21">
        <f t="shared" ca="1" si="115"/>
        <v>1.982462274781395E-2</v>
      </c>
      <c r="E1522" s="21">
        <f t="shared" ca="1" si="118"/>
        <v>9.4287343146181934E-5</v>
      </c>
      <c r="F1522" s="11">
        <f t="shared" ca="1" si="119"/>
        <v>2.5504438111532592</v>
      </c>
      <c r="G1522" s="10">
        <f t="shared" ca="1" si="116"/>
        <v>0</v>
      </c>
    </row>
    <row r="1523" spans="1:7" x14ac:dyDescent="0.2">
      <c r="A1523" s="2">
        <v>19960312</v>
      </c>
      <c r="B1523" s="13">
        <v>5583.89</v>
      </c>
      <c r="C1523" s="2">
        <f t="shared" si="117"/>
        <v>5.1782834617457936E-4</v>
      </c>
      <c r="D1523" s="21">
        <f t="shared" ca="1" si="115"/>
        <v>1.3387593106771207E-4</v>
      </c>
      <c r="E1523" s="21">
        <f t="shared" ca="1" si="118"/>
        <v>1.048781908225394E-4</v>
      </c>
      <c r="F1523" s="11">
        <f t="shared" ca="1" si="119"/>
        <v>4.5812700386926926</v>
      </c>
      <c r="G1523" s="10">
        <f t="shared" ca="1" si="116"/>
        <v>1</v>
      </c>
    </row>
    <row r="1524" spans="1:7" x14ac:dyDescent="0.2">
      <c r="A1524" s="2">
        <v>19960313</v>
      </c>
      <c r="B1524" s="13">
        <v>5568.72</v>
      </c>
      <c r="C1524" s="2">
        <f t="shared" si="117"/>
        <v>-2.7167440619353302E-3</v>
      </c>
      <c r="D1524" s="21">
        <f t="shared" ca="1" si="115"/>
        <v>-3.1006964770421974E-3</v>
      </c>
      <c r="E1524" s="21">
        <f t="shared" ca="1" si="118"/>
        <v>1.0048203077625717E-4</v>
      </c>
      <c r="F1524" s="11">
        <f t="shared" ca="1" si="119"/>
        <v>4.5549248374062046</v>
      </c>
      <c r="G1524" s="10">
        <f t="shared" ca="1" si="116"/>
        <v>1</v>
      </c>
    </row>
    <row r="1525" spans="1:7" x14ac:dyDescent="0.2">
      <c r="A1525" s="2">
        <v>19960314</v>
      </c>
      <c r="B1525" s="13">
        <v>5586.06</v>
      </c>
      <c r="C1525" s="2">
        <f t="shared" si="117"/>
        <v>3.1138214886006379E-3</v>
      </c>
      <c r="D1525" s="21">
        <f t="shared" ca="1" si="115"/>
        <v>2.7298690734937708E-3</v>
      </c>
      <c r="E1525" s="21">
        <f t="shared" ca="1" si="118"/>
        <v>9.66611501464012E-5</v>
      </c>
      <c r="F1525" s="11">
        <f t="shared" ca="1" si="119"/>
        <v>4.5836015112282329</v>
      </c>
      <c r="G1525" s="10">
        <f t="shared" ca="1" si="116"/>
        <v>1</v>
      </c>
    </row>
    <row r="1526" spans="1:7" x14ac:dyDescent="0.2">
      <c r="A1526" s="2">
        <v>19960315</v>
      </c>
      <c r="B1526" s="13">
        <v>5584.97</v>
      </c>
      <c r="C1526" s="2">
        <f t="shared" si="117"/>
        <v>-1.9512858794931408E-4</v>
      </c>
      <c r="D1526" s="21">
        <f t="shared" ca="1" si="115"/>
        <v>-5.7908100305618135E-4</v>
      </c>
      <c r="E1526" s="21">
        <f t="shared" ca="1" si="118"/>
        <v>9.2954063702283755E-5</v>
      </c>
      <c r="F1526" s="11">
        <f t="shared" ca="1" si="119"/>
        <v>4.6398987964997138</v>
      </c>
      <c r="G1526" s="10">
        <f t="shared" ca="1" si="116"/>
        <v>1</v>
      </c>
    </row>
    <row r="1527" spans="1:7" x14ac:dyDescent="0.2">
      <c r="A1527" s="2">
        <v>19960318</v>
      </c>
      <c r="B1527" s="13">
        <v>5683.6</v>
      </c>
      <c r="C1527" s="2">
        <f t="shared" si="117"/>
        <v>1.7659897904554564E-2</v>
      </c>
      <c r="D1527" s="21">
        <f t="shared" ca="1" si="115"/>
        <v>1.7275945489447695E-2</v>
      </c>
      <c r="E1527" s="21">
        <f t="shared" ca="1" si="118"/>
        <v>8.9172820968248589E-5</v>
      </c>
      <c r="F1527" s="11">
        <f t="shared" ca="1" si="119"/>
        <v>2.9889847331603034</v>
      </c>
      <c r="G1527" s="10">
        <f t="shared" ca="1" si="116"/>
        <v>0</v>
      </c>
    </row>
    <row r="1528" spans="1:7" x14ac:dyDescent="0.2">
      <c r="A1528" s="2">
        <v>19960319</v>
      </c>
      <c r="B1528" s="13">
        <v>5669.51</v>
      </c>
      <c r="C1528" s="2">
        <f t="shared" si="117"/>
        <v>-2.4790625659793343E-3</v>
      </c>
      <c r="D1528" s="21">
        <f t="shared" ca="1" si="115"/>
        <v>-2.8630149810862015E-3</v>
      </c>
      <c r="E1528" s="21">
        <f t="shared" ca="1" si="118"/>
        <v>9.6545374242200643E-5</v>
      </c>
      <c r="F1528" s="11">
        <f t="shared" ca="1" si="119"/>
        <v>4.580297940534237</v>
      </c>
      <c r="G1528" s="10">
        <f t="shared" ca="1" si="116"/>
        <v>1</v>
      </c>
    </row>
    <row r="1529" spans="1:7" x14ac:dyDescent="0.2">
      <c r="A1529" s="2">
        <v>19960320</v>
      </c>
      <c r="B1529" s="13">
        <v>5655.42</v>
      </c>
      <c r="C1529" s="2">
        <f t="shared" si="117"/>
        <v>-2.4852235907512547E-3</v>
      </c>
      <c r="D1529" s="21">
        <f t="shared" ca="1" si="115"/>
        <v>-2.8691760058581219E-3</v>
      </c>
      <c r="E1529" s="21">
        <f t="shared" ca="1" si="118"/>
        <v>9.2871527741482106E-5</v>
      </c>
      <c r="F1529" s="11">
        <f t="shared" ca="1" si="119"/>
        <v>4.5978265124612472</v>
      </c>
      <c r="G1529" s="10">
        <f t="shared" ca="1" si="116"/>
        <v>1</v>
      </c>
    </row>
    <row r="1530" spans="1:7" x14ac:dyDescent="0.2">
      <c r="A1530" s="2">
        <v>19960321</v>
      </c>
      <c r="B1530" s="13">
        <v>5626.88</v>
      </c>
      <c r="C1530" s="2">
        <f t="shared" si="117"/>
        <v>-5.0464863794377722E-3</v>
      </c>
      <c r="D1530" s="21">
        <f t="shared" ca="1" si="115"/>
        <v>-5.4304387945446394E-3</v>
      </c>
      <c r="E1530" s="21">
        <f t="shared" ca="1" si="118"/>
        <v>8.9384840982160508E-5</v>
      </c>
      <c r="F1530" s="11">
        <f t="shared" ca="1" si="119"/>
        <v>4.4963207408536521</v>
      </c>
      <c r="G1530" s="10">
        <f t="shared" ca="1" si="116"/>
        <v>1</v>
      </c>
    </row>
    <row r="1531" spans="1:7" x14ac:dyDescent="0.2">
      <c r="A1531" s="2">
        <v>19960322</v>
      </c>
      <c r="B1531" s="13">
        <v>5636.64</v>
      </c>
      <c r="C1531" s="2">
        <f t="shared" si="117"/>
        <v>1.7345313921747431E-3</v>
      </c>
      <c r="D1531" s="21">
        <f t="shared" ca="1" si="115"/>
        <v>1.3505789770678757E-3</v>
      </c>
      <c r="E1531" s="21">
        <f t="shared" ca="1" si="118"/>
        <v>8.6856222045176106E-5</v>
      </c>
      <c r="F1531" s="11">
        <f t="shared" ca="1" si="119"/>
        <v>4.6651277359965606</v>
      </c>
      <c r="G1531" s="10">
        <f t="shared" ca="1" si="116"/>
        <v>1</v>
      </c>
    </row>
    <row r="1532" spans="1:7" x14ac:dyDescent="0.2">
      <c r="A1532" s="2">
        <v>19960325</v>
      </c>
      <c r="B1532" s="13">
        <v>5643.86</v>
      </c>
      <c r="C1532" s="2">
        <f t="shared" si="117"/>
        <v>1.2809049362739761E-3</v>
      </c>
      <c r="D1532" s="21">
        <f t="shared" ca="1" si="115"/>
        <v>8.9695252116710883E-4</v>
      </c>
      <c r="E1532" s="21">
        <f t="shared" ca="1" si="118"/>
        <v>8.3438214284462268E-5</v>
      </c>
      <c r="F1532" s="11">
        <f t="shared" ca="1" si="119"/>
        <v>4.6908809990630127</v>
      </c>
      <c r="G1532" s="10">
        <f t="shared" ca="1" si="116"/>
        <v>1</v>
      </c>
    </row>
    <row r="1533" spans="1:7" x14ac:dyDescent="0.2">
      <c r="A1533" s="2">
        <v>19960326</v>
      </c>
      <c r="B1533" s="13">
        <v>5670.6</v>
      </c>
      <c r="C1533" s="2">
        <f t="shared" si="117"/>
        <v>4.7378921518252924E-3</v>
      </c>
      <c r="D1533" s="21">
        <f t="shared" ca="1" si="115"/>
        <v>4.3539397367184252E-3</v>
      </c>
      <c r="E1533" s="21">
        <f t="shared" ca="1" si="118"/>
        <v>8.0155634405089924E-5</v>
      </c>
      <c r="F1533" s="11">
        <f t="shared" ca="1" si="119"/>
        <v>4.5975202932761094</v>
      </c>
      <c r="G1533" s="10">
        <f t="shared" ca="1" si="116"/>
        <v>1</v>
      </c>
    </row>
    <row r="1534" spans="1:7" x14ac:dyDescent="0.2">
      <c r="A1534" s="2">
        <v>19960327</v>
      </c>
      <c r="B1534" s="13">
        <v>5626.88</v>
      </c>
      <c r="C1534" s="2">
        <f t="shared" si="117"/>
        <v>-7.7099425104927609E-3</v>
      </c>
      <c r="D1534" s="21">
        <f t="shared" ca="1" si="115"/>
        <v>-8.093894925599629E-3</v>
      </c>
      <c r="E1534" s="21">
        <f t="shared" ca="1" si="118"/>
        <v>7.770661188987383E-5</v>
      </c>
      <c r="F1534" s="11">
        <f t="shared" ca="1" si="119"/>
        <v>4.3097563988638292</v>
      </c>
      <c r="G1534" s="10">
        <f t="shared" ca="1" si="116"/>
        <v>1</v>
      </c>
    </row>
    <row r="1535" spans="1:7" x14ac:dyDescent="0.2">
      <c r="A1535" s="2">
        <v>19960328</v>
      </c>
      <c r="B1535" s="13">
        <v>5630.85</v>
      </c>
      <c r="C1535" s="2">
        <f t="shared" si="117"/>
        <v>7.055419699727477E-4</v>
      </c>
      <c r="D1535" s="21">
        <f t="shared" ca="1" si="115"/>
        <v>3.215895548658804E-4</v>
      </c>
      <c r="E1535" s="21">
        <f t="shared" ca="1" si="118"/>
        <v>7.7093370738991009E-5</v>
      </c>
      <c r="F1535" s="11">
        <f t="shared" ca="1" si="119"/>
        <v>4.734575887797055</v>
      </c>
      <c r="G1535" s="10">
        <f t="shared" ca="1" si="116"/>
        <v>1</v>
      </c>
    </row>
    <row r="1536" spans="1:7" x14ac:dyDescent="0.2">
      <c r="A1536" s="2">
        <v>19960329</v>
      </c>
      <c r="B1536" s="13">
        <v>5587.14</v>
      </c>
      <c r="C1536" s="2">
        <f t="shared" si="117"/>
        <v>-7.7625935693545443E-3</v>
      </c>
      <c r="D1536" s="21">
        <f t="shared" ca="1" si="115"/>
        <v>-8.1465459844614115E-3</v>
      </c>
      <c r="E1536" s="21">
        <f t="shared" ca="1" si="118"/>
        <v>7.4105997766083184E-5</v>
      </c>
      <c r="F1536" s="11">
        <f t="shared" ca="1" si="119"/>
        <v>4.3072280954658702</v>
      </c>
      <c r="G1536" s="10">
        <f t="shared" ca="1" si="116"/>
        <v>1</v>
      </c>
    </row>
    <row r="1537" spans="1:7" x14ac:dyDescent="0.2">
      <c r="A1537" s="2">
        <v>19960401</v>
      </c>
      <c r="B1537" s="13">
        <v>5637.72</v>
      </c>
      <c r="C1537" s="2">
        <f t="shared" si="117"/>
        <v>9.0529322694616436E-3</v>
      </c>
      <c r="D1537" s="21">
        <f t="shared" ca="1" si="115"/>
        <v>8.6689798543547764E-3</v>
      </c>
      <c r="E1537" s="21">
        <f t="shared" ca="1" si="118"/>
        <v>7.3706355521886835E-5</v>
      </c>
      <c r="F1537" s="11">
        <f t="shared" ca="1" si="119"/>
        <v>4.2479093281313469</v>
      </c>
      <c r="G1537" s="10">
        <f t="shared" ca="1" si="116"/>
        <v>0</v>
      </c>
    </row>
    <row r="1538" spans="1:7" x14ac:dyDescent="0.2">
      <c r="A1538" s="2">
        <v>19960402</v>
      </c>
      <c r="B1538" s="13">
        <v>5671.68</v>
      </c>
      <c r="C1538" s="2">
        <f t="shared" si="117"/>
        <v>6.0237117132457864E-3</v>
      </c>
      <c r="D1538" s="21">
        <f t="shared" ca="1" si="115"/>
        <v>5.6397592981389192E-3</v>
      </c>
      <c r="E1538" s="21">
        <f t="shared" ca="1" si="118"/>
        <v>7.3649971108197124E-5</v>
      </c>
      <c r="F1538" s="11">
        <f t="shared" ca="1" si="119"/>
        <v>4.5421606309730986</v>
      </c>
      <c r="G1538" s="10">
        <f t="shared" ca="1" si="116"/>
        <v>1</v>
      </c>
    </row>
    <row r="1539" spans="1:7" x14ac:dyDescent="0.2">
      <c r="A1539" s="2">
        <v>19960403</v>
      </c>
      <c r="B1539" s="13">
        <v>5689.74</v>
      </c>
      <c r="C1539" s="2">
        <f t="shared" si="117"/>
        <v>3.1842417061610476E-3</v>
      </c>
      <c r="D1539" s="21">
        <f t="shared" ca="1" si="115"/>
        <v>2.8002892910541804E-3</v>
      </c>
      <c r="E1539" s="21">
        <f t="shared" ca="1" si="118"/>
        <v>7.2002592623837298E-5</v>
      </c>
      <c r="F1539" s="11">
        <f t="shared" ca="1" si="119"/>
        <v>4.7149504810390201</v>
      </c>
      <c r="G1539" s="10">
        <f t="shared" ca="1" si="116"/>
        <v>1</v>
      </c>
    </row>
    <row r="1540" spans="1:7" x14ac:dyDescent="0.2">
      <c r="A1540" s="2">
        <v>19960404</v>
      </c>
      <c r="B1540" s="13">
        <v>5682.88</v>
      </c>
      <c r="C1540" s="2">
        <f t="shared" si="117"/>
        <v>-1.2056789941191817E-3</v>
      </c>
      <c r="D1540" s="21">
        <f t="shared" ca="1" si="115"/>
        <v>-1.5896314092260491E-3</v>
      </c>
      <c r="E1540" s="21">
        <f t="shared" ca="1" si="118"/>
        <v>6.955731092724223E-5</v>
      </c>
      <c r="F1540" s="11">
        <f t="shared" ca="1" si="119"/>
        <v>4.7685154041713087</v>
      </c>
      <c r="G1540" s="10">
        <f t="shared" ca="1" si="116"/>
        <v>1</v>
      </c>
    </row>
    <row r="1541" spans="1:7" x14ac:dyDescent="0.2">
      <c r="A1541" s="2">
        <v>19960408</v>
      </c>
      <c r="B1541" s="13">
        <v>5594.37</v>
      </c>
      <c r="C1541" s="2">
        <f t="shared" si="117"/>
        <v>-1.557484937214937E-2</v>
      </c>
      <c r="D1541" s="21">
        <f t="shared" ca="1" si="115"/>
        <v>-1.5958801787256238E-2</v>
      </c>
      <c r="E1541" s="21">
        <f t="shared" ca="1" si="118"/>
        <v>6.7040306328734888E-5</v>
      </c>
      <c r="F1541" s="11">
        <f t="shared" ca="1" si="119"/>
        <v>2.9056289199080685</v>
      </c>
      <c r="G1541" s="10">
        <f t="shared" ca="1" si="116"/>
        <v>0</v>
      </c>
    </row>
    <row r="1542" spans="1:7" x14ac:dyDescent="0.2">
      <c r="A1542" s="2">
        <v>19960409</v>
      </c>
      <c r="B1542" s="13">
        <v>5560.41</v>
      </c>
      <c r="C1542" s="2">
        <f t="shared" si="117"/>
        <v>-6.0703886228476193E-3</v>
      </c>
      <c r="D1542" s="21">
        <f t="shared" ca="1" si="115"/>
        <v>-6.4543410379544865E-3</v>
      </c>
      <c r="E1542" s="21">
        <f t="shared" ca="1" si="118"/>
        <v>7.3922869899831477E-5</v>
      </c>
      <c r="F1542" s="11">
        <f t="shared" ca="1" si="119"/>
        <v>4.4744739902744497</v>
      </c>
      <c r="G1542" s="10">
        <f t="shared" ca="1" si="116"/>
        <v>1</v>
      </c>
    </row>
    <row r="1543" spans="1:7" x14ac:dyDescent="0.2">
      <c r="A1543" s="2">
        <v>19960410</v>
      </c>
      <c r="B1543" s="13">
        <v>5485.98</v>
      </c>
      <c r="C1543" s="2">
        <f t="shared" si="117"/>
        <v>-1.3385703572218648E-2</v>
      </c>
      <c r="D1543" s="21">
        <f t="shared" ca="1" si="115"/>
        <v>-1.3769655987325515E-2</v>
      </c>
      <c r="E1543" s="21">
        <f t="shared" ca="1" si="118"/>
        <v>7.2623947133356267E-5</v>
      </c>
      <c r="F1543" s="11">
        <f t="shared" ca="1" si="119"/>
        <v>3.4597297804273199</v>
      </c>
      <c r="G1543" s="10">
        <f t="shared" ca="1" si="116"/>
        <v>0</v>
      </c>
    </row>
    <row r="1544" spans="1:7" x14ac:dyDescent="0.2">
      <c r="A1544" s="2">
        <v>19960411</v>
      </c>
      <c r="B1544" s="13">
        <v>5487.07</v>
      </c>
      <c r="C1544" s="2">
        <f t="shared" si="117"/>
        <v>1.9868829270251544E-4</v>
      </c>
      <c r="D1544" s="21">
        <f t="shared" ca="1" si="115"/>
        <v>-1.8526412240435185E-4</v>
      </c>
      <c r="E1544" s="21">
        <f t="shared" ca="1" si="118"/>
        <v>7.6830929874986372E-5</v>
      </c>
      <c r="F1544" s="11">
        <f t="shared" ca="1" si="119"/>
        <v>4.7367282673290036</v>
      </c>
      <c r="G1544" s="10">
        <f t="shared" ca="1" si="116"/>
        <v>1</v>
      </c>
    </row>
    <row r="1545" spans="1:7" x14ac:dyDescent="0.2">
      <c r="A1545" s="2">
        <v>19960412</v>
      </c>
      <c r="B1545" s="13">
        <v>5532.59</v>
      </c>
      <c r="C1545" s="2">
        <f t="shared" si="117"/>
        <v>8.2958664642514921E-3</v>
      </c>
      <c r="D1545" s="21">
        <f t="shared" ca="1" si="115"/>
        <v>7.9119140491446249E-3</v>
      </c>
      <c r="E1545" s="21">
        <f t="shared" ca="1" si="118"/>
        <v>7.3854293052745307E-5</v>
      </c>
      <c r="F1545" s="11">
        <f t="shared" ca="1" si="119"/>
        <v>4.3329116950253175</v>
      </c>
      <c r="G1545" s="10">
        <f t="shared" ca="1" si="116"/>
        <v>1</v>
      </c>
    </row>
    <row r="1546" spans="1:7" x14ac:dyDescent="0.2">
      <c r="A1546" s="2">
        <v>19960415</v>
      </c>
      <c r="B1546" s="13">
        <v>5592.92</v>
      </c>
      <c r="C1546" s="2">
        <f t="shared" si="117"/>
        <v>1.0904476926719661E-2</v>
      </c>
      <c r="D1546" s="21">
        <f t="shared" ca="1" si="115"/>
        <v>1.0520524511612794E-2</v>
      </c>
      <c r="E1546" s="21">
        <f t="shared" ca="1" si="118"/>
        <v>7.3328835034839696E-5</v>
      </c>
      <c r="F1546" s="11">
        <f t="shared" ca="1" si="119"/>
        <v>4.0055858735937582</v>
      </c>
      <c r="G1546" s="10">
        <f t="shared" ca="1" si="116"/>
        <v>0</v>
      </c>
    </row>
    <row r="1547" spans="1:7" x14ac:dyDescent="0.2">
      <c r="A1547" s="2">
        <v>19960416</v>
      </c>
      <c r="B1547" s="13">
        <v>5620.02</v>
      </c>
      <c r="C1547" s="2">
        <f t="shared" si="117"/>
        <v>4.8454116990767548E-3</v>
      </c>
      <c r="D1547" s="21">
        <f t="shared" ca="1" si="115"/>
        <v>4.4614592839698876E-3</v>
      </c>
      <c r="E1547" s="21">
        <f t="shared" ca="1" si="118"/>
        <v>7.4598057891268757E-5</v>
      </c>
      <c r="F1547" s="11">
        <f t="shared" ca="1" si="119"/>
        <v>4.6182855950055162</v>
      </c>
      <c r="G1547" s="10">
        <f t="shared" ca="1" si="116"/>
        <v>1</v>
      </c>
    </row>
    <row r="1548" spans="1:7" x14ac:dyDescent="0.2">
      <c r="A1548" s="2">
        <v>19960417</v>
      </c>
      <c r="B1548" s="13">
        <v>5549.93</v>
      </c>
      <c r="C1548" s="2">
        <f t="shared" si="117"/>
        <v>-1.2471485866598365E-2</v>
      </c>
      <c r="D1548" s="21">
        <f t="shared" ca="1" si="115"/>
        <v>-1.2855438281705232E-2</v>
      </c>
      <c r="E1548" s="21">
        <f t="shared" ca="1" si="118"/>
        <v>7.2465048281703646E-5</v>
      </c>
      <c r="F1548" s="11">
        <f t="shared" ca="1" si="119"/>
        <v>3.6259134226305934</v>
      </c>
      <c r="G1548" s="10">
        <f t="shared" ca="1" si="116"/>
        <v>0</v>
      </c>
    </row>
    <row r="1549" spans="1:7" x14ac:dyDescent="0.2">
      <c r="A1549" s="2">
        <v>19960418</v>
      </c>
      <c r="B1549" s="13">
        <v>5551.74</v>
      </c>
      <c r="C1549" s="2">
        <f t="shared" si="117"/>
        <v>3.2613023948040615E-4</v>
      </c>
      <c r="D1549" s="21">
        <f t="shared" ca="1" si="115"/>
        <v>-5.7822175626461145E-5</v>
      </c>
      <c r="E1549" s="21">
        <f t="shared" ca="1" si="118"/>
        <v>7.5785003822293698E-5</v>
      </c>
      <c r="F1549" s="11">
        <f t="shared" ca="1" si="119"/>
        <v>4.743783003342239</v>
      </c>
      <c r="G1549" s="10">
        <f t="shared" ca="1" si="116"/>
        <v>1</v>
      </c>
    </row>
    <row r="1550" spans="1:7" x14ac:dyDescent="0.2">
      <c r="A1550" s="2">
        <v>19960419</v>
      </c>
      <c r="B1550" s="13">
        <v>5535.48</v>
      </c>
      <c r="C1550" s="2">
        <f t="shared" si="117"/>
        <v>-2.9288115077435576E-3</v>
      </c>
      <c r="D1550" s="21">
        <f t="shared" ref="D1550:D1613" ca="1" si="120">(C1550-mu)</f>
        <v>-3.3127639228504248E-3</v>
      </c>
      <c r="E1550" s="21">
        <f t="shared" ca="1" si="118"/>
        <v>7.2860141577143852E-5</v>
      </c>
      <c r="F1550" s="11">
        <f t="shared" ca="1" si="119"/>
        <v>4.6881729685557243</v>
      </c>
      <c r="G1550" s="10">
        <f t="shared" ref="G1550:G1613" ca="1" si="121">IF(AND(C1550&lt;=mu+zvalue*SQRT(E1550),C1550&gt;=mu-zvalue*SQRT(E1550)),1,0)</f>
        <v>1</v>
      </c>
    </row>
    <row r="1551" spans="1:7" x14ac:dyDescent="0.2">
      <c r="A1551" s="2">
        <v>19960422</v>
      </c>
      <c r="B1551" s="13">
        <v>5564.74</v>
      </c>
      <c r="C1551" s="2">
        <f t="shared" ref="C1551:C1614" si="122">(B1551-B1550)/B1550</f>
        <v>5.2859011323318338E-3</v>
      </c>
      <c r="D1551" s="21">
        <f t="shared" ca="1" si="120"/>
        <v>4.9019487172249666E-3</v>
      </c>
      <c r="E1551" s="21">
        <f t="shared" ref="E1551:E1614" ca="1" si="123">(1-alpha-beta)*longvar+alpha*D1550^2+beta*E1550</f>
        <v>7.0486674159863448E-5</v>
      </c>
      <c r="F1551" s="11">
        <f t="shared" ref="F1551:F1614" ca="1" si="124">(-0.5)*(LN(E1551)+D1551^2/E1551)</f>
        <v>4.6095920663271404</v>
      </c>
      <c r="G1551" s="10">
        <f t="shared" ca="1" si="121"/>
        <v>1</v>
      </c>
    </row>
    <row r="1552" spans="1:7" x14ac:dyDescent="0.2">
      <c r="A1552" s="2">
        <v>19960423</v>
      </c>
      <c r="B1552" s="13">
        <v>5588.59</v>
      </c>
      <c r="C1552" s="2">
        <f t="shared" si="122"/>
        <v>4.2859145261055082E-3</v>
      </c>
      <c r="D1552" s="21">
        <f t="shared" ca="1" si="120"/>
        <v>3.901962110998641E-3</v>
      </c>
      <c r="E1552" s="21">
        <f t="shared" ca="1" si="123"/>
        <v>6.8713325222116806E-5</v>
      </c>
      <c r="F1552" s="11">
        <f t="shared" ca="1" si="124"/>
        <v>4.6819950921784583</v>
      </c>
      <c r="G1552" s="10">
        <f t="shared" ca="1" si="121"/>
        <v>1</v>
      </c>
    </row>
    <row r="1553" spans="1:7" x14ac:dyDescent="0.2">
      <c r="A1553" s="2">
        <v>19960424</v>
      </c>
      <c r="B1553" s="13">
        <v>5553.9</v>
      </c>
      <c r="C1553" s="2">
        <f t="shared" si="122"/>
        <v>-6.2072902109477539E-3</v>
      </c>
      <c r="D1553" s="21">
        <f t="shared" ca="1" si="120"/>
        <v>-6.5912426260546211E-3</v>
      </c>
      <c r="E1553" s="21">
        <f t="shared" ca="1" si="123"/>
        <v>6.6705959753870473E-5</v>
      </c>
      <c r="F1553" s="11">
        <f t="shared" ca="1" si="124"/>
        <v>4.4819664655286653</v>
      </c>
      <c r="G1553" s="10">
        <f t="shared" ca="1" si="121"/>
        <v>1</v>
      </c>
    </row>
    <row r="1554" spans="1:7" x14ac:dyDescent="0.2">
      <c r="A1554" s="2">
        <v>19960425</v>
      </c>
      <c r="B1554" s="13">
        <v>5566.91</v>
      </c>
      <c r="C1554" s="2">
        <f t="shared" si="122"/>
        <v>2.3424980644232377E-3</v>
      </c>
      <c r="D1554" s="21">
        <f t="shared" ca="1" si="120"/>
        <v>1.9585456493163705E-3</v>
      </c>
      <c r="E1554" s="21">
        <f t="shared" ca="1" si="123"/>
        <v>6.5837815756752404E-5</v>
      </c>
      <c r="F1554" s="11">
        <f t="shared" ca="1" si="124"/>
        <v>4.7850266462921951</v>
      </c>
      <c r="G1554" s="10">
        <f t="shared" ca="1" si="121"/>
        <v>1</v>
      </c>
    </row>
    <row r="1555" spans="1:7" x14ac:dyDescent="0.2">
      <c r="A1555" s="2">
        <v>19960426</v>
      </c>
      <c r="B1555" s="13">
        <v>5567.99</v>
      </c>
      <c r="C1555" s="2">
        <f t="shared" si="122"/>
        <v>1.9400349565556606E-4</v>
      </c>
      <c r="D1555" s="21">
        <f t="shared" ca="1" si="120"/>
        <v>-1.8994891945130123E-4</v>
      </c>
      <c r="E1555" s="21">
        <f t="shared" ca="1" si="123"/>
        <v>6.3557114867946198E-5</v>
      </c>
      <c r="F1555" s="11">
        <f t="shared" ca="1" si="124"/>
        <v>4.8315019609458849</v>
      </c>
      <c r="G1555" s="10">
        <f t="shared" ca="1" si="121"/>
        <v>1</v>
      </c>
    </row>
    <row r="1556" spans="1:7" x14ac:dyDescent="0.2">
      <c r="A1556" s="2">
        <v>19960429</v>
      </c>
      <c r="B1556" s="13">
        <v>5573.41</v>
      </c>
      <c r="C1556" s="2">
        <f t="shared" si="122"/>
        <v>9.7342128847215472E-4</v>
      </c>
      <c r="D1556" s="21">
        <f t="shared" ca="1" si="120"/>
        <v>5.8946887336528743E-4</v>
      </c>
      <c r="E1556" s="21">
        <f t="shared" ca="1" si="123"/>
        <v>6.1252069354767578E-5</v>
      </c>
      <c r="F1556" s="11">
        <f t="shared" ca="1" si="124"/>
        <v>4.8474200388954563</v>
      </c>
      <c r="G1556" s="10">
        <f t="shared" ca="1" si="121"/>
        <v>1</v>
      </c>
    </row>
    <row r="1557" spans="1:7" x14ac:dyDescent="0.2">
      <c r="A1557" s="2">
        <v>19960430</v>
      </c>
      <c r="B1557" s="13">
        <v>5569.08</v>
      </c>
      <c r="C1557" s="2">
        <f t="shared" si="122"/>
        <v>-7.7690318853268058E-4</v>
      </c>
      <c r="D1557" s="21">
        <f t="shared" ca="1" si="120"/>
        <v>-1.1608556036395478E-3</v>
      </c>
      <c r="E1557" s="21">
        <f t="shared" ca="1" si="123"/>
        <v>5.9075087315940271E-5</v>
      </c>
      <c r="F1557" s="11">
        <f t="shared" ca="1" si="124"/>
        <v>4.856944926001912</v>
      </c>
      <c r="G1557" s="10">
        <f t="shared" ca="1" si="121"/>
        <v>1</v>
      </c>
    </row>
    <row r="1558" spans="1:7" x14ac:dyDescent="0.2">
      <c r="A1558" s="2">
        <v>19960501</v>
      </c>
      <c r="B1558" s="13">
        <v>5575.22</v>
      </c>
      <c r="C1558" s="2">
        <f t="shared" si="122"/>
        <v>1.1025160349645412E-3</v>
      </c>
      <c r="D1558" s="21">
        <f t="shared" ca="1" si="120"/>
        <v>7.1856361985767395E-4</v>
      </c>
      <c r="E1558" s="21">
        <f t="shared" ca="1" si="123"/>
        <v>5.7045015386355134E-5</v>
      </c>
      <c r="F1558" s="11">
        <f t="shared" ca="1" si="124"/>
        <v>4.8813092604443504</v>
      </c>
      <c r="G1558" s="10">
        <f t="shared" ca="1" si="121"/>
        <v>1</v>
      </c>
    </row>
    <row r="1559" spans="1:7" x14ac:dyDescent="0.2">
      <c r="A1559" s="2">
        <v>19960502</v>
      </c>
      <c r="B1559" s="13">
        <v>5498.27</v>
      </c>
      <c r="C1559" s="2">
        <f t="shared" si="122"/>
        <v>-1.3802145924286363E-2</v>
      </c>
      <c r="D1559" s="21">
        <f t="shared" ca="1" si="120"/>
        <v>-1.418609833939323E-2</v>
      </c>
      <c r="E1559" s="21">
        <f t="shared" ca="1" si="123"/>
        <v>5.5087078874587142E-5</v>
      </c>
      <c r="F1559" s="11">
        <f t="shared" ca="1" si="124"/>
        <v>3.0766861631222602</v>
      </c>
      <c r="G1559" s="10">
        <f t="shared" ca="1" si="121"/>
        <v>0</v>
      </c>
    </row>
    <row r="1560" spans="1:7" x14ac:dyDescent="0.2">
      <c r="A1560" s="2">
        <v>19960503</v>
      </c>
      <c r="B1560" s="13">
        <v>5478.03</v>
      </c>
      <c r="C1560" s="2">
        <f t="shared" si="122"/>
        <v>-3.6811578914823554E-3</v>
      </c>
      <c r="D1560" s="21">
        <f t="shared" ca="1" si="120"/>
        <v>-4.065110306589223E-3</v>
      </c>
      <c r="E1560" s="21">
        <f t="shared" ca="1" si="123"/>
        <v>6.0609352755452156E-5</v>
      </c>
      <c r="F1560" s="11">
        <f t="shared" ca="1" si="124"/>
        <v>4.7192058207896386</v>
      </c>
      <c r="G1560" s="10">
        <f t="shared" ca="1" si="121"/>
        <v>1</v>
      </c>
    </row>
    <row r="1561" spans="1:7" x14ac:dyDescent="0.2">
      <c r="A1561" s="2">
        <v>19960506</v>
      </c>
      <c r="B1561" s="13">
        <v>5464.31</v>
      </c>
      <c r="C1561" s="2">
        <f t="shared" si="122"/>
        <v>-2.5045499933369015E-3</v>
      </c>
      <c r="D1561" s="21">
        <f t="shared" ca="1" si="120"/>
        <v>-2.8885024084437686E-3</v>
      </c>
      <c r="E1561" s="21">
        <f t="shared" ca="1" si="123"/>
        <v>5.9059766334171676E-5</v>
      </c>
      <c r="F1561" s="11">
        <f t="shared" ca="1" si="124"/>
        <v>4.7978447012411536</v>
      </c>
      <c r="G1561" s="10">
        <f t="shared" ca="1" si="121"/>
        <v>1</v>
      </c>
    </row>
    <row r="1562" spans="1:7" x14ac:dyDescent="0.2">
      <c r="A1562" s="2">
        <v>19960507</v>
      </c>
      <c r="B1562" s="13">
        <v>5420.95</v>
      </c>
      <c r="C1562" s="2">
        <f t="shared" si="122"/>
        <v>-7.9351281314567774E-3</v>
      </c>
      <c r="D1562" s="21">
        <f t="shared" ca="1" si="120"/>
        <v>-8.3190805465636446E-3</v>
      </c>
      <c r="E1562" s="21">
        <f t="shared" ca="1" si="123"/>
        <v>5.7287719501251359E-5</v>
      </c>
      <c r="F1562" s="11">
        <f t="shared" ca="1" si="124"/>
        <v>4.2796812766699306</v>
      </c>
      <c r="G1562" s="10">
        <f t="shared" ca="1" si="121"/>
        <v>0</v>
      </c>
    </row>
    <row r="1563" spans="1:7" x14ac:dyDescent="0.2">
      <c r="A1563" s="2">
        <v>19960508</v>
      </c>
      <c r="B1563" s="13">
        <v>5474.06</v>
      </c>
      <c r="C1563" s="2">
        <f t="shared" si="122"/>
        <v>9.7971757717744273E-3</v>
      </c>
      <c r="D1563" s="21">
        <f t="shared" ca="1" si="120"/>
        <v>9.4132233566675601E-3</v>
      </c>
      <c r="E1563" s="21">
        <f t="shared" ca="1" si="123"/>
        <v>5.7843383965376673E-5</v>
      </c>
      <c r="F1563" s="11">
        <f t="shared" ca="1" si="124"/>
        <v>4.1129487554403399</v>
      </c>
      <c r="G1563" s="10">
        <f t="shared" ca="1" si="121"/>
        <v>0</v>
      </c>
    </row>
    <row r="1564" spans="1:7" x14ac:dyDescent="0.2">
      <c r="A1564" s="2">
        <v>19960509</v>
      </c>
      <c r="B1564" s="13">
        <v>5475.14</v>
      </c>
      <c r="C1564" s="2">
        <f t="shared" si="122"/>
        <v>1.9729414730564282E-4</v>
      </c>
      <c r="D1564" s="21">
        <f t="shared" ca="1" si="120"/>
        <v>-1.8665826780122447E-4</v>
      </c>
      <c r="E1564" s="21">
        <f t="shared" ca="1" si="123"/>
        <v>5.9084370567211118E-5</v>
      </c>
      <c r="F1564" s="11">
        <f t="shared" ca="1" si="124"/>
        <v>4.8679772192667601</v>
      </c>
      <c r="G1564" s="10">
        <f t="shared" ca="1" si="121"/>
        <v>1</v>
      </c>
    </row>
    <row r="1565" spans="1:7" x14ac:dyDescent="0.2">
      <c r="A1565" s="2">
        <v>19960510</v>
      </c>
      <c r="B1565" s="13">
        <v>5518.14</v>
      </c>
      <c r="C1565" s="2">
        <f t="shared" si="122"/>
        <v>7.853680453833143E-3</v>
      </c>
      <c r="D1565" s="21">
        <f t="shared" ca="1" si="120"/>
        <v>7.4697280387262758E-3</v>
      </c>
      <c r="E1565" s="21">
        <f t="shared" ca="1" si="123"/>
        <v>5.7005557090319595E-5</v>
      </c>
      <c r="F1565" s="11">
        <f t="shared" ca="1" si="124"/>
        <v>4.3967826754885522</v>
      </c>
      <c r="G1565" s="10">
        <f t="shared" ca="1" si="121"/>
        <v>1</v>
      </c>
    </row>
    <row r="1566" spans="1:7" x14ac:dyDescent="0.2">
      <c r="A1566" s="2">
        <v>19960513</v>
      </c>
      <c r="B1566" s="13">
        <v>5582.6</v>
      </c>
      <c r="C1566" s="2">
        <f t="shared" si="122"/>
        <v>1.1681472380186082E-2</v>
      </c>
      <c r="D1566" s="21">
        <f t="shared" ca="1" si="120"/>
        <v>1.1297519965079215E-2</v>
      </c>
      <c r="E1566" s="21">
        <f t="shared" ca="1" si="123"/>
        <v>5.7082377415322031E-5</v>
      </c>
      <c r="F1566" s="11">
        <f t="shared" ca="1" si="124"/>
        <v>3.7675271657914404</v>
      </c>
      <c r="G1566" s="10">
        <f t="shared" ca="1" si="121"/>
        <v>0</v>
      </c>
    </row>
    <row r="1567" spans="1:7" x14ac:dyDescent="0.2">
      <c r="A1567" s="2">
        <v>19960514</v>
      </c>
      <c r="B1567" s="13">
        <v>5624.71</v>
      </c>
      <c r="C1567" s="2">
        <f t="shared" si="122"/>
        <v>7.5430802851717245E-3</v>
      </c>
      <c r="D1567" s="21">
        <f t="shared" ca="1" si="120"/>
        <v>7.1591278700648573E-3</v>
      </c>
      <c r="E1567" s="21">
        <f t="shared" ca="1" si="123"/>
        <v>5.9796887722478549E-5</v>
      </c>
      <c r="F1567" s="11">
        <f t="shared" ca="1" si="124"/>
        <v>4.4337184426767937</v>
      </c>
      <c r="G1567" s="10">
        <f t="shared" ca="1" si="121"/>
        <v>1</v>
      </c>
    </row>
    <row r="1568" spans="1:7" x14ac:dyDescent="0.2">
      <c r="A1568" s="2">
        <v>19960515</v>
      </c>
      <c r="B1568" s="13">
        <v>5625.44</v>
      </c>
      <c r="C1568" s="2">
        <f t="shared" si="122"/>
        <v>1.2978446888809619E-4</v>
      </c>
      <c r="D1568" s="21">
        <f t="shared" ca="1" si="120"/>
        <v>-2.5416794621877111E-4</v>
      </c>
      <c r="E1568" s="21">
        <f t="shared" ca="1" si="123"/>
        <v>5.9565413005766613E-5</v>
      </c>
      <c r="F1568" s="11">
        <f t="shared" ca="1" si="124"/>
        <v>4.8636754632370529</v>
      </c>
      <c r="G1568" s="10">
        <f t="shared" ca="1" si="121"/>
        <v>1</v>
      </c>
    </row>
    <row r="1569" spans="1:7" x14ac:dyDescent="0.2">
      <c r="A1569" s="2">
        <v>19960516</v>
      </c>
      <c r="B1569" s="13">
        <v>5635.05</v>
      </c>
      <c r="C1569" s="2">
        <f t="shared" si="122"/>
        <v>1.7083108165762292E-3</v>
      </c>
      <c r="D1569" s="21">
        <f t="shared" ca="1" si="120"/>
        <v>1.324358401469362E-3</v>
      </c>
      <c r="E1569" s="21">
        <f t="shared" ca="1" si="123"/>
        <v>5.7463357762002649E-5</v>
      </c>
      <c r="F1569" s="11">
        <f t="shared" ca="1" si="124"/>
        <v>4.8669202862114407</v>
      </c>
      <c r="G1569" s="10">
        <f t="shared" ca="1" si="121"/>
        <v>1</v>
      </c>
    </row>
    <row r="1570" spans="1:7" x14ac:dyDescent="0.2">
      <c r="A1570" s="2">
        <v>19960517</v>
      </c>
      <c r="B1570" s="13">
        <v>5687.5</v>
      </c>
      <c r="C1570" s="2">
        <f t="shared" si="122"/>
        <v>9.3078144825688887E-3</v>
      </c>
      <c r="D1570" s="21">
        <f t="shared" ca="1" si="120"/>
        <v>8.9238620674620215E-3</v>
      </c>
      <c r="E1570" s="21">
        <f t="shared" ca="1" si="123"/>
        <v>5.5529765572044605E-5</v>
      </c>
      <c r="F1570" s="11">
        <f t="shared" ca="1" si="124"/>
        <v>4.1822449853289534</v>
      </c>
      <c r="G1570" s="10">
        <f t="shared" ca="1" si="121"/>
        <v>0</v>
      </c>
    </row>
    <row r="1571" spans="1:7" x14ac:dyDescent="0.2">
      <c r="A1571" s="2">
        <v>19960520</v>
      </c>
      <c r="B1571" s="13">
        <v>5748.82</v>
      </c>
      <c r="C1571" s="2">
        <f t="shared" si="122"/>
        <v>1.078153846153841E-2</v>
      </c>
      <c r="D1571" s="21">
        <f t="shared" ca="1" si="120"/>
        <v>1.0397586046431543E-2</v>
      </c>
      <c r="E1571" s="21">
        <f t="shared" ca="1" si="123"/>
        <v>5.6557829106605481E-5</v>
      </c>
      <c r="F1571" s="11">
        <f t="shared" ca="1" si="124"/>
        <v>3.9343778334140733</v>
      </c>
      <c r="G1571" s="10">
        <f t="shared" ca="1" si="121"/>
        <v>0</v>
      </c>
    </row>
    <row r="1572" spans="1:7" x14ac:dyDescent="0.2">
      <c r="A1572" s="2">
        <v>19960521</v>
      </c>
      <c r="B1572" s="13">
        <v>5736.26</v>
      </c>
      <c r="C1572" s="2">
        <f t="shared" si="122"/>
        <v>-2.1847961842603337E-3</v>
      </c>
      <c r="D1572" s="21">
        <f t="shared" ca="1" si="120"/>
        <v>-2.5687485993672009E-3</v>
      </c>
      <c r="E1572" s="21">
        <f t="shared" ca="1" si="123"/>
        <v>5.8580938967085099E-5</v>
      </c>
      <c r="F1572" s="11">
        <f t="shared" ca="1" si="124"/>
        <v>4.8162313416174198</v>
      </c>
      <c r="G1572" s="10">
        <f t="shared" ca="1" si="121"/>
        <v>1</v>
      </c>
    </row>
    <row r="1573" spans="1:7" x14ac:dyDescent="0.2">
      <c r="A1573" s="2">
        <v>19960522</v>
      </c>
      <c r="B1573" s="13">
        <v>5778</v>
      </c>
      <c r="C1573" s="2">
        <f t="shared" si="122"/>
        <v>7.2765181494562278E-3</v>
      </c>
      <c r="D1573" s="21">
        <f t="shared" ca="1" si="120"/>
        <v>6.8925657343493606E-3</v>
      </c>
      <c r="E1573" s="21">
        <f t="shared" ca="1" si="123"/>
        <v>5.6768950324695235E-5</v>
      </c>
      <c r="F1573" s="11">
        <f t="shared" ca="1" si="124"/>
        <v>4.4698322890197604</v>
      </c>
      <c r="G1573" s="10">
        <f t="shared" ca="1" si="121"/>
        <v>1</v>
      </c>
    </row>
    <row r="1574" spans="1:7" x14ac:dyDescent="0.2">
      <c r="A1574" s="2">
        <v>19960523</v>
      </c>
      <c r="B1574" s="13">
        <v>5762.12</v>
      </c>
      <c r="C1574" s="2">
        <f t="shared" si="122"/>
        <v>-2.7483558324680009E-3</v>
      </c>
      <c r="D1574" s="21">
        <f t="shared" ca="1" si="120"/>
        <v>-3.132308247574868E-3</v>
      </c>
      <c r="E1574" s="21">
        <f t="shared" ca="1" si="123"/>
        <v>5.6552925887292166E-5</v>
      </c>
      <c r="F1574" s="11">
        <f t="shared" ca="1" si="124"/>
        <v>4.8034219159161884</v>
      </c>
      <c r="G1574" s="10">
        <f t="shared" ca="1" si="121"/>
        <v>1</v>
      </c>
    </row>
    <row r="1575" spans="1:7" x14ac:dyDescent="0.2">
      <c r="A1575" s="2">
        <v>19960524</v>
      </c>
      <c r="B1575" s="13">
        <v>5762.86</v>
      </c>
      <c r="C1575" s="2">
        <f t="shared" si="122"/>
        <v>1.2842495470413351E-4</v>
      </c>
      <c r="D1575" s="21">
        <f t="shared" ca="1" si="120"/>
        <v>-2.5552746040273381E-4</v>
      </c>
      <c r="E1575" s="21">
        <f t="shared" ca="1" si="123"/>
        <v>5.4961678507394554E-5</v>
      </c>
      <c r="F1575" s="11">
        <f t="shared" ca="1" si="124"/>
        <v>4.9038431867324892</v>
      </c>
      <c r="G1575" s="10">
        <f t="shared" ca="1" si="121"/>
        <v>1</v>
      </c>
    </row>
    <row r="1576" spans="1:7" x14ac:dyDescent="0.2">
      <c r="A1576" s="2">
        <v>19960528</v>
      </c>
      <c r="B1576" s="13">
        <v>5709.67</v>
      </c>
      <c r="C1576" s="2">
        <f t="shared" si="122"/>
        <v>-9.2297921518134408E-3</v>
      </c>
      <c r="D1576" s="21">
        <f t="shared" ca="1" si="120"/>
        <v>-9.613744566920308E-3</v>
      </c>
      <c r="E1576" s="21">
        <f t="shared" ca="1" si="123"/>
        <v>5.3092553188293702E-5</v>
      </c>
      <c r="F1576" s="11">
        <f t="shared" ca="1" si="124"/>
        <v>4.0513315911901389</v>
      </c>
      <c r="G1576" s="10">
        <f t="shared" ca="1" si="121"/>
        <v>0</v>
      </c>
    </row>
    <row r="1577" spans="1:7" x14ac:dyDescent="0.2">
      <c r="A1577" s="2">
        <v>19960529</v>
      </c>
      <c r="B1577" s="13">
        <v>5673.83</v>
      </c>
      <c r="C1577" s="2">
        <f t="shared" si="122"/>
        <v>-6.277070303537708E-3</v>
      </c>
      <c r="D1577" s="21">
        <f t="shared" ca="1" si="120"/>
        <v>-6.6610227186445752E-3</v>
      </c>
      <c r="E1577" s="21">
        <f t="shared" ca="1" si="123"/>
        <v>5.4714181517198128E-5</v>
      </c>
      <c r="F1577" s="11">
        <f t="shared" ca="1" si="124"/>
        <v>4.5012301595700857</v>
      </c>
      <c r="G1577" s="10">
        <f t="shared" ca="1" si="121"/>
        <v>1</v>
      </c>
    </row>
    <row r="1578" spans="1:7" x14ac:dyDescent="0.2">
      <c r="A1578" s="2">
        <v>19960530</v>
      </c>
      <c r="B1578" s="13">
        <v>5693.41</v>
      </c>
      <c r="C1578" s="2">
        <f t="shared" si="122"/>
        <v>3.4509317339433731E-3</v>
      </c>
      <c r="D1578" s="21">
        <f t="shared" ca="1" si="120"/>
        <v>3.0669793188365059E-3</v>
      </c>
      <c r="E1578" s="21">
        <f t="shared" ca="1" si="123"/>
        <v>5.4486709992197893E-5</v>
      </c>
      <c r="F1578" s="11">
        <f t="shared" ca="1" si="124"/>
        <v>4.8224589203848014</v>
      </c>
      <c r="G1578" s="10">
        <f t="shared" ca="1" si="121"/>
        <v>1</v>
      </c>
    </row>
    <row r="1579" spans="1:7" x14ac:dyDescent="0.2">
      <c r="A1579" s="2">
        <v>19960531</v>
      </c>
      <c r="B1579" s="13">
        <v>5643.18</v>
      </c>
      <c r="C1579" s="2">
        <f t="shared" si="122"/>
        <v>-8.8224807277184607E-3</v>
      </c>
      <c r="D1579" s="21">
        <f t="shared" ca="1" si="120"/>
        <v>-9.2064331428253279E-3</v>
      </c>
      <c r="E1579" s="21">
        <f t="shared" ca="1" si="123"/>
        <v>5.2985100861796063E-5</v>
      </c>
      <c r="F1579" s="11">
        <f t="shared" ca="1" si="124"/>
        <v>4.1229174013532894</v>
      </c>
      <c r="G1579" s="10">
        <f t="shared" ca="1" si="121"/>
        <v>0</v>
      </c>
    </row>
    <row r="1580" spans="1:7" x14ac:dyDescent="0.2">
      <c r="A1580" s="2">
        <v>19960603</v>
      </c>
      <c r="B1580" s="13">
        <v>5624.71</v>
      </c>
      <c r="C1580" s="2">
        <f t="shared" si="122"/>
        <v>-3.2729772929448032E-3</v>
      </c>
      <c r="D1580" s="21">
        <f t="shared" ca="1" si="120"/>
        <v>-3.6569297080516704E-3</v>
      </c>
      <c r="E1580" s="21">
        <f t="shared" ca="1" si="123"/>
        <v>5.4330285044297163E-5</v>
      </c>
      <c r="F1580" s="11">
        <f t="shared" ca="1" si="124"/>
        <v>4.7871418121468077</v>
      </c>
      <c r="G1580" s="10">
        <f t="shared" ca="1" si="121"/>
        <v>1</v>
      </c>
    </row>
    <row r="1581" spans="1:7" x14ac:dyDescent="0.2">
      <c r="A1581" s="2">
        <v>19960604</v>
      </c>
      <c r="B1581" s="13">
        <v>5665.71</v>
      </c>
      <c r="C1581" s="2">
        <f t="shared" si="122"/>
        <v>7.2892646909796235E-3</v>
      </c>
      <c r="D1581" s="21">
        <f t="shared" ca="1" si="120"/>
        <v>6.9053122758727563E-3</v>
      </c>
      <c r="E1581" s="21">
        <f t="shared" ca="1" si="123"/>
        <v>5.2982454663610779E-5</v>
      </c>
      <c r="F1581" s="11">
        <f t="shared" ca="1" si="124"/>
        <v>4.4727830967317797</v>
      </c>
      <c r="G1581" s="10">
        <f t="shared" ca="1" si="121"/>
        <v>1</v>
      </c>
    </row>
    <row r="1582" spans="1:7" x14ac:dyDescent="0.2">
      <c r="A1582" s="2">
        <v>19960605</v>
      </c>
      <c r="B1582" s="13">
        <v>5697.48</v>
      </c>
      <c r="C1582" s="2">
        <f t="shared" si="122"/>
        <v>5.6074172522066123E-3</v>
      </c>
      <c r="D1582" s="21">
        <f t="shared" ca="1" si="120"/>
        <v>5.2234648370997451E-3</v>
      </c>
      <c r="E1582" s="21">
        <f t="shared" ca="1" si="123"/>
        <v>5.2964457527569145E-5</v>
      </c>
      <c r="F1582" s="11">
        <f t="shared" ca="1" si="124"/>
        <v>4.6653702639368175</v>
      </c>
      <c r="G1582" s="10">
        <f t="shared" ca="1" si="121"/>
        <v>1</v>
      </c>
    </row>
    <row r="1583" spans="1:7" x14ac:dyDescent="0.2">
      <c r="A1583" s="2">
        <v>19960606</v>
      </c>
      <c r="B1583" s="13">
        <v>5667.19</v>
      </c>
      <c r="C1583" s="2">
        <f t="shared" si="122"/>
        <v>-5.3163854897252758E-3</v>
      </c>
      <c r="D1583" s="21">
        <f t="shared" ca="1" si="120"/>
        <v>-5.700337904832143E-3</v>
      </c>
      <c r="E1583" s="21">
        <f t="shared" ca="1" si="123"/>
        <v>5.2197273117762356E-5</v>
      </c>
      <c r="F1583" s="11">
        <f t="shared" ca="1" si="124"/>
        <v>4.618980096529862</v>
      </c>
      <c r="G1583" s="10">
        <f t="shared" ca="1" si="121"/>
        <v>1</v>
      </c>
    </row>
    <row r="1584" spans="1:7" x14ac:dyDescent="0.2">
      <c r="A1584" s="2">
        <v>19960607</v>
      </c>
      <c r="B1584" s="13">
        <v>5697.11</v>
      </c>
      <c r="C1584" s="2">
        <f t="shared" si="122"/>
        <v>5.2795124214999097E-3</v>
      </c>
      <c r="D1584" s="21">
        <f t="shared" ca="1" si="120"/>
        <v>4.8955600063930425E-3</v>
      </c>
      <c r="E1584" s="21">
        <f t="shared" ca="1" si="123"/>
        <v>5.1660454675014703E-5</v>
      </c>
      <c r="F1584" s="11">
        <f t="shared" ca="1" si="124"/>
        <v>4.7034471490400147</v>
      </c>
      <c r="G1584" s="10">
        <f t="shared" ca="1" si="121"/>
        <v>1</v>
      </c>
    </row>
    <row r="1585" spans="1:7" x14ac:dyDescent="0.2">
      <c r="A1585" s="2">
        <v>19960610</v>
      </c>
      <c r="B1585" s="13">
        <v>5687.87</v>
      </c>
      <c r="C1585" s="2">
        <f t="shared" si="122"/>
        <v>-1.6218749506328265E-3</v>
      </c>
      <c r="D1585" s="21">
        <f t="shared" ca="1" si="120"/>
        <v>-2.0058273657396937E-3</v>
      </c>
      <c r="E1585" s="21">
        <f t="shared" ca="1" si="123"/>
        <v>5.0837228709356664E-5</v>
      </c>
      <c r="F1585" s="11">
        <f t="shared" ca="1" si="124"/>
        <v>4.903869974197244</v>
      </c>
      <c r="G1585" s="10">
        <f t="shared" ca="1" si="121"/>
        <v>1</v>
      </c>
    </row>
    <row r="1586" spans="1:7" x14ac:dyDescent="0.2">
      <c r="A1586" s="2">
        <v>19960611</v>
      </c>
      <c r="B1586" s="13">
        <v>5668.66</v>
      </c>
      <c r="C1586" s="2">
        <f t="shared" si="122"/>
        <v>-3.3773627034373215E-3</v>
      </c>
      <c r="D1586" s="21">
        <f t="shared" ca="1" si="120"/>
        <v>-3.7613151185441887E-3</v>
      </c>
      <c r="E1586" s="21">
        <f t="shared" ca="1" si="123"/>
        <v>4.9322305041321676E-5</v>
      </c>
      <c r="F1586" s="11">
        <f t="shared" ca="1" si="124"/>
        <v>4.8151482740196325</v>
      </c>
      <c r="G1586" s="10">
        <f t="shared" ca="1" si="121"/>
        <v>1</v>
      </c>
    </row>
    <row r="1587" spans="1:7" x14ac:dyDescent="0.2">
      <c r="A1587" s="2">
        <v>19960612</v>
      </c>
      <c r="B1587" s="13">
        <v>5668.29</v>
      </c>
      <c r="C1587" s="2">
        <f t="shared" si="122"/>
        <v>-6.5271157557498751E-5</v>
      </c>
      <c r="D1587" s="21">
        <f t="shared" ca="1" si="120"/>
        <v>-4.4922357266436602E-4</v>
      </c>
      <c r="E1587" s="21">
        <f t="shared" ca="1" si="123"/>
        <v>4.8256304459655763E-5</v>
      </c>
      <c r="F1587" s="11">
        <f t="shared" ca="1" si="124"/>
        <v>4.9674011008244499</v>
      </c>
      <c r="G1587" s="10">
        <f t="shared" ca="1" si="121"/>
        <v>1</v>
      </c>
    </row>
    <row r="1588" spans="1:7" x14ac:dyDescent="0.2">
      <c r="A1588" s="2">
        <v>19960613</v>
      </c>
      <c r="B1588" s="13">
        <v>5657.95</v>
      </c>
      <c r="C1588" s="2">
        <f t="shared" si="122"/>
        <v>-1.8241833074878219E-3</v>
      </c>
      <c r="D1588" s="21">
        <f t="shared" ca="1" si="120"/>
        <v>-2.2081357225946893E-3</v>
      </c>
      <c r="E1588" s="21">
        <f t="shared" ca="1" si="123"/>
        <v>4.6731425841888733E-5</v>
      </c>
      <c r="F1588" s="11">
        <f t="shared" ca="1" si="124"/>
        <v>4.9333778461850502</v>
      </c>
      <c r="G1588" s="10">
        <f t="shared" ca="1" si="121"/>
        <v>1</v>
      </c>
    </row>
    <row r="1589" spans="1:7" x14ac:dyDescent="0.2">
      <c r="A1589" s="2">
        <v>19960614</v>
      </c>
      <c r="B1589" s="13">
        <v>5649.45</v>
      </c>
      <c r="C1589" s="2">
        <f t="shared" si="122"/>
        <v>-1.5023109076609019E-3</v>
      </c>
      <c r="D1589" s="21">
        <f t="shared" ca="1" si="120"/>
        <v>-1.8862633227677691E-3</v>
      </c>
      <c r="E1589" s="21">
        <f t="shared" ca="1" si="123"/>
        <v>4.5455564739850246E-5</v>
      </c>
      <c r="F1589" s="11">
        <f t="shared" ca="1" si="124"/>
        <v>4.9602506492256033</v>
      </c>
      <c r="G1589" s="10">
        <f t="shared" ca="1" si="121"/>
        <v>1</v>
      </c>
    </row>
    <row r="1590" spans="1:7" x14ac:dyDescent="0.2">
      <c r="A1590" s="2">
        <v>19960617</v>
      </c>
      <c r="B1590" s="13">
        <v>5652.78</v>
      </c>
      <c r="C1590" s="2">
        <f t="shared" si="122"/>
        <v>5.8943790988502025E-4</v>
      </c>
      <c r="D1590" s="21">
        <f t="shared" ca="1" si="120"/>
        <v>2.0548549477815295E-4</v>
      </c>
      <c r="E1590" s="21">
        <f t="shared" ca="1" si="123"/>
        <v>4.4195789341296535E-5</v>
      </c>
      <c r="F1590" s="11">
        <f t="shared" ca="1" si="124"/>
        <v>5.0129628227648064</v>
      </c>
      <c r="G1590" s="10">
        <f t="shared" ca="1" si="121"/>
        <v>1</v>
      </c>
    </row>
    <row r="1591" spans="1:7" x14ac:dyDescent="0.2">
      <c r="A1591" s="2">
        <v>19960618</v>
      </c>
      <c r="B1591" s="13">
        <v>5628.03</v>
      </c>
      <c r="C1591" s="2">
        <f t="shared" si="122"/>
        <v>-4.3783766571492255E-3</v>
      </c>
      <c r="D1591" s="21">
        <f t="shared" ca="1" si="120"/>
        <v>-4.7623290722560926E-3</v>
      </c>
      <c r="E1591" s="21">
        <f t="shared" ca="1" si="123"/>
        <v>4.287046557595395E-5</v>
      </c>
      <c r="F1591" s="11">
        <f t="shared" ca="1" si="124"/>
        <v>4.7641485244707198</v>
      </c>
      <c r="G1591" s="10">
        <f t="shared" ca="1" si="121"/>
        <v>1</v>
      </c>
    </row>
    <row r="1592" spans="1:7" x14ac:dyDescent="0.2">
      <c r="A1592" s="2">
        <v>19960619</v>
      </c>
      <c r="B1592" s="13">
        <v>5648.35</v>
      </c>
      <c r="C1592" s="2">
        <f t="shared" si="122"/>
        <v>3.6104995886661263E-3</v>
      </c>
      <c r="D1592" s="21">
        <f t="shared" ca="1" si="120"/>
        <v>3.2265471735592592E-3</v>
      </c>
      <c r="E1592" s="21">
        <f t="shared" ca="1" si="123"/>
        <v>4.2444612759562358E-5</v>
      </c>
      <c r="F1592" s="11">
        <f t="shared" ca="1" si="124"/>
        <v>4.9110177302968019</v>
      </c>
      <c r="G1592" s="10">
        <f t="shared" ca="1" si="121"/>
        <v>1</v>
      </c>
    </row>
    <row r="1593" spans="1:7" x14ac:dyDescent="0.2">
      <c r="A1593" s="2">
        <v>19960620</v>
      </c>
      <c r="B1593" s="13">
        <v>5659.43</v>
      </c>
      <c r="C1593" s="2">
        <f t="shared" si="122"/>
        <v>1.9616348137066449E-3</v>
      </c>
      <c r="D1593" s="21">
        <f t="shared" ca="1" si="120"/>
        <v>1.5776823985997777E-3</v>
      </c>
      <c r="E1593" s="21">
        <f t="shared" ca="1" si="123"/>
        <v>4.1589145117688656E-5</v>
      </c>
      <c r="F1593" s="11">
        <f t="shared" ca="1" si="124"/>
        <v>5.0139110233613655</v>
      </c>
      <c r="G1593" s="10">
        <f t="shared" ca="1" si="121"/>
        <v>1</v>
      </c>
    </row>
    <row r="1594" spans="1:7" x14ac:dyDescent="0.2">
      <c r="A1594" s="2">
        <v>19960621</v>
      </c>
      <c r="B1594" s="13">
        <v>5705.23</v>
      </c>
      <c r="C1594" s="2">
        <f t="shared" si="122"/>
        <v>8.0926877795112345E-3</v>
      </c>
      <c r="D1594" s="21">
        <f t="shared" ca="1" si="120"/>
        <v>7.7087353644043673E-3</v>
      </c>
      <c r="E1594" s="21">
        <f t="shared" ca="1" si="123"/>
        <v>4.0485667563109828E-5</v>
      </c>
      <c r="F1594" s="11">
        <f t="shared" ca="1" si="124"/>
        <v>4.323384501764945</v>
      </c>
      <c r="G1594" s="10">
        <f t="shared" ca="1" si="121"/>
        <v>0</v>
      </c>
    </row>
    <row r="1595" spans="1:7" x14ac:dyDescent="0.2">
      <c r="A1595" s="2">
        <v>19960624</v>
      </c>
      <c r="B1595" s="13">
        <v>5717.79</v>
      </c>
      <c r="C1595" s="2">
        <f t="shared" si="122"/>
        <v>2.201488809390752E-3</v>
      </c>
      <c r="D1595" s="21">
        <f t="shared" ca="1" si="120"/>
        <v>1.8175363942838849E-3</v>
      </c>
      <c r="E1595" s="21">
        <f t="shared" ca="1" si="123"/>
        <v>4.1531633753240187E-5</v>
      </c>
      <c r="F1595" s="11">
        <f t="shared" ca="1" si="124"/>
        <v>5.0047574317592654</v>
      </c>
      <c r="G1595" s="10">
        <f t="shared" ca="1" si="121"/>
        <v>1</v>
      </c>
    </row>
    <row r="1596" spans="1:7" x14ac:dyDescent="0.2">
      <c r="A1596" s="2">
        <v>19960625</v>
      </c>
      <c r="B1596" s="13">
        <v>5719.27</v>
      </c>
      <c r="C1596" s="2">
        <f t="shared" si="122"/>
        <v>2.5884126559395725E-4</v>
      </c>
      <c r="D1596" s="21">
        <f t="shared" ca="1" si="120"/>
        <v>-1.2511114951291004E-4</v>
      </c>
      <c r="E1596" s="21">
        <f t="shared" ca="1" si="123"/>
        <v>4.0461011038734696E-5</v>
      </c>
      <c r="F1596" s="11">
        <f t="shared" ca="1" si="124"/>
        <v>5.0573924383137294</v>
      </c>
      <c r="G1596" s="10">
        <f t="shared" ca="1" si="121"/>
        <v>1</v>
      </c>
    </row>
    <row r="1597" spans="1:7" x14ac:dyDescent="0.2">
      <c r="A1597" s="2">
        <v>19960626</v>
      </c>
      <c r="B1597" s="13">
        <v>5682.7</v>
      </c>
      <c r="C1597" s="2">
        <f t="shared" si="122"/>
        <v>-6.3941726828774682E-3</v>
      </c>
      <c r="D1597" s="21">
        <f t="shared" ca="1" si="120"/>
        <v>-6.7781250979843354E-3</v>
      </c>
      <c r="E1597" s="21">
        <f t="shared" ca="1" si="123"/>
        <v>3.9323653857408405E-5</v>
      </c>
      <c r="F1597" s="11">
        <f t="shared" ca="1" si="124"/>
        <v>4.4876774840557694</v>
      </c>
      <c r="G1597" s="10">
        <f t="shared" ca="1" si="121"/>
        <v>0</v>
      </c>
    </row>
    <row r="1598" spans="1:7" x14ac:dyDescent="0.2">
      <c r="A1598" s="2">
        <v>19960627</v>
      </c>
      <c r="B1598" s="13">
        <v>5677.53</v>
      </c>
      <c r="C1598" s="2">
        <f t="shared" si="122"/>
        <v>-9.0977880232989119E-4</v>
      </c>
      <c r="D1598" s="21">
        <f t="shared" ca="1" si="120"/>
        <v>-1.2937312174367585E-3</v>
      </c>
      <c r="E1598" s="21">
        <f t="shared" ca="1" si="123"/>
        <v>3.9932663957065851E-5</v>
      </c>
      <c r="F1598" s="11">
        <f t="shared" ca="1" si="124"/>
        <v>5.0432009268355804</v>
      </c>
      <c r="G1598" s="10">
        <f t="shared" ca="1" si="121"/>
        <v>1</v>
      </c>
    </row>
    <row r="1599" spans="1:7" x14ac:dyDescent="0.2">
      <c r="A1599" s="2">
        <v>19960628</v>
      </c>
      <c r="B1599" s="13">
        <v>5654.63</v>
      </c>
      <c r="C1599" s="2">
        <f t="shared" si="122"/>
        <v>-4.0334441209468972E-3</v>
      </c>
      <c r="D1599" s="21">
        <f t="shared" ca="1" si="120"/>
        <v>-4.4173965360537644E-3</v>
      </c>
      <c r="E1599" s="21">
        <f t="shared" ca="1" si="123"/>
        <v>3.8883006807043366E-5</v>
      </c>
      <c r="F1599" s="11">
        <f t="shared" ca="1" si="124"/>
        <v>4.8265521991027756</v>
      </c>
      <c r="G1599" s="10">
        <f t="shared" ca="1" si="121"/>
        <v>1</v>
      </c>
    </row>
    <row r="1600" spans="1:7" x14ac:dyDescent="0.2">
      <c r="A1600" s="2">
        <v>19960701</v>
      </c>
      <c r="B1600" s="13">
        <v>5729.98</v>
      </c>
      <c r="C1600" s="2">
        <f t="shared" si="122"/>
        <v>1.3325363463215003E-2</v>
      </c>
      <c r="D1600" s="21">
        <f t="shared" ca="1" si="120"/>
        <v>1.2941411048108135E-2</v>
      </c>
      <c r="E1600" s="21">
        <f t="shared" ca="1" si="123"/>
        <v>3.8542447299506426E-5</v>
      </c>
      <c r="F1600" s="11">
        <f t="shared" ca="1" si="124"/>
        <v>2.9092041350310476</v>
      </c>
      <c r="G1600" s="10">
        <f t="shared" ca="1" si="121"/>
        <v>0</v>
      </c>
    </row>
    <row r="1601" spans="1:7" x14ac:dyDescent="0.2">
      <c r="A1601" s="2">
        <v>19960702</v>
      </c>
      <c r="B1601" s="13">
        <v>5720.38</v>
      </c>
      <c r="C1601" s="2">
        <f t="shared" si="122"/>
        <v>-1.6753985179702993E-3</v>
      </c>
      <c r="D1601" s="21">
        <f t="shared" ca="1" si="120"/>
        <v>-2.0593509330771665E-3</v>
      </c>
      <c r="E1601" s="21">
        <f t="shared" ca="1" si="123"/>
        <v>4.3660111746171363E-5</v>
      </c>
      <c r="F1601" s="11">
        <f t="shared" ca="1" si="124"/>
        <v>4.9709703086763177</v>
      </c>
      <c r="G1601" s="10">
        <f t="shared" ca="1" si="121"/>
        <v>1</v>
      </c>
    </row>
    <row r="1602" spans="1:7" x14ac:dyDescent="0.2">
      <c r="A1602" s="2">
        <v>19960703</v>
      </c>
      <c r="B1602" s="13">
        <v>5703.02</v>
      </c>
      <c r="C1602" s="2">
        <f t="shared" si="122"/>
        <v>-3.0347634248073857E-3</v>
      </c>
      <c r="D1602" s="21">
        <f t="shared" ca="1" si="120"/>
        <v>-3.4187158399142529E-3</v>
      </c>
      <c r="E1602" s="21">
        <f t="shared" ca="1" si="123"/>
        <v>4.251628168957125E-5</v>
      </c>
      <c r="F1602" s="11">
        <f t="shared" ca="1" si="124"/>
        <v>4.8953629966576875</v>
      </c>
      <c r="G1602" s="10">
        <f t="shared" ca="1" si="121"/>
        <v>1</v>
      </c>
    </row>
    <row r="1603" spans="1:7" x14ac:dyDescent="0.2">
      <c r="A1603" s="2">
        <v>19960705</v>
      </c>
      <c r="B1603" s="13">
        <v>5588.14</v>
      </c>
      <c r="C1603" s="2">
        <f t="shared" si="122"/>
        <v>-2.0143713330831751E-2</v>
      </c>
      <c r="D1603" s="21">
        <f t="shared" ca="1" si="120"/>
        <v>-2.052766574593862E-2</v>
      </c>
      <c r="E1603" s="21">
        <f t="shared" ca="1" si="123"/>
        <v>4.1704146229288619E-5</v>
      </c>
      <c r="F1603" s="11">
        <f t="shared" ca="1" si="124"/>
        <v>-9.6213389738046828E-3</v>
      </c>
      <c r="G1603" s="10">
        <f t="shared" ca="1" si="121"/>
        <v>0</v>
      </c>
    </row>
    <row r="1604" spans="1:7" x14ac:dyDescent="0.2">
      <c r="A1604" s="2">
        <v>19960708</v>
      </c>
      <c r="B1604" s="13">
        <v>5550.83</v>
      </c>
      <c r="C1604" s="2">
        <f t="shared" si="122"/>
        <v>-6.6766401700745501E-3</v>
      </c>
      <c r="D1604" s="21">
        <f t="shared" ca="1" si="120"/>
        <v>-7.0605925851814173E-3</v>
      </c>
      <c r="E1604" s="21">
        <f t="shared" ca="1" si="123"/>
        <v>5.5998387298846031E-5</v>
      </c>
      <c r="F1604" s="11">
        <f t="shared" ca="1" si="124"/>
        <v>4.4499741602256107</v>
      </c>
      <c r="G1604" s="10">
        <f t="shared" ca="1" si="121"/>
        <v>1</v>
      </c>
    </row>
    <row r="1605" spans="1:7" x14ac:dyDescent="0.2">
      <c r="A1605" s="2">
        <v>19960709</v>
      </c>
      <c r="B1605" s="13">
        <v>5581.86</v>
      </c>
      <c r="C1605" s="2">
        <f t="shared" si="122"/>
        <v>5.5901549858309021E-3</v>
      </c>
      <c r="D1605" s="21">
        <f t="shared" ca="1" si="120"/>
        <v>5.2062025707240349E-3</v>
      </c>
      <c r="E1605" s="21">
        <f t="shared" ca="1" si="123"/>
        <v>5.5907557450357093E-5</v>
      </c>
      <c r="F1605" s="11">
        <f t="shared" ca="1" si="124"/>
        <v>4.6535004751347699</v>
      </c>
      <c r="G1605" s="10">
        <f t="shared" ca="1" si="121"/>
        <v>1</v>
      </c>
    </row>
    <row r="1606" spans="1:7" x14ac:dyDescent="0.2">
      <c r="A1606" s="2">
        <v>19960710</v>
      </c>
      <c r="B1606" s="13">
        <v>5603.65</v>
      </c>
      <c r="C1606" s="2">
        <f t="shared" si="122"/>
        <v>3.9037166822528629E-3</v>
      </c>
      <c r="D1606" s="21">
        <f t="shared" ca="1" si="120"/>
        <v>3.5197642671459957E-3</v>
      </c>
      <c r="E1606" s="21">
        <f t="shared" ca="1" si="123"/>
        <v>5.4984860272382153E-5</v>
      </c>
      <c r="F1606" s="11">
        <f t="shared" ca="1" si="124"/>
        <v>4.791570415051809</v>
      </c>
      <c r="G1606" s="10">
        <f t="shared" ca="1" si="121"/>
        <v>1</v>
      </c>
    </row>
    <row r="1607" spans="1:7" x14ac:dyDescent="0.2">
      <c r="A1607" s="2">
        <v>19960711</v>
      </c>
      <c r="B1607" s="13">
        <v>5520.54</v>
      </c>
      <c r="C1607" s="2">
        <f t="shared" si="122"/>
        <v>-1.4831404530975289E-2</v>
      </c>
      <c r="D1607" s="21">
        <f t="shared" ca="1" si="120"/>
        <v>-1.5215356946082156E-2</v>
      </c>
      <c r="E1607" s="21">
        <f t="shared" ca="1" si="123"/>
        <v>5.356771681473618E-5</v>
      </c>
      <c r="F1607" s="11">
        <f t="shared" ca="1" si="124"/>
        <v>2.7563994536411363</v>
      </c>
      <c r="G1607" s="10">
        <f t="shared" ca="1" si="121"/>
        <v>0</v>
      </c>
    </row>
    <row r="1608" spans="1:7" x14ac:dyDescent="0.2">
      <c r="A1608" s="2">
        <v>19960712</v>
      </c>
      <c r="B1608" s="13">
        <v>5510.56</v>
      </c>
      <c r="C1608" s="2">
        <f t="shared" si="122"/>
        <v>-1.8077941650634837E-3</v>
      </c>
      <c r="D1608" s="21">
        <f t="shared" ca="1" si="120"/>
        <v>-2.1917465801703511E-3</v>
      </c>
      <c r="E1608" s="21">
        <f t="shared" ca="1" si="123"/>
        <v>6.0279631302992145E-5</v>
      </c>
      <c r="F1608" s="11">
        <f t="shared" ca="1" si="124"/>
        <v>4.8184125758833387</v>
      </c>
      <c r="G1608" s="10">
        <f t="shared" ca="1" si="121"/>
        <v>1</v>
      </c>
    </row>
    <row r="1609" spans="1:7" x14ac:dyDescent="0.2">
      <c r="A1609" s="2">
        <v>19960715</v>
      </c>
      <c r="B1609" s="13">
        <v>5349.51</v>
      </c>
      <c r="C1609" s="2">
        <f t="shared" si="122"/>
        <v>-2.9225704828547402E-2</v>
      </c>
      <c r="D1609" s="21">
        <f t="shared" ca="1" si="120"/>
        <v>-2.9609657243654271E-2</v>
      </c>
      <c r="E1609" s="21">
        <f t="shared" ca="1" si="123"/>
        <v>5.8315710404181465E-5</v>
      </c>
      <c r="F1609" s="11">
        <f t="shared" ca="1" si="124"/>
        <v>-2.6422954807733623</v>
      </c>
      <c r="G1609" s="10">
        <f t="shared" ca="1" si="121"/>
        <v>0</v>
      </c>
    </row>
    <row r="1610" spans="1:7" x14ac:dyDescent="0.2">
      <c r="A1610" s="2">
        <v>19960716</v>
      </c>
      <c r="B1610" s="13">
        <v>5358.76</v>
      </c>
      <c r="C1610" s="2">
        <f t="shared" si="122"/>
        <v>1.7291303315630777E-3</v>
      </c>
      <c r="D1610" s="21">
        <f t="shared" ca="1" si="120"/>
        <v>1.3451779164562103E-3</v>
      </c>
      <c r="E1610" s="21">
        <f t="shared" ca="1" si="123"/>
        <v>8.8513461699978797E-5</v>
      </c>
      <c r="F1610" s="11">
        <f t="shared" ca="1" si="124"/>
        <v>4.6559563244319344</v>
      </c>
      <c r="G1610" s="10">
        <f t="shared" ca="1" si="121"/>
        <v>1</v>
      </c>
    </row>
    <row r="1611" spans="1:7" x14ac:dyDescent="0.2">
      <c r="A1611" s="2">
        <v>19960717</v>
      </c>
      <c r="B1611" s="13">
        <v>5376.88</v>
      </c>
      <c r="C1611" s="2">
        <f t="shared" si="122"/>
        <v>3.3813792743097077E-3</v>
      </c>
      <c r="D1611" s="21">
        <f t="shared" ca="1" si="120"/>
        <v>2.9974268592028405E-3</v>
      </c>
      <c r="E1611" s="21">
        <f t="shared" ca="1" si="123"/>
        <v>8.5011078244808056E-5</v>
      </c>
      <c r="F1611" s="11">
        <f t="shared" ca="1" si="124"/>
        <v>4.6335209773693213</v>
      </c>
      <c r="G1611" s="10">
        <f t="shared" ca="1" si="121"/>
        <v>1</v>
      </c>
    </row>
    <row r="1612" spans="1:7" x14ac:dyDescent="0.2">
      <c r="A1612" s="2">
        <v>19960718</v>
      </c>
      <c r="B1612" s="13">
        <v>5464.18</v>
      </c>
      <c r="C1612" s="2">
        <f t="shared" si="122"/>
        <v>1.6236181577420395E-2</v>
      </c>
      <c r="D1612" s="21">
        <f t="shared" ca="1" si="120"/>
        <v>1.5852229162313526E-2</v>
      </c>
      <c r="E1612" s="21">
        <f t="shared" ca="1" si="123"/>
        <v>8.194972115861542E-5</v>
      </c>
      <c r="F1612" s="11">
        <f t="shared" ca="1" si="124"/>
        <v>3.1714868031991532</v>
      </c>
      <c r="G1612" s="10">
        <f t="shared" ca="1" si="121"/>
        <v>0</v>
      </c>
    </row>
    <row r="1613" spans="1:7" x14ac:dyDescent="0.2">
      <c r="A1613" s="2">
        <v>19960719</v>
      </c>
      <c r="B1613" s="13">
        <v>5426.82</v>
      </c>
      <c r="C1613" s="2">
        <f t="shared" si="122"/>
        <v>-6.8372564593407572E-3</v>
      </c>
      <c r="D1613" s="21">
        <f t="shared" ca="1" si="120"/>
        <v>-7.2212088744476243E-3</v>
      </c>
      <c r="E1613" s="21">
        <f t="shared" ca="1" si="123"/>
        <v>8.7953349499868177E-5</v>
      </c>
      <c r="F1613" s="11">
        <f t="shared" ca="1" si="124"/>
        <v>4.3729115710189905</v>
      </c>
      <c r="G1613" s="10">
        <f t="shared" ca="1" si="121"/>
        <v>1</v>
      </c>
    </row>
    <row r="1614" spans="1:7" x14ac:dyDescent="0.2">
      <c r="A1614" s="2">
        <v>19960722</v>
      </c>
      <c r="B1614" s="13">
        <v>5390.94</v>
      </c>
      <c r="C1614" s="2">
        <f t="shared" si="122"/>
        <v>-6.6116067973509551E-3</v>
      </c>
      <c r="D1614" s="21">
        <f t="shared" ref="D1614:D1677" ca="1" si="125">(C1614-mu)</f>
        <v>-6.9955592124578223E-3</v>
      </c>
      <c r="E1614" s="21">
        <f t="shared" ca="1" si="123"/>
        <v>8.6330257930867875E-5</v>
      </c>
      <c r="F1614" s="11">
        <f t="shared" ca="1" si="124"/>
        <v>4.3952312732507153</v>
      </c>
      <c r="G1614" s="10">
        <f t="shared" ref="G1614:G1677" ca="1" si="126">IF(AND(C1614&lt;=mu+zvalue*SQRT(E1614),C1614&gt;=mu-zvalue*SQRT(E1614)),1,0)</f>
        <v>1</v>
      </c>
    </row>
    <row r="1615" spans="1:7" x14ac:dyDescent="0.2">
      <c r="A1615" s="2">
        <v>19960723</v>
      </c>
      <c r="B1615" s="13">
        <v>5346.55</v>
      </c>
      <c r="C1615" s="2">
        <f t="shared" ref="C1615:C1678" si="127">(B1615-B1614)/B1614</f>
        <v>-8.2341855038266833E-3</v>
      </c>
      <c r="D1615" s="21">
        <f t="shared" ca="1" si="125"/>
        <v>-8.6181379189335505E-3</v>
      </c>
      <c r="E1615" s="21">
        <f t="shared" ref="E1615:E1678" ca="1" si="128">(1-alpha-beta)*longvar+alpha*D1614^2+beta*E1614</f>
        <v>8.4671315009689208E-5</v>
      </c>
      <c r="F1615" s="11">
        <f t="shared" ref="F1615:F1678" ca="1" si="129">(-0.5)*(LN(E1615)+D1615^2/E1615)</f>
        <v>4.2497749672424767</v>
      </c>
      <c r="G1615" s="10">
        <f t="shared" ca="1" si="126"/>
        <v>1</v>
      </c>
    </row>
    <row r="1616" spans="1:7" x14ac:dyDescent="0.2">
      <c r="A1616" s="2">
        <v>19960724</v>
      </c>
      <c r="B1616" s="13">
        <v>5354.69</v>
      </c>
      <c r="C1616" s="2">
        <f t="shared" si="127"/>
        <v>1.5224771114081823E-3</v>
      </c>
      <c r="D1616" s="21">
        <f t="shared" ca="1" si="125"/>
        <v>1.1385246963013149E-3</v>
      </c>
      <c r="E1616" s="21">
        <f t="shared" ca="1" si="128"/>
        <v>8.4027890610502136E-5</v>
      </c>
      <c r="F1616" s="11">
        <f t="shared" ca="1" si="129"/>
        <v>4.6844677473180063</v>
      </c>
      <c r="G1616" s="10">
        <f t="shared" ca="1" si="126"/>
        <v>1</v>
      </c>
    </row>
    <row r="1617" spans="1:7" x14ac:dyDescent="0.2">
      <c r="A1617" s="2">
        <v>19960725</v>
      </c>
      <c r="B1617" s="13">
        <v>5422.01</v>
      </c>
      <c r="C1617" s="2">
        <f t="shared" si="127"/>
        <v>1.257215637133067E-2</v>
      </c>
      <c r="D1617" s="21">
        <f t="shared" ca="1" si="125"/>
        <v>1.2188203956223803E-2</v>
      </c>
      <c r="E1617" s="21">
        <f t="shared" ca="1" si="128"/>
        <v>8.0733560018199295E-5</v>
      </c>
      <c r="F1617" s="11">
        <f t="shared" ca="1" si="129"/>
        <v>3.7921622167428568</v>
      </c>
      <c r="G1617" s="10">
        <f t="shared" ca="1" si="126"/>
        <v>0</v>
      </c>
    </row>
    <row r="1618" spans="1:7" x14ac:dyDescent="0.2">
      <c r="A1618" s="2">
        <v>19960726</v>
      </c>
      <c r="B1618" s="13">
        <v>5473.06</v>
      </c>
      <c r="C1618" s="2">
        <f t="shared" si="127"/>
        <v>9.4153275261388628E-3</v>
      </c>
      <c r="D1618" s="21">
        <f t="shared" ca="1" si="125"/>
        <v>9.0313751110319956E-3</v>
      </c>
      <c r="E1618" s="21">
        <f t="shared" ca="1" si="128"/>
        <v>8.3020753769746017E-5</v>
      </c>
      <c r="F1618" s="11">
        <f t="shared" ca="1" si="129"/>
        <v>4.2069729417622268</v>
      </c>
      <c r="G1618" s="10">
        <f t="shared" ca="1" si="126"/>
        <v>1</v>
      </c>
    </row>
    <row r="1619" spans="1:7" x14ac:dyDescent="0.2">
      <c r="A1619" s="2">
        <v>19960729</v>
      </c>
      <c r="B1619" s="13">
        <v>5434.59</v>
      </c>
      <c r="C1619" s="2">
        <f t="shared" si="127"/>
        <v>-7.028974650378445E-3</v>
      </c>
      <c r="D1619" s="21">
        <f t="shared" ca="1" si="125"/>
        <v>-7.4129270654853122E-3</v>
      </c>
      <c r="E1619" s="21">
        <f t="shared" ca="1" si="128"/>
        <v>8.2729024154379262E-5</v>
      </c>
      <c r="F1619" s="11">
        <f t="shared" ca="1" si="129"/>
        <v>4.3678526854009059</v>
      </c>
      <c r="G1619" s="10">
        <f t="shared" ca="1" si="126"/>
        <v>1</v>
      </c>
    </row>
    <row r="1620" spans="1:7" x14ac:dyDescent="0.2">
      <c r="A1620" s="2">
        <v>19960730</v>
      </c>
      <c r="B1620" s="13">
        <v>5481.93</v>
      </c>
      <c r="C1620" s="2">
        <f t="shared" si="127"/>
        <v>8.7108687131872212E-3</v>
      </c>
      <c r="D1620" s="21">
        <f t="shared" ca="1" si="125"/>
        <v>8.326916298080354E-3</v>
      </c>
      <c r="E1620" s="21">
        <f t="shared" ca="1" si="128"/>
        <v>8.1473400841219806E-5</v>
      </c>
      <c r="F1620" s="11">
        <f t="shared" ca="1" si="129"/>
        <v>4.282094452186838</v>
      </c>
      <c r="G1620" s="10">
        <f t="shared" ca="1" si="126"/>
        <v>1</v>
      </c>
    </row>
    <row r="1621" spans="1:7" x14ac:dyDescent="0.2">
      <c r="A1621" s="2">
        <v>19960731</v>
      </c>
      <c r="B1621" s="13">
        <v>5528.91</v>
      </c>
      <c r="C1621" s="2">
        <f t="shared" si="127"/>
        <v>8.5699744433072947E-3</v>
      </c>
      <c r="D1621" s="21">
        <f t="shared" ca="1" si="125"/>
        <v>8.1860220282004275E-3</v>
      </c>
      <c r="E1621" s="21">
        <f t="shared" ca="1" si="128"/>
        <v>8.0810300004938745E-5</v>
      </c>
      <c r="F1621" s="11">
        <f t="shared" ca="1" si="129"/>
        <v>4.2970841548752716</v>
      </c>
      <c r="G1621" s="10">
        <f t="shared" ca="1" si="126"/>
        <v>1</v>
      </c>
    </row>
    <row r="1622" spans="1:7" x14ac:dyDescent="0.2">
      <c r="A1622" s="2">
        <v>19960801</v>
      </c>
      <c r="B1622" s="13">
        <v>5594.75</v>
      </c>
      <c r="C1622" s="2">
        <f t="shared" si="127"/>
        <v>1.1908314658766402E-2</v>
      </c>
      <c r="D1622" s="21">
        <f t="shared" ca="1" si="125"/>
        <v>1.1524362243659535E-2</v>
      </c>
      <c r="E1622" s="21">
        <f t="shared" ca="1" si="128"/>
        <v>8.0095193308619706E-5</v>
      </c>
      <c r="F1622" s="11">
        <f t="shared" ca="1" si="129"/>
        <v>3.8870656130709254</v>
      </c>
      <c r="G1622" s="10">
        <f t="shared" ca="1" si="126"/>
        <v>0</v>
      </c>
    </row>
    <row r="1623" spans="1:7" x14ac:dyDescent="0.2">
      <c r="A1623" s="2">
        <v>19960802</v>
      </c>
      <c r="B1623" s="13">
        <v>5679.83</v>
      </c>
      <c r="C1623" s="2">
        <f t="shared" si="127"/>
        <v>1.5207113812055932E-2</v>
      </c>
      <c r="D1623" s="21">
        <f t="shared" ca="1" si="125"/>
        <v>1.4823161396949065E-2</v>
      </c>
      <c r="E1623" s="21">
        <f t="shared" ca="1" si="128"/>
        <v>8.1835843826263778E-5</v>
      </c>
      <c r="F1623" s="11">
        <f t="shared" ca="1" si="129"/>
        <v>3.3629167154209263</v>
      </c>
      <c r="G1623" s="10">
        <f t="shared" ca="1" si="126"/>
        <v>0</v>
      </c>
    </row>
    <row r="1624" spans="1:7" x14ac:dyDescent="0.2">
      <c r="A1624" s="2">
        <v>19960805</v>
      </c>
      <c r="B1624" s="13">
        <v>5674.28</v>
      </c>
      <c r="C1624" s="2">
        <f t="shared" si="127"/>
        <v>-9.7714192150120363E-4</v>
      </c>
      <c r="D1624" s="21">
        <f t="shared" ca="1" si="125"/>
        <v>-1.361094336608071E-3</v>
      </c>
      <c r="E1624" s="21">
        <f t="shared" ca="1" si="128"/>
        <v>8.6684457506746028E-5</v>
      </c>
      <c r="F1624" s="11">
        <f t="shared" ca="1" si="129"/>
        <v>4.6659322236335736</v>
      </c>
      <c r="G1624" s="10">
        <f t="shared" ca="1" si="126"/>
        <v>1</v>
      </c>
    </row>
    <row r="1625" spans="1:7" x14ac:dyDescent="0.2">
      <c r="A1625" s="2">
        <v>19960806</v>
      </c>
      <c r="B1625" s="13">
        <v>5696.11</v>
      </c>
      <c r="C1625" s="2">
        <f t="shared" si="127"/>
        <v>3.847184136137083E-3</v>
      </c>
      <c r="D1625" s="21">
        <f t="shared" ca="1" si="125"/>
        <v>3.4632317210302158E-3</v>
      </c>
      <c r="E1625" s="21">
        <f t="shared" ca="1" si="128"/>
        <v>8.3276187888238314E-5</v>
      </c>
      <c r="F1625" s="11">
        <f t="shared" ca="1" si="129"/>
        <v>4.6246607282152379</v>
      </c>
      <c r="G1625" s="10">
        <f t="shared" ca="1" si="126"/>
        <v>1</v>
      </c>
    </row>
    <row r="1626" spans="1:7" x14ac:dyDescent="0.2">
      <c r="A1626" s="2">
        <v>19960807</v>
      </c>
      <c r="B1626" s="13">
        <v>5718.67</v>
      </c>
      <c r="C1626" s="2">
        <f t="shared" si="127"/>
        <v>3.960597671042238E-3</v>
      </c>
      <c r="D1626" s="21">
        <f t="shared" ca="1" si="125"/>
        <v>3.5766452559353708E-3</v>
      </c>
      <c r="E1626" s="21">
        <f t="shared" ca="1" si="128"/>
        <v>8.0413260596125344E-5</v>
      </c>
      <c r="F1626" s="11">
        <f t="shared" ca="1" si="129"/>
        <v>4.6346241781242945</v>
      </c>
      <c r="G1626" s="10">
        <f t="shared" ca="1" si="126"/>
        <v>1</v>
      </c>
    </row>
    <row r="1627" spans="1:7" x14ac:dyDescent="0.2">
      <c r="A1627" s="2">
        <v>19960808</v>
      </c>
      <c r="B1627" s="13">
        <v>5713.49</v>
      </c>
      <c r="C1627" s="2">
        <f t="shared" si="127"/>
        <v>-9.0580502109761376E-4</v>
      </c>
      <c r="D1627" s="21">
        <f t="shared" ca="1" si="125"/>
        <v>-1.2897574362044811E-3</v>
      </c>
      <c r="E1627" s="21">
        <f t="shared" ca="1" si="128"/>
        <v>7.7724528937798105E-5</v>
      </c>
      <c r="F1627" s="11">
        <f t="shared" ca="1" si="129"/>
        <v>4.720468742068765</v>
      </c>
      <c r="G1627" s="10">
        <f t="shared" ca="1" si="126"/>
        <v>1</v>
      </c>
    </row>
    <row r="1628" spans="1:7" x14ac:dyDescent="0.2">
      <c r="A1628" s="2">
        <v>19960809</v>
      </c>
      <c r="B1628" s="13">
        <v>5681.31</v>
      </c>
      <c r="C1628" s="2">
        <f t="shared" si="127"/>
        <v>-5.6322842955880527E-3</v>
      </c>
      <c r="D1628" s="21">
        <f t="shared" ca="1" si="125"/>
        <v>-6.0162367106949199E-3</v>
      </c>
      <c r="E1628" s="21">
        <f t="shared" ca="1" si="128"/>
        <v>7.4762591388101128E-5</v>
      </c>
      <c r="F1628" s="11">
        <f t="shared" ca="1" si="129"/>
        <v>4.5085295118490869</v>
      </c>
      <c r="G1628" s="10">
        <f t="shared" ca="1" si="126"/>
        <v>1</v>
      </c>
    </row>
    <row r="1629" spans="1:7" x14ac:dyDescent="0.2">
      <c r="A1629" s="2">
        <v>19960812</v>
      </c>
      <c r="B1629" s="13">
        <v>5704.98</v>
      </c>
      <c r="C1629" s="2">
        <f t="shared" si="127"/>
        <v>4.1662926332129667E-3</v>
      </c>
      <c r="D1629" s="21">
        <f t="shared" ca="1" si="125"/>
        <v>3.7823402181060995E-3</v>
      </c>
      <c r="E1629" s="21">
        <f t="shared" ca="1" si="128"/>
        <v>7.3220287560124171E-5</v>
      </c>
      <c r="F1629" s="11">
        <f t="shared" ca="1" si="129"/>
        <v>4.6633268417004361</v>
      </c>
      <c r="G1629" s="10">
        <f t="shared" ca="1" si="126"/>
        <v>1</v>
      </c>
    </row>
    <row r="1630" spans="1:7" x14ac:dyDescent="0.2">
      <c r="A1630" s="2">
        <v>19960813</v>
      </c>
      <c r="B1630" s="13">
        <v>5647.28</v>
      </c>
      <c r="C1630" s="2">
        <f t="shared" si="127"/>
        <v>-1.0113970601123899E-2</v>
      </c>
      <c r="D1630" s="21">
        <f t="shared" ca="1" si="125"/>
        <v>-1.0497923016230766E-2</v>
      </c>
      <c r="E1630" s="21">
        <f t="shared" ca="1" si="128"/>
        <v>7.0951112397476613E-5</v>
      </c>
      <c r="F1630" s="11">
        <f t="shared" ca="1" si="129"/>
        <v>4.0001236576059469</v>
      </c>
      <c r="G1630" s="10">
        <f t="shared" ca="1" si="126"/>
        <v>0</v>
      </c>
    </row>
    <row r="1631" spans="1:7" x14ac:dyDescent="0.2">
      <c r="A1631" s="2">
        <v>19960814</v>
      </c>
      <c r="B1631" s="13">
        <v>5666.88</v>
      </c>
      <c r="C1631" s="2">
        <f t="shared" si="127"/>
        <v>3.4706973976853218E-3</v>
      </c>
      <c r="D1631" s="21">
        <f t="shared" ca="1" si="125"/>
        <v>3.0867449825784546E-3</v>
      </c>
      <c r="E1631" s="21">
        <f t="shared" ca="1" si="128"/>
        <v>7.2323156667936225E-5</v>
      </c>
      <c r="F1631" s="11">
        <f t="shared" ca="1" si="129"/>
        <v>4.7013121159008318</v>
      </c>
      <c r="G1631" s="10">
        <f t="shared" ca="1" si="126"/>
        <v>1</v>
      </c>
    </row>
    <row r="1632" spans="1:7" x14ac:dyDescent="0.2">
      <c r="A1632" s="2">
        <v>19960815</v>
      </c>
      <c r="B1632" s="13">
        <v>5665.78</v>
      </c>
      <c r="C1632" s="2">
        <f t="shared" si="127"/>
        <v>-1.9411033937552299E-4</v>
      </c>
      <c r="D1632" s="21">
        <f t="shared" ca="1" si="125"/>
        <v>-5.7806275448239026E-4</v>
      </c>
      <c r="E1632" s="21">
        <f t="shared" ca="1" si="128"/>
        <v>6.9923668464693674E-5</v>
      </c>
      <c r="F1632" s="11">
        <f t="shared" ca="1" si="129"/>
        <v>4.7816637426460069</v>
      </c>
      <c r="G1632" s="10">
        <f t="shared" ca="1" si="126"/>
        <v>1</v>
      </c>
    </row>
    <row r="1633" spans="1:7" x14ac:dyDescent="0.2">
      <c r="A1633" s="2">
        <v>19960816</v>
      </c>
      <c r="B1633" s="13">
        <v>5689.45</v>
      </c>
      <c r="C1633" s="2">
        <f t="shared" si="127"/>
        <v>4.1777125126637596E-3</v>
      </c>
      <c r="D1633" s="21">
        <f t="shared" ca="1" si="125"/>
        <v>3.7937600975568924E-3</v>
      </c>
      <c r="E1633" s="21">
        <f t="shared" ca="1" si="128"/>
        <v>6.7307497682138025E-5</v>
      </c>
      <c r="F1633" s="11">
        <f t="shared" ca="1" si="129"/>
        <v>4.6962025775607117</v>
      </c>
      <c r="G1633" s="10">
        <f t="shared" ca="1" si="126"/>
        <v>1</v>
      </c>
    </row>
    <row r="1634" spans="1:7" x14ac:dyDescent="0.2">
      <c r="A1634" s="2">
        <v>19960819</v>
      </c>
      <c r="B1634" s="13">
        <v>5699.44</v>
      </c>
      <c r="C1634" s="2">
        <f t="shared" si="127"/>
        <v>1.7558814999692029E-3</v>
      </c>
      <c r="D1634" s="21">
        <f t="shared" ca="1" si="125"/>
        <v>1.3719290848623355E-3</v>
      </c>
      <c r="E1634" s="21">
        <f t="shared" ca="1" si="128"/>
        <v>6.5340633929813585E-5</v>
      </c>
      <c r="F1634" s="11">
        <f t="shared" ca="1" si="129"/>
        <v>4.803545323525209</v>
      </c>
      <c r="G1634" s="10">
        <f t="shared" ca="1" si="126"/>
        <v>1</v>
      </c>
    </row>
    <row r="1635" spans="1:7" x14ac:dyDescent="0.2">
      <c r="A1635" s="2">
        <v>19960820</v>
      </c>
      <c r="B1635" s="13">
        <v>5721.26</v>
      </c>
      <c r="C1635" s="2">
        <f t="shared" si="127"/>
        <v>3.8284463034965925E-3</v>
      </c>
      <c r="D1635" s="21">
        <f t="shared" ca="1" si="125"/>
        <v>3.4444938883897254E-3</v>
      </c>
      <c r="E1635" s="21">
        <f t="shared" ca="1" si="128"/>
        <v>6.3013244244819751E-5</v>
      </c>
      <c r="F1635" s="11">
        <f t="shared" ca="1" si="129"/>
        <v>4.7419396039721775</v>
      </c>
      <c r="G1635" s="10">
        <f t="shared" ca="1" si="126"/>
        <v>1</v>
      </c>
    </row>
    <row r="1636" spans="1:7" x14ac:dyDescent="0.2">
      <c r="A1636" s="2">
        <v>19960821</v>
      </c>
      <c r="B1636" s="13">
        <v>5689.82</v>
      </c>
      <c r="C1636" s="2">
        <f t="shared" si="127"/>
        <v>-5.4952929948998133E-3</v>
      </c>
      <c r="D1636" s="21">
        <f t="shared" ca="1" si="125"/>
        <v>-5.8792454100066805E-3</v>
      </c>
      <c r="E1636" s="21">
        <f t="shared" ca="1" si="128"/>
        <v>6.1170666362888804E-5</v>
      </c>
      <c r="F1636" s="11">
        <f t="shared" ca="1" si="129"/>
        <v>4.5683878819932255</v>
      </c>
      <c r="G1636" s="10">
        <f t="shared" ca="1" si="126"/>
        <v>1</v>
      </c>
    </row>
    <row r="1637" spans="1:7" x14ac:dyDescent="0.2">
      <c r="A1637" s="2">
        <v>19960822</v>
      </c>
      <c r="B1637" s="13">
        <v>5733.47</v>
      </c>
      <c r="C1637" s="2">
        <f t="shared" si="127"/>
        <v>7.6715959380086801E-3</v>
      </c>
      <c r="D1637" s="21">
        <f t="shared" ca="1" si="125"/>
        <v>7.2876435229018129E-3</v>
      </c>
      <c r="E1637" s="21">
        <f t="shared" ca="1" si="128"/>
        <v>6.0256060084777283E-5</v>
      </c>
      <c r="F1637" s="11">
        <f t="shared" ca="1" si="129"/>
        <v>4.4177532331910223</v>
      </c>
      <c r="G1637" s="10">
        <f t="shared" ca="1" si="126"/>
        <v>1</v>
      </c>
    </row>
    <row r="1638" spans="1:7" x14ac:dyDescent="0.2">
      <c r="A1638" s="2">
        <v>19960823</v>
      </c>
      <c r="B1638" s="13">
        <v>5722.74</v>
      </c>
      <c r="C1638" s="2">
        <f t="shared" si="127"/>
        <v>-1.871467017356064E-3</v>
      </c>
      <c r="D1638" s="21">
        <f t="shared" ca="1" si="125"/>
        <v>-2.2554194324629312E-3</v>
      </c>
      <c r="E1638" s="21">
        <f t="shared" ca="1" si="128"/>
        <v>6.0069627444010055E-5</v>
      </c>
      <c r="F1638" s="11">
        <f t="shared" ca="1" si="129"/>
        <v>4.817661268005434</v>
      </c>
      <c r="G1638" s="10">
        <f t="shared" ca="1" si="126"/>
        <v>1</v>
      </c>
    </row>
    <row r="1639" spans="1:7" x14ac:dyDescent="0.2">
      <c r="A1639" s="2">
        <v>19960826</v>
      </c>
      <c r="B1639" s="13">
        <v>5693.89</v>
      </c>
      <c r="C1639" s="2">
        <f t="shared" si="127"/>
        <v>-5.0412914093597569E-3</v>
      </c>
      <c r="D1639" s="21">
        <f t="shared" ca="1" si="125"/>
        <v>-5.425243824466624E-3</v>
      </c>
      <c r="E1639" s="21">
        <f t="shared" ca="1" si="128"/>
        <v>5.8126743134879796E-5</v>
      </c>
      <c r="F1639" s="11">
        <f t="shared" ca="1" si="129"/>
        <v>4.6232605211918747</v>
      </c>
      <c r="G1639" s="10">
        <f t="shared" ca="1" si="126"/>
        <v>1</v>
      </c>
    </row>
    <row r="1640" spans="1:7" x14ac:dyDescent="0.2">
      <c r="A1640" s="2">
        <v>19960827</v>
      </c>
      <c r="B1640" s="13">
        <v>5711.27</v>
      </c>
      <c r="C1640" s="2">
        <f t="shared" si="127"/>
        <v>3.0523947599971385E-3</v>
      </c>
      <c r="D1640" s="21">
        <f t="shared" ca="1" si="125"/>
        <v>2.6684423448902713E-3</v>
      </c>
      <c r="E1640" s="21">
        <f t="shared" ca="1" si="128"/>
        <v>5.7177407919517878E-5</v>
      </c>
      <c r="F1640" s="11">
        <f t="shared" ca="1" si="129"/>
        <v>4.8224083865377514</v>
      </c>
      <c r="G1640" s="10">
        <f t="shared" ca="1" si="126"/>
        <v>1</v>
      </c>
    </row>
    <row r="1641" spans="1:7" x14ac:dyDescent="0.2">
      <c r="A1641" s="2">
        <v>19960828</v>
      </c>
      <c r="B1641" s="13">
        <v>5712.38</v>
      </c>
      <c r="C1641" s="2">
        <f t="shared" si="127"/>
        <v>1.9435256956853249E-4</v>
      </c>
      <c r="D1641" s="21">
        <f t="shared" ca="1" si="125"/>
        <v>-1.8959984553833481E-4</v>
      </c>
      <c r="E1641" s="21">
        <f t="shared" ca="1" si="128"/>
        <v>5.5455623461809418E-5</v>
      </c>
      <c r="F1641" s="11">
        <f t="shared" ca="1" si="129"/>
        <v>4.8996396012291417</v>
      </c>
      <c r="G1641" s="10">
        <f t="shared" ca="1" si="126"/>
        <v>1</v>
      </c>
    </row>
    <row r="1642" spans="1:7" x14ac:dyDescent="0.2">
      <c r="A1642" s="2">
        <v>19960829</v>
      </c>
      <c r="B1642" s="13">
        <v>5647.65</v>
      </c>
      <c r="C1642" s="2">
        <f t="shared" si="127"/>
        <v>-1.1331529064943242E-2</v>
      </c>
      <c r="D1642" s="21">
        <f t="shared" ca="1" si="125"/>
        <v>-1.1715481480050109E-2</v>
      </c>
      <c r="E1642" s="21">
        <f t="shared" ca="1" si="128"/>
        <v>5.3560430194489341E-5</v>
      </c>
      <c r="F1642" s="11">
        <f t="shared" ca="1" si="129"/>
        <v>3.6360635583631868</v>
      </c>
      <c r="G1642" s="10">
        <f t="shared" ca="1" si="126"/>
        <v>0</v>
      </c>
    </row>
    <row r="1643" spans="1:7" x14ac:dyDescent="0.2">
      <c r="A1643" s="2">
        <v>19960830</v>
      </c>
      <c r="B1643" s="13">
        <v>5616.21</v>
      </c>
      <c r="C1643" s="2">
        <f t="shared" si="127"/>
        <v>-5.5669172133541566E-3</v>
      </c>
      <c r="D1643" s="21">
        <f t="shared" ca="1" si="125"/>
        <v>-5.9508696284610238E-3</v>
      </c>
      <c r="E1643" s="21">
        <f t="shared" ca="1" si="128"/>
        <v>5.6806807810457521E-5</v>
      </c>
      <c r="F1643" s="11">
        <f t="shared" ca="1" si="129"/>
        <v>4.5762317216635688</v>
      </c>
      <c r="G1643" s="10">
        <f t="shared" ca="1" si="126"/>
        <v>1</v>
      </c>
    </row>
    <row r="1644" spans="1:7" x14ac:dyDescent="0.2">
      <c r="A1644" s="2">
        <v>19960903</v>
      </c>
      <c r="B1644" s="13">
        <v>5648.39</v>
      </c>
      <c r="C1644" s="2">
        <f t="shared" si="127"/>
        <v>5.7298427231175994E-3</v>
      </c>
      <c r="D1644" s="21">
        <f t="shared" ca="1" si="125"/>
        <v>5.3458903080107322E-3</v>
      </c>
      <c r="E1644" s="21">
        <f t="shared" ca="1" si="128"/>
        <v>5.6144128110133216E-5</v>
      </c>
      <c r="F1644" s="11">
        <f t="shared" ca="1" si="129"/>
        <v>4.6392837023798599</v>
      </c>
      <c r="G1644" s="10">
        <f t="shared" ca="1" si="126"/>
        <v>1</v>
      </c>
    </row>
    <row r="1645" spans="1:7" x14ac:dyDescent="0.2">
      <c r="A1645" s="2">
        <v>19960904</v>
      </c>
      <c r="B1645" s="13">
        <v>5656.9</v>
      </c>
      <c r="C1645" s="2">
        <f t="shared" si="127"/>
        <v>1.5066240114438465E-3</v>
      </c>
      <c r="D1645" s="21">
        <f t="shared" ca="1" si="125"/>
        <v>1.1226715963369794E-3</v>
      </c>
      <c r="E1645" s="21">
        <f t="shared" ca="1" si="128"/>
        <v>5.5263664223902032E-5</v>
      </c>
      <c r="F1645" s="11">
        <f t="shared" ca="1" si="129"/>
        <v>4.8902940281546474</v>
      </c>
      <c r="G1645" s="10">
        <f t="shared" ca="1" si="126"/>
        <v>1</v>
      </c>
    </row>
    <row r="1646" spans="1:7" x14ac:dyDescent="0.2">
      <c r="A1646" s="2">
        <v>19960905</v>
      </c>
      <c r="B1646" s="13">
        <v>5606.96</v>
      </c>
      <c r="C1646" s="2">
        <f t="shared" si="127"/>
        <v>-8.8281567643054681E-3</v>
      </c>
      <c r="D1646" s="21">
        <f t="shared" ca="1" si="125"/>
        <v>-9.2121091794123353E-3</v>
      </c>
      <c r="E1646" s="21">
        <f t="shared" ca="1" si="128"/>
        <v>5.3423207159820487E-5</v>
      </c>
      <c r="F1646" s="11">
        <f t="shared" ca="1" si="129"/>
        <v>4.1243808704601648</v>
      </c>
      <c r="G1646" s="10">
        <f t="shared" ca="1" si="126"/>
        <v>0</v>
      </c>
    </row>
    <row r="1647" spans="1:7" x14ac:dyDescent="0.2">
      <c r="A1647" s="2">
        <v>19960906</v>
      </c>
      <c r="B1647" s="13">
        <v>5659.86</v>
      </c>
      <c r="C1647" s="2">
        <f t="shared" si="127"/>
        <v>9.4347025839313352E-3</v>
      </c>
      <c r="D1647" s="21">
        <f t="shared" ca="1" si="125"/>
        <v>9.0507501688244681E-3</v>
      </c>
      <c r="E1647" s="21">
        <f t="shared" ca="1" si="128"/>
        <v>5.4750071677641167E-5</v>
      </c>
      <c r="F1647" s="11">
        <f t="shared" ca="1" si="129"/>
        <v>4.158274877252417</v>
      </c>
      <c r="G1647" s="10">
        <f t="shared" ca="1" si="126"/>
        <v>0</v>
      </c>
    </row>
    <row r="1648" spans="1:7" x14ac:dyDescent="0.2">
      <c r="A1648" s="2">
        <v>19960909</v>
      </c>
      <c r="B1648" s="13">
        <v>5733.84</v>
      </c>
      <c r="C1648" s="2">
        <f t="shared" si="127"/>
        <v>1.3070994688914652E-2</v>
      </c>
      <c r="D1648" s="21">
        <f t="shared" ca="1" si="125"/>
        <v>1.2687042273807785E-2</v>
      </c>
      <c r="E1648" s="21">
        <f t="shared" ca="1" si="128"/>
        <v>5.5901447873068194E-5</v>
      </c>
      <c r="F1648" s="11">
        <f t="shared" ca="1" si="129"/>
        <v>3.4562743362441504</v>
      </c>
      <c r="G1648" s="10">
        <f t="shared" ca="1" si="126"/>
        <v>0</v>
      </c>
    </row>
    <row r="1649" spans="1:7" x14ac:dyDescent="0.2">
      <c r="A1649" s="2">
        <v>19960910</v>
      </c>
      <c r="B1649" s="13">
        <v>5727.18</v>
      </c>
      <c r="C1649" s="2">
        <f t="shared" si="127"/>
        <v>-1.1615252605583438E-3</v>
      </c>
      <c r="D1649" s="21">
        <f t="shared" ca="1" si="125"/>
        <v>-1.5454776756652112E-3</v>
      </c>
      <c r="E1649" s="21">
        <f t="shared" ca="1" si="128"/>
        <v>5.9901196874827552E-5</v>
      </c>
      <c r="F1649" s="11">
        <f t="shared" ca="1" si="129"/>
        <v>4.841470028219061</v>
      </c>
      <c r="G1649" s="10">
        <f t="shared" ca="1" si="126"/>
        <v>1</v>
      </c>
    </row>
    <row r="1650" spans="1:7" x14ac:dyDescent="0.2">
      <c r="A1650" s="2">
        <v>19960911</v>
      </c>
      <c r="B1650" s="13">
        <v>5754.92</v>
      </c>
      <c r="C1650" s="2">
        <f t="shared" si="127"/>
        <v>4.8435704832046102E-3</v>
      </c>
      <c r="D1650" s="21">
        <f t="shared" ca="1" si="125"/>
        <v>4.459618068097743E-3</v>
      </c>
      <c r="E1650" s="21">
        <f t="shared" ca="1" si="128"/>
        <v>5.7867608071567992E-5</v>
      </c>
      <c r="F1650" s="11">
        <f t="shared" ca="1" si="129"/>
        <v>4.7068341953218802</v>
      </c>
      <c r="G1650" s="10">
        <f t="shared" ca="1" si="126"/>
        <v>1</v>
      </c>
    </row>
    <row r="1651" spans="1:7" x14ac:dyDescent="0.2">
      <c r="A1651" s="2">
        <v>19960912</v>
      </c>
      <c r="B1651" s="13">
        <v>5771.94</v>
      </c>
      <c r="C1651" s="2">
        <f t="shared" si="127"/>
        <v>2.9574694348487082E-3</v>
      </c>
      <c r="D1651" s="21">
        <f t="shared" ca="1" si="125"/>
        <v>2.573517019741841E-3</v>
      </c>
      <c r="E1651" s="21">
        <f t="shared" ca="1" si="128"/>
        <v>5.6580393428054902E-5</v>
      </c>
      <c r="F1651" s="11">
        <f t="shared" ca="1" si="129"/>
        <v>4.8313967676514498</v>
      </c>
      <c r="G1651" s="10">
        <f t="shared" ca="1" si="126"/>
        <v>1</v>
      </c>
    </row>
    <row r="1652" spans="1:7" x14ac:dyDescent="0.2">
      <c r="A1652" s="2">
        <v>19960913</v>
      </c>
      <c r="B1652" s="13">
        <v>5838.52</v>
      </c>
      <c r="C1652" s="2">
        <f t="shared" si="127"/>
        <v>1.153511644265201E-2</v>
      </c>
      <c r="D1652" s="21">
        <f t="shared" ca="1" si="125"/>
        <v>1.1151164027545143E-2</v>
      </c>
      <c r="E1652" s="21">
        <f t="shared" ca="1" si="128"/>
        <v>5.4870514704208882E-5</v>
      </c>
      <c r="F1652" s="11">
        <f t="shared" ca="1" si="129"/>
        <v>3.7721590235496389</v>
      </c>
      <c r="G1652" s="10">
        <f t="shared" ca="1" si="126"/>
        <v>0</v>
      </c>
    </row>
    <row r="1653" spans="1:7" x14ac:dyDescent="0.2">
      <c r="A1653" s="2">
        <v>19960916</v>
      </c>
      <c r="B1653" s="13">
        <v>5889.2</v>
      </c>
      <c r="C1653" s="2">
        <f t="shared" si="127"/>
        <v>8.6802819892711474E-3</v>
      </c>
      <c r="D1653" s="21">
        <f t="shared" ca="1" si="125"/>
        <v>8.2963295741642802E-3</v>
      </c>
      <c r="E1653" s="21">
        <f t="shared" ca="1" si="128"/>
        <v>5.7576110369048318E-5</v>
      </c>
      <c r="F1653" s="11">
        <f t="shared" ca="1" si="129"/>
        <v>4.2834788166484987</v>
      </c>
      <c r="G1653" s="10">
        <f t="shared" ca="1" si="126"/>
        <v>0</v>
      </c>
    </row>
    <row r="1654" spans="1:7" x14ac:dyDescent="0.2">
      <c r="A1654" s="2">
        <v>19960917</v>
      </c>
      <c r="B1654" s="13">
        <v>5888.83</v>
      </c>
      <c r="C1654" s="2">
        <f t="shared" si="127"/>
        <v>-6.282686952385568E-5</v>
      </c>
      <c r="D1654" s="21">
        <f t="shared" ca="1" si="125"/>
        <v>-4.4677928463072298E-4</v>
      </c>
      <c r="E1654" s="21">
        <f t="shared" ca="1" si="128"/>
        <v>5.810328470875824E-5</v>
      </c>
      <c r="F1654" s="11">
        <f t="shared" ca="1" si="129"/>
        <v>4.8749264482529657</v>
      </c>
      <c r="G1654" s="10">
        <f t="shared" ca="1" si="126"/>
        <v>1</v>
      </c>
    </row>
    <row r="1655" spans="1:7" x14ac:dyDescent="0.2">
      <c r="A1655" s="2">
        <v>19960918</v>
      </c>
      <c r="B1655" s="13">
        <v>5877.36</v>
      </c>
      <c r="C1655" s="2">
        <f t="shared" si="127"/>
        <v>-1.9477553266099132E-3</v>
      </c>
      <c r="D1655" s="21">
        <f t="shared" ca="1" si="125"/>
        <v>-2.3317077417167806E-3</v>
      </c>
      <c r="E1655" s="21">
        <f t="shared" ca="1" si="128"/>
        <v>5.608016358453139E-5</v>
      </c>
      <c r="F1655" s="11">
        <f t="shared" ca="1" si="129"/>
        <v>4.8458901875950948</v>
      </c>
      <c r="G1655" s="10">
        <f t="shared" ca="1" si="126"/>
        <v>1</v>
      </c>
    </row>
    <row r="1656" spans="1:7" x14ac:dyDescent="0.2">
      <c r="A1656" s="2">
        <v>19960919</v>
      </c>
      <c r="B1656" s="13">
        <v>5867.74</v>
      </c>
      <c r="C1656" s="2">
        <f t="shared" si="127"/>
        <v>-1.6367893067635625E-3</v>
      </c>
      <c r="D1656" s="21">
        <f t="shared" ca="1" si="125"/>
        <v>-2.0207417218704297E-3</v>
      </c>
      <c r="E1656" s="21">
        <f t="shared" ca="1" si="128"/>
        <v>5.4351975624027213E-5</v>
      </c>
      <c r="F1656" s="11">
        <f t="shared" ca="1" si="129"/>
        <v>4.8724504122314194</v>
      </c>
      <c r="G1656" s="10">
        <f t="shared" ca="1" si="126"/>
        <v>1</v>
      </c>
    </row>
    <row r="1657" spans="1:7" x14ac:dyDescent="0.2">
      <c r="A1657" s="2">
        <v>19960920</v>
      </c>
      <c r="B1657" s="13">
        <v>5888.46</v>
      </c>
      <c r="C1657" s="2">
        <f t="shared" si="127"/>
        <v>3.5311721378248279E-3</v>
      </c>
      <c r="D1657" s="21">
        <f t="shared" ca="1" si="125"/>
        <v>3.1472197227179607E-3</v>
      </c>
      <c r="E1657" s="21">
        <f t="shared" ca="1" si="128"/>
        <v>5.2661448031165576E-5</v>
      </c>
      <c r="F1657" s="11">
        <f t="shared" ca="1" si="129"/>
        <v>4.8317694006103826</v>
      </c>
      <c r="G1657" s="10">
        <f t="shared" ca="1" si="126"/>
        <v>1</v>
      </c>
    </row>
    <row r="1658" spans="1:7" x14ac:dyDescent="0.2">
      <c r="A1658" s="2">
        <v>19960923</v>
      </c>
      <c r="B1658" s="13">
        <v>5894.74</v>
      </c>
      <c r="C1658" s="2">
        <f t="shared" si="127"/>
        <v>1.0664927672090403E-3</v>
      </c>
      <c r="D1658" s="21">
        <f t="shared" ca="1" si="125"/>
        <v>6.8254035210217297E-4</v>
      </c>
      <c r="E1658" s="21">
        <f t="shared" ca="1" si="128"/>
        <v>5.1270514994246794E-5</v>
      </c>
      <c r="F1658" s="11">
        <f t="shared" ca="1" si="129"/>
        <v>4.934654193725299</v>
      </c>
      <c r="G1658" s="10">
        <f t="shared" ca="1" si="126"/>
        <v>1</v>
      </c>
    </row>
    <row r="1659" spans="1:7" x14ac:dyDescent="0.2">
      <c r="A1659" s="2">
        <v>19960924</v>
      </c>
      <c r="B1659" s="13">
        <v>5874.03</v>
      </c>
      <c r="C1659" s="2">
        <f t="shared" si="127"/>
        <v>-3.5133016893026726E-3</v>
      </c>
      <c r="D1659" s="21">
        <f t="shared" ca="1" si="125"/>
        <v>-3.8972541044095398E-3</v>
      </c>
      <c r="E1659" s="21">
        <f t="shared" ca="1" si="128"/>
        <v>4.9602856402453433E-5</v>
      </c>
      <c r="F1659" s="11">
        <f t="shared" ca="1" si="129"/>
        <v>4.8026291037206352</v>
      </c>
      <c r="G1659" s="10">
        <f t="shared" ca="1" si="126"/>
        <v>1</v>
      </c>
    </row>
    <row r="1660" spans="1:7" x14ac:dyDescent="0.2">
      <c r="A1660" s="2">
        <v>19960925</v>
      </c>
      <c r="B1660" s="13">
        <v>5877.36</v>
      </c>
      <c r="C1660" s="2">
        <f t="shared" si="127"/>
        <v>5.6690210979513684E-4</v>
      </c>
      <c r="D1660" s="21">
        <f t="shared" ca="1" si="125"/>
        <v>1.8294969468826954E-4</v>
      </c>
      <c r="E1660" s="21">
        <f t="shared" ca="1" si="128"/>
        <v>4.8560945631221862E-5</v>
      </c>
      <c r="F1660" s="11">
        <f t="shared" ca="1" si="129"/>
        <v>4.9660008443933199</v>
      </c>
      <c r="G1660" s="10">
        <f t="shared" ca="1" si="126"/>
        <v>1</v>
      </c>
    </row>
    <row r="1661" spans="1:7" x14ac:dyDescent="0.2">
      <c r="A1661" s="2">
        <v>19960926</v>
      </c>
      <c r="B1661" s="13">
        <v>5868.85</v>
      </c>
      <c r="C1661" s="2">
        <f t="shared" si="127"/>
        <v>-1.4479290021368963E-3</v>
      </c>
      <c r="D1661" s="21">
        <f t="shared" ca="1" si="125"/>
        <v>-1.8318814172437635E-3</v>
      </c>
      <c r="E1661" s="21">
        <f t="shared" ca="1" si="128"/>
        <v>4.7014465283130235E-5</v>
      </c>
      <c r="F1661" s="11">
        <f t="shared" ca="1" si="129"/>
        <v>4.9468387112738323</v>
      </c>
      <c r="G1661" s="10">
        <f t="shared" ca="1" si="126"/>
        <v>1</v>
      </c>
    </row>
    <row r="1662" spans="1:7" x14ac:dyDescent="0.2">
      <c r="A1662" s="2">
        <v>19960927</v>
      </c>
      <c r="B1662" s="13">
        <v>5872.92</v>
      </c>
      <c r="C1662" s="2">
        <f t="shared" si="127"/>
        <v>6.9349191068091855E-4</v>
      </c>
      <c r="D1662" s="21">
        <f t="shared" ca="1" si="125"/>
        <v>3.0953949557405126E-4</v>
      </c>
      <c r="E1662" s="21">
        <f t="shared" ca="1" si="128"/>
        <v>4.5668389353253323E-5</v>
      </c>
      <c r="F1662" s="11">
        <f t="shared" ca="1" si="129"/>
        <v>4.9960030727474489</v>
      </c>
      <c r="G1662" s="10">
        <f t="shared" ca="1" si="126"/>
        <v>1</v>
      </c>
    </row>
    <row r="1663" spans="1:7" x14ac:dyDescent="0.2">
      <c r="A1663" s="2">
        <v>19960930</v>
      </c>
      <c r="B1663" s="13">
        <v>5882.17</v>
      </c>
      <c r="C1663" s="2">
        <f t="shared" si="127"/>
        <v>1.5750257112305292E-3</v>
      </c>
      <c r="D1663" s="21">
        <f t="shared" ca="1" si="125"/>
        <v>1.191073296123662E-3</v>
      </c>
      <c r="E1663" s="21">
        <f t="shared" ca="1" si="128"/>
        <v>4.4270536881406128E-5</v>
      </c>
      <c r="F1663" s="11">
        <f t="shared" ca="1" si="129"/>
        <v>4.9965730214283957</v>
      </c>
      <c r="G1663" s="10">
        <f t="shared" ca="1" si="126"/>
        <v>1</v>
      </c>
    </row>
    <row r="1664" spans="1:7" x14ac:dyDescent="0.2">
      <c r="A1664" s="2">
        <v>19961001</v>
      </c>
      <c r="B1664" s="13">
        <v>5904.9</v>
      </c>
      <c r="C1664" s="2">
        <f t="shared" si="127"/>
        <v>3.8642201772474383E-3</v>
      </c>
      <c r="D1664" s="21">
        <f t="shared" ca="1" si="125"/>
        <v>3.4802677621405711E-3</v>
      </c>
      <c r="E1664" s="21">
        <f t="shared" ca="1" si="128"/>
        <v>4.2992045395913128E-5</v>
      </c>
      <c r="F1664" s="11">
        <f t="shared" ca="1" si="129"/>
        <v>4.8863813905761289</v>
      </c>
      <c r="G1664" s="10">
        <f t="shared" ca="1" si="126"/>
        <v>1</v>
      </c>
    </row>
    <row r="1665" spans="1:7" x14ac:dyDescent="0.2">
      <c r="A1665" s="2">
        <v>19961002</v>
      </c>
      <c r="B1665" s="13">
        <v>5933.97</v>
      </c>
      <c r="C1665" s="2">
        <f t="shared" si="127"/>
        <v>4.9230300259107893E-3</v>
      </c>
      <c r="D1665" s="21">
        <f t="shared" ca="1" si="125"/>
        <v>4.5390776108039221E-3</v>
      </c>
      <c r="E1665" s="21">
        <f t="shared" ca="1" si="128"/>
        <v>4.2171455856992785E-5</v>
      </c>
      <c r="F1665" s="11">
        <f t="shared" ca="1" si="129"/>
        <v>4.7926042058881206</v>
      </c>
      <c r="G1665" s="10">
        <f t="shared" ca="1" si="126"/>
        <v>1</v>
      </c>
    </row>
    <row r="1666" spans="1:7" x14ac:dyDescent="0.2">
      <c r="A1666" s="2">
        <v>19961003</v>
      </c>
      <c r="B1666" s="13">
        <v>5932.85</v>
      </c>
      <c r="C1666" s="2">
        <f t="shared" si="127"/>
        <v>-1.8874379209869461E-4</v>
      </c>
      <c r="D1666" s="21">
        <f t="shared" ca="1" si="125"/>
        <v>-5.7269620720556188E-4</v>
      </c>
      <c r="E1666" s="21">
        <f t="shared" ca="1" si="128"/>
        <v>4.1704607706274428E-5</v>
      </c>
      <c r="F1666" s="11">
        <f t="shared" ca="1" si="129"/>
        <v>5.0385172785999872</v>
      </c>
      <c r="G1666" s="10">
        <f t="shared" ca="1" si="126"/>
        <v>1</v>
      </c>
    </row>
    <row r="1667" spans="1:7" x14ac:dyDescent="0.2">
      <c r="A1667" s="2">
        <v>19961004</v>
      </c>
      <c r="B1667" s="13">
        <v>5992.86</v>
      </c>
      <c r="C1667" s="2">
        <f t="shared" si="127"/>
        <v>1.0114868907860355E-2</v>
      </c>
      <c r="D1667" s="21">
        <f t="shared" ca="1" si="125"/>
        <v>9.7309164927534882E-3</v>
      </c>
      <c r="E1667" s="21">
        <f t="shared" ca="1" si="128"/>
        <v>4.0515821411333958E-5</v>
      </c>
      <c r="F1667" s="11">
        <f t="shared" ca="1" si="129"/>
        <v>3.8883440768890787</v>
      </c>
      <c r="G1667" s="10">
        <f t="shared" ca="1" si="126"/>
        <v>0</v>
      </c>
    </row>
    <row r="1668" spans="1:7" x14ac:dyDescent="0.2">
      <c r="A1668" s="2">
        <v>19961007</v>
      </c>
      <c r="B1668" s="13">
        <v>5979.81</v>
      </c>
      <c r="C1668" s="2">
        <f t="shared" si="127"/>
        <v>-2.1775913336869665E-3</v>
      </c>
      <c r="D1668" s="21">
        <f t="shared" ca="1" si="125"/>
        <v>-2.5615437487938337E-3</v>
      </c>
      <c r="E1668" s="21">
        <f t="shared" ca="1" si="128"/>
        <v>4.2857059463874329E-5</v>
      </c>
      <c r="F1668" s="11">
        <f t="shared" ca="1" si="129"/>
        <v>4.9522690324162841</v>
      </c>
      <c r="G1668" s="10">
        <f t="shared" ca="1" si="126"/>
        <v>1</v>
      </c>
    </row>
    <row r="1669" spans="1:7" x14ac:dyDescent="0.2">
      <c r="A1669" s="2">
        <v>19961008</v>
      </c>
      <c r="B1669" s="13">
        <v>5966.77</v>
      </c>
      <c r="C1669" s="2">
        <f t="shared" si="127"/>
        <v>-2.1806712922316867E-3</v>
      </c>
      <c r="D1669" s="21">
        <f t="shared" ca="1" si="125"/>
        <v>-2.5646237073385539E-3</v>
      </c>
      <c r="E1669" s="21">
        <f t="shared" ca="1" si="128"/>
        <v>4.1839187869191019E-5</v>
      </c>
      <c r="F1669" s="11">
        <f t="shared" ca="1" si="129"/>
        <v>4.962236489898487</v>
      </c>
      <c r="G1669" s="10">
        <f t="shared" ca="1" si="126"/>
        <v>1</v>
      </c>
    </row>
    <row r="1670" spans="1:7" x14ac:dyDescent="0.2">
      <c r="A1670" s="2">
        <v>19961009</v>
      </c>
      <c r="B1670" s="13">
        <v>5930.62</v>
      </c>
      <c r="C1670" s="2">
        <f t="shared" si="127"/>
        <v>-6.0585542931938961E-3</v>
      </c>
      <c r="D1670" s="21">
        <f t="shared" ca="1" si="125"/>
        <v>-6.4425067083007633E-3</v>
      </c>
      <c r="E1670" s="21">
        <f t="shared" ca="1" si="128"/>
        <v>4.0873391300051172E-5</v>
      </c>
      <c r="F1670" s="11">
        <f t="shared" ca="1" si="129"/>
        <v>4.5447783185151991</v>
      </c>
      <c r="G1670" s="10">
        <f t="shared" ca="1" si="126"/>
        <v>0</v>
      </c>
    </row>
    <row r="1671" spans="1:7" x14ac:dyDescent="0.2">
      <c r="A1671" s="2">
        <v>19961010</v>
      </c>
      <c r="B1671" s="13">
        <v>5921.67</v>
      </c>
      <c r="C1671" s="2">
        <f t="shared" si="127"/>
        <v>-1.5091170906245583E-3</v>
      </c>
      <c r="D1671" s="21">
        <f t="shared" ca="1" si="125"/>
        <v>-1.8930695057314257E-3</v>
      </c>
      <c r="E1671" s="21">
        <f t="shared" ca="1" si="128"/>
        <v>4.1240840230070624E-5</v>
      </c>
      <c r="F1671" s="11">
        <f t="shared" ca="1" si="129"/>
        <v>5.0045921792643373</v>
      </c>
      <c r="G1671" s="10">
        <f t="shared" ca="1" si="126"/>
        <v>1</v>
      </c>
    </row>
    <row r="1672" spans="1:7" x14ac:dyDescent="0.2">
      <c r="A1672" s="2">
        <v>19961011</v>
      </c>
      <c r="B1672" s="13">
        <v>5969.38</v>
      </c>
      <c r="C1672" s="2">
        <f t="shared" si="127"/>
        <v>8.0568488281177499E-3</v>
      </c>
      <c r="D1672" s="21">
        <f t="shared" ca="1" si="125"/>
        <v>7.6728964130108827E-3</v>
      </c>
      <c r="E1672" s="21">
        <f t="shared" ca="1" si="128"/>
        <v>4.0195235005623438E-5</v>
      </c>
      <c r="F1672" s="11">
        <f t="shared" ca="1" si="129"/>
        <v>4.3285387799059851</v>
      </c>
      <c r="G1672" s="10">
        <f t="shared" ca="1" si="126"/>
        <v>0</v>
      </c>
    </row>
    <row r="1673" spans="1:7" x14ac:dyDescent="0.2">
      <c r="A1673" s="2">
        <v>19961014</v>
      </c>
      <c r="B1673" s="13">
        <v>6010</v>
      </c>
      <c r="C1673" s="2">
        <f t="shared" si="127"/>
        <v>6.8047267890467503E-3</v>
      </c>
      <c r="D1673" s="21">
        <f t="shared" ca="1" si="125"/>
        <v>6.4207743739398832E-3</v>
      </c>
      <c r="E1673" s="21">
        <f t="shared" ca="1" si="128"/>
        <v>4.1235623424610757E-5</v>
      </c>
      <c r="F1673" s="11">
        <f t="shared" ca="1" si="129"/>
        <v>4.5482165368972094</v>
      </c>
      <c r="G1673" s="10">
        <f t="shared" ca="1" si="126"/>
        <v>1</v>
      </c>
    </row>
    <row r="1674" spans="1:7" x14ac:dyDescent="0.2">
      <c r="A1674" s="2">
        <v>19961015</v>
      </c>
      <c r="B1674" s="13">
        <v>6004.78</v>
      </c>
      <c r="C1674" s="2">
        <f t="shared" si="127"/>
        <v>-8.6855241264563302E-4</v>
      </c>
      <c r="D1674" s="21">
        <f t="shared" ca="1" si="125"/>
        <v>-1.2525048277525004E-3</v>
      </c>
      <c r="E1674" s="21">
        <f t="shared" ca="1" si="128"/>
        <v>4.1574467402729651E-5</v>
      </c>
      <c r="F1674" s="11">
        <f t="shared" ca="1" si="129"/>
        <v>5.0251452031251009</v>
      </c>
      <c r="G1674" s="10">
        <f t="shared" ca="1" si="126"/>
        <v>1</v>
      </c>
    </row>
    <row r="1675" spans="1:7" x14ac:dyDescent="0.2">
      <c r="A1675" s="2">
        <v>19961016</v>
      </c>
      <c r="B1675" s="13">
        <v>6020.81</v>
      </c>
      <c r="C1675" s="2">
        <f t="shared" si="127"/>
        <v>2.6695399331866706E-3</v>
      </c>
      <c r="D1675" s="21">
        <f t="shared" ca="1" si="125"/>
        <v>2.2855875180798034E-3</v>
      </c>
      <c r="E1675" s="21">
        <f t="shared" ca="1" si="128"/>
        <v>4.04378908676862E-5</v>
      </c>
      <c r="F1675" s="11">
        <f t="shared" ca="1" si="129"/>
        <v>4.993279884815423</v>
      </c>
      <c r="G1675" s="10">
        <f t="shared" ca="1" si="126"/>
        <v>1</v>
      </c>
    </row>
    <row r="1676" spans="1:7" x14ac:dyDescent="0.2">
      <c r="A1676" s="2">
        <v>19961017</v>
      </c>
      <c r="B1676" s="13">
        <v>6059.2</v>
      </c>
      <c r="C1676" s="2">
        <f t="shared" si="127"/>
        <v>6.3762184822306993E-3</v>
      </c>
      <c r="D1676" s="21">
        <f t="shared" ca="1" si="125"/>
        <v>5.9922660671238321E-3</v>
      </c>
      <c r="E1676" s="21">
        <f t="shared" ca="1" si="128"/>
        <v>3.949322006567648E-5</v>
      </c>
      <c r="F1676" s="11">
        <f t="shared" ca="1" si="129"/>
        <v>4.6150905579382107</v>
      </c>
      <c r="G1676" s="10">
        <f t="shared" ca="1" si="126"/>
        <v>1</v>
      </c>
    </row>
    <row r="1677" spans="1:7" x14ac:dyDescent="0.2">
      <c r="A1677" s="2">
        <v>19961018</v>
      </c>
      <c r="B1677" s="13">
        <v>6094.23</v>
      </c>
      <c r="C1677" s="2">
        <f t="shared" si="127"/>
        <v>5.7812912595721789E-3</v>
      </c>
      <c r="D1677" s="21">
        <f t="shared" ca="1" si="125"/>
        <v>5.3973388444653117E-3</v>
      </c>
      <c r="E1677" s="21">
        <f t="shared" ca="1" si="128"/>
        <v>3.9724620542120524E-5</v>
      </c>
      <c r="F1677" s="11">
        <f t="shared" ca="1" si="129"/>
        <v>4.7001045651844597</v>
      </c>
      <c r="G1677" s="10">
        <f t="shared" ca="1" si="126"/>
        <v>1</v>
      </c>
    </row>
    <row r="1678" spans="1:7" x14ac:dyDescent="0.2">
      <c r="A1678" s="2">
        <v>19961021</v>
      </c>
      <c r="B1678" s="13">
        <v>6090.87</v>
      </c>
      <c r="C1678" s="2">
        <f t="shared" si="127"/>
        <v>-5.5134118666339688E-4</v>
      </c>
      <c r="D1678" s="21">
        <f t="shared" ref="D1678:D1741" ca="1" si="130">(C1678-mu)</f>
        <v>-9.3529360177026417E-4</v>
      </c>
      <c r="E1678" s="21">
        <f t="shared" ca="1" si="128"/>
        <v>3.9695149555225346E-5</v>
      </c>
      <c r="F1678" s="11">
        <f t="shared" ca="1" si="129"/>
        <v>5.0561221250456718</v>
      </c>
      <c r="G1678" s="10">
        <f t="shared" ref="G1678:G1741" ca="1" si="131">IF(AND(C1678&lt;=mu+zvalue*SQRT(E1678),C1678&gt;=mu-zvalue*SQRT(E1678)),1,0)</f>
        <v>1</v>
      </c>
    </row>
    <row r="1679" spans="1:7" x14ac:dyDescent="0.2">
      <c r="A1679" s="2">
        <v>19961022</v>
      </c>
      <c r="B1679" s="13">
        <v>6061.8</v>
      </c>
      <c r="C1679" s="2">
        <f t="shared" ref="C1679:C1742" si="132">(B1679-B1678)/B1678</f>
        <v>-4.7727171980357008E-3</v>
      </c>
      <c r="D1679" s="21">
        <f t="shared" ca="1" si="130"/>
        <v>-5.156669613142568E-3</v>
      </c>
      <c r="E1679" s="21">
        <f t="shared" ref="E1679:E1742" ca="1" si="133">(1-alpha-beta)*longvar+alpha*D1678^2+beta*E1678</f>
        <v>3.8628128949588742E-5</v>
      </c>
      <c r="F1679" s="11">
        <f t="shared" ref="F1679:F1742" ca="1" si="134">(-0.5)*(LN(E1679)+D1679^2/E1679)</f>
        <v>4.7365696005973668</v>
      </c>
      <c r="G1679" s="10">
        <f t="shared" ca="1" si="131"/>
        <v>1</v>
      </c>
    </row>
    <row r="1680" spans="1:7" x14ac:dyDescent="0.2">
      <c r="A1680" s="2">
        <v>19961023</v>
      </c>
      <c r="B1680" s="13">
        <v>6036.46</v>
      </c>
      <c r="C1680" s="2">
        <f t="shared" si="132"/>
        <v>-4.180276485532374E-3</v>
      </c>
      <c r="D1680" s="21">
        <f t="shared" ca="1" si="130"/>
        <v>-4.5642289006392412E-3</v>
      </c>
      <c r="E1680" s="21">
        <f t="shared" ca="1" si="133"/>
        <v>3.8560728675359516E-5</v>
      </c>
      <c r="F1680" s="11">
        <f t="shared" ca="1" si="134"/>
        <v>4.8115163140314454</v>
      </c>
      <c r="G1680" s="10">
        <f t="shared" ca="1" si="131"/>
        <v>1</v>
      </c>
    </row>
    <row r="1681" spans="1:7" x14ac:dyDescent="0.2">
      <c r="A1681" s="2">
        <v>19961024</v>
      </c>
      <c r="B1681" s="13">
        <v>5992.48</v>
      </c>
      <c r="C1681" s="2">
        <f t="shared" si="132"/>
        <v>-7.2857270652005434E-3</v>
      </c>
      <c r="D1681" s="21">
        <f t="shared" ca="1" si="130"/>
        <v>-7.6696794803074106E-3</v>
      </c>
      <c r="E1681" s="21">
        <f t="shared" ca="1" si="133"/>
        <v>3.8284967656960705E-5</v>
      </c>
      <c r="F1681" s="11">
        <f t="shared" ca="1" si="134"/>
        <v>4.3169879693939786</v>
      </c>
      <c r="G1681" s="10">
        <f t="shared" ca="1" si="131"/>
        <v>0</v>
      </c>
    </row>
    <row r="1682" spans="1:7" x14ac:dyDescent="0.2">
      <c r="A1682" s="2">
        <v>19961025</v>
      </c>
      <c r="B1682" s="13">
        <v>6007.02</v>
      </c>
      <c r="C1682" s="2">
        <f t="shared" si="132"/>
        <v>2.426374389234653E-3</v>
      </c>
      <c r="D1682" s="21">
        <f t="shared" ca="1" si="130"/>
        <v>2.0424219741277858E-3</v>
      </c>
      <c r="E1682" s="21">
        <f t="shared" ca="1" si="133"/>
        <v>3.9420182222546153E-5</v>
      </c>
      <c r="F1682" s="11">
        <f t="shared" ca="1" si="134"/>
        <v>5.017705760799549</v>
      </c>
      <c r="G1682" s="10">
        <f t="shared" ca="1" si="131"/>
        <v>1</v>
      </c>
    </row>
    <row r="1683" spans="1:7" x14ac:dyDescent="0.2">
      <c r="A1683" s="2">
        <v>19961028</v>
      </c>
      <c r="B1683" s="13">
        <v>5972.73</v>
      </c>
      <c r="C1683" s="2">
        <f t="shared" si="132"/>
        <v>-5.7083212641211231E-3</v>
      </c>
      <c r="D1683" s="21">
        <f t="shared" ca="1" si="130"/>
        <v>-6.0922736792279903E-3</v>
      </c>
      <c r="E1683" s="21">
        <f t="shared" ca="1" si="133"/>
        <v>3.8488298212700547E-5</v>
      </c>
      <c r="F1683" s="11">
        <f t="shared" ca="1" si="134"/>
        <v>4.600408242542013</v>
      </c>
      <c r="G1683" s="10">
        <f t="shared" ca="1" si="131"/>
        <v>1</v>
      </c>
    </row>
    <row r="1684" spans="1:7" x14ac:dyDescent="0.2">
      <c r="A1684" s="2">
        <v>19961029</v>
      </c>
      <c r="B1684" s="13">
        <v>6007.02</v>
      </c>
      <c r="C1684" s="2">
        <f t="shared" si="132"/>
        <v>5.7410932689073296E-3</v>
      </c>
      <c r="D1684" s="21">
        <f t="shared" ca="1" si="130"/>
        <v>5.3571408538004624E-3</v>
      </c>
      <c r="E1684" s="21">
        <f t="shared" ca="1" si="133"/>
        <v>3.8814978361824245E-5</v>
      </c>
      <c r="F1684" s="11">
        <f t="shared" ca="1" si="134"/>
        <v>4.7086629530758994</v>
      </c>
      <c r="G1684" s="10">
        <f t="shared" ca="1" si="131"/>
        <v>1</v>
      </c>
    </row>
    <row r="1685" spans="1:7" x14ac:dyDescent="0.2">
      <c r="A1685" s="2">
        <v>19961030</v>
      </c>
      <c r="B1685" s="13">
        <v>5993.23</v>
      </c>
      <c r="C1685" s="2">
        <f t="shared" si="132"/>
        <v>-2.2956474258452398E-3</v>
      </c>
      <c r="D1685" s="21">
        <f t="shared" ca="1" si="130"/>
        <v>-2.679599840952107E-3</v>
      </c>
      <c r="E1685" s="21">
        <f t="shared" ca="1" si="133"/>
        <v>3.8815629734904048E-5</v>
      </c>
      <c r="F1685" s="11">
        <f t="shared" ca="1" si="134"/>
        <v>4.9858519771810954</v>
      </c>
      <c r="G1685" s="10">
        <f t="shared" ca="1" si="131"/>
        <v>1</v>
      </c>
    </row>
    <row r="1686" spans="1:7" x14ac:dyDescent="0.2">
      <c r="A1686" s="2">
        <v>19961031</v>
      </c>
      <c r="B1686" s="13">
        <v>6029.38</v>
      </c>
      <c r="C1686" s="2">
        <f t="shared" si="132"/>
        <v>6.0318058876433159E-3</v>
      </c>
      <c r="D1686" s="21">
        <f t="shared" ca="1" si="130"/>
        <v>5.6478534725364488E-3</v>
      </c>
      <c r="E1686" s="21">
        <f t="shared" ca="1" si="133"/>
        <v>3.8024967879452414E-5</v>
      </c>
      <c r="F1686" s="11">
        <f t="shared" ca="1" si="134"/>
        <v>4.6691955732973511</v>
      </c>
      <c r="G1686" s="10">
        <f t="shared" ca="1" si="131"/>
        <v>1</v>
      </c>
    </row>
    <row r="1687" spans="1:7" x14ac:dyDescent="0.2">
      <c r="A1687" s="2">
        <v>19961101</v>
      </c>
      <c r="B1687" s="13">
        <v>6021.93</v>
      </c>
      <c r="C1687" s="2">
        <f t="shared" si="132"/>
        <v>-1.2356162656856622E-3</v>
      </c>
      <c r="D1687" s="21">
        <f t="shared" ca="1" si="130"/>
        <v>-1.6195686807925296E-3</v>
      </c>
      <c r="E1687" s="21">
        <f t="shared" ca="1" si="133"/>
        <v>3.8183229648836253E-5</v>
      </c>
      <c r="F1687" s="11">
        <f t="shared" ca="1" si="134"/>
        <v>5.0522095012786394</v>
      </c>
      <c r="G1687" s="10">
        <f t="shared" ca="1" si="131"/>
        <v>1</v>
      </c>
    </row>
    <row r="1688" spans="1:7" x14ac:dyDescent="0.2">
      <c r="A1688" s="2">
        <v>19961104</v>
      </c>
      <c r="B1688" s="13">
        <v>6041.68</v>
      </c>
      <c r="C1688" s="2">
        <f t="shared" si="132"/>
        <v>3.2796794383196082E-3</v>
      </c>
      <c r="D1688" s="21">
        <f t="shared" ca="1" si="130"/>
        <v>2.895727023212741E-3</v>
      </c>
      <c r="E1688" s="21">
        <f t="shared" ca="1" si="133"/>
        <v>3.7256982986839513E-5</v>
      </c>
      <c r="F1688" s="11">
        <f t="shared" ca="1" si="134"/>
        <v>4.9863031897786767</v>
      </c>
      <c r="G1688" s="10">
        <f t="shared" ca="1" si="131"/>
        <v>1</v>
      </c>
    </row>
    <row r="1689" spans="1:7" x14ac:dyDescent="0.2">
      <c r="A1689" s="2">
        <v>19961105</v>
      </c>
      <c r="B1689" s="13">
        <v>6081.18</v>
      </c>
      <c r="C1689" s="2">
        <f t="shared" si="132"/>
        <v>6.5379166059771447E-3</v>
      </c>
      <c r="D1689" s="21">
        <f t="shared" ca="1" si="130"/>
        <v>6.1539641908702775E-3</v>
      </c>
      <c r="E1689" s="21">
        <f t="shared" ca="1" si="133"/>
        <v>3.6589482790560132E-5</v>
      </c>
      <c r="F1689" s="11">
        <f t="shared" ca="1" si="134"/>
        <v>4.5903589977530803</v>
      </c>
      <c r="G1689" s="10">
        <f t="shared" ca="1" si="131"/>
        <v>0</v>
      </c>
    </row>
    <row r="1690" spans="1:7" x14ac:dyDescent="0.2">
      <c r="A1690" s="2">
        <v>19961106</v>
      </c>
      <c r="B1690" s="13">
        <v>6177.71</v>
      </c>
      <c r="C1690" s="2">
        <f t="shared" si="132"/>
        <v>1.5873564012247581E-2</v>
      </c>
      <c r="D1690" s="21">
        <f t="shared" ca="1" si="130"/>
        <v>1.5489611597140714E-2</v>
      </c>
      <c r="E1690" s="21">
        <f t="shared" ca="1" si="133"/>
        <v>3.7040004833719753E-5</v>
      </c>
      <c r="F1690" s="11">
        <f t="shared" ca="1" si="134"/>
        <v>1.862986622778509</v>
      </c>
      <c r="G1690" s="10">
        <f t="shared" ca="1" si="131"/>
        <v>0</v>
      </c>
    </row>
    <row r="1691" spans="1:7" x14ac:dyDescent="0.2">
      <c r="A1691" s="2">
        <v>19961107</v>
      </c>
      <c r="B1691" s="13">
        <v>6206.04</v>
      </c>
      <c r="C1691" s="2">
        <f t="shared" si="132"/>
        <v>4.5858416791982673E-3</v>
      </c>
      <c r="D1691" s="21">
        <f t="shared" ca="1" si="130"/>
        <v>4.2018892640914001E-3</v>
      </c>
      <c r="E1691" s="21">
        <f t="shared" ca="1" si="133"/>
        <v>4.4897715867051686E-5</v>
      </c>
      <c r="F1691" s="11">
        <f t="shared" ca="1" si="134"/>
        <v>4.8089385261056208</v>
      </c>
      <c r="G1691" s="10">
        <f t="shared" ca="1" si="131"/>
        <v>1</v>
      </c>
    </row>
    <row r="1692" spans="1:7" x14ac:dyDescent="0.2">
      <c r="A1692" s="2">
        <v>19961108</v>
      </c>
      <c r="B1692" s="13">
        <v>6219.82</v>
      </c>
      <c r="C1692" s="2">
        <f t="shared" si="132"/>
        <v>2.2204175287300347E-3</v>
      </c>
      <c r="D1692" s="21">
        <f t="shared" ca="1" si="130"/>
        <v>1.8364651136231675E-3</v>
      </c>
      <c r="E1692" s="21">
        <f t="shared" ca="1" si="133"/>
        <v>4.4184566039286768E-5</v>
      </c>
      <c r="F1692" s="11">
        <f t="shared" ca="1" si="134"/>
        <v>4.9754025503854127</v>
      </c>
      <c r="G1692" s="10">
        <f t="shared" ca="1" si="131"/>
        <v>1</v>
      </c>
    </row>
    <row r="1693" spans="1:7" x14ac:dyDescent="0.2">
      <c r="A1693" s="2">
        <v>19961111</v>
      </c>
      <c r="B1693" s="13">
        <v>6255.6</v>
      </c>
      <c r="C1693" s="2">
        <f t="shared" si="132"/>
        <v>5.7525780488825494E-3</v>
      </c>
      <c r="D1693" s="21">
        <f t="shared" ca="1" si="130"/>
        <v>5.3686256337756822E-3</v>
      </c>
      <c r="E1693" s="21">
        <f t="shared" ca="1" si="133"/>
        <v>4.2982273945653105E-5</v>
      </c>
      <c r="F1693" s="11">
        <f t="shared" ca="1" si="134"/>
        <v>4.6920819903443487</v>
      </c>
      <c r="G1693" s="10">
        <f t="shared" ca="1" si="131"/>
        <v>1</v>
      </c>
    </row>
    <row r="1694" spans="1:7" x14ac:dyDescent="0.2">
      <c r="A1694" s="2">
        <v>19961112</v>
      </c>
      <c r="B1694" s="13">
        <v>6266.04</v>
      </c>
      <c r="C1694" s="2">
        <f t="shared" si="132"/>
        <v>1.6689046614233006E-3</v>
      </c>
      <c r="D1694" s="21">
        <f t="shared" ca="1" si="130"/>
        <v>1.2849522463164332E-3</v>
      </c>
      <c r="E1694" s="21">
        <f t="shared" ca="1" si="133"/>
        <v>4.2776630119505644E-5</v>
      </c>
      <c r="F1694" s="11">
        <f t="shared" ca="1" si="134"/>
        <v>5.0104601990868289</v>
      </c>
      <c r="G1694" s="10">
        <f t="shared" ca="1" si="131"/>
        <v>1</v>
      </c>
    </row>
    <row r="1695" spans="1:7" x14ac:dyDescent="0.2">
      <c r="A1695" s="2">
        <v>19961113</v>
      </c>
      <c r="B1695" s="13">
        <v>6274.24</v>
      </c>
      <c r="C1695" s="2">
        <f t="shared" si="132"/>
        <v>1.3086415024480881E-3</v>
      </c>
      <c r="D1695" s="21">
        <f t="shared" ca="1" si="130"/>
        <v>9.2468908734122076E-4</v>
      </c>
      <c r="E1695" s="21">
        <f t="shared" ca="1" si="133"/>
        <v>4.1582263339221363E-5</v>
      </c>
      <c r="F1695" s="11">
        <f t="shared" ca="1" si="134"/>
        <v>5.0336369960504825</v>
      </c>
      <c r="G1695" s="10">
        <f t="shared" ca="1" si="131"/>
        <v>1</v>
      </c>
    </row>
    <row r="1696" spans="1:7" x14ac:dyDescent="0.2">
      <c r="A1696" s="2">
        <v>19961114</v>
      </c>
      <c r="B1696" s="13">
        <v>6313</v>
      </c>
      <c r="C1696" s="2">
        <f t="shared" si="132"/>
        <v>6.1776406385474925E-3</v>
      </c>
      <c r="D1696" s="21">
        <f t="shared" ca="1" si="130"/>
        <v>5.7936882234406253E-3</v>
      </c>
      <c r="E1696" s="21">
        <f t="shared" ca="1" si="133"/>
        <v>4.0419047732132083E-5</v>
      </c>
      <c r="F1696" s="11">
        <f t="shared" ca="1" si="134"/>
        <v>4.6428694967000173</v>
      </c>
      <c r="G1696" s="10">
        <f t="shared" ca="1" si="131"/>
        <v>1</v>
      </c>
    </row>
    <row r="1697" spans="1:7" x14ac:dyDescent="0.2">
      <c r="A1697" s="2">
        <v>19961115</v>
      </c>
      <c r="B1697" s="13">
        <v>6348.03</v>
      </c>
      <c r="C1697" s="2">
        <f t="shared" si="132"/>
        <v>5.5488674164422217E-3</v>
      </c>
      <c r="D1697" s="21">
        <f t="shared" ca="1" si="130"/>
        <v>5.1649150013353545E-3</v>
      </c>
      <c r="E1697" s="21">
        <f t="shared" ca="1" si="133"/>
        <v>4.0517548606963255E-5</v>
      </c>
      <c r="F1697" s="11">
        <f t="shared" ca="1" si="134"/>
        <v>4.7276927122882464</v>
      </c>
      <c r="G1697" s="10">
        <f t="shared" ca="1" si="131"/>
        <v>1</v>
      </c>
    </row>
    <row r="1698" spans="1:7" x14ac:dyDescent="0.2">
      <c r="A1698" s="2">
        <v>19961118</v>
      </c>
      <c r="B1698" s="13">
        <v>6346.91</v>
      </c>
      <c r="C1698" s="2">
        <f t="shared" si="132"/>
        <v>-1.7643268856635695E-4</v>
      </c>
      <c r="D1698" s="21">
        <f t="shared" ca="1" si="130"/>
        <v>-5.6038510367322424E-4</v>
      </c>
      <c r="E1698" s="21">
        <f t="shared" ca="1" si="133"/>
        <v>4.0357691446949366E-5</v>
      </c>
      <c r="F1698" s="11">
        <f t="shared" ca="1" si="134"/>
        <v>5.0549736791499091</v>
      </c>
      <c r="G1698" s="10">
        <f t="shared" ca="1" si="131"/>
        <v>1</v>
      </c>
    </row>
    <row r="1699" spans="1:7" x14ac:dyDescent="0.2">
      <c r="A1699" s="2">
        <v>19961119</v>
      </c>
      <c r="B1699" s="13">
        <v>6397.6</v>
      </c>
      <c r="C1699" s="2">
        <f t="shared" si="132"/>
        <v>7.9865635403685437E-3</v>
      </c>
      <c r="D1699" s="21">
        <f t="shared" ca="1" si="130"/>
        <v>7.6026111252616765E-3</v>
      </c>
      <c r="E1699" s="21">
        <f t="shared" ca="1" si="133"/>
        <v>3.923653314227466E-5</v>
      </c>
      <c r="F1699" s="11">
        <f t="shared" ca="1" si="134"/>
        <v>4.3363965644508227</v>
      </c>
      <c r="G1699" s="10">
        <f t="shared" ca="1" si="131"/>
        <v>0</v>
      </c>
    </row>
    <row r="1700" spans="1:7" x14ac:dyDescent="0.2">
      <c r="A1700" s="2">
        <v>19961120</v>
      </c>
      <c r="B1700" s="13">
        <v>6430.02</v>
      </c>
      <c r="C1700" s="2">
        <f t="shared" si="132"/>
        <v>5.0675253219957597E-3</v>
      </c>
      <c r="D1700" s="21">
        <f t="shared" ca="1" si="130"/>
        <v>4.6835729068888925E-3</v>
      </c>
      <c r="E1700" s="21">
        <f t="shared" ca="1" si="133"/>
        <v>4.0285942860169779E-5</v>
      </c>
      <c r="F1700" s="11">
        <f t="shared" ca="1" si="134"/>
        <v>4.7875020041794043</v>
      </c>
      <c r="G1700" s="10">
        <f t="shared" ca="1" si="131"/>
        <v>1</v>
      </c>
    </row>
    <row r="1701" spans="1:7" x14ac:dyDescent="0.2">
      <c r="A1701" s="2">
        <v>19961121</v>
      </c>
      <c r="B1701" s="13">
        <v>6418.47</v>
      </c>
      <c r="C1701" s="2">
        <f t="shared" si="132"/>
        <v>-1.796261908983204E-3</v>
      </c>
      <c r="D1701" s="21">
        <f t="shared" ca="1" si="130"/>
        <v>-2.1802143240900714E-3</v>
      </c>
      <c r="E1701" s="21">
        <f t="shared" ca="1" si="133"/>
        <v>3.9963486550652805E-5</v>
      </c>
      <c r="F1701" s="11">
        <f t="shared" ca="1" si="134"/>
        <v>5.0043012099943809</v>
      </c>
      <c r="G1701" s="10">
        <f t="shared" ca="1" si="131"/>
        <v>1</v>
      </c>
    </row>
    <row r="1702" spans="1:7" x14ac:dyDescent="0.2">
      <c r="A1702" s="2">
        <v>19961122</v>
      </c>
      <c r="B1702" s="13">
        <v>6471.76</v>
      </c>
      <c r="C1702" s="2">
        <f t="shared" si="132"/>
        <v>8.3026017103764536E-3</v>
      </c>
      <c r="D1702" s="21">
        <f t="shared" ca="1" si="130"/>
        <v>7.9186492952695864E-3</v>
      </c>
      <c r="E1702" s="21">
        <f t="shared" ca="1" si="133"/>
        <v>3.9025512125291705E-5</v>
      </c>
      <c r="F1702" s="11">
        <f t="shared" ca="1" si="134"/>
        <v>4.2722626823470158</v>
      </c>
      <c r="G1702" s="10">
        <f t="shared" ca="1" si="131"/>
        <v>0</v>
      </c>
    </row>
    <row r="1703" spans="1:7" x14ac:dyDescent="0.2">
      <c r="A1703" s="2">
        <v>19961125</v>
      </c>
      <c r="B1703" s="13">
        <v>6547.79</v>
      </c>
      <c r="C1703" s="2">
        <f t="shared" si="132"/>
        <v>1.1747963459707984E-2</v>
      </c>
      <c r="D1703" s="21">
        <f t="shared" ca="1" si="130"/>
        <v>1.1364011044601116E-2</v>
      </c>
      <c r="E1703" s="21">
        <f t="shared" ca="1" si="133"/>
        <v>4.0265974306713252E-5</v>
      </c>
      <c r="F1703" s="11">
        <f t="shared" ca="1" si="134"/>
        <v>3.4564054264122035</v>
      </c>
      <c r="G1703" s="10">
        <f t="shared" ca="1" si="131"/>
        <v>0</v>
      </c>
    </row>
    <row r="1704" spans="1:7" x14ac:dyDescent="0.2">
      <c r="A1704" s="2">
        <v>19961126</v>
      </c>
      <c r="B1704" s="13">
        <v>6528.41</v>
      </c>
      <c r="C1704" s="2">
        <f t="shared" si="132"/>
        <v>-2.9597772683607917E-3</v>
      </c>
      <c r="D1704" s="21">
        <f t="shared" ca="1" si="130"/>
        <v>-3.3437296834676589E-3</v>
      </c>
      <c r="E1704" s="21">
        <f t="shared" ca="1" si="133"/>
        <v>4.3886639270915737E-5</v>
      </c>
      <c r="F1704" s="11">
        <f t="shared" ca="1" si="134"/>
        <v>4.8895706792711318</v>
      </c>
      <c r="G1704" s="10">
        <f t="shared" ca="1" si="131"/>
        <v>1</v>
      </c>
    </row>
    <row r="1705" spans="1:7" x14ac:dyDescent="0.2">
      <c r="A1705" s="2">
        <v>19961127</v>
      </c>
      <c r="B1705" s="13">
        <v>6499.34</v>
      </c>
      <c r="C1705" s="2">
        <f t="shared" si="132"/>
        <v>-4.4528453329370716E-3</v>
      </c>
      <c r="D1705" s="21">
        <f t="shared" ca="1" si="130"/>
        <v>-4.8367977480439387E-3</v>
      </c>
      <c r="E1705" s="21">
        <f t="shared" ca="1" si="133"/>
        <v>4.2986530392108778E-5</v>
      </c>
      <c r="F1705" s="11">
        <f t="shared" ca="1" si="134"/>
        <v>4.7551962523119586</v>
      </c>
      <c r="G1705" s="10">
        <f t="shared" ca="1" si="131"/>
        <v>1</v>
      </c>
    </row>
    <row r="1706" spans="1:7" x14ac:dyDescent="0.2">
      <c r="A1706" s="2">
        <v>19961129</v>
      </c>
      <c r="B1706" s="13">
        <v>6521.7</v>
      </c>
      <c r="C1706" s="2">
        <f t="shared" si="132"/>
        <v>3.4403493277778471E-3</v>
      </c>
      <c r="D1706" s="21">
        <f t="shared" ca="1" si="130"/>
        <v>3.0563969126709799E-3</v>
      </c>
      <c r="E1706" s="21">
        <f t="shared" ca="1" si="133"/>
        <v>4.2581091522437697E-5</v>
      </c>
      <c r="F1706" s="11">
        <f t="shared" ca="1" si="134"/>
        <v>4.9223586968433333</v>
      </c>
      <c r="G1706" s="10">
        <f t="shared" ca="1" si="131"/>
        <v>1</v>
      </c>
    </row>
    <row r="1707" spans="1:7" x14ac:dyDescent="0.2">
      <c r="A1707" s="2">
        <v>19961202</v>
      </c>
      <c r="B1707" s="13">
        <v>6521.7</v>
      </c>
      <c r="C1707" s="2">
        <f t="shared" si="132"/>
        <v>0</v>
      </c>
      <c r="D1707" s="21">
        <f t="shared" ca="1" si="130"/>
        <v>-3.839524151068673E-4</v>
      </c>
      <c r="E1707" s="21">
        <f t="shared" ca="1" si="133"/>
        <v>4.1679408739372269E-5</v>
      </c>
      <c r="F1707" s="11">
        <f t="shared" ca="1" si="134"/>
        <v>5.0409831805052026</v>
      </c>
      <c r="G1707" s="10">
        <f t="shared" ca="1" si="131"/>
        <v>1</v>
      </c>
    </row>
    <row r="1708" spans="1:7" x14ac:dyDescent="0.2">
      <c r="A1708" s="2">
        <v>19961203</v>
      </c>
      <c r="B1708" s="13">
        <v>6442.69</v>
      </c>
      <c r="C1708" s="2">
        <f t="shared" si="132"/>
        <v>-1.2114939356302838E-2</v>
      </c>
      <c r="D1708" s="21">
        <f t="shared" ca="1" si="130"/>
        <v>-1.2498891771409705E-2</v>
      </c>
      <c r="E1708" s="21">
        <f t="shared" ca="1" si="133"/>
        <v>4.0485257707256837E-5</v>
      </c>
      <c r="F1708" s="11">
        <f t="shared" ca="1" si="134"/>
        <v>3.1279137081131241</v>
      </c>
      <c r="G1708" s="10">
        <f t="shared" ca="1" si="131"/>
        <v>0</v>
      </c>
    </row>
    <row r="1709" spans="1:7" x14ac:dyDescent="0.2">
      <c r="A1709" s="2">
        <v>19961204</v>
      </c>
      <c r="B1709" s="13">
        <v>6422.94</v>
      </c>
      <c r="C1709" s="2">
        <f t="shared" si="132"/>
        <v>-3.065489725564943E-3</v>
      </c>
      <c r="D1709" s="21">
        <f t="shared" ca="1" si="130"/>
        <v>-3.4494421406718102E-3</v>
      </c>
      <c r="E1709" s="21">
        <f t="shared" ca="1" si="133"/>
        <v>4.5090664875717786E-5</v>
      </c>
      <c r="F1709" s="11">
        <f t="shared" ca="1" si="134"/>
        <v>4.8714762580551767</v>
      </c>
      <c r="G1709" s="10">
        <f t="shared" ca="1" si="131"/>
        <v>1</v>
      </c>
    </row>
    <row r="1710" spans="1:7" x14ac:dyDescent="0.2">
      <c r="A1710" s="2">
        <v>19961205</v>
      </c>
      <c r="B1710" s="13">
        <v>6437.1</v>
      </c>
      <c r="C1710" s="2">
        <f t="shared" si="132"/>
        <v>2.2045978944222997E-3</v>
      </c>
      <c r="D1710" s="21">
        <f t="shared" ca="1" si="130"/>
        <v>1.8206454793154325E-3</v>
      </c>
      <c r="E1710" s="21">
        <f t="shared" ca="1" si="133"/>
        <v>4.4156050577506269E-5</v>
      </c>
      <c r="F1710" s="11">
        <f t="shared" ca="1" si="134"/>
        <v>4.9763558039784241</v>
      </c>
      <c r="G1710" s="10">
        <f t="shared" ca="1" si="131"/>
        <v>1</v>
      </c>
    </row>
    <row r="1711" spans="1:7" x14ac:dyDescent="0.2">
      <c r="A1711" s="2">
        <v>19961206</v>
      </c>
      <c r="B1711" s="13">
        <v>6381.94</v>
      </c>
      <c r="C1711" s="2">
        <f t="shared" si="132"/>
        <v>-8.5690761367697814E-3</v>
      </c>
      <c r="D1711" s="21">
        <f t="shared" ca="1" si="130"/>
        <v>-8.9530285518766486E-3</v>
      </c>
      <c r="E1711" s="21">
        <f t="shared" ca="1" si="133"/>
        <v>4.2953073692280617E-5</v>
      </c>
      <c r="F1711" s="11">
        <f t="shared" ca="1" si="134"/>
        <v>4.094628015611085</v>
      </c>
      <c r="G1711" s="10">
        <f t="shared" ca="1" si="131"/>
        <v>0</v>
      </c>
    </row>
    <row r="1712" spans="1:7" x14ac:dyDescent="0.2">
      <c r="A1712" s="2">
        <v>19961209</v>
      </c>
      <c r="B1712" s="13">
        <v>6463.94</v>
      </c>
      <c r="C1712" s="2">
        <f t="shared" si="132"/>
        <v>1.2848757587818125E-2</v>
      </c>
      <c r="D1712" s="21">
        <f t="shared" ca="1" si="130"/>
        <v>1.2464805172711257E-2</v>
      </c>
      <c r="E1712" s="21">
        <f t="shared" ca="1" si="133"/>
        <v>4.4636569221012188E-5</v>
      </c>
      <c r="F1712" s="11">
        <f t="shared" ca="1" si="134"/>
        <v>3.2680740920681544</v>
      </c>
      <c r="G1712" s="10">
        <f t="shared" ca="1" si="131"/>
        <v>0</v>
      </c>
    </row>
    <row r="1713" spans="1:7" x14ac:dyDescent="0.2">
      <c r="A1713" s="2">
        <v>19961210</v>
      </c>
      <c r="B1713" s="13">
        <v>6473.25</v>
      </c>
      <c r="C1713" s="2">
        <f t="shared" si="132"/>
        <v>1.4402980225683409E-3</v>
      </c>
      <c r="D1713" s="21">
        <f t="shared" ca="1" si="130"/>
        <v>1.0563456074614737E-3</v>
      </c>
      <c r="E1713" s="21">
        <f t="shared" ca="1" si="133"/>
        <v>4.9000670082452421E-5</v>
      </c>
      <c r="F1713" s="11">
        <f t="shared" ca="1" si="134"/>
        <v>4.950452059918204</v>
      </c>
      <c r="G1713" s="10">
        <f t="shared" ca="1" si="131"/>
        <v>1</v>
      </c>
    </row>
    <row r="1714" spans="1:7" x14ac:dyDescent="0.2">
      <c r="A1714" s="2">
        <v>19961211</v>
      </c>
      <c r="B1714" s="13">
        <v>6402.52</v>
      </c>
      <c r="C1714" s="2">
        <f t="shared" si="132"/>
        <v>-1.0926505233074509E-2</v>
      </c>
      <c r="D1714" s="21">
        <f t="shared" ca="1" si="130"/>
        <v>-1.1310457648181376E-2</v>
      </c>
      <c r="E1714" s="21">
        <f t="shared" ca="1" si="133"/>
        <v>4.7471745500256823E-5</v>
      </c>
      <c r="F1714" s="11">
        <f t="shared" ca="1" si="134"/>
        <v>3.6302922204278851</v>
      </c>
      <c r="G1714" s="10">
        <f t="shared" ca="1" si="131"/>
        <v>0</v>
      </c>
    </row>
    <row r="1715" spans="1:7" x14ac:dyDescent="0.2">
      <c r="A1715" s="2">
        <v>19961212</v>
      </c>
      <c r="B1715" s="13">
        <v>6303.71</v>
      </c>
      <c r="C1715" s="2">
        <f t="shared" si="132"/>
        <v>-1.5432985761856331E-2</v>
      </c>
      <c r="D1715" s="21">
        <f t="shared" ca="1" si="130"/>
        <v>-1.58169381769632E-2</v>
      </c>
      <c r="E1715" s="21">
        <f t="shared" ca="1" si="133"/>
        <v>5.068321638677644E-5</v>
      </c>
      <c r="F1715" s="11">
        <f t="shared" ca="1" si="134"/>
        <v>2.4769265261586151</v>
      </c>
      <c r="G1715" s="10">
        <f t="shared" ca="1" si="131"/>
        <v>0</v>
      </c>
    </row>
    <row r="1716" spans="1:7" x14ac:dyDescent="0.2">
      <c r="A1716" s="2">
        <v>19961213</v>
      </c>
      <c r="B1716" s="13">
        <v>6304.87</v>
      </c>
      <c r="C1716" s="2">
        <f t="shared" si="132"/>
        <v>1.8401861760770316E-4</v>
      </c>
      <c r="D1716" s="21">
        <f t="shared" ca="1" si="130"/>
        <v>-1.9993379749916413E-4</v>
      </c>
      <c r="E1716" s="21">
        <f t="shared" ca="1" si="133"/>
        <v>5.8227530067779149E-5</v>
      </c>
      <c r="F1716" s="11">
        <f t="shared" ca="1" si="134"/>
        <v>4.8752328921421242</v>
      </c>
      <c r="G1716" s="10">
        <f t="shared" ca="1" si="131"/>
        <v>1</v>
      </c>
    </row>
    <row r="1717" spans="1:7" x14ac:dyDescent="0.2">
      <c r="A1717" s="2">
        <v>19961216</v>
      </c>
      <c r="B1717" s="13">
        <v>6268.35</v>
      </c>
      <c r="C1717" s="2">
        <f t="shared" si="132"/>
        <v>-5.7923478200184184E-3</v>
      </c>
      <c r="D1717" s="21">
        <f t="shared" ca="1" si="130"/>
        <v>-6.1763002351252856E-3</v>
      </c>
      <c r="E1717" s="21">
        <f t="shared" ca="1" si="133"/>
        <v>5.6192253154367057E-5</v>
      </c>
      <c r="F1717" s="11">
        <f t="shared" ca="1" si="134"/>
        <v>4.5539357240196301</v>
      </c>
      <c r="G1717" s="10">
        <f t="shared" ca="1" si="131"/>
        <v>1</v>
      </c>
    </row>
    <row r="1718" spans="1:7" x14ac:dyDescent="0.2">
      <c r="A1718" s="2">
        <v>19961217</v>
      </c>
      <c r="B1718" s="13">
        <v>6308.33</v>
      </c>
      <c r="C1718" s="2">
        <f t="shared" si="132"/>
        <v>6.3780739748098879E-3</v>
      </c>
      <c r="D1718" s="21">
        <f t="shared" ca="1" si="130"/>
        <v>5.9941215597030207E-3</v>
      </c>
      <c r="E1718" s="21">
        <f t="shared" ca="1" si="133"/>
        <v>5.5661191872340954E-5</v>
      </c>
      <c r="F1718" s="11">
        <f t="shared" ca="1" si="134"/>
        <v>4.575361952367615</v>
      </c>
      <c r="G1718" s="10">
        <f t="shared" ca="1" si="131"/>
        <v>1</v>
      </c>
    </row>
    <row r="1719" spans="1:7" x14ac:dyDescent="0.2">
      <c r="A1719" s="2">
        <v>19961218</v>
      </c>
      <c r="B1719" s="13">
        <v>6346.77</v>
      </c>
      <c r="C1719" s="2">
        <f t="shared" si="132"/>
        <v>6.0935303004123927E-3</v>
      </c>
      <c r="D1719" s="21">
        <f t="shared" ca="1" si="130"/>
        <v>5.7095778853055255E-3</v>
      </c>
      <c r="E1719" s="21">
        <f t="shared" ca="1" si="133"/>
        <v>5.507546715920496E-5</v>
      </c>
      <c r="F1719" s="11">
        <f t="shared" ca="1" si="134"/>
        <v>4.6074520873077303</v>
      </c>
      <c r="G1719" s="10">
        <f t="shared" ca="1" si="131"/>
        <v>1</v>
      </c>
    </row>
    <row r="1720" spans="1:7" x14ac:dyDescent="0.2">
      <c r="A1720" s="2">
        <v>19961219</v>
      </c>
      <c r="B1720" s="13">
        <v>6473.64</v>
      </c>
      <c r="C1720" s="2">
        <f t="shared" si="132"/>
        <v>1.998969554592334E-2</v>
      </c>
      <c r="D1720" s="21">
        <f t="shared" ca="1" si="130"/>
        <v>1.9605743130816471E-2</v>
      </c>
      <c r="E1720" s="21">
        <f t="shared" ca="1" si="133"/>
        <v>5.4396916681760473E-5</v>
      </c>
      <c r="F1720" s="11">
        <f t="shared" ca="1" si="134"/>
        <v>1.3764494155555513</v>
      </c>
      <c r="G1720" s="10">
        <f t="shared" ca="1" si="131"/>
        <v>0</v>
      </c>
    </row>
    <row r="1721" spans="1:7" x14ac:dyDescent="0.2">
      <c r="A1721" s="2">
        <v>19961220</v>
      </c>
      <c r="B1721" s="13">
        <v>6484.4</v>
      </c>
      <c r="C1721" s="2">
        <f t="shared" si="132"/>
        <v>1.6621251722368417E-3</v>
      </c>
      <c r="D1721" s="21">
        <f t="shared" ca="1" si="130"/>
        <v>1.2781727571299743E-3</v>
      </c>
      <c r="E1721" s="21">
        <f t="shared" ca="1" si="133"/>
        <v>6.6688475488839839E-5</v>
      </c>
      <c r="F1721" s="11">
        <f t="shared" ca="1" si="134"/>
        <v>4.7954902656685769</v>
      </c>
      <c r="G1721" s="10">
        <f t="shared" ca="1" si="131"/>
        <v>1</v>
      </c>
    </row>
    <row r="1722" spans="1:7" x14ac:dyDescent="0.2">
      <c r="A1722" s="2">
        <v>19961223</v>
      </c>
      <c r="B1722" s="13">
        <v>6489.02</v>
      </c>
      <c r="C1722" s="2">
        <f t="shared" si="132"/>
        <v>7.1247918080328176E-4</v>
      </c>
      <c r="D1722" s="21">
        <f t="shared" ca="1" si="130"/>
        <v>3.2852676569641447E-4</v>
      </c>
      <c r="E1722" s="21">
        <f t="shared" ca="1" si="133"/>
        <v>6.4283761607204719E-5</v>
      </c>
      <c r="F1722" s="11">
        <f t="shared" ca="1" si="134"/>
        <v>4.8252622700803167</v>
      </c>
      <c r="G1722" s="10">
        <f t="shared" ca="1" si="131"/>
        <v>1</v>
      </c>
    </row>
    <row r="1723" spans="1:7" x14ac:dyDescent="0.2">
      <c r="A1723" s="2">
        <v>19961224</v>
      </c>
      <c r="B1723" s="13">
        <v>6522.85</v>
      </c>
      <c r="C1723" s="2">
        <f t="shared" si="132"/>
        <v>5.213422057568003E-3</v>
      </c>
      <c r="D1723" s="21">
        <f t="shared" ca="1" si="130"/>
        <v>4.8294696424611358E-3</v>
      </c>
      <c r="E1723" s="21">
        <f t="shared" ca="1" si="133"/>
        <v>6.1944596818374074E-5</v>
      </c>
      <c r="F1723" s="11">
        <f t="shared" ca="1" si="134"/>
        <v>4.656371878085821</v>
      </c>
      <c r="G1723" s="10">
        <f t="shared" ca="1" si="131"/>
        <v>1</v>
      </c>
    </row>
    <row r="1724" spans="1:7" x14ac:dyDescent="0.2">
      <c r="A1724" s="2">
        <v>19961226</v>
      </c>
      <c r="B1724" s="13">
        <v>6546.68</v>
      </c>
      <c r="C1724" s="2">
        <f t="shared" si="132"/>
        <v>3.6533110526840149E-3</v>
      </c>
      <c r="D1724" s="21">
        <f t="shared" ca="1" si="130"/>
        <v>3.2693586375771477E-3</v>
      </c>
      <c r="E1724" s="21">
        <f t="shared" ca="1" si="133"/>
        <v>6.0577458383613415E-5</v>
      </c>
      <c r="F1724" s="11">
        <f t="shared" ca="1" si="134"/>
        <v>4.7675703944082688</v>
      </c>
      <c r="G1724" s="10">
        <f t="shared" ca="1" si="131"/>
        <v>1</v>
      </c>
    </row>
    <row r="1725" spans="1:7" x14ac:dyDescent="0.2">
      <c r="A1725" s="2">
        <v>19961227</v>
      </c>
      <c r="B1725" s="13">
        <v>6560.91</v>
      </c>
      <c r="C1725" s="2">
        <f t="shared" si="132"/>
        <v>2.1736208276560889E-3</v>
      </c>
      <c r="D1725" s="21">
        <f t="shared" ca="1" si="130"/>
        <v>1.7896684125492217E-3</v>
      </c>
      <c r="E1725" s="21">
        <f t="shared" ca="1" si="133"/>
        <v>5.8814870305672347E-5</v>
      </c>
      <c r="F1725" s="11">
        <f t="shared" ca="1" si="134"/>
        <v>4.8433291504047746</v>
      </c>
      <c r="G1725" s="10">
        <f t="shared" ca="1" si="131"/>
        <v>1</v>
      </c>
    </row>
    <row r="1726" spans="1:7" x14ac:dyDescent="0.2">
      <c r="A1726" s="2">
        <v>19961230</v>
      </c>
      <c r="B1726" s="13">
        <v>6549.37</v>
      </c>
      <c r="C1726" s="2">
        <f t="shared" si="132"/>
        <v>-1.7589023473877806E-3</v>
      </c>
      <c r="D1726" s="21">
        <f t="shared" ca="1" si="130"/>
        <v>-2.1428547624946477E-3</v>
      </c>
      <c r="E1726" s="21">
        <f t="shared" ca="1" si="133"/>
        <v>5.6866186464419765E-5</v>
      </c>
      <c r="F1726" s="11">
        <f t="shared" ca="1" si="134"/>
        <v>4.8470308657152481</v>
      </c>
      <c r="G1726" s="10">
        <f t="shared" ca="1" si="131"/>
        <v>1</v>
      </c>
    </row>
    <row r="1727" spans="1:7" x14ac:dyDescent="0.2">
      <c r="A1727" s="2">
        <v>19961231</v>
      </c>
      <c r="B1727" s="13">
        <v>6448.27</v>
      </c>
      <c r="C1727" s="2">
        <f t="shared" si="132"/>
        <v>-1.5436599245423522E-2</v>
      </c>
      <c r="D1727" s="21">
        <f t="shared" ca="1" si="130"/>
        <v>-1.5820551660530389E-2</v>
      </c>
      <c r="E1727" s="21">
        <f t="shared" ca="1" si="133"/>
        <v>5.506715995506202E-5</v>
      </c>
      <c r="F1727" s="11">
        <f t="shared" ca="1" si="134"/>
        <v>2.6308912308372636</v>
      </c>
      <c r="G1727" s="10">
        <f t="shared" ca="1" si="131"/>
        <v>0</v>
      </c>
    </row>
    <row r="1728" spans="1:7" x14ac:dyDescent="0.2">
      <c r="A1728" s="2">
        <v>19970102</v>
      </c>
      <c r="B1728" s="13">
        <v>6442.49</v>
      </c>
      <c r="C1728" s="2">
        <f t="shared" si="132"/>
        <v>-8.9636445124051172E-4</v>
      </c>
      <c r="D1728" s="21">
        <f t="shared" ca="1" si="130"/>
        <v>-1.2803168663473789E-3</v>
      </c>
      <c r="E1728" s="21">
        <f t="shared" ca="1" si="133"/>
        <v>6.2393892290459995E-5</v>
      </c>
      <c r="F1728" s="11">
        <f t="shared" ca="1" si="134"/>
        <v>4.8278855921644448</v>
      </c>
      <c r="G1728" s="10">
        <f t="shared" ca="1" si="131"/>
        <v>1</v>
      </c>
    </row>
    <row r="1729" spans="1:7" x14ac:dyDescent="0.2">
      <c r="A1729" s="2">
        <v>19970103</v>
      </c>
      <c r="B1729" s="13">
        <v>6544.09</v>
      </c>
      <c r="C1729" s="2">
        <f t="shared" si="132"/>
        <v>1.5770299992704739E-2</v>
      </c>
      <c r="D1729" s="21">
        <f t="shared" ca="1" si="130"/>
        <v>1.5386347577597872E-2</v>
      </c>
      <c r="E1729" s="21">
        <f t="shared" ca="1" si="133"/>
        <v>6.0206644504959187E-5</v>
      </c>
      <c r="F1729" s="11">
        <f t="shared" ca="1" si="134"/>
        <v>2.892804410693163</v>
      </c>
      <c r="G1729" s="10">
        <f t="shared" ca="1" si="131"/>
        <v>0</v>
      </c>
    </row>
    <row r="1730" spans="1:7" x14ac:dyDescent="0.2">
      <c r="A1730" s="2">
        <v>19970106</v>
      </c>
      <c r="B1730" s="13">
        <v>6567.18</v>
      </c>
      <c r="C1730" s="2">
        <f t="shared" si="132"/>
        <v>3.5283744569527841E-3</v>
      </c>
      <c r="D1730" s="21">
        <f t="shared" ca="1" si="130"/>
        <v>3.1444220418459169E-3</v>
      </c>
      <c r="E1730" s="21">
        <f t="shared" ca="1" si="133"/>
        <v>6.6775105469611909E-5</v>
      </c>
      <c r="F1730" s="11">
        <f t="shared" ca="1" si="134"/>
        <v>4.7330551089196211</v>
      </c>
      <c r="G1730" s="10">
        <f t="shared" ca="1" si="131"/>
        <v>1</v>
      </c>
    </row>
    <row r="1731" spans="1:7" x14ac:dyDescent="0.2">
      <c r="A1731" s="2">
        <v>19970107</v>
      </c>
      <c r="B1731" s="13">
        <v>6600.66</v>
      </c>
      <c r="C1731" s="2">
        <f t="shared" si="132"/>
        <v>5.0980786273559673E-3</v>
      </c>
      <c r="D1731" s="21">
        <f t="shared" ca="1" si="130"/>
        <v>4.7141262122491001E-3</v>
      </c>
      <c r="E1731" s="21">
        <f t="shared" ca="1" si="133"/>
        <v>6.4669510599270927E-5</v>
      </c>
      <c r="F1731" s="11">
        <f t="shared" ca="1" si="134"/>
        <v>4.6512907005264159</v>
      </c>
      <c r="G1731" s="10">
        <f t="shared" ca="1" si="131"/>
        <v>1</v>
      </c>
    </row>
    <row r="1732" spans="1:7" x14ac:dyDescent="0.2">
      <c r="A1732" s="2">
        <v>19970108</v>
      </c>
      <c r="B1732" s="13">
        <v>6549.48</v>
      </c>
      <c r="C1732" s="2">
        <f t="shared" si="132"/>
        <v>-7.7537700775377454E-3</v>
      </c>
      <c r="D1732" s="21">
        <f t="shared" ca="1" si="130"/>
        <v>-8.1377224926446126E-3</v>
      </c>
      <c r="E1732" s="21">
        <f t="shared" ca="1" si="133"/>
        <v>6.3124039868983563E-5</v>
      </c>
      <c r="F1732" s="11">
        <f t="shared" ca="1" si="134"/>
        <v>4.3106615917095841</v>
      </c>
      <c r="G1732" s="10">
        <f t="shared" ca="1" si="131"/>
        <v>0</v>
      </c>
    </row>
    <row r="1733" spans="1:7" x14ac:dyDescent="0.2">
      <c r="A1733" s="2">
        <v>19970109</v>
      </c>
      <c r="B1733" s="13">
        <v>6625.67</v>
      </c>
      <c r="C1733" s="2">
        <f t="shared" si="132"/>
        <v>1.1632984603357903E-2</v>
      </c>
      <c r="D1733" s="21">
        <f t="shared" ca="1" si="130"/>
        <v>1.1249032188251035E-2</v>
      </c>
      <c r="E1733" s="21">
        <f t="shared" ca="1" si="133"/>
        <v>6.3274694975176939E-5</v>
      </c>
      <c r="F1733" s="11">
        <f t="shared" ca="1" si="134"/>
        <v>3.8340810056193608</v>
      </c>
      <c r="G1733" s="10">
        <f t="shared" ca="1" si="131"/>
        <v>0</v>
      </c>
    </row>
    <row r="1734" spans="1:7" x14ac:dyDescent="0.2">
      <c r="A1734" s="2">
        <v>19970110</v>
      </c>
      <c r="B1734" s="13">
        <v>6703.79</v>
      </c>
      <c r="C1734" s="2">
        <f t="shared" si="132"/>
        <v>1.1790505714893722E-2</v>
      </c>
      <c r="D1734" s="21">
        <f t="shared" ca="1" si="130"/>
        <v>1.1406553299786855E-2</v>
      </c>
      <c r="E1734" s="21">
        <f t="shared" ca="1" si="133"/>
        <v>6.5635733841644953E-5</v>
      </c>
      <c r="F1734" s="11">
        <f t="shared" ca="1" si="134"/>
        <v>3.8245471014403303</v>
      </c>
      <c r="G1734" s="10">
        <f t="shared" ca="1" si="131"/>
        <v>0</v>
      </c>
    </row>
    <row r="1735" spans="1:7" x14ac:dyDescent="0.2">
      <c r="A1735" s="2">
        <v>19970113</v>
      </c>
      <c r="B1735" s="13">
        <v>6709.18</v>
      </c>
      <c r="C1735" s="2">
        <f t="shared" si="132"/>
        <v>8.0402279904357495E-4</v>
      </c>
      <c r="D1735" s="21">
        <f t="shared" ca="1" si="130"/>
        <v>4.2007038393670766E-4</v>
      </c>
      <c r="E1735" s="21">
        <f t="shared" ca="1" si="133"/>
        <v>6.8008555518353489E-5</v>
      </c>
      <c r="F1735" s="11">
        <f t="shared" ca="1" si="134"/>
        <v>4.7966411917692344</v>
      </c>
      <c r="G1735" s="10">
        <f t="shared" ca="1" si="131"/>
        <v>1</v>
      </c>
    </row>
    <row r="1736" spans="1:7" x14ac:dyDescent="0.2">
      <c r="A1736" s="2">
        <v>19970114</v>
      </c>
      <c r="B1736" s="13">
        <v>6762.29</v>
      </c>
      <c r="C1736" s="2">
        <f t="shared" si="132"/>
        <v>7.9160195433718682E-3</v>
      </c>
      <c r="D1736" s="21">
        <f t="shared" ca="1" si="130"/>
        <v>7.532067128265001E-3</v>
      </c>
      <c r="E1736" s="21">
        <f t="shared" ca="1" si="133"/>
        <v>6.5483472120826723E-5</v>
      </c>
      <c r="F1736" s="11">
        <f t="shared" ca="1" si="134"/>
        <v>4.3836781137964058</v>
      </c>
      <c r="G1736" s="10">
        <f t="shared" ca="1" si="131"/>
        <v>1</v>
      </c>
    </row>
    <row r="1737" spans="1:7" x14ac:dyDescent="0.2">
      <c r="A1737" s="2">
        <v>19970115</v>
      </c>
      <c r="B1737" s="13">
        <v>6726.88</v>
      </c>
      <c r="C1737" s="2">
        <f t="shared" si="132"/>
        <v>-5.2363918140156448E-3</v>
      </c>
      <c r="D1737" s="21">
        <f t="shared" ca="1" si="130"/>
        <v>-5.620344229122512E-3</v>
      </c>
      <c r="E1737" s="21">
        <f t="shared" ca="1" si="133"/>
        <v>6.5165780805593132E-5</v>
      </c>
      <c r="F1737" s="11">
        <f t="shared" ca="1" si="134"/>
        <v>4.5769194985924955</v>
      </c>
      <c r="G1737" s="10">
        <f t="shared" ca="1" si="131"/>
        <v>1</v>
      </c>
    </row>
    <row r="1738" spans="1:7" x14ac:dyDescent="0.2">
      <c r="A1738" s="2">
        <v>19970116</v>
      </c>
      <c r="B1738" s="13">
        <v>6765.37</v>
      </c>
      <c r="C1738" s="2">
        <f t="shared" si="132"/>
        <v>5.721820517089614E-3</v>
      </c>
      <c r="D1738" s="21">
        <f t="shared" ca="1" si="130"/>
        <v>5.3378681019827469E-3</v>
      </c>
      <c r="E1738" s="21">
        <f t="shared" ca="1" si="133"/>
        <v>6.393958142165446E-5</v>
      </c>
      <c r="F1738" s="11">
        <f t="shared" ca="1" si="134"/>
        <v>4.6059753579181448</v>
      </c>
      <c r="G1738" s="10">
        <f t="shared" ca="1" si="131"/>
        <v>1</v>
      </c>
    </row>
    <row r="1739" spans="1:7" x14ac:dyDescent="0.2">
      <c r="A1739" s="2">
        <v>19970117</v>
      </c>
      <c r="B1739" s="13">
        <v>6833.1</v>
      </c>
      <c r="C1739" s="2">
        <f t="shared" si="132"/>
        <v>1.0011278023227181E-2</v>
      </c>
      <c r="D1739" s="21">
        <f t="shared" ca="1" si="130"/>
        <v>9.6273256081203136E-3</v>
      </c>
      <c r="E1739" s="21">
        <f t="shared" ca="1" si="133"/>
        <v>6.2661591378150241E-5</v>
      </c>
      <c r="F1739" s="11">
        <f t="shared" ca="1" si="134"/>
        <v>4.0993098838399691</v>
      </c>
      <c r="G1739" s="10">
        <f t="shared" ca="1" si="131"/>
        <v>0</v>
      </c>
    </row>
    <row r="1740" spans="1:7" x14ac:dyDescent="0.2">
      <c r="A1740" s="2">
        <v>19970120</v>
      </c>
      <c r="B1740" s="13">
        <v>6843.87</v>
      </c>
      <c r="C1740" s="2">
        <f t="shared" si="132"/>
        <v>1.5761513807787866E-3</v>
      </c>
      <c r="D1740" s="21">
        <f t="shared" ca="1" si="130"/>
        <v>1.1921989656719194E-3</v>
      </c>
      <c r="E1740" s="21">
        <f t="shared" ca="1" si="133"/>
        <v>6.3808727877757914E-5</v>
      </c>
      <c r="F1740" s="11">
        <f t="shared" ca="1" si="134"/>
        <v>4.8186727963362532</v>
      </c>
      <c r="G1740" s="10">
        <f t="shared" ca="1" si="131"/>
        <v>1</v>
      </c>
    </row>
    <row r="1741" spans="1:7" x14ac:dyDescent="0.2">
      <c r="A1741" s="2">
        <v>19970121</v>
      </c>
      <c r="B1741" s="13">
        <v>6883.9</v>
      </c>
      <c r="C1741" s="2">
        <f t="shared" si="132"/>
        <v>5.8490298617594645E-3</v>
      </c>
      <c r="D1741" s="21">
        <f t="shared" ca="1" si="130"/>
        <v>5.4650774466525973E-3</v>
      </c>
      <c r="E1741" s="21">
        <f t="shared" ca="1" si="133"/>
        <v>6.1541891526925905E-5</v>
      </c>
      <c r="F1741" s="11">
        <f t="shared" ca="1" si="134"/>
        <v>4.6052397950961073</v>
      </c>
      <c r="G1741" s="10">
        <f t="shared" ca="1" si="131"/>
        <v>1</v>
      </c>
    </row>
    <row r="1742" spans="1:7" x14ac:dyDescent="0.2">
      <c r="A1742" s="2">
        <v>19970122</v>
      </c>
      <c r="B1742" s="13">
        <v>6850.03</v>
      </c>
      <c r="C1742" s="2">
        <f t="shared" si="132"/>
        <v>-4.9201760629875354E-3</v>
      </c>
      <c r="D1742" s="21">
        <f t="shared" ref="D1742:D1805" ca="1" si="135">(C1742-mu)</f>
        <v>-5.3041284780944026E-3</v>
      </c>
      <c r="E1742" s="21">
        <f t="shared" ca="1" si="133"/>
        <v>6.043573444803486E-5</v>
      </c>
      <c r="F1742" s="11">
        <f t="shared" ca="1" si="134"/>
        <v>4.6242071847111745</v>
      </c>
      <c r="G1742" s="10">
        <f t="shared" ref="G1742:G1805" ca="1" si="136">IF(AND(C1742&lt;=mu+zvalue*SQRT(E1742),C1742&gt;=mu-zvalue*SQRT(E1742)),1,0)</f>
        <v>1</v>
      </c>
    </row>
    <row r="1743" spans="1:7" x14ac:dyDescent="0.2">
      <c r="A1743" s="2">
        <v>19970123</v>
      </c>
      <c r="B1743" s="13">
        <v>6755.75</v>
      </c>
      <c r="C1743" s="2">
        <f t="shared" ref="C1743:C1806" si="137">(B1743-B1742)/B1742</f>
        <v>-1.3763443371780816E-2</v>
      </c>
      <c r="D1743" s="21">
        <f t="shared" ca="1" si="135"/>
        <v>-1.4147395786887684E-2</v>
      </c>
      <c r="E1743" s="21">
        <f t="shared" ref="E1743:E1806" ca="1" si="138">(1-alpha-beta)*longvar+alpha*D1742^2+beta*E1742</f>
        <v>5.932180202519342E-5</v>
      </c>
      <c r="F1743" s="11">
        <f t="shared" ref="F1743:F1806" ca="1" si="139">(-0.5)*(LN(E1743)+D1743^2/E1743)</f>
        <v>3.1792917168631547</v>
      </c>
      <c r="G1743" s="10">
        <f t="shared" ca="1" si="136"/>
        <v>0</v>
      </c>
    </row>
    <row r="1744" spans="1:7" x14ac:dyDescent="0.2">
      <c r="A1744" s="2">
        <v>19970124</v>
      </c>
      <c r="B1744" s="13">
        <v>6696.48</v>
      </c>
      <c r="C1744" s="2">
        <f t="shared" si="137"/>
        <v>-8.7732672168153707E-3</v>
      </c>
      <c r="D1744" s="21">
        <f t="shared" ca="1" si="135"/>
        <v>-9.1572196319222379E-3</v>
      </c>
      <c r="E1744" s="21">
        <f t="shared" ca="1" si="138"/>
        <v>6.4589516759782319E-5</v>
      </c>
      <c r="F1744" s="11">
        <f t="shared" ca="1" si="139"/>
        <v>4.1745939143074517</v>
      </c>
      <c r="G1744" s="10">
        <f t="shared" ca="1" si="136"/>
        <v>0</v>
      </c>
    </row>
    <row r="1745" spans="1:7" x14ac:dyDescent="0.2">
      <c r="A1745" s="2">
        <v>19970127</v>
      </c>
      <c r="B1745" s="13">
        <v>6660.69</v>
      </c>
      <c r="C1745" s="2">
        <f t="shared" si="137"/>
        <v>-5.3445989534800318E-3</v>
      </c>
      <c r="D1745" s="21">
        <f t="shared" ca="1" si="135"/>
        <v>-5.728551368586899E-3</v>
      </c>
      <c r="E1745" s="21">
        <f t="shared" ca="1" si="138"/>
        <v>6.5314397629708435E-5</v>
      </c>
      <c r="F1745" s="11">
        <f t="shared" ca="1" si="139"/>
        <v>4.5669310606982574</v>
      </c>
      <c r="G1745" s="10">
        <f t="shared" ca="1" si="136"/>
        <v>1</v>
      </c>
    </row>
    <row r="1746" spans="1:7" x14ac:dyDescent="0.2">
      <c r="A1746" s="2">
        <v>19970128</v>
      </c>
      <c r="B1746" s="13">
        <v>6656.08</v>
      </c>
      <c r="C1746" s="2">
        <f t="shared" si="137"/>
        <v>-6.9212048601566397E-4</v>
      </c>
      <c r="D1746" s="21">
        <f t="shared" ca="1" si="135"/>
        <v>-1.0760729011225312E-3</v>
      </c>
      <c r="E1746" s="21">
        <f t="shared" ca="1" si="138"/>
        <v>6.4125836535214987E-5</v>
      </c>
      <c r="F1746" s="11">
        <f t="shared" ca="1" si="139"/>
        <v>4.8183030058892449</v>
      </c>
      <c r="G1746" s="10">
        <f t="shared" ca="1" si="136"/>
        <v>1</v>
      </c>
    </row>
    <row r="1747" spans="1:7" x14ac:dyDescent="0.2">
      <c r="A1747" s="2">
        <v>19970129</v>
      </c>
      <c r="B1747" s="13">
        <v>6740.74</v>
      </c>
      <c r="C1747" s="2">
        <f t="shared" si="137"/>
        <v>1.2719198086561438E-2</v>
      </c>
      <c r="D1747" s="21">
        <f t="shared" ca="1" si="135"/>
        <v>1.2335245671454571E-2</v>
      </c>
      <c r="E1747" s="21">
        <f t="shared" ca="1" si="138"/>
        <v>6.1833271673379799E-5</v>
      </c>
      <c r="F1747" s="11">
        <f t="shared" ca="1" si="139"/>
        <v>3.6151428029371218</v>
      </c>
      <c r="G1747" s="10">
        <f t="shared" ca="1" si="136"/>
        <v>0</v>
      </c>
    </row>
    <row r="1748" spans="1:7" x14ac:dyDescent="0.2">
      <c r="A1748" s="2">
        <v>19970130</v>
      </c>
      <c r="B1748" s="13">
        <v>6823.86</v>
      </c>
      <c r="C1748" s="2">
        <f t="shared" si="137"/>
        <v>1.2330990366042882E-2</v>
      </c>
      <c r="D1748" s="21">
        <f t="shared" ca="1" si="135"/>
        <v>1.1947037950936015E-2</v>
      </c>
      <c r="E1748" s="21">
        <f t="shared" ca="1" si="138"/>
        <v>6.5209235052127412E-5</v>
      </c>
      <c r="F1748" s="11">
        <f t="shared" ca="1" si="139"/>
        <v>3.7245413706627595</v>
      </c>
      <c r="G1748" s="10">
        <f t="shared" ca="1" si="136"/>
        <v>0</v>
      </c>
    </row>
    <row r="1749" spans="1:7" x14ac:dyDescent="0.2">
      <c r="A1749" s="2">
        <v>19970131</v>
      </c>
      <c r="B1749" s="13">
        <v>6813.09</v>
      </c>
      <c r="C1749" s="2">
        <f t="shared" si="137"/>
        <v>-1.5782856037491284E-3</v>
      </c>
      <c r="D1749" s="21">
        <f t="shared" ca="1" si="135"/>
        <v>-1.9622380188559956E-3</v>
      </c>
      <c r="E1749" s="21">
        <f t="shared" ca="1" si="138"/>
        <v>6.8067775894780009E-5</v>
      </c>
      <c r="F1749" s="11">
        <f t="shared" ca="1" si="139"/>
        <v>4.7692199093622305</v>
      </c>
      <c r="G1749" s="10">
        <f t="shared" ca="1" si="136"/>
        <v>1</v>
      </c>
    </row>
    <row r="1750" spans="1:7" x14ac:dyDescent="0.2">
      <c r="A1750" s="2">
        <v>19970203</v>
      </c>
      <c r="B1750" s="13">
        <v>6806.16</v>
      </c>
      <c r="C1750" s="2">
        <f t="shared" si="137"/>
        <v>-1.0171596148003757E-3</v>
      </c>
      <c r="D1750" s="21">
        <f t="shared" ca="1" si="135"/>
        <v>-1.4011120299072428E-3</v>
      </c>
      <c r="E1750" s="21">
        <f t="shared" ca="1" si="138"/>
        <v>6.5674792932257284E-5</v>
      </c>
      <c r="F1750" s="11">
        <f t="shared" ca="1" si="139"/>
        <v>4.8004519616581769</v>
      </c>
      <c r="G1750" s="10">
        <f t="shared" ca="1" si="136"/>
        <v>1</v>
      </c>
    </row>
    <row r="1751" spans="1:7" x14ac:dyDescent="0.2">
      <c r="A1751" s="2">
        <v>19970204</v>
      </c>
      <c r="B1751" s="13">
        <v>6833.48</v>
      </c>
      <c r="C1751" s="2">
        <f t="shared" si="137"/>
        <v>4.014010837241515E-3</v>
      </c>
      <c r="D1751" s="21">
        <f t="shared" ca="1" si="135"/>
        <v>3.6300584221346478E-3</v>
      </c>
      <c r="E1751" s="21">
        <f t="shared" ca="1" si="138"/>
        <v>6.333347380547547E-5</v>
      </c>
      <c r="F1751" s="11">
        <f t="shared" ca="1" si="139"/>
        <v>4.7295170025535427</v>
      </c>
      <c r="G1751" s="10">
        <f t="shared" ca="1" si="136"/>
        <v>1</v>
      </c>
    </row>
    <row r="1752" spans="1:7" x14ac:dyDescent="0.2">
      <c r="A1752" s="2">
        <v>19970205</v>
      </c>
      <c r="B1752" s="13">
        <v>6746.9</v>
      </c>
      <c r="C1752" s="2">
        <f t="shared" si="137"/>
        <v>-1.26699719615774E-2</v>
      </c>
      <c r="D1752" s="21">
        <f t="shared" ca="1" si="135"/>
        <v>-1.3053924376684267E-2</v>
      </c>
      <c r="E1752" s="21">
        <f t="shared" ca="1" si="138"/>
        <v>6.1522968838072104E-5</v>
      </c>
      <c r="F1752" s="11">
        <f t="shared" ca="1" si="139"/>
        <v>3.4631611825618487</v>
      </c>
      <c r="G1752" s="10">
        <f t="shared" ca="1" si="136"/>
        <v>0</v>
      </c>
    </row>
    <row r="1753" spans="1:7" x14ac:dyDescent="0.2">
      <c r="A1753" s="2">
        <v>19970206</v>
      </c>
      <c r="B1753" s="13">
        <v>6773.06</v>
      </c>
      <c r="C1753" s="2">
        <f t="shared" si="137"/>
        <v>3.8773362581334785E-3</v>
      </c>
      <c r="D1753" s="21">
        <f t="shared" ca="1" si="135"/>
        <v>3.4933838430266113E-3</v>
      </c>
      <c r="E1753" s="21">
        <f t="shared" ca="1" si="138"/>
        <v>6.5585591934813235E-5</v>
      </c>
      <c r="F1753" s="11">
        <f t="shared" ca="1" si="139"/>
        <v>4.7230405866170972</v>
      </c>
      <c r="G1753" s="10">
        <f t="shared" ca="1" si="136"/>
        <v>1</v>
      </c>
    </row>
    <row r="1754" spans="1:7" x14ac:dyDescent="0.2">
      <c r="A1754" s="2">
        <v>19970207</v>
      </c>
      <c r="B1754" s="13">
        <v>6855.8</v>
      </c>
      <c r="C1754" s="2">
        <f t="shared" si="137"/>
        <v>1.2216044151387965E-2</v>
      </c>
      <c r="D1754" s="21">
        <f t="shared" ca="1" si="135"/>
        <v>1.1832091736281098E-2</v>
      </c>
      <c r="E1754" s="21">
        <f t="shared" ca="1" si="138"/>
        <v>6.3625350837747988E-5</v>
      </c>
      <c r="F1754" s="11">
        <f t="shared" ca="1" si="139"/>
        <v>3.7310715014700895</v>
      </c>
      <c r="G1754" s="10">
        <f t="shared" ca="1" si="136"/>
        <v>0</v>
      </c>
    </row>
    <row r="1755" spans="1:7" x14ac:dyDescent="0.2">
      <c r="A1755" s="2">
        <v>19970210</v>
      </c>
      <c r="B1755" s="13">
        <v>6806.54</v>
      </c>
      <c r="C1755" s="2">
        <f t="shared" si="137"/>
        <v>-7.1851570932641292E-3</v>
      </c>
      <c r="D1755" s="21">
        <f t="shared" ca="1" si="135"/>
        <v>-7.5691095083709964E-3</v>
      </c>
      <c r="E1755" s="21">
        <f t="shared" ca="1" si="138"/>
        <v>6.6463511920655623E-5</v>
      </c>
      <c r="F1755" s="11">
        <f t="shared" ca="1" si="139"/>
        <v>4.3784296937966163</v>
      </c>
      <c r="G1755" s="10">
        <f t="shared" ca="1" si="136"/>
        <v>1</v>
      </c>
    </row>
    <row r="1756" spans="1:7" x14ac:dyDescent="0.2">
      <c r="A1756" s="2">
        <v>19970211</v>
      </c>
      <c r="B1756" s="13">
        <v>6858.11</v>
      </c>
      <c r="C1756" s="2">
        <f t="shared" si="137"/>
        <v>7.5765366838363851E-3</v>
      </c>
      <c r="D1756" s="21">
        <f t="shared" ca="1" si="135"/>
        <v>7.1925842687295179E-3</v>
      </c>
      <c r="E1756" s="21">
        <f t="shared" ca="1" si="138"/>
        <v>6.6116809578181608E-5</v>
      </c>
      <c r="F1756" s="11">
        <f t="shared" ca="1" si="139"/>
        <v>4.4208174773682751</v>
      </c>
      <c r="G1756" s="10">
        <f t="shared" ca="1" si="136"/>
        <v>1</v>
      </c>
    </row>
    <row r="1757" spans="1:7" x14ac:dyDescent="0.2">
      <c r="A1757" s="2">
        <v>19970212</v>
      </c>
      <c r="B1757" s="13">
        <v>6961.63</v>
      </c>
      <c r="C1757" s="2">
        <f t="shared" si="137"/>
        <v>1.5094537707910844E-2</v>
      </c>
      <c r="D1757" s="21">
        <f t="shared" ca="1" si="135"/>
        <v>1.4710585292803977E-2</v>
      </c>
      <c r="E1757" s="21">
        <f t="shared" ca="1" si="138"/>
        <v>6.5583264130527399E-5</v>
      </c>
      <c r="F1757" s="11">
        <f t="shared" ca="1" si="139"/>
        <v>3.1662738026773605</v>
      </c>
      <c r="G1757" s="10">
        <f t="shared" ca="1" si="136"/>
        <v>0</v>
      </c>
    </row>
    <row r="1758" spans="1:7" x14ac:dyDescent="0.2">
      <c r="A1758" s="2">
        <v>19970213</v>
      </c>
      <c r="B1758" s="13">
        <v>7022.44</v>
      </c>
      <c r="C1758" s="2">
        <f t="shared" si="137"/>
        <v>8.7350232632299463E-3</v>
      </c>
      <c r="D1758" s="21">
        <f t="shared" ca="1" si="135"/>
        <v>8.3510708481230791E-3</v>
      </c>
      <c r="E1758" s="21">
        <f t="shared" ca="1" si="138"/>
        <v>7.1131842683320686E-5</v>
      </c>
      <c r="F1758" s="11">
        <f t="shared" ca="1" si="139"/>
        <v>4.2852685720515344</v>
      </c>
      <c r="G1758" s="10">
        <f t="shared" ca="1" si="136"/>
        <v>1</v>
      </c>
    </row>
    <row r="1759" spans="1:7" x14ac:dyDescent="0.2">
      <c r="A1759" s="2">
        <v>19970214</v>
      </c>
      <c r="B1759" s="13">
        <v>6988.96</v>
      </c>
      <c r="C1759" s="2">
        <f t="shared" si="137"/>
        <v>-4.7675736638546663E-3</v>
      </c>
      <c r="D1759" s="21">
        <f t="shared" ca="1" si="135"/>
        <v>-5.1515260789615335E-3</v>
      </c>
      <c r="E1759" s="21">
        <f t="shared" ca="1" si="138"/>
        <v>7.1006738150593997E-5</v>
      </c>
      <c r="F1759" s="11">
        <f t="shared" ca="1" si="139"/>
        <v>4.5894967458047011</v>
      </c>
      <c r="G1759" s="10">
        <f t="shared" ca="1" si="136"/>
        <v>1</v>
      </c>
    </row>
    <row r="1760" spans="1:7" x14ac:dyDescent="0.2">
      <c r="A1760" s="2">
        <v>19970218</v>
      </c>
      <c r="B1760" s="13">
        <v>7067.46</v>
      </c>
      <c r="C1760" s="2">
        <f t="shared" si="137"/>
        <v>1.123200018314599E-2</v>
      </c>
      <c r="D1760" s="21">
        <f t="shared" ca="1" si="135"/>
        <v>1.0848047768039123E-2</v>
      </c>
      <c r="E1760" s="21">
        <f t="shared" ca="1" si="138"/>
        <v>6.9299343717313172E-5</v>
      </c>
      <c r="F1760" s="11">
        <f t="shared" ca="1" si="139"/>
        <v>3.9394664582565504</v>
      </c>
      <c r="G1760" s="10">
        <f t="shared" ca="1" si="136"/>
        <v>0</v>
      </c>
    </row>
    <row r="1761" spans="1:7" x14ac:dyDescent="0.2">
      <c r="A1761" s="2">
        <v>19970219</v>
      </c>
      <c r="B1761" s="13">
        <v>7020.13</v>
      </c>
      <c r="C1761" s="2">
        <f t="shared" si="137"/>
        <v>-6.6968896887990769E-3</v>
      </c>
      <c r="D1761" s="21">
        <f t="shared" ca="1" si="135"/>
        <v>-7.0808421039059441E-3</v>
      </c>
      <c r="E1761" s="21">
        <f t="shared" ca="1" si="138"/>
        <v>7.1029774446317568E-5</v>
      </c>
      <c r="F1761" s="11">
        <f t="shared" ca="1" si="139"/>
        <v>4.4232669179862674</v>
      </c>
      <c r="G1761" s="10">
        <f t="shared" ca="1" si="136"/>
        <v>1</v>
      </c>
    </row>
    <row r="1762" spans="1:7" x14ac:dyDescent="0.2">
      <c r="A1762" s="2">
        <v>19970220</v>
      </c>
      <c r="B1762" s="13">
        <v>6927.38</v>
      </c>
      <c r="C1762" s="2">
        <f t="shared" si="137"/>
        <v>-1.3212006045472091E-2</v>
      </c>
      <c r="D1762" s="21">
        <f t="shared" ca="1" si="135"/>
        <v>-1.3595958460578959E-2</v>
      </c>
      <c r="E1762" s="21">
        <f t="shared" ca="1" si="138"/>
        <v>7.0189031628687179E-5</v>
      </c>
      <c r="F1762" s="11">
        <f t="shared" ca="1" si="139"/>
        <v>3.4653574512746532</v>
      </c>
      <c r="G1762" s="10">
        <f t="shared" ca="1" si="136"/>
        <v>0</v>
      </c>
    </row>
    <row r="1763" spans="1:7" x14ac:dyDescent="0.2">
      <c r="A1763" s="2">
        <v>19970221</v>
      </c>
      <c r="B1763" s="13">
        <v>6931.62</v>
      </c>
      <c r="C1763" s="2">
        <f t="shared" si="137"/>
        <v>6.1206401265699031E-4</v>
      </c>
      <c r="D1763" s="21">
        <f t="shared" ca="1" si="135"/>
        <v>2.2811159755012301E-4</v>
      </c>
      <c r="E1763" s="21">
        <f t="shared" ca="1" si="138"/>
        <v>7.4344408952713061E-5</v>
      </c>
      <c r="F1763" s="11">
        <f t="shared" ca="1" si="139"/>
        <v>4.7530510850530181</v>
      </c>
      <c r="G1763" s="10">
        <f t="shared" ca="1" si="136"/>
        <v>1</v>
      </c>
    </row>
    <row r="1764" spans="1:7" x14ac:dyDescent="0.2">
      <c r="A1764" s="2">
        <v>19970224</v>
      </c>
      <c r="B1764" s="13">
        <v>7008.2</v>
      </c>
      <c r="C1764" s="2">
        <f t="shared" si="137"/>
        <v>1.1047922419290141E-2</v>
      </c>
      <c r="D1764" s="21">
        <f t="shared" ca="1" si="135"/>
        <v>1.0663970004183274E-2</v>
      </c>
      <c r="E1764" s="21">
        <f t="shared" ca="1" si="138"/>
        <v>7.1494217347711962E-5</v>
      </c>
      <c r="F1764" s="11">
        <f t="shared" ca="1" si="139"/>
        <v>3.9776361249264736</v>
      </c>
      <c r="G1764" s="10">
        <f t="shared" ca="1" si="136"/>
        <v>0</v>
      </c>
    </row>
    <row r="1765" spans="1:7" x14ac:dyDescent="0.2">
      <c r="A1765" s="2">
        <v>19970225</v>
      </c>
      <c r="B1765" s="13">
        <v>7037.83</v>
      </c>
      <c r="C1765" s="2">
        <f t="shared" si="137"/>
        <v>4.2279044547815572E-3</v>
      </c>
      <c r="D1765" s="21">
        <f t="shared" ca="1" si="135"/>
        <v>3.8439520396746901E-3</v>
      </c>
      <c r="E1765" s="21">
        <f t="shared" ca="1" si="138"/>
        <v>7.2967996843547372E-5</v>
      </c>
      <c r="F1765" s="11">
        <f t="shared" ca="1" si="139"/>
        <v>4.6614951630238721</v>
      </c>
      <c r="G1765" s="10">
        <f t="shared" ca="1" si="136"/>
        <v>1</v>
      </c>
    </row>
    <row r="1766" spans="1:7" x14ac:dyDescent="0.2">
      <c r="A1766" s="2">
        <v>19970226</v>
      </c>
      <c r="B1766" s="13">
        <v>6983.18</v>
      </c>
      <c r="C1766" s="2">
        <f t="shared" si="137"/>
        <v>-7.7651776186693396E-3</v>
      </c>
      <c r="D1766" s="21">
        <f t="shared" ca="1" si="135"/>
        <v>-8.1491300337762067E-3</v>
      </c>
      <c r="E1766" s="21">
        <f t="shared" ca="1" si="138"/>
        <v>7.072886308273136E-5</v>
      </c>
      <c r="F1766" s="11">
        <f t="shared" ca="1" si="139"/>
        <v>4.3088714066227816</v>
      </c>
      <c r="G1766" s="10">
        <f t="shared" ca="1" si="136"/>
        <v>1</v>
      </c>
    </row>
    <row r="1767" spans="1:7" x14ac:dyDescent="0.2">
      <c r="A1767" s="2">
        <v>19970227</v>
      </c>
      <c r="B1767" s="13">
        <v>6925.07</v>
      </c>
      <c r="C1767" s="2">
        <f t="shared" si="137"/>
        <v>-8.3214237639586235E-3</v>
      </c>
      <c r="D1767" s="21">
        <f t="shared" ca="1" si="135"/>
        <v>-8.7053761790654906E-3</v>
      </c>
      <c r="E1767" s="21">
        <f t="shared" ca="1" si="138"/>
        <v>7.0501619609355233E-5</v>
      </c>
      <c r="F1767" s="11">
        <f t="shared" ca="1" si="139"/>
        <v>4.2424776257757637</v>
      </c>
      <c r="G1767" s="10">
        <f t="shared" ca="1" si="136"/>
        <v>0</v>
      </c>
    </row>
    <row r="1768" spans="1:7" x14ac:dyDescent="0.2">
      <c r="A1768" s="2">
        <v>19970228</v>
      </c>
      <c r="B1768" s="13">
        <v>6877.74</v>
      </c>
      <c r="C1768" s="2">
        <f t="shared" si="137"/>
        <v>-6.8345879536235634E-3</v>
      </c>
      <c r="D1768" s="21">
        <f t="shared" ca="1" si="135"/>
        <v>-7.2185403687304306E-3</v>
      </c>
      <c r="E1768" s="21">
        <f t="shared" ca="1" si="138"/>
        <v>7.0630616921440507E-5</v>
      </c>
      <c r="F1768" s="11">
        <f t="shared" ca="1" si="139"/>
        <v>4.4101513406941484</v>
      </c>
      <c r="G1768" s="10">
        <f t="shared" ca="1" si="136"/>
        <v>1</v>
      </c>
    </row>
    <row r="1769" spans="1:7" x14ac:dyDescent="0.2">
      <c r="A1769" s="2">
        <v>19970303</v>
      </c>
      <c r="B1769" s="13">
        <v>6918.92</v>
      </c>
      <c r="C1769" s="2">
        <f t="shared" si="137"/>
        <v>5.9874319180428879E-3</v>
      </c>
      <c r="D1769" s="21">
        <f t="shared" ca="1" si="135"/>
        <v>5.6034795029360207E-3</v>
      </c>
      <c r="E1769" s="21">
        <f t="shared" ca="1" si="138"/>
        <v>6.9882471188071463E-5</v>
      </c>
      <c r="F1769" s="11">
        <f t="shared" ca="1" si="139"/>
        <v>4.5596922152879058</v>
      </c>
      <c r="G1769" s="10">
        <f t="shared" ca="1" si="136"/>
        <v>1</v>
      </c>
    </row>
    <row r="1770" spans="1:7" x14ac:dyDescent="0.2">
      <c r="A1770" s="2">
        <v>19970304</v>
      </c>
      <c r="B1770" s="13">
        <v>6852.72</v>
      </c>
      <c r="C1770" s="2">
        <f t="shared" si="137"/>
        <v>-9.5679672550050901E-3</v>
      </c>
      <c r="D1770" s="21">
        <f t="shared" ca="1" si="135"/>
        <v>-9.9519196701119573E-3</v>
      </c>
      <c r="E1770" s="21">
        <f t="shared" ca="1" si="138"/>
        <v>6.8410692481667986E-5</v>
      </c>
      <c r="F1770" s="11">
        <f t="shared" ca="1" si="139"/>
        <v>4.0711221059749709</v>
      </c>
      <c r="G1770" s="10">
        <f t="shared" ca="1" si="136"/>
        <v>0</v>
      </c>
    </row>
    <row r="1771" spans="1:7" x14ac:dyDescent="0.2">
      <c r="A1771" s="2">
        <v>19970305</v>
      </c>
      <c r="B1771" s="13">
        <v>6945.85</v>
      </c>
      <c r="C1771" s="2">
        <f t="shared" si="137"/>
        <v>1.3590224027831299E-2</v>
      </c>
      <c r="D1771" s="21">
        <f t="shared" ca="1" si="135"/>
        <v>1.3206271612724432E-2</v>
      </c>
      <c r="E1771" s="21">
        <f t="shared" ca="1" si="138"/>
        <v>6.9500675789542824E-5</v>
      </c>
      <c r="F1771" s="11">
        <f t="shared" ca="1" si="139"/>
        <v>3.5323826231064137</v>
      </c>
      <c r="G1771" s="10">
        <f t="shared" ca="1" si="136"/>
        <v>0</v>
      </c>
    </row>
    <row r="1772" spans="1:7" x14ac:dyDescent="0.2">
      <c r="A1772" s="2">
        <v>19970306</v>
      </c>
      <c r="B1772" s="13">
        <v>6944.7</v>
      </c>
      <c r="C1772" s="2">
        <f t="shared" si="137"/>
        <v>-1.6556648934263563E-4</v>
      </c>
      <c r="D1772" s="21">
        <f t="shared" ca="1" si="135"/>
        <v>-5.4951890444950296E-4</v>
      </c>
      <c r="E1772" s="21">
        <f t="shared" ca="1" si="138"/>
        <v>7.3306815622730276E-5</v>
      </c>
      <c r="F1772" s="11">
        <f t="shared" ca="1" si="139"/>
        <v>4.7583688472725516</v>
      </c>
      <c r="G1772" s="10">
        <f t="shared" ca="1" si="136"/>
        <v>1</v>
      </c>
    </row>
    <row r="1773" spans="1:7" x14ac:dyDescent="0.2">
      <c r="A1773" s="2">
        <v>19970307</v>
      </c>
      <c r="B1773" s="13">
        <v>7000.89</v>
      </c>
      <c r="C1773" s="2">
        <f t="shared" si="137"/>
        <v>8.0910622489093129E-3</v>
      </c>
      <c r="D1773" s="21">
        <f t="shared" ca="1" si="135"/>
        <v>7.7071098338024457E-3</v>
      </c>
      <c r="E1773" s="21">
        <f t="shared" ca="1" si="138"/>
        <v>7.0518306793667014E-5</v>
      </c>
      <c r="F1773" s="11">
        <f t="shared" ca="1" si="139"/>
        <v>4.358655122064425</v>
      </c>
      <c r="G1773" s="10">
        <f t="shared" ca="1" si="136"/>
        <v>1</v>
      </c>
    </row>
    <row r="1774" spans="1:7" x14ac:dyDescent="0.2">
      <c r="A1774" s="2">
        <v>19970310</v>
      </c>
      <c r="B1774" s="13">
        <v>7079.39</v>
      </c>
      <c r="C1774" s="2">
        <f t="shared" si="137"/>
        <v>1.12128600792185E-2</v>
      </c>
      <c r="D1774" s="21">
        <f t="shared" ca="1" si="135"/>
        <v>1.0828907664111632E-2</v>
      </c>
      <c r="E1774" s="21">
        <f t="shared" ca="1" si="138"/>
        <v>7.0043990415906806E-5</v>
      </c>
      <c r="F1774" s="11">
        <f t="shared" ca="1" si="139"/>
        <v>3.9461107254236492</v>
      </c>
      <c r="G1774" s="10">
        <f t="shared" ca="1" si="136"/>
        <v>0</v>
      </c>
    </row>
    <row r="1775" spans="1:7" x14ac:dyDescent="0.2">
      <c r="A1775" s="2">
        <v>19970311</v>
      </c>
      <c r="B1775" s="13">
        <v>7085.16</v>
      </c>
      <c r="C1775" s="2">
        <f t="shared" si="137"/>
        <v>8.1504197395531632E-4</v>
      </c>
      <c r="D1775" s="21">
        <f t="shared" ca="1" si="135"/>
        <v>4.3108955884844902E-4</v>
      </c>
      <c r="E1775" s="21">
        <f t="shared" ca="1" si="138"/>
        <v>7.1721492655968944E-5</v>
      </c>
      <c r="F1775" s="11">
        <f t="shared" ca="1" si="139"/>
        <v>4.7700644940688424</v>
      </c>
      <c r="G1775" s="10">
        <f t="shared" ca="1" si="136"/>
        <v>1</v>
      </c>
    </row>
    <row r="1776" spans="1:7" x14ac:dyDescent="0.2">
      <c r="A1776" s="2">
        <v>19970312</v>
      </c>
      <c r="B1776" s="13">
        <v>7039.37</v>
      </c>
      <c r="C1776" s="2">
        <f t="shared" si="137"/>
        <v>-6.4628039451473168E-3</v>
      </c>
      <c r="D1776" s="21">
        <f t="shared" ca="1" si="135"/>
        <v>-6.846756360254184E-3</v>
      </c>
      <c r="E1776" s="21">
        <f t="shared" ca="1" si="138"/>
        <v>6.9008915431271111E-5</v>
      </c>
      <c r="F1776" s="11">
        <f t="shared" ca="1" si="139"/>
        <v>4.4509851337944886</v>
      </c>
      <c r="G1776" s="10">
        <f t="shared" ca="1" si="136"/>
        <v>1</v>
      </c>
    </row>
    <row r="1777" spans="1:7" x14ac:dyDescent="0.2">
      <c r="A1777" s="2">
        <v>19970313</v>
      </c>
      <c r="B1777" s="13">
        <v>6878.89</v>
      </c>
      <c r="C1777" s="2">
        <f t="shared" si="137"/>
        <v>-2.2797494662164308E-2</v>
      </c>
      <c r="D1777" s="21">
        <f t="shared" ca="1" si="135"/>
        <v>-2.3181447077271176E-2</v>
      </c>
      <c r="E1777" s="21">
        <f t="shared" ca="1" si="138"/>
        <v>6.8150523369051497E-5</v>
      </c>
      <c r="F1777" s="11">
        <f t="shared" ca="1" si="139"/>
        <v>0.85430333086067378</v>
      </c>
      <c r="G1777" s="10">
        <f t="shared" ca="1" si="136"/>
        <v>0</v>
      </c>
    </row>
    <row r="1778" spans="1:7" x14ac:dyDescent="0.2">
      <c r="A1778" s="2">
        <v>19970314</v>
      </c>
      <c r="B1778" s="13">
        <v>6935.46</v>
      </c>
      <c r="C1778" s="2">
        <f t="shared" si="137"/>
        <v>8.2237105114342148E-3</v>
      </c>
      <c r="D1778" s="21">
        <f t="shared" ca="1" si="135"/>
        <v>7.8397580963273476E-3</v>
      </c>
      <c r="E1778" s="21">
        <f t="shared" ca="1" si="138"/>
        <v>8.5372151146553398E-5</v>
      </c>
      <c r="F1778" s="11">
        <f t="shared" ca="1" si="139"/>
        <v>4.3242812755126101</v>
      </c>
      <c r="G1778" s="10">
        <f t="shared" ca="1" si="136"/>
        <v>1</v>
      </c>
    </row>
    <row r="1779" spans="1:7" x14ac:dyDescent="0.2">
      <c r="A1779" s="2">
        <v>19970317</v>
      </c>
      <c r="B1779" s="13">
        <v>6955.48</v>
      </c>
      <c r="C1779" s="2">
        <f t="shared" si="137"/>
        <v>2.8866145864873457E-3</v>
      </c>
      <c r="D1779" s="21">
        <f t="shared" ca="1" si="135"/>
        <v>2.5026621713804785E-3</v>
      </c>
      <c r="E1779" s="21">
        <f t="shared" ca="1" si="138"/>
        <v>8.4222206977687235E-5</v>
      </c>
      <c r="F1779" s="11">
        <f t="shared" ca="1" si="139"/>
        <v>4.6538426726530329</v>
      </c>
      <c r="G1779" s="10">
        <f t="shared" ca="1" si="136"/>
        <v>1</v>
      </c>
    </row>
    <row r="1780" spans="1:7" x14ac:dyDescent="0.2">
      <c r="A1780" s="2">
        <v>19970318</v>
      </c>
      <c r="B1780" s="13">
        <v>6896.56</v>
      </c>
      <c r="C1780" s="2">
        <f t="shared" si="137"/>
        <v>-8.4710185350254999E-3</v>
      </c>
      <c r="D1780" s="21">
        <f t="shared" ca="1" si="135"/>
        <v>-8.8549709501323671E-3</v>
      </c>
      <c r="E1780" s="21">
        <f t="shared" ca="1" si="138"/>
        <v>8.1100694040884679E-5</v>
      </c>
      <c r="F1780" s="11">
        <f t="shared" ca="1" si="139"/>
        <v>4.2264949726095944</v>
      </c>
      <c r="G1780" s="10">
        <f t="shared" ca="1" si="136"/>
        <v>1</v>
      </c>
    </row>
    <row r="1781" spans="1:7" x14ac:dyDescent="0.2">
      <c r="A1781" s="2">
        <v>19970319</v>
      </c>
      <c r="B1781" s="13">
        <v>6877.68</v>
      </c>
      <c r="C1781" s="2">
        <f t="shared" si="137"/>
        <v>-2.7375967148839577E-3</v>
      </c>
      <c r="D1781" s="21">
        <f t="shared" ca="1" si="135"/>
        <v>-3.1215491299908249E-3</v>
      </c>
      <c r="E1781" s="21">
        <f t="shared" ca="1" si="138"/>
        <v>8.079007771505125E-5</v>
      </c>
      <c r="F1781" s="11">
        <f t="shared" ca="1" si="139"/>
        <v>4.6515233382930834</v>
      </c>
      <c r="G1781" s="10">
        <f t="shared" ca="1" si="136"/>
        <v>1</v>
      </c>
    </row>
    <row r="1782" spans="1:7" x14ac:dyDescent="0.2">
      <c r="A1782" s="2">
        <v>19970320</v>
      </c>
      <c r="B1782" s="13">
        <v>6820.28</v>
      </c>
      <c r="C1782" s="2">
        <f t="shared" si="137"/>
        <v>-8.3458375498715476E-3</v>
      </c>
      <c r="D1782" s="21">
        <f t="shared" ca="1" si="135"/>
        <v>-8.7297899649784148E-3</v>
      </c>
      <c r="E1782" s="21">
        <f t="shared" ca="1" si="138"/>
        <v>7.7970190620536798E-5</v>
      </c>
      <c r="F1782" s="11">
        <f t="shared" ca="1" si="139"/>
        <v>4.240884494548828</v>
      </c>
      <c r="G1782" s="10">
        <f t="shared" ca="1" si="136"/>
        <v>1</v>
      </c>
    </row>
    <row r="1783" spans="1:7" x14ac:dyDescent="0.2">
      <c r="A1783" s="2">
        <v>19970321</v>
      </c>
      <c r="B1783" s="13">
        <v>6804.79</v>
      </c>
      <c r="C1783" s="2">
        <f t="shared" si="137"/>
        <v>-2.2711677526435544E-3</v>
      </c>
      <c r="D1783" s="21">
        <f t="shared" ca="1" si="135"/>
        <v>-2.6551201677504216E-3</v>
      </c>
      <c r="E1783" s="21">
        <f t="shared" ca="1" si="138"/>
        <v>7.7737002669120287E-5</v>
      </c>
      <c r="F1783" s="11">
        <f t="shared" ca="1" si="139"/>
        <v>4.685746560592948</v>
      </c>
      <c r="G1783" s="10">
        <f t="shared" ca="1" si="136"/>
        <v>1</v>
      </c>
    </row>
    <row r="1784" spans="1:7" x14ac:dyDescent="0.2">
      <c r="A1784" s="2">
        <v>19970324</v>
      </c>
      <c r="B1784" s="13">
        <v>6905.25</v>
      </c>
      <c r="C1784" s="2">
        <f t="shared" si="137"/>
        <v>1.4763130089245962E-2</v>
      </c>
      <c r="D1784" s="21">
        <f t="shared" ca="1" si="135"/>
        <v>1.4379177674139095E-2</v>
      </c>
      <c r="E1784" s="21">
        <f t="shared" ca="1" si="138"/>
        <v>7.4972493638204924E-5</v>
      </c>
      <c r="F1784" s="11">
        <f t="shared" ca="1" si="139"/>
        <v>3.3702839101352682</v>
      </c>
      <c r="G1784" s="10">
        <f t="shared" ca="1" si="136"/>
        <v>0</v>
      </c>
    </row>
    <row r="1785" spans="1:7" x14ac:dyDescent="0.2">
      <c r="A1785" s="2">
        <v>19970325</v>
      </c>
      <c r="B1785" s="13">
        <v>6876.17</v>
      </c>
      <c r="C1785" s="2">
        <f t="shared" si="137"/>
        <v>-4.2112885123637709E-3</v>
      </c>
      <c r="D1785" s="21">
        <f t="shared" ca="1" si="135"/>
        <v>-4.5952409274706381E-3</v>
      </c>
      <c r="E1785" s="21">
        <f t="shared" ca="1" si="138"/>
        <v>7.9691567420987414E-5</v>
      </c>
      <c r="F1785" s="11">
        <f t="shared" ca="1" si="139"/>
        <v>4.5861861035533495</v>
      </c>
      <c r="G1785" s="10">
        <f t="shared" ca="1" si="136"/>
        <v>1</v>
      </c>
    </row>
    <row r="1786" spans="1:7" x14ac:dyDescent="0.2">
      <c r="A1786" s="2">
        <v>19970326</v>
      </c>
      <c r="B1786" s="13">
        <v>6880.7</v>
      </c>
      <c r="C1786" s="2">
        <f t="shared" si="137"/>
        <v>6.5879697564192642E-4</v>
      </c>
      <c r="D1786" s="21">
        <f t="shared" ca="1" si="135"/>
        <v>2.7484456053505912E-4</v>
      </c>
      <c r="E1786" s="21">
        <f t="shared" ca="1" si="138"/>
        <v>7.7345428878936324E-5</v>
      </c>
      <c r="F1786" s="11">
        <f t="shared" ca="1" si="139"/>
        <v>4.7331262138681369</v>
      </c>
      <c r="G1786" s="10">
        <f t="shared" ca="1" si="136"/>
        <v>1</v>
      </c>
    </row>
    <row r="1787" spans="1:7" x14ac:dyDescent="0.2">
      <c r="A1787" s="2">
        <v>19970327</v>
      </c>
      <c r="B1787" s="13">
        <v>6740.59</v>
      </c>
      <c r="C1787" s="2">
        <f t="shared" si="137"/>
        <v>-2.0362753789585315E-2</v>
      </c>
      <c r="D1787" s="21">
        <f t="shared" ca="1" si="135"/>
        <v>-2.0746706204692184E-2</v>
      </c>
      <c r="E1787" s="21">
        <f t="shared" ca="1" si="138"/>
        <v>7.4344278994080041E-5</v>
      </c>
      <c r="F1787" s="11">
        <f t="shared" ca="1" si="139"/>
        <v>1.8585872513961785</v>
      </c>
      <c r="G1787" s="10">
        <f t="shared" ca="1" si="136"/>
        <v>0</v>
      </c>
    </row>
    <row r="1788" spans="1:7" x14ac:dyDescent="0.2">
      <c r="A1788" s="2">
        <v>19970331</v>
      </c>
      <c r="B1788" s="13">
        <v>6583.48</v>
      </c>
      <c r="C1788" s="2">
        <f t="shared" si="137"/>
        <v>-2.3308048701968311E-2</v>
      </c>
      <c r="D1788" s="21">
        <f t="shared" ca="1" si="135"/>
        <v>-2.369200111707518E-2</v>
      </c>
      <c r="E1788" s="21">
        <f t="shared" ca="1" si="138"/>
        <v>8.7319689433802876E-5</v>
      </c>
      <c r="F1788" s="11">
        <f t="shared" ca="1" si="139"/>
        <v>1.4588530374471285</v>
      </c>
      <c r="G1788" s="10">
        <f t="shared" ca="1" si="136"/>
        <v>0</v>
      </c>
    </row>
    <row r="1789" spans="1:7" x14ac:dyDescent="0.2">
      <c r="A1789" s="2">
        <v>19970401</v>
      </c>
      <c r="B1789" s="13">
        <v>6611.05</v>
      </c>
      <c r="C1789" s="2">
        <f t="shared" si="137"/>
        <v>4.1877548044500206E-3</v>
      </c>
      <c r="D1789" s="21">
        <f t="shared" ca="1" si="135"/>
        <v>3.8038023893431534E-3</v>
      </c>
      <c r="E1789" s="21">
        <f t="shared" ca="1" si="138"/>
        <v>1.0445154319365144E-4</v>
      </c>
      <c r="F1789" s="11">
        <f t="shared" ca="1" si="139"/>
        <v>4.5141322842291443</v>
      </c>
      <c r="G1789" s="10">
        <f t="shared" ca="1" si="136"/>
        <v>1</v>
      </c>
    </row>
    <row r="1790" spans="1:7" x14ac:dyDescent="0.2">
      <c r="A1790" s="2">
        <v>19970402</v>
      </c>
      <c r="B1790" s="13">
        <v>6517.01</v>
      </c>
      <c r="C1790" s="2">
        <f t="shared" si="137"/>
        <v>-1.4224669303665826E-2</v>
      </c>
      <c r="D1790" s="21">
        <f t="shared" ca="1" si="135"/>
        <v>-1.4608621718772693E-2</v>
      </c>
      <c r="E1790" s="21">
        <f t="shared" ca="1" si="138"/>
        <v>1.0060835552037019E-4</v>
      </c>
      <c r="F1790" s="11">
        <f t="shared" ca="1" si="139"/>
        <v>3.5415307413482306</v>
      </c>
      <c r="G1790" s="10">
        <f t="shared" ca="1" si="136"/>
        <v>0</v>
      </c>
    </row>
    <row r="1791" spans="1:7" x14ac:dyDescent="0.2">
      <c r="A1791" s="2">
        <v>19970403</v>
      </c>
      <c r="B1791" s="13">
        <v>6477.35</v>
      </c>
      <c r="C1791" s="2">
        <f t="shared" si="137"/>
        <v>-6.0856128807535749E-3</v>
      </c>
      <c r="D1791" s="21">
        <f t="shared" ca="1" si="135"/>
        <v>-6.4695652958604421E-3</v>
      </c>
      <c r="E1791" s="21">
        <f t="shared" ca="1" si="138"/>
        <v>1.0427507435842587E-4</v>
      </c>
      <c r="F1791" s="11">
        <f t="shared" ca="1" si="139"/>
        <v>4.3835426494040393</v>
      </c>
      <c r="G1791" s="10">
        <f t="shared" ca="1" si="136"/>
        <v>1</v>
      </c>
    </row>
    <row r="1792" spans="1:7" x14ac:dyDescent="0.2">
      <c r="A1792" s="2">
        <v>19970404</v>
      </c>
      <c r="B1792" s="13">
        <v>6526.07</v>
      </c>
      <c r="C1792" s="2">
        <f t="shared" si="137"/>
        <v>7.5215944792236551E-3</v>
      </c>
      <c r="D1792" s="21">
        <f t="shared" ca="1" si="135"/>
        <v>7.1376420641167879E-3</v>
      </c>
      <c r="E1792" s="21">
        <f t="shared" ca="1" si="138"/>
        <v>1.0144785866863471E-4</v>
      </c>
      <c r="F1792" s="11">
        <f t="shared" ca="1" si="139"/>
        <v>4.3468886172943213</v>
      </c>
      <c r="G1792" s="10">
        <f t="shared" ca="1" si="136"/>
        <v>1</v>
      </c>
    </row>
    <row r="1793" spans="1:7" x14ac:dyDescent="0.2">
      <c r="A1793" s="2">
        <v>19970407</v>
      </c>
      <c r="B1793" s="13">
        <v>6555.91</v>
      </c>
      <c r="C1793" s="2">
        <f t="shared" si="137"/>
        <v>4.5724302681399596E-3</v>
      </c>
      <c r="D1793" s="21">
        <f t="shared" ca="1" si="135"/>
        <v>4.1884778530330924E-3</v>
      </c>
      <c r="E1793" s="21">
        <f t="shared" ca="1" si="138"/>
        <v>9.9097952159980476E-5</v>
      </c>
      <c r="F1793" s="11">
        <f t="shared" ca="1" si="139"/>
        <v>4.5211857076883435</v>
      </c>
      <c r="G1793" s="10">
        <f t="shared" ca="1" si="136"/>
        <v>1</v>
      </c>
    </row>
    <row r="1794" spans="1:7" x14ac:dyDescent="0.2">
      <c r="A1794" s="2">
        <v>19970408</v>
      </c>
      <c r="B1794" s="13">
        <v>6609.16</v>
      </c>
      <c r="C1794" s="2">
        <f t="shared" si="137"/>
        <v>8.1224421933797138E-3</v>
      </c>
      <c r="D1794" s="21">
        <f t="shared" ca="1" si="135"/>
        <v>7.7384897782728466E-3</v>
      </c>
      <c r="E1794" s="21">
        <f t="shared" ca="1" si="138"/>
        <v>9.5638656730103223E-5</v>
      </c>
      <c r="F1794" s="11">
        <f t="shared" ca="1" si="139"/>
        <v>4.3143913165397487</v>
      </c>
      <c r="G1794" s="10">
        <f t="shared" ca="1" si="136"/>
        <v>1</v>
      </c>
    </row>
    <row r="1795" spans="1:7" x14ac:dyDescent="0.2">
      <c r="A1795" s="2">
        <v>19970409</v>
      </c>
      <c r="B1795" s="13">
        <v>6563.84</v>
      </c>
      <c r="C1795" s="2">
        <f t="shared" si="137"/>
        <v>-6.8571497739500498E-3</v>
      </c>
      <c r="D1795" s="21">
        <f t="shared" ca="1" si="135"/>
        <v>-7.241102189056917E-3</v>
      </c>
      <c r="E1795" s="21">
        <f t="shared" ca="1" si="138"/>
        <v>9.3911316183380086E-5</v>
      </c>
      <c r="F1795" s="11">
        <f t="shared" ca="1" si="139"/>
        <v>4.3574145361277372</v>
      </c>
      <c r="G1795" s="10">
        <f t="shared" ca="1" si="136"/>
        <v>1</v>
      </c>
    </row>
    <row r="1796" spans="1:7" x14ac:dyDescent="0.2">
      <c r="A1796" s="2">
        <v>19970410</v>
      </c>
      <c r="B1796" s="13">
        <v>6540.05</v>
      </c>
      <c r="C1796" s="2">
        <f t="shared" si="137"/>
        <v>-3.624402788611539E-3</v>
      </c>
      <c r="D1796" s="21">
        <f t="shared" ca="1" si="135"/>
        <v>-4.0083552037184066E-3</v>
      </c>
      <c r="E1796" s="21">
        <f t="shared" ca="1" si="138"/>
        <v>9.1997388470945523E-5</v>
      </c>
      <c r="F1796" s="11">
        <f t="shared" ca="1" si="139"/>
        <v>4.5595525341297432</v>
      </c>
      <c r="G1796" s="10">
        <f t="shared" ca="1" si="136"/>
        <v>1</v>
      </c>
    </row>
    <row r="1797" spans="1:7" x14ac:dyDescent="0.2">
      <c r="A1797" s="2">
        <v>19970411</v>
      </c>
      <c r="B1797" s="13">
        <v>6391.69</v>
      </c>
      <c r="C1797" s="2">
        <f t="shared" si="137"/>
        <v>-2.2684841859007283E-2</v>
      </c>
      <c r="D1797" s="21">
        <f t="shared" ca="1" si="135"/>
        <v>-2.3068794274114152E-2</v>
      </c>
      <c r="E1797" s="21">
        <f t="shared" ca="1" si="138"/>
        <v>8.8843021792660534E-5</v>
      </c>
      <c r="F1797" s="11">
        <f t="shared" ca="1" si="139"/>
        <v>1.6693222000042307</v>
      </c>
      <c r="G1797" s="10">
        <f t="shared" ca="1" si="136"/>
        <v>0</v>
      </c>
    </row>
    <row r="1798" spans="1:7" x14ac:dyDescent="0.2">
      <c r="A1798" s="2">
        <v>19970414</v>
      </c>
      <c r="B1798" s="13">
        <v>6451.9</v>
      </c>
      <c r="C1798" s="2">
        <f t="shared" si="137"/>
        <v>9.4200438381711309E-3</v>
      </c>
      <c r="D1798" s="21">
        <f t="shared" ca="1" si="135"/>
        <v>9.0360914230642637E-3</v>
      </c>
      <c r="E1798" s="21">
        <f t="shared" ca="1" si="138"/>
        <v>1.048262203993781E-4</v>
      </c>
      <c r="F1798" s="11">
        <f t="shared" ca="1" si="139"/>
        <v>4.1921447012199611</v>
      </c>
      <c r="G1798" s="10">
        <f t="shared" ca="1" si="136"/>
        <v>1</v>
      </c>
    </row>
    <row r="1799" spans="1:7" x14ac:dyDescent="0.2">
      <c r="A1799" s="2">
        <v>19970415</v>
      </c>
      <c r="B1799" s="13">
        <v>6587.16</v>
      </c>
      <c r="C1799" s="2">
        <f t="shared" si="137"/>
        <v>2.0964367085664723E-2</v>
      </c>
      <c r="D1799" s="21">
        <f t="shared" ca="1" si="135"/>
        <v>2.0580414670557854E-2</v>
      </c>
      <c r="E1799" s="21">
        <f t="shared" ca="1" si="138"/>
        <v>1.0343447843448731E-4</v>
      </c>
      <c r="F1799" s="11">
        <f t="shared" ca="1" si="139"/>
        <v>2.5408379280995241</v>
      </c>
      <c r="G1799" s="10">
        <f t="shared" ca="1" si="136"/>
        <v>0</v>
      </c>
    </row>
    <row r="1800" spans="1:7" x14ac:dyDescent="0.2">
      <c r="A1800" s="2">
        <v>19970416</v>
      </c>
      <c r="B1800" s="13">
        <v>6679.87</v>
      </c>
      <c r="C1800" s="2">
        <f t="shared" si="137"/>
        <v>1.4074350706526035E-2</v>
      </c>
      <c r="D1800" s="21">
        <f t="shared" ca="1" si="135"/>
        <v>1.3690398291419168E-2</v>
      </c>
      <c r="E1800" s="21">
        <f t="shared" ca="1" si="138"/>
        <v>1.1468549778501251E-4</v>
      </c>
      <c r="F1800" s="11">
        <f t="shared" ca="1" si="139"/>
        <v>3.7195237639818819</v>
      </c>
      <c r="G1800" s="10">
        <f t="shared" ca="1" si="136"/>
        <v>0</v>
      </c>
    </row>
    <row r="1801" spans="1:7" x14ac:dyDescent="0.2">
      <c r="A1801" s="2">
        <v>19970417</v>
      </c>
      <c r="B1801" s="13">
        <v>6658.6</v>
      </c>
      <c r="C1801" s="2">
        <f t="shared" si="137"/>
        <v>-3.1841937043684274E-3</v>
      </c>
      <c r="D1801" s="21">
        <f t="shared" ca="1" si="135"/>
        <v>-3.5681461194752946E-3</v>
      </c>
      <c r="E1801" s="21">
        <f t="shared" ca="1" si="138"/>
        <v>1.1668454204305227E-4</v>
      </c>
      <c r="F1801" s="11">
        <f t="shared" ca="1" si="139"/>
        <v>4.4734623161248281</v>
      </c>
      <c r="G1801" s="10">
        <f t="shared" ca="1" si="136"/>
        <v>1</v>
      </c>
    </row>
    <row r="1802" spans="1:7" x14ac:dyDescent="0.2">
      <c r="A1802" s="2">
        <v>19970418</v>
      </c>
      <c r="B1802" s="13">
        <v>6703.55</v>
      </c>
      <c r="C1802" s="2">
        <f t="shared" si="137"/>
        <v>6.7506683086534427E-3</v>
      </c>
      <c r="D1802" s="21">
        <f t="shared" ca="1" si="135"/>
        <v>6.3667158935465755E-3</v>
      </c>
      <c r="E1802" s="21">
        <f t="shared" ca="1" si="138"/>
        <v>1.1215860136550308E-4</v>
      </c>
      <c r="F1802" s="11">
        <f t="shared" ca="1" si="139"/>
        <v>4.3670940551050936</v>
      </c>
      <c r="G1802" s="10">
        <f t="shared" ca="1" si="136"/>
        <v>1</v>
      </c>
    </row>
    <row r="1803" spans="1:7" x14ac:dyDescent="0.2">
      <c r="A1803" s="2">
        <v>19970421</v>
      </c>
      <c r="B1803" s="13">
        <v>6660.21</v>
      </c>
      <c r="C1803" s="2">
        <f t="shared" si="137"/>
        <v>-6.4652311088900872E-3</v>
      </c>
      <c r="D1803" s="21">
        <f t="shared" ca="1" si="135"/>
        <v>-6.8491835239969543E-3</v>
      </c>
      <c r="E1803" s="21">
        <f t="shared" ca="1" si="138"/>
        <v>1.0888400924802132E-4</v>
      </c>
      <c r="F1803" s="11">
        <f t="shared" ca="1" si="139"/>
        <v>4.347194936028469</v>
      </c>
      <c r="G1803" s="10">
        <f t="shared" ca="1" si="136"/>
        <v>1</v>
      </c>
    </row>
    <row r="1804" spans="1:7" x14ac:dyDescent="0.2">
      <c r="A1804" s="2">
        <v>19970422</v>
      </c>
      <c r="B1804" s="13">
        <v>6833.59</v>
      </c>
      <c r="C1804" s="2">
        <f t="shared" si="137"/>
        <v>2.6032212197513307E-2</v>
      </c>
      <c r="D1804" s="21">
        <f t="shared" ca="1" si="135"/>
        <v>2.5648259782406438E-2</v>
      </c>
      <c r="E1804" s="21">
        <f t="shared" ca="1" si="138"/>
        <v>1.0600954543716654E-4</v>
      </c>
      <c r="F1804" s="11">
        <f t="shared" ca="1" si="139"/>
        <v>1.4732831778050972</v>
      </c>
      <c r="G1804" s="10">
        <f t="shared" ca="1" si="136"/>
        <v>0</v>
      </c>
    </row>
    <row r="1805" spans="1:7" x14ac:dyDescent="0.2">
      <c r="A1805" s="2">
        <v>19970423</v>
      </c>
      <c r="B1805" s="13">
        <v>6812.72</v>
      </c>
      <c r="C1805" s="2">
        <f t="shared" si="137"/>
        <v>-3.0540316290558682E-3</v>
      </c>
      <c r="D1805" s="21">
        <f t="shared" ca="1" si="135"/>
        <v>-3.4379840441627354E-3</v>
      </c>
      <c r="E1805" s="21">
        <f t="shared" ca="1" si="138"/>
        <v>1.2574516720699838E-4</v>
      </c>
      <c r="F1805" s="11">
        <f t="shared" ca="1" si="139"/>
        <v>4.4436278290742397</v>
      </c>
      <c r="G1805" s="10">
        <f t="shared" ca="1" si="136"/>
        <v>1</v>
      </c>
    </row>
    <row r="1806" spans="1:7" x14ac:dyDescent="0.2">
      <c r="A1806" s="2">
        <v>19970424</v>
      </c>
      <c r="B1806" s="13">
        <v>6792.25</v>
      </c>
      <c r="C1806" s="2">
        <f t="shared" si="137"/>
        <v>-3.0046736105403208E-3</v>
      </c>
      <c r="D1806" s="21">
        <f t="shared" ref="D1806:D1869" ca="1" si="140">(C1806-mu)</f>
        <v>-3.388626025647188E-3</v>
      </c>
      <c r="E1806" s="21">
        <f t="shared" ca="1" si="138"/>
        <v>1.2072731317089526E-4</v>
      </c>
      <c r="F1806" s="11">
        <f t="shared" ca="1" si="139"/>
        <v>4.4634313782530564</v>
      </c>
      <c r="G1806" s="10">
        <f t="shared" ref="G1806:G1869" ca="1" si="141">IF(AND(C1806&lt;=mu+zvalue*SQRT(E1806),C1806&gt;=mu-zvalue*SQRT(E1806)),1,0)</f>
        <v>1</v>
      </c>
    </row>
    <row r="1807" spans="1:7" x14ac:dyDescent="0.2">
      <c r="A1807" s="2">
        <v>19970425</v>
      </c>
      <c r="B1807" s="13">
        <v>6738.87</v>
      </c>
      <c r="C1807" s="2">
        <f t="shared" ref="C1807:C1870" si="142">(B1807-B1806)/B1806</f>
        <v>-7.858956899407429E-3</v>
      </c>
      <c r="D1807" s="21">
        <f t="shared" ca="1" si="140"/>
        <v>-8.2429093145142962E-3</v>
      </c>
      <c r="E1807" s="21">
        <f t="shared" ref="E1807:E1870" ca="1" si="143">(1-alpha-beta)*longvar+alpha*D1806^2+beta*E1806</f>
        <v>1.1595092385836909E-4</v>
      </c>
      <c r="F1807" s="11">
        <f t="shared" ref="F1807:F1870" ca="1" si="144">(-0.5)*(LN(E1807)+D1807^2/E1807)</f>
        <v>4.2381790396952495</v>
      </c>
      <c r="G1807" s="10">
        <f t="shared" ca="1" si="141"/>
        <v>1</v>
      </c>
    </row>
    <row r="1808" spans="1:7" x14ac:dyDescent="0.2">
      <c r="A1808" s="2">
        <v>19970428</v>
      </c>
      <c r="B1808" s="13">
        <v>6783.02</v>
      </c>
      <c r="C1808" s="2">
        <f t="shared" si="142"/>
        <v>6.5515435080362953E-3</v>
      </c>
      <c r="D1808" s="21">
        <f t="shared" ca="1" si="140"/>
        <v>6.1675910929294281E-3</v>
      </c>
      <c r="E1808" s="21">
        <f t="shared" ca="1" si="143"/>
        <v>1.1349240820610125E-4</v>
      </c>
      <c r="F1808" s="11">
        <f t="shared" ca="1" si="144"/>
        <v>4.3743026165627619</v>
      </c>
      <c r="G1808" s="10">
        <f t="shared" ca="1" si="141"/>
        <v>1</v>
      </c>
    </row>
    <row r="1809" spans="1:7" x14ac:dyDescent="0.2">
      <c r="A1809" s="2">
        <v>19970429</v>
      </c>
      <c r="B1809" s="13">
        <v>6962.03</v>
      </c>
      <c r="C1809" s="2">
        <f t="shared" si="142"/>
        <v>2.639089962877882E-2</v>
      </c>
      <c r="D1809" s="21">
        <f t="shared" ca="1" si="140"/>
        <v>2.6006947213671951E-2</v>
      </c>
      <c r="E1809" s="21">
        <f t="shared" ca="1" si="143"/>
        <v>1.1005856007740857E-4</v>
      </c>
      <c r="F1809" s="11">
        <f t="shared" ca="1" si="144"/>
        <v>1.4845152378229378</v>
      </c>
      <c r="G1809" s="10">
        <f t="shared" ca="1" si="141"/>
        <v>0</v>
      </c>
    </row>
    <row r="1810" spans="1:7" x14ac:dyDescent="0.2">
      <c r="A1810" s="2">
        <v>19970430</v>
      </c>
      <c r="B1810" s="13">
        <v>7008.99</v>
      </c>
      <c r="C1810" s="2">
        <f t="shared" si="142"/>
        <v>6.745159098711157E-3</v>
      </c>
      <c r="D1810" s="21">
        <f t="shared" ca="1" si="140"/>
        <v>6.3612066836042898E-3</v>
      </c>
      <c r="E1810" s="21">
        <f t="shared" ca="1" si="143"/>
        <v>1.3027065047720564E-4</v>
      </c>
      <c r="F1810" s="11">
        <f t="shared" ca="1" si="144"/>
        <v>4.3176370938818307</v>
      </c>
      <c r="G1810" s="10">
        <f t="shared" ca="1" si="141"/>
        <v>1</v>
      </c>
    </row>
    <row r="1811" spans="1:7" x14ac:dyDescent="0.2">
      <c r="A1811" s="2">
        <v>19970501</v>
      </c>
      <c r="B1811" s="13">
        <v>6976.48</v>
      </c>
      <c r="C1811" s="2">
        <f t="shared" si="142"/>
        <v>-4.6383287749019782E-3</v>
      </c>
      <c r="D1811" s="21">
        <f t="shared" ca="1" si="140"/>
        <v>-5.0222811900088454E-3</v>
      </c>
      <c r="E1811" s="21">
        <f t="shared" ca="1" si="143"/>
        <v>1.2607718536734972E-4</v>
      </c>
      <c r="F1811" s="11">
        <f t="shared" ca="1" si="144"/>
        <v>4.3892769120341795</v>
      </c>
      <c r="G1811" s="10">
        <f t="shared" ca="1" si="141"/>
        <v>1</v>
      </c>
    </row>
    <row r="1812" spans="1:7" x14ac:dyDescent="0.2">
      <c r="A1812" s="2">
        <v>19970502</v>
      </c>
      <c r="B1812" s="13">
        <v>7071.2</v>
      </c>
      <c r="C1812" s="2">
        <f t="shared" si="142"/>
        <v>1.357704745086351E-2</v>
      </c>
      <c r="D1812" s="21">
        <f t="shared" ca="1" si="140"/>
        <v>1.3193095035756643E-2</v>
      </c>
      <c r="E1812" s="21">
        <f t="shared" ca="1" si="143"/>
        <v>1.2153540724478234E-4</v>
      </c>
      <c r="F1812" s="11">
        <f t="shared" ca="1" si="144"/>
        <v>3.7915740735847527</v>
      </c>
      <c r="G1812" s="10">
        <f t="shared" ca="1" si="141"/>
        <v>0</v>
      </c>
    </row>
    <row r="1813" spans="1:7" x14ac:dyDescent="0.2">
      <c r="A1813" s="2">
        <v>19970505</v>
      </c>
      <c r="B1813" s="13">
        <v>7213.68</v>
      </c>
      <c r="C1813" s="2">
        <f t="shared" si="142"/>
        <v>2.0149338160425453E-2</v>
      </c>
      <c r="D1813" s="21">
        <f t="shared" ca="1" si="140"/>
        <v>1.9765385745318585E-2</v>
      </c>
      <c r="E1813" s="21">
        <f t="shared" ca="1" si="143"/>
        <v>1.226963017077561E-4</v>
      </c>
      <c r="F1813" s="11">
        <f t="shared" ca="1" si="144"/>
        <v>2.9108769684863316</v>
      </c>
      <c r="G1813" s="10">
        <f t="shared" ca="1" si="141"/>
        <v>0</v>
      </c>
    </row>
    <row r="1814" spans="1:7" x14ac:dyDescent="0.2">
      <c r="A1814" s="2">
        <v>19970506</v>
      </c>
      <c r="B1814" s="13">
        <v>7225.32</v>
      </c>
      <c r="C1814" s="2">
        <f t="shared" si="142"/>
        <v>1.6136008250988978E-3</v>
      </c>
      <c r="D1814" s="21">
        <f t="shared" ca="1" si="140"/>
        <v>1.2296484099920306E-3</v>
      </c>
      <c r="E1814" s="21">
        <f t="shared" ca="1" si="143"/>
        <v>1.3176369395911908E-4</v>
      </c>
      <c r="F1814" s="11">
        <f t="shared" ca="1" si="144"/>
        <v>4.4615125408059395</v>
      </c>
      <c r="G1814" s="10">
        <f t="shared" ca="1" si="141"/>
        <v>1</v>
      </c>
    </row>
    <row r="1815" spans="1:7" x14ac:dyDescent="0.2">
      <c r="A1815" s="2">
        <v>19970507</v>
      </c>
      <c r="B1815" s="13">
        <v>7085.65</v>
      </c>
      <c r="C1815" s="2">
        <f t="shared" si="142"/>
        <v>-1.9330631722885641E-2</v>
      </c>
      <c r="D1815" s="21">
        <f t="shared" ca="1" si="140"/>
        <v>-1.971458413799251E-2</v>
      </c>
      <c r="E1815" s="21">
        <f t="shared" ca="1" si="143"/>
        <v>1.2606232858019831E-4</v>
      </c>
      <c r="F1815" s="11">
        <f t="shared" ca="1" si="144"/>
        <v>2.9478088705943803</v>
      </c>
      <c r="G1815" s="10">
        <f t="shared" ca="1" si="141"/>
        <v>0</v>
      </c>
    </row>
    <row r="1816" spans="1:7" x14ac:dyDescent="0.2">
      <c r="A1816" s="2">
        <v>19970508</v>
      </c>
      <c r="B1816" s="13">
        <v>7136.62</v>
      </c>
      <c r="C1816" s="2">
        <f t="shared" si="142"/>
        <v>7.1934120370044045E-3</v>
      </c>
      <c r="D1816" s="21">
        <f t="shared" ca="1" si="140"/>
        <v>6.8094596218975373E-3</v>
      </c>
      <c r="E1816" s="21">
        <f t="shared" ca="1" si="143"/>
        <v>1.3488568132107457E-4</v>
      </c>
      <c r="F1816" s="11">
        <f t="shared" ca="1" si="144"/>
        <v>4.2836598460818056</v>
      </c>
      <c r="G1816" s="10">
        <f t="shared" ca="1" si="141"/>
        <v>1</v>
      </c>
    </row>
    <row r="1817" spans="1:7" x14ac:dyDescent="0.2">
      <c r="A1817" s="2">
        <v>19970509</v>
      </c>
      <c r="B1817" s="13">
        <v>7169.53</v>
      </c>
      <c r="C1817" s="2">
        <f t="shared" si="142"/>
        <v>4.6114266977924923E-3</v>
      </c>
      <c r="D1817" s="21">
        <f t="shared" ca="1" si="140"/>
        <v>4.2274742826856251E-3</v>
      </c>
      <c r="E1817" s="21">
        <f t="shared" ca="1" si="143"/>
        <v>1.3067583294310386E-4</v>
      </c>
      <c r="F1817" s="11">
        <f t="shared" ca="1" si="144"/>
        <v>4.4030142362122762</v>
      </c>
      <c r="G1817" s="10">
        <f t="shared" ca="1" si="141"/>
        <v>1</v>
      </c>
    </row>
    <row r="1818" spans="1:7" x14ac:dyDescent="0.2">
      <c r="A1818" s="2">
        <v>19970512</v>
      </c>
      <c r="B1818" s="13">
        <v>7292.75</v>
      </c>
      <c r="C1818" s="2">
        <f t="shared" si="142"/>
        <v>1.7186621717183728E-2</v>
      </c>
      <c r="D1818" s="21">
        <f t="shared" ca="1" si="140"/>
        <v>1.6802669302076859E-2</v>
      </c>
      <c r="E1818" s="21">
        <f t="shared" ca="1" si="143"/>
        <v>1.2563107032295974E-4</v>
      </c>
      <c r="F1818" s="11">
        <f t="shared" ca="1" si="144"/>
        <v>3.3674344940502596</v>
      </c>
      <c r="G1818" s="10">
        <f t="shared" ca="1" si="141"/>
        <v>0</v>
      </c>
    </row>
    <row r="1819" spans="1:7" x14ac:dyDescent="0.2">
      <c r="A1819" s="2">
        <v>19970513</v>
      </c>
      <c r="B1819" s="13">
        <v>7274.21</v>
      </c>
      <c r="C1819" s="2">
        <f t="shared" si="142"/>
        <v>-2.5422508655856793E-3</v>
      </c>
      <c r="D1819" s="21">
        <f t="shared" ca="1" si="140"/>
        <v>-2.9262032806925465E-3</v>
      </c>
      <c r="E1819" s="21">
        <f t="shared" ca="1" si="143"/>
        <v>1.3056611208911239E-4</v>
      </c>
      <c r="F1819" s="11">
        <f t="shared" ca="1" si="144"/>
        <v>4.4390248905562713</v>
      </c>
      <c r="G1819" s="10">
        <f t="shared" ca="1" si="141"/>
        <v>1</v>
      </c>
    </row>
    <row r="1820" spans="1:7" x14ac:dyDescent="0.2">
      <c r="A1820" s="2">
        <v>19970514</v>
      </c>
      <c r="B1820" s="13">
        <v>7286.16</v>
      </c>
      <c r="C1820" s="2">
        <f t="shared" si="142"/>
        <v>1.6427900761731952E-3</v>
      </c>
      <c r="D1820" s="21">
        <f t="shared" ca="1" si="140"/>
        <v>1.258837661066328E-3</v>
      </c>
      <c r="E1820" s="21">
        <f t="shared" ca="1" si="143"/>
        <v>1.2518459676287674E-4</v>
      </c>
      <c r="F1820" s="11">
        <f t="shared" ca="1" si="144"/>
        <v>4.4865312259394452</v>
      </c>
      <c r="G1820" s="10">
        <f t="shared" ca="1" si="141"/>
        <v>1</v>
      </c>
    </row>
    <row r="1821" spans="1:7" x14ac:dyDescent="0.2">
      <c r="A1821" s="2">
        <v>19970515</v>
      </c>
      <c r="B1821" s="13">
        <v>7333.55</v>
      </c>
      <c r="C1821" s="2">
        <f t="shared" si="142"/>
        <v>6.5041119053109355E-3</v>
      </c>
      <c r="D1821" s="21">
        <f t="shared" ca="1" si="140"/>
        <v>6.1201594902040683E-3</v>
      </c>
      <c r="E1821" s="21">
        <f t="shared" ca="1" si="143"/>
        <v>1.1981874106833777E-4</v>
      </c>
      <c r="F1821" s="11">
        <f t="shared" ca="1" si="144"/>
        <v>4.3584609938559344</v>
      </c>
      <c r="G1821" s="10">
        <f t="shared" ca="1" si="141"/>
        <v>1</v>
      </c>
    </row>
    <row r="1822" spans="1:7" x14ac:dyDescent="0.2">
      <c r="A1822" s="2">
        <v>19970516</v>
      </c>
      <c r="B1822" s="13">
        <v>7194.67</v>
      </c>
      <c r="C1822" s="2">
        <f t="shared" si="142"/>
        <v>-1.8937622297523042E-2</v>
      </c>
      <c r="D1822" s="21">
        <f t="shared" ca="1" si="140"/>
        <v>-1.9321574712629911E-2</v>
      </c>
      <c r="E1822" s="21">
        <f t="shared" ca="1" si="143"/>
        <v>1.1604341008478666E-4</v>
      </c>
      <c r="F1822" s="11">
        <f t="shared" ca="1" si="144"/>
        <v>2.9222231284368569</v>
      </c>
      <c r="G1822" s="10">
        <f t="shared" ca="1" si="141"/>
        <v>0</v>
      </c>
    </row>
    <row r="1823" spans="1:7" x14ac:dyDescent="0.2">
      <c r="A1823" s="2">
        <v>19970519</v>
      </c>
      <c r="B1823" s="13">
        <v>7228.88</v>
      </c>
      <c r="C1823" s="2">
        <f t="shared" si="142"/>
        <v>4.7549088422401634E-3</v>
      </c>
      <c r="D1823" s="21">
        <f t="shared" ca="1" si="140"/>
        <v>4.3709564271332962E-3</v>
      </c>
      <c r="E1823" s="21">
        <f t="shared" ca="1" si="143"/>
        <v>1.2480948658786733E-4</v>
      </c>
      <c r="F1823" s="11">
        <f t="shared" ca="1" si="144"/>
        <v>4.4178233532895357</v>
      </c>
      <c r="G1823" s="10">
        <f t="shared" ca="1" si="141"/>
        <v>1</v>
      </c>
    </row>
    <row r="1824" spans="1:7" x14ac:dyDescent="0.2">
      <c r="A1824" s="2">
        <v>19970520</v>
      </c>
      <c r="B1824" s="13">
        <v>7303.46</v>
      </c>
      <c r="C1824" s="2">
        <f t="shared" si="142"/>
        <v>1.0316950896957748E-2</v>
      </c>
      <c r="D1824" s="21">
        <f t="shared" ca="1" si="140"/>
        <v>9.9329984818508806E-3</v>
      </c>
      <c r="E1824" s="21">
        <f t="shared" ca="1" si="143"/>
        <v>1.2010687044690845E-4</v>
      </c>
      <c r="F1824" s="11">
        <f t="shared" ca="1" si="144"/>
        <v>4.1028281966643911</v>
      </c>
      <c r="G1824" s="10">
        <f t="shared" ca="1" si="141"/>
        <v>1</v>
      </c>
    </row>
    <row r="1825" spans="1:7" x14ac:dyDescent="0.2">
      <c r="A1825" s="2">
        <v>19970521</v>
      </c>
      <c r="B1825" s="13">
        <v>7290.69</v>
      </c>
      <c r="C1825" s="2">
        <f t="shared" si="142"/>
        <v>-1.748486333874689E-3</v>
      </c>
      <c r="D1825" s="21">
        <f t="shared" ca="1" si="140"/>
        <v>-2.1324387489815564E-3</v>
      </c>
      <c r="E1825" s="21">
        <f t="shared" ca="1" si="143"/>
        <v>1.1856769185716072E-4</v>
      </c>
      <c r="F1825" s="11">
        <f t="shared" ca="1" si="144"/>
        <v>4.500837315834092</v>
      </c>
      <c r="G1825" s="10">
        <f t="shared" ca="1" si="141"/>
        <v>1</v>
      </c>
    </row>
    <row r="1826" spans="1:7" x14ac:dyDescent="0.2">
      <c r="A1826" s="2">
        <v>19970522</v>
      </c>
      <c r="B1826" s="13">
        <v>7258.13</v>
      </c>
      <c r="C1826" s="2">
        <f t="shared" si="142"/>
        <v>-4.465969613301278E-3</v>
      </c>
      <c r="D1826" s="21">
        <f t="shared" ca="1" si="140"/>
        <v>-4.8499220284081452E-3</v>
      </c>
      <c r="E1826" s="21">
        <f t="shared" ca="1" si="143"/>
        <v>1.1364552837232192E-4</v>
      </c>
      <c r="F1826" s="11">
        <f t="shared" ca="1" si="144"/>
        <v>4.4377258510410824</v>
      </c>
      <c r="G1826" s="10">
        <f t="shared" ca="1" si="141"/>
        <v>1</v>
      </c>
    </row>
    <row r="1827" spans="1:7" x14ac:dyDescent="0.2">
      <c r="A1827" s="2">
        <v>19970523</v>
      </c>
      <c r="B1827" s="13">
        <v>7345.91</v>
      </c>
      <c r="C1827" s="2">
        <f t="shared" si="142"/>
        <v>1.2094024218359239E-2</v>
      </c>
      <c r="D1827" s="21">
        <f t="shared" ca="1" si="140"/>
        <v>1.1710071803252372E-2</v>
      </c>
      <c r="E1827" s="21">
        <f t="shared" ca="1" si="143"/>
        <v>1.0967010236651023E-4</v>
      </c>
      <c r="F1827" s="11">
        <f t="shared" ca="1" si="144"/>
        <v>3.9338429363987677</v>
      </c>
      <c r="G1827" s="10">
        <f t="shared" ca="1" si="141"/>
        <v>0</v>
      </c>
    </row>
    <row r="1828" spans="1:7" x14ac:dyDescent="0.2">
      <c r="A1828" s="2">
        <v>19970527</v>
      </c>
      <c r="B1828" s="13">
        <v>7383.41</v>
      </c>
      <c r="C1828" s="2">
        <f t="shared" si="142"/>
        <v>5.1048814918777932E-3</v>
      </c>
      <c r="D1828" s="21">
        <f t="shared" ca="1" si="140"/>
        <v>4.720929076770926E-3</v>
      </c>
      <c r="E1828" s="21">
        <f t="shared" ca="1" si="143"/>
        <v>1.100732133049255E-4</v>
      </c>
      <c r="F1828" s="11">
        <f t="shared" ca="1" si="144"/>
        <v>4.4559444762205356</v>
      </c>
      <c r="G1828" s="10">
        <f t="shared" ca="1" si="141"/>
        <v>1</v>
      </c>
    </row>
    <row r="1829" spans="1:7" x14ac:dyDescent="0.2">
      <c r="A1829" s="2">
        <v>19970528</v>
      </c>
      <c r="B1829" s="13">
        <v>7357.23</v>
      </c>
      <c r="C1829" s="2">
        <f t="shared" si="142"/>
        <v>-3.5457871092083862E-3</v>
      </c>
      <c r="D1829" s="21">
        <f t="shared" ca="1" si="140"/>
        <v>-3.9297395243152533E-3</v>
      </c>
      <c r="E1829" s="21">
        <f t="shared" ca="1" si="143"/>
        <v>1.0623311451427625E-4</v>
      </c>
      <c r="F1829" s="11">
        <f t="shared" ca="1" si="144"/>
        <v>4.502253543296967</v>
      </c>
      <c r="G1829" s="10">
        <f t="shared" ca="1" si="141"/>
        <v>1</v>
      </c>
    </row>
    <row r="1830" spans="1:7" x14ac:dyDescent="0.2">
      <c r="A1830" s="2">
        <v>19970529</v>
      </c>
      <c r="B1830" s="13">
        <v>7330.18</v>
      </c>
      <c r="C1830" s="2">
        <f t="shared" si="142"/>
        <v>-3.6766554803912988E-3</v>
      </c>
      <c r="D1830" s="21">
        <f t="shared" ca="1" si="140"/>
        <v>-4.060607895498166E-3</v>
      </c>
      <c r="E1830" s="21">
        <f t="shared" ca="1" si="143"/>
        <v>1.0233561003973265E-4</v>
      </c>
      <c r="F1830" s="11">
        <f t="shared" ca="1" si="144"/>
        <v>4.5130653361635069</v>
      </c>
      <c r="G1830" s="10">
        <f t="shared" ca="1" si="141"/>
        <v>1</v>
      </c>
    </row>
    <row r="1831" spans="1:7" x14ac:dyDescent="0.2">
      <c r="A1831" s="2">
        <v>19970530</v>
      </c>
      <c r="B1831" s="13">
        <v>7331.04</v>
      </c>
      <c r="C1831" s="2">
        <f t="shared" si="142"/>
        <v>1.1732317623846516E-4</v>
      </c>
      <c r="D1831" s="21">
        <f t="shared" ca="1" si="140"/>
        <v>-2.6662923886840216E-4</v>
      </c>
      <c r="E1831" s="21">
        <f t="shared" ca="1" si="143"/>
        <v>9.867373321723993E-5</v>
      </c>
      <c r="F1831" s="11">
        <f t="shared" ca="1" si="144"/>
        <v>4.6114856538028031</v>
      </c>
      <c r="G1831" s="10">
        <f t="shared" ca="1" si="141"/>
        <v>1</v>
      </c>
    </row>
    <row r="1832" spans="1:7" x14ac:dyDescent="0.2">
      <c r="A1832" s="2">
        <v>19970602</v>
      </c>
      <c r="B1832" s="13">
        <v>7289.4</v>
      </c>
      <c r="C1832" s="2">
        <f t="shared" si="142"/>
        <v>-5.679958095986426E-3</v>
      </c>
      <c r="D1832" s="21">
        <f t="shared" ca="1" si="140"/>
        <v>-6.0639105110932932E-3</v>
      </c>
      <c r="E1832" s="21">
        <f t="shared" ca="1" si="143"/>
        <v>9.4593413818507504E-5</v>
      </c>
      <c r="F1832" s="11">
        <f t="shared" ca="1" si="144"/>
        <v>4.4385978702232034</v>
      </c>
      <c r="G1832" s="10">
        <f t="shared" ca="1" si="141"/>
        <v>1</v>
      </c>
    </row>
    <row r="1833" spans="1:7" x14ac:dyDescent="0.2">
      <c r="A1833" s="2">
        <v>19970603</v>
      </c>
      <c r="B1833" s="13">
        <v>7312.15</v>
      </c>
      <c r="C1833" s="2">
        <f t="shared" si="142"/>
        <v>3.1209701758718139E-3</v>
      </c>
      <c r="D1833" s="21">
        <f t="shared" ca="1" si="140"/>
        <v>2.7370177607649467E-3</v>
      </c>
      <c r="E1833" s="21">
        <f t="shared" ca="1" si="143"/>
        <v>9.206903924276838E-5</v>
      </c>
      <c r="F1833" s="11">
        <f t="shared" ca="1" si="144"/>
        <v>4.6058030440206004</v>
      </c>
      <c r="G1833" s="10">
        <f t="shared" ca="1" si="141"/>
        <v>1</v>
      </c>
    </row>
    <row r="1834" spans="1:7" x14ac:dyDescent="0.2">
      <c r="A1834" s="2">
        <v>19970604</v>
      </c>
      <c r="B1834" s="13">
        <v>7269.66</v>
      </c>
      <c r="C1834" s="2">
        <f t="shared" si="142"/>
        <v>-5.8108764180165593E-3</v>
      </c>
      <c r="D1834" s="21">
        <f t="shared" ca="1" si="140"/>
        <v>-6.1948288331234265E-3</v>
      </c>
      <c r="E1834" s="21">
        <f t="shared" ca="1" si="143"/>
        <v>8.8595706280256435E-5</v>
      </c>
      <c r="F1834" s="11">
        <f t="shared" ca="1" si="144"/>
        <v>4.449134777347691</v>
      </c>
      <c r="G1834" s="10">
        <f t="shared" ca="1" si="141"/>
        <v>1</v>
      </c>
    </row>
    <row r="1835" spans="1:7" x14ac:dyDescent="0.2">
      <c r="A1835" s="2">
        <v>19970605</v>
      </c>
      <c r="B1835" s="13">
        <v>7305.29</v>
      </c>
      <c r="C1835" s="2">
        <f t="shared" si="142"/>
        <v>4.9011920777588102E-3</v>
      </c>
      <c r="D1835" s="21">
        <f t="shared" ca="1" si="140"/>
        <v>4.517239662651943E-3</v>
      </c>
      <c r="E1835" s="21">
        <f t="shared" ca="1" si="143"/>
        <v>8.6433772443054009E-5</v>
      </c>
      <c r="F1835" s="11">
        <f t="shared" ca="1" si="144"/>
        <v>4.5600250582670281</v>
      </c>
      <c r="G1835" s="10">
        <f t="shared" ca="1" si="141"/>
        <v>1</v>
      </c>
    </row>
    <row r="1836" spans="1:7" x14ac:dyDescent="0.2">
      <c r="A1836" s="2">
        <v>19970606</v>
      </c>
      <c r="B1836" s="13">
        <v>7435.78</v>
      </c>
      <c r="C1836" s="2">
        <f t="shared" si="142"/>
        <v>1.7862398344213548E-2</v>
      </c>
      <c r="D1836" s="21">
        <f t="shared" ca="1" si="140"/>
        <v>1.7478445929106679E-2</v>
      </c>
      <c r="E1836" s="21">
        <f t="shared" ca="1" si="143"/>
        <v>8.3720406723026221E-5</v>
      </c>
      <c r="F1836" s="11">
        <f t="shared" ca="1" si="144"/>
        <v>2.869512061888619</v>
      </c>
      <c r="G1836" s="10">
        <f t="shared" ca="1" si="141"/>
        <v>0</v>
      </c>
    </row>
    <row r="1837" spans="1:7" x14ac:dyDescent="0.2">
      <c r="A1837" s="2">
        <v>19970609</v>
      </c>
      <c r="B1837" s="13">
        <v>7478.5</v>
      </c>
      <c r="C1837" s="2">
        <f t="shared" si="142"/>
        <v>5.7451941827219551E-3</v>
      </c>
      <c r="D1837" s="21">
        <f t="shared" ca="1" si="140"/>
        <v>5.3612417676150879E-3</v>
      </c>
      <c r="E1837" s="21">
        <f t="shared" ca="1" si="143"/>
        <v>9.1627590870995383E-5</v>
      </c>
      <c r="F1837" s="11">
        <f t="shared" ca="1" si="144"/>
        <v>4.4920426728887026</v>
      </c>
      <c r="G1837" s="10">
        <f t="shared" ca="1" si="141"/>
        <v>1</v>
      </c>
    </row>
    <row r="1838" spans="1:7" x14ac:dyDescent="0.2">
      <c r="A1838" s="2">
        <v>19970610</v>
      </c>
      <c r="B1838" s="13">
        <v>7539.27</v>
      </c>
      <c r="C1838" s="2">
        <f t="shared" si="142"/>
        <v>8.1259610884536256E-3</v>
      </c>
      <c r="D1838" s="21">
        <f t="shared" ca="1" si="140"/>
        <v>7.7420086733467584E-3</v>
      </c>
      <c r="E1838" s="21">
        <f t="shared" ca="1" si="143"/>
        <v>8.895805109603372E-5</v>
      </c>
      <c r="F1838" s="11">
        <f t="shared" ca="1" si="144"/>
        <v>4.3267797677481754</v>
      </c>
      <c r="G1838" s="10">
        <f t="shared" ca="1" si="141"/>
        <v>1</v>
      </c>
    </row>
    <row r="1839" spans="1:7" x14ac:dyDescent="0.2">
      <c r="A1839" s="2">
        <v>19970611</v>
      </c>
      <c r="B1839" s="13">
        <v>7575.83</v>
      </c>
      <c r="C1839" s="2">
        <f t="shared" si="142"/>
        <v>4.8492758582726831E-3</v>
      </c>
      <c r="D1839" s="21">
        <f t="shared" ca="1" si="140"/>
        <v>4.4653234431658159E-3</v>
      </c>
      <c r="E1839" s="21">
        <f t="shared" ca="1" si="143"/>
        <v>8.7570687701300667E-5</v>
      </c>
      <c r="F1839" s="11">
        <f t="shared" ca="1" si="144"/>
        <v>4.5576862959158237</v>
      </c>
      <c r="G1839" s="10">
        <f t="shared" ca="1" si="141"/>
        <v>1</v>
      </c>
    </row>
    <row r="1840" spans="1:7" x14ac:dyDescent="0.2">
      <c r="A1840" s="2">
        <v>19970612</v>
      </c>
      <c r="B1840" s="13">
        <v>7711.47</v>
      </c>
      <c r="C1840" s="2">
        <f t="shared" si="142"/>
        <v>1.7904308834807581E-2</v>
      </c>
      <c r="D1840" s="21">
        <f t="shared" ca="1" si="140"/>
        <v>1.7520356419700713E-2</v>
      </c>
      <c r="E1840" s="21">
        <f t="shared" ca="1" si="143"/>
        <v>8.478265690156811E-5</v>
      </c>
      <c r="F1840" s="11">
        <f t="shared" ca="1" si="144"/>
        <v>2.877416844975861</v>
      </c>
      <c r="G1840" s="10">
        <f t="shared" ca="1" si="141"/>
        <v>0</v>
      </c>
    </row>
    <row r="1841" spans="1:7" x14ac:dyDescent="0.2">
      <c r="A1841" s="2">
        <v>19970613</v>
      </c>
      <c r="B1841" s="13">
        <v>7782.04</v>
      </c>
      <c r="C1841" s="2">
        <f t="shared" si="142"/>
        <v>9.1513031886267734E-3</v>
      </c>
      <c r="D1841" s="21">
        <f t="shared" ca="1" si="140"/>
        <v>8.7673507735199063E-3</v>
      </c>
      <c r="E1841" s="21">
        <f t="shared" ca="1" si="143"/>
        <v>9.26900388846064E-5</v>
      </c>
      <c r="F1841" s="11">
        <f t="shared" ca="1" si="144"/>
        <v>4.2284823774490672</v>
      </c>
      <c r="G1841" s="10">
        <f t="shared" ca="1" si="141"/>
        <v>1</v>
      </c>
    </row>
    <row r="1842" spans="1:7" x14ac:dyDescent="0.2">
      <c r="A1842" s="2">
        <v>19970616</v>
      </c>
      <c r="B1842" s="13">
        <v>7772.09</v>
      </c>
      <c r="C1842" s="2">
        <f t="shared" si="142"/>
        <v>-1.2785850496784671E-3</v>
      </c>
      <c r="D1842" s="21">
        <f t="shared" ca="1" si="140"/>
        <v>-1.6625374647853343E-3</v>
      </c>
      <c r="E1842" s="21">
        <f t="shared" ca="1" si="143"/>
        <v>9.1736335602623129E-5</v>
      </c>
      <c r="F1842" s="11">
        <f t="shared" ca="1" si="144"/>
        <v>4.6332309245210963</v>
      </c>
      <c r="G1842" s="10">
        <f t="shared" ca="1" si="141"/>
        <v>1</v>
      </c>
    </row>
    <row r="1843" spans="1:7" x14ac:dyDescent="0.2">
      <c r="A1843" s="2">
        <v>19970617</v>
      </c>
      <c r="B1843" s="13">
        <v>7760.78</v>
      </c>
      <c r="C1843" s="2">
        <f t="shared" si="142"/>
        <v>-1.4552070292547306E-3</v>
      </c>
      <c r="D1843" s="21">
        <f t="shared" ca="1" si="140"/>
        <v>-1.8391594443615978E-3</v>
      </c>
      <c r="E1843" s="21">
        <f t="shared" ca="1" si="143"/>
        <v>8.8106005527145974E-5</v>
      </c>
      <c r="F1843" s="11">
        <f t="shared" ca="1" si="144"/>
        <v>4.6492892609558734</v>
      </c>
      <c r="G1843" s="10">
        <f t="shared" ca="1" si="141"/>
        <v>1</v>
      </c>
    </row>
    <row r="1844" spans="1:7" x14ac:dyDescent="0.2">
      <c r="A1844" s="2">
        <v>19970618</v>
      </c>
      <c r="B1844" s="13">
        <v>7718.71</v>
      </c>
      <c r="C1844" s="2">
        <f t="shared" si="142"/>
        <v>-5.4208468736389528E-3</v>
      </c>
      <c r="D1844" s="21">
        <f t="shared" ca="1" si="140"/>
        <v>-5.80479928874582E-3</v>
      </c>
      <c r="E1844" s="21">
        <f t="shared" ca="1" si="143"/>
        <v>8.4682077511466253E-5</v>
      </c>
      <c r="F1844" s="11">
        <f t="shared" ca="1" si="144"/>
        <v>4.4893491788429287</v>
      </c>
      <c r="G1844" s="10">
        <f t="shared" ca="1" si="141"/>
        <v>1</v>
      </c>
    </row>
    <row r="1845" spans="1:7" x14ac:dyDescent="0.2">
      <c r="A1845" s="2">
        <v>19970619</v>
      </c>
      <c r="B1845" s="13">
        <v>7777.06</v>
      </c>
      <c r="C1845" s="2">
        <f t="shared" si="142"/>
        <v>7.559553345053819E-3</v>
      </c>
      <c r="D1845" s="21">
        <f t="shared" ca="1" si="140"/>
        <v>7.1756009299469518E-3</v>
      </c>
      <c r="E1845" s="21">
        <f t="shared" ca="1" si="143"/>
        <v>8.254603596751585E-5</v>
      </c>
      <c r="F1845" s="11">
        <f t="shared" ca="1" si="144"/>
        <v>4.3891951853248043</v>
      </c>
      <c r="G1845" s="10">
        <f t="shared" ca="1" si="141"/>
        <v>1</v>
      </c>
    </row>
    <row r="1846" spans="1:7" x14ac:dyDescent="0.2">
      <c r="A1846" s="2">
        <v>19970620</v>
      </c>
      <c r="B1846" s="13">
        <v>7796.51</v>
      </c>
      <c r="C1846" s="2">
        <f t="shared" si="142"/>
        <v>2.5009450872180254E-3</v>
      </c>
      <c r="D1846" s="21">
        <f t="shared" ca="1" si="140"/>
        <v>2.1169926721111582E-3</v>
      </c>
      <c r="E1846" s="21">
        <f t="shared" ca="1" si="143"/>
        <v>8.1172357514735835E-5</v>
      </c>
      <c r="F1846" s="11">
        <f t="shared" ca="1" si="144"/>
        <v>4.6818620829294177</v>
      </c>
      <c r="G1846" s="10">
        <f t="shared" ca="1" si="141"/>
        <v>1</v>
      </c>
    </row>
    <row r="1847" spans="1:7" x14ac:dyDescent="0.2">
      <c r="A1847" s="2">
        <v>19970623</v>
      </c>
      <c r="B1847" s="13">
        <v>7604.26</v>
      </c>
      <c r="C1847" s="2">
        <f t="shared" si="142"/>
        <v>-2.4658468981634089E-2</v>
      </c>
      <c r="D1847" s="21">
        <f t="shared" ca="1" si="140"/>
        <v>-2.5042421396740958E-2</v>
      </c>
      <c r="E1847" s="21">
        <f t="shared" ca="1" si="143"/>
        <v>7.8139622718500915E-5</v>
      </c>
      <c r="F1847" s="11">
        <f t="shared" ca="1" si="144"/>
        <v>0.71567136965268752</v>
      </c>
      <c r="G1847" s="10">
        <f t="shared" ca="1" si="141"/>
        <v>0</v>
      </c>
    </row>
    <row r="1848" spans="1:7" x14ac:dyDescent="0.2">
      <c r="A1848" s="2">
        <v>19970624</v>
      </c>
      <c r="B1848" s="13">
        <v>7758.06</v>
      </c>
      <c r="C1848" s="2">
        <f t="shared" si="142"/>
        <v>2.0225505177361134E-2</v>
      </c>
      <c r="D1848" s="21">
        <f t="shared" ca="1" si="140"/>
        <v>1.9841552762254265E-2</v>
      </c>
      <c r="E1848" s="21">
        <f t="shared" ca="1" si="143"/>
        <v>9.8155919479617294E-5</v>
      </c>
      <c r="F1848" s="11">
        <f t="shared" ca="1" si="144"/>
        <v>2.6090590689454993</v>
      </c>
      <c r="G1848" s="10">
        <f t="shared" ca="1" si="141"/>
        <v>0</v>
      </c>
    </row>
    <row r="1849" spans="1:7" x14ac:dyDescent="0.2">
      <c r="A1849" s="2">
        <v>19970625</v>
      </c>
      <c r="B1849" s="13">
        <v>7689.98</v>
      </c>
      <c r="C1849" s="2">
        <f t="shared" si="142"/>
        <v>-8.7753897237196968E-3</v>
      </c>
      <c r="D1849" s="21">
        <f t="shared" ca="1" si="140"/>
        <v>-9.159342138826564E-3</v>
      </c>
      <c r="E1849" s="21">
        <f t="shared" ca="1" si="143"/>
        <v>1.0857574863198027E-4</v>
      </c>
      <c r="F1849" s="11">
        <f t="shared" ca="1" si="144"/>
        <v>4.1776947468853391</v>
      </c>
      <c r="G1849" s="10">
        <f t="shared" ca="1" si="141"/>
        <v>1</v>
      </c>
    </row>
    <row r="1850" spans="1:7" x14ac:dyDescent="0.2">
      <c r="A1850" s="2">
        <v>19970626</v>
      </c>
      <c r="B1850" s="13">
        <v>7654.25</v>
      </c>
      <c r="C1850" s="2">
        <f t="shared" si="142"/>
        <v>-4.6463059721871276E-3</v>
      </c>
      <c r="D1850" s="21">
        <f t="shared" ca="1" si="140"/>
        <v>-5.0302583872939947E-3</v>
      </c>
      <c r="E1850" s="21">
        <f t="shared" ca="1" si="143"/>
        <v>1.070767811246276E-4</v>
      </c>
      <c r="F1850" s="11">
        <f t="shared" ca="1" si="144"/>
        <v>4.4528263348727339</v>
      </c>
      <c r="G1850" s="10">
        <f t="shared" ca="1" si="141"/>
        <v>1</v>
      </c>
    </row>
    <row r="1851" spans="1:7" x14ac:dyDescent="0.2">
      <c r="A1851" s="2">
        <v>19970627</v>
      </c>
      <c r="B1851" s="13">
        <v>7687.72</v>
      </c>
      <c r="C1851" s="2">
        <f t="shared" si="142"/>
        <v>4.3727341019695271E-3</v>
      </c>
      <c r="D1851" s="21">
        <f t="shared" ca="1" si="140"/>
        <v>3.9887816868626599E-3</v>
      </c>
      <c r="E1851" s="21">
        <f t="shared" ca="1" si="143"/>
        <v>1.0349918847530317E-4</v>
      </c>
      <c r="F1851" s="11">
        <f t="shared" ca="1" si="144"/>
        <v>4.5111110544219626</v>
      </c>
      <c r="G1851" s="10">
        <f t="shared" ca="1" si="141"/>
        <v>1</v>
      </c>
    </row>
    <row r="1852" spans="1:7" x14ac:dyDescent="0.2">
      <c r="A1852" s="2">
        <v>19970630</v>
      </c>
      <c r="B1852" s="13">
        <v>7672.79</v>
      </c>
      <c r="C1852" s="2">
        <f t="shared" si="142"/>
        <v>-1.9420582435364828E-3</v>
      </c>
      <c r="D1852" s="21">
        <f t="shared" ca="1" si="140"/>
        <v>-2.3260106586433502E-3</v>
      </c>
      <c r="E1852" s="21">
        <f t="shared" ca="1" si="143"/>
        <v>9.9757185989267092E-5</v>
      </c>
      <c r="F1852" s="11">
        <f t="shared" ca="1" si="144"/>
        <v>4.579268259453924</v>
      </c>
      <c r="G1852" s="10">
        <f t="shared" ca="1" si="141"/>
        <v>1</v>
      </c>
    </row>
    <row r="1853" spans="1:7" x14ac:dyDescent="0.2">
      <c r="A1853" s="2">
        <v>19970701</v>
      </c>
      <c r="B1853" s="13">
        <v>7722.33</v>
      </c>
      <c r="C1853" s="2">
        <f t="shared" si="142"/>
        <v>6.4565822862348594E-3</v>
      </c>
      <c r="D1853" s="21">
        <f t="shared" ca="1" si="140"/>
        <v>6.0726298711279922E-3</v>
      </c>
      <c r="E1853" s="21">
        <f t="shared" ca="1" si="143"/>
        <v>9.5818387330715281E-5</v>
      </c>
      <c r="F1853" s="11">
        <f t="shared" ca="1" si="144"/>
        <v>4.434097096527422</v>
      </c>
      <c r="G1853" s="10">
        <f t="shared" ca="1" si="141"/>
        <v>1</v>
      </c>
    </row>
    <row r="1854" spans="1:7" x14ac:dyDescent="0.2">
      <c r="A1854" s="2">
        <v>19970702</v>
      </c>
      <c r="B1854" s="13">
        <v>7795.38</v>
      </c>
      <c r="C1854" s="2">
        <f t="shared" si="142"/>
        <v>9.459580204420193E-3</v>
      </c>
      <c r="D1854" s="21">
        <f t="shared" ca="1" si="140"/>
        <v>9.0756277893133258E-3</v>
      </c>
      <c r="E1854" s="21">
        <f t="shared" ca="1" si="143"/>
        <v>9.3235932233177478E-5</v>
      </c>
      <c r="F1854" s="11">
        <f t="shared" ca="1" si="144"/>
        <v>4.1984758300472294</v>
      </c>
      <c r="G1854" s="10">
        <f t="shared" ca="1" si="141"/>
        <v>1</v>
      </c>
    </row>
    <row r="1855" spans="1:7" x14ac:dyDescent="0.2">
      <c r="A1855" s="2">
        <v>19970703</v>
      </c>
      <c r="B1855" s="13">
        <v>7895.81</v>
      </c>
      <c r="C1855" s="2">
        <f t="shared" si="142"/>
        <v>1.2883271886681636E-2</v>
      </c>
      <c r="D1855" s="21">
        <f t="shared" ca="1" si="140"/>
        <v>1.2499319471574769E-2</v>
      </c>
      <c r="E1855" s="21">
        <f t="shared" ca="1" si="143"/>
        <v>9.24568779645923E-5</v>
      </c>
      <c r="F1855" s="11">
        <f t="shared" ca="1" si="144"/>
        <v>3.7994875919819111</v>
      </c>
      <c r="G1855" s="10">
        <f t="shared" ca="1" si="141"/>
        <v>0</v>
      </c>
    </row>
    <row r="1856" spans="1:7" x14ac:dyDescent="0.2">
      <c r="A1856" s="2">
        <v>19970707</v>
      </c>
      <c r="B1856" s="13">
        <v>7858.49</v>
      </c>
      <c r="C1856" s="2">
        <f t="shared" si="142"/>
        <v>-4.7265575032834654E-3</v>
      </c>
      <c r="D1856" s="21">
        <f t="shared" ca="1" si="140"/>
        <v>-5.1105099183903326E-3</v>
      </c>
      <c r="E1856" s="21">
        <f t="shared" ca="1" si="143"/>
        <v>9.4433416905750315E-5</v>
      </c>
      <c r="F1856" s="11">
        <f t="shared" ca="1" si="144"/>
        <v>4.4955235106594538</v>
      </c>
      <c r="G1856" s="10">
        <f t="shared" ca="1" si="141"/>
        <v>1</v>
      </c>
    </row>
    <row r="1857" spans="1:7" x14ac:dyDescent="0.2">
      <c r="A1857" s="2">
        <v>19970708</v>
      </c>
      <c r="B1857" s="13">
        <v>7962.31</v>
      </c>
      <c r="C1857" s="2">
        <f t="shared" si="142"/>
        <v>1.3211189426976508E-2</v>
      </c>
      <c r="D1857" s="21">
        <f t="shared" ca="1" si="140"/>
        <v>1.2827237011869641E-2</v>
      </c>
      <c r="E1857" s="21">
        <f t="shared" ca="1" si="143"/>
        <v>9.1525381510191333E-5</v>
      </c>
      <c r="F1857" s="11">
        <f t="shared" ca="1" si="144"/>
        <v>3.7505816495450732</v>
      </c>
      <c r="G1857" s="10">
        <f t="shared" ca="1" si="141"/>
        <v>0</v>
      </c>
    </row>
    <row r="1858" spans="1:7" x14ac:dyDescent="0.2">
      <c r="A1858" s="2">
        <v>19970709</v>
      </c>
      <c r="B1858" s="13">
        <v>7842.43</v>
      </c>
      <c r="C1858" s="2">
        <f t="shared" si="142"/>
        <v>-1.5055932260864009E-2</v>
      </c>
      <c r="D1858" s="21">
        <f t="shared" ca="1" si="140"/>
        <v>-1.5439884675970876E-2</v>
      </c>
      <c r="E1858" s="21">
        <f t="shared" ca="1" si="143"/>
        <v>9.3854435327490052E-5</v>
      </c>
      <c r="F1858" s="11">
        <f t="shared" ca="1" si="144"/>
        <v>3.3668839770670154</v>
      </c>
      <c r="G1858" s="10">
        <f t="shared" ca="1" si="141"/>
        <v>0</v>
      </c>
    </row>
    <row r="1859" spans="1:7" x14ac:dyDescent="0.2">
      <c r="A1859" s="2">
        <v>19970710</v>
      </c>
      <c r="B1859" s="13">
        <v>7886.76</v>
      </c>
      <c r="C1859" s="2">
        <f t="shared" si="142"/>
        <v>5.6525847218272815E-3</v>
      </c>
      <c r="D1859" s="21">
        <f t="shared" ca="1" si="140"/>
        <v>5.2686323067204143E-3</v>
      </c>
      <c r="E1859" s="21">
        <f t="shared" ca="1" si="143"/>
        <v>9.8781329617241394E-5</v>
      </c>
      <c r="F1859" s="11">
        <f t="shared" ca="1" si="144"/>
        <v>4.4707962499341436</v>
      </c>
      <c r="G1859" s="10">
        <f t="shared" ca="1" si="141"/>
        <v>1</v>
      </c>
    </row>
    <row r="1860" spans="1:7" x14ac:dyDescent="0.2">
      <c r="A1860" s="2">
        <v>19970711</v>
      </c>
      <c r="B1860" s="13">
        <v>7921.82</v>
      </c>
      <c r="C1860" s="2">
        <f t="shared" si="142"/>
        <v>4.4454249907439165E-3</v>
      </c>
      <c r="D1860" s="21">
        <f t="shared" ca="1" si="140"/>
        <v>4.0614725756370493E-3</v>
      </c>
      <c r="E1860" s="21">
        <f t="shared" ca="1" si="143"/>
        <v>9.5713680747395584E-5</v>
      </c>
      <c r="F1860" s="11">
        <f t="shared" ca="1" si="144"/>
        <v>4.5409032798332767</v>
      </c>
      <c r="G1860" s="10">
        <f t="shared" ca="1" si="141"/>
        <v>1</v>
      </c>
    </row>
    <row r="1861" spans="1:7" x14ac:dyDescent="0.2">
      <c r="A1861" s="2">
        <v>19970714</v>
      </c>
      <c r="B1861" s="13">
        <v>7922.98</v>
      </c>
      <c r="C1861" s="2">
        <f t="shared" si="142"/>
        <v>1.4643099691735668E-4</v>
      </c>
      <c r="D1861" s="21">
        <f t="shared" ca="1" si="140"/>
        <v>-2.3752141818951061E-4</v>
      </c>
      <c r="E1861" s="21">
        <f t="shared" ca="1" si="143"/>
        <v>9.23870677562009E-5</v>
      </c>
      <c r="F1861" s="11">
        <f t="shared" ca="1" si="144"/>
        <v>4.644456447816693</v>
      </c>
      <c r="G1861" s="10">
        <f t="shared" ca="1" si="141"/>
        <v>1</v>
      </c>
    </row>
    <row r="1862" spans="1:7" x14ac:dyDescent="0.2">
      <c r="A1862" s="2">
        <v>19970715</v>
      </c>
      <c r="B1862" s="13">
        <v>7975.71</v>
      </c>
      <c r="C1862" s="2">
        <f t="shared" si="142"/>
        <v>6.6553241330913971E-3</v>
      </c>
      <c r="D1862" s="21">
        <f t="shared" ca="1" si="140"/>
        <v>6.2713717179845299E-3</v>
      </c>
      <c r="E1862" s="21">
        <f t="shared" ca="1" si="143"/>
        <v>8.8624253217785211E-5</v>
      </c>
      <c r="F1862" s="11">
        <f t="shared" ca="1" si="144"/>
        <v>4.4436600617298829</v>
      </c>
      <c r="G1862" s="10">
        <f t="shared" ca="1" si="141"/>
        <v>1</v>
      </c>
    </row>
    <row r="1863" spans="1:7" x14ac:dyDescent="0.2">
      <c r="A1863" s="2">
        <v>19970716</v>
      </c>
      <c r="B1863" s="13">
        <v>8038.88</v>
      </c>
      <c r="C1863" s="2">
        <f t="shared" si="142"/>
        <v>7.9202980048171355E-3</v>
      </c>
      <c r="D1863" s="21">
        <f t="shared" ca="1" si="140"/>
        <v>7.5363455897102683E-3</v>
      </c>
      <c r="E1863" s="21">
        <f t="shared" ca="1" si="143"/>
        <v>8.6495962743207927E-5</v>
      </c>
      <c r="F1863" s="11">
        <f t="shared" ca="1" si="144"/>
        <v>4.3493875892889076</v>
      </c>
      <c r="G1863" s="10">
        <f t="shared" ca="1" si="141"/>
        <v>1</v>
      </c>
    </row>
    <row r="1864" spans="1:7" x14ac:dyDescent="0.2">
      <c r="A1864" s="2">
        <v>19970717</v>
      </c>
      <c r="B1864" s="13">
        <v>8020.77</v>
      </c>
      <c r="C1864" s="2">
        <f t="shared" si="142"/>
        <v>-2.2528013852675588E-3</v>
      </c>
      <c r="D1864" s="21">
        <f t="shared" ca="1" si="140"/>
        <v>-2.636753800374426E-3</v>
      </c>
      <c r="E1864" s="21">
        <f t="shared" ca="1" si="143"/>
        <v>8.5117613269324746E-5</v>
      </c>
      <c r="F1864" s="11">
        <f t="shared" ca="1" si="144"/>
        <v>4.64489791051344</v>
      </c>
      <c r="G1864" s="10">
        <f t="shared" ca="1" si="141"/>
        <v>1</v>
      </c>
    </row>
    <row r="1865" spans="1:7" x14ac:dyDescent="0.2">
      <c r="A1865" s="2">
        <v>19970718</v>
      </c>
      <c r="B1865" s="13">
        <v>7890.46</v>
      </c>
      <c r="C1865" s="2">
        <f t="shared" si="142"/>
        <v>-1.6246569843045042E-2</v>
      </c>
      <c r="D1865" s="21">
        <f t="shared" ca="1" si="140"/>
        <v>-1.6630522258151911E-2</v>
      </c>
      <c r="E1865" s="21">
        <f t="shared" ca="1" si="143"/>
        <v>8.1976142779994183E-5</v>
      </c>
      <c r="F1865" s="11">
        <f t="shared" ca="1" si="144"/>
        <v>3.0176218730561351</v>
      </c>
      <c r="G1865" s="10">
        <f t="shared" ca="1" si="141"/>
        <v>0</v>
      </c>
    </row>
    <row r="1866" spans="1:7" x14ac:dyDescent="0.2">
      <c r="A1866" s="2">
        <v>19970721</v>
      </c>
      <c r="B1866" s="13">
        <v>7906.72</v>
      </c>
      <c r="C1866" s="2">
        <f t="shared" si="142"/>
        <v>2.0607163587421035E-3</v>
      </c>
      <c r="D1866" s="21">
        <f t="shared" ca="1" si="140"/>
        <v>1.6767639436352363E-3</v>
      </c>
      <c r="E1866" s="21">
        <f t="shared" ca="1" si="143"/>
        <v>8.8908064674528411E-5</v>
      </c>
      <c r="F1866" s="11">
        <f t="shared" ca="1" si="144"/>
        <v>4.6481423651887832</v>
      </c>
      <c r="G1866" s="10">
        <f t="shared" ca="1" si="141"/>
        <v>1</v>
      </c>
    </row>
    <row r="1867" spans="1:7" x14ac:dyDescent="0.2">
      <c r="A1867" s="2">
        <v>19970722</v>
      </c>
      <c r="B1867" s="13">
        <v>8061.65</v>
      </c>
      <c r="C1867" s="2">
        <f t="shared" si="142"/>
        <v>1.9594724487524456E-2</v>
      </c>
      <c r="D1867" s="21">
        <f t="shared" ca="1" si="140"/>
        <v>1.9210772072417587E-2</v>
      </c>
      <c r="E1867" s="21">
        <f t="shared" ca="1" si="143"/>
        <v>8.5422564653537397E-5</v>
      </c>
      <c r="F1867" s="11">
        <f t="shared" ca="1" si="144"/>
        <v>2.5237845791895981</v>
      </c>
      <c r="G1867" s="10">
        <f t="shared" ca="1" si="141"/>
        <v>0</v>
      </c>
    </row>
    <row r="1868" spans="1:7" x14ac:dyDescent="0.2">
      <c r="A1868" s="2">
        <v>19970723</v>
      </c>
      <c r="B1868" s="13">
        <v>8088.36</v>
      </c>
      <c r="C1868" s="2">
        <f t="shared" si="142"/>
        <v>3.313217517505726E-3</v>
      </c>
      <c r="D1868" s="21">
        <f t="shared" ca="1" si="140"/>
        <v>2.9292651023988588E-3</v>
      </c>
      <c r="E1868" s="21">
        <f t="shared" ca="1" si="143"/>
        <v>9.5580763363314552E-5</v>
      </c>
      <c r="F1868" s="11">
        <f t="shared" ca="1" si="144"/>
        <v>4.5828828731227302</v>
      </c>
      <c r="G1868" s="10">
        <f t="shared" ca="1" si="141"/>
        <v>1</v>
      </c>
    </row>
    <row r="1869" spans="1:7" x14ac:dyDescent="0.2">
      <c r="A1869" s="2">
        <v>19970724</v>
      </c>
      <c r="B1869" s="13">
        <v>8116.93</v>
      </c>
      <c r="C1869" s="2">
        <f t="shared" si="142"/>
        <v>3.5322364484271992E-3</v>
      </c>
      <c r="D1869" s="21">
        <f t="shared" ca="1" si="140"/>
        <v>3.1482840333203321E-3</v>
      </c>
      <c r="E1869" s="21">
        <f t="shared" ca="1" si="143"/>
        <v>9.1969827607121885E-5</v>
      </c>
      <c r="F1869" s="11">
        <f t="shared" ca="1" si="144"/>
        <v>4.5931394321656107</v>
      </c>
      <c r="G1869" s="10">
        <f t="shared" ca="1" si="141"/>
        <v>1</v>
      </c>
    </row>
    <row r="1870" spans="1:7" x14ac:dyDescent="0.2">
      <c r="A1870" s="2">
        <v>19970725</v>
      </c>
      <c r="B1870" s="13">
        <v>8113.44</v>
      </c>
      <c r="C1870" s="2">
        <f t="shared" si="142"/>
        <v>-4.2996551651926175E-4</v>
      </c>
      <c r="D1870" s="21">
        <f t="shared" ref="D1870:D1933" ca="1" si="145">(C1870-mu)</f>
        <v>-8.1391793162612905E-4</v>
      </c>
      <c r="E1870" s="21">
        <f t="shared" ca="1" si="143"/>
        <v>8.8590517088965319E-5</v>
      </c>
      <c r="F1870" s="11">
        <f t="shared" ca="1" si="144"/>
        <v>4.6620039670377507</v>
      </c>
      <c r="G1870" s="10">
        <f t="shared" ref="G1870:G1933" ca="1" si="146">IF(AND(C1870&lt;=mu+zvalue*SQRT(E1870),C1870&gt;=mu-zvalue*SQRT(E1870)),1,0)</f>
        <v>1</v>
      </c>
    </row>
    <row r="1871" spans="1:7" x14ac:dyDescent="0.2">
      <c r="A1871" s="2">
        <v>19970728</v>
      </c>
      <c r="B1871" s="13">
        <v>8121.11</v>
      </c>
      <c r="C1871" s="2">
        <f t="shared" ref="C1871:C1934" si="147">(B1871-B1870)/B1870</f>
        <v>9.4534500778955329E-4</v>
      </c>
      <c r="D1871" s="21">
        <f t="shared" ca="1" si="145"/>
        <v>5.6139259268268599E-4</v>
      </c>
      <c r="E1871" s="21">
        <f t="shared" ref="E1871:E1934" ca="1" si="148">(1-alpha-beta)*longvar+alpha*D1870^2+beta*E1870</f>
        <v>8.5042056667571057E-5</v>
      </c>
      <c r="F1871" s="11">
        <f t="shared" ref="F1871:F1934" ca="1" si="149">(-0.5)*(LN(E1871)+D1871^2/E1871)</f>
        <v>4.6843293445622303</v>
      </c>
      <c r="G1871" s="10">
        <f t="shared" ca="1" si="146"/>
        <v>1</v>
      </c>
    </row>
    <row r="1872" spans="1:7" x14ac:dyDescent="0.2">
      <c r="A1872" s="2">
        <v>19970729</v>
      </c>
      <c r="B1872" s="13">
        <v>8174.53</v>
      </c>
      <c r="C1872" s="2">
        <f t="shared" si="147"/>
        <v>6.5779185357666718E-3</v>
      </c>
      <c r="D1872" s="21">
        <f t="shared" ca="1" si="145"/>
        <v>6.1939661206598046E-3</v>
      </c>
      <c r="E1872" s="21">
        <f t="shared" ca="1" si="148"/>
        <v>8.1660343172063683E-5</v>
      </c>
      <c r="F1872" s="11">
        <f t="shared" ca="1" si="149"/>
        <v>4.4715637664062484</v>
      </c>
      <c r="G1872" s="10">
        <f t="shared" ca="1" si="146"/>
        <v>1</v>
      </c>
    </row>
    <row r="1873" spans="1:7" x14ac:dyDescent="0.2">
      <c r="A1873" s="2">
        <v>19970730</v>
      </c>
      <c r="B1873" s="13">
        <v>8254.89</v>
      </c>
      <c r="C1873" s="2">
        <f t="shared" si="147"/>
        <v>9.8305345995426865E-3</v>
      </c>
      <c r="D1873" s="21">
        <f t="shared" ca="1" si="145"/>
        <v>9.4465821844358193E-3</v>
      </c>
      <c r="E1873" s="21">
        <f t="shared" ca="1" si="148"/>
        <v>7.9848878622833816E-5</v>
      </c>
      <c r="F1873" s="11">
        <f t="shared" ca="1" si="149"/>
        <v>4.1588948262061427</v>
      </c>
      <c r="G1873" s="10">
        <f t="shared" ca="1" si="146"/>
        <v>0</v>
      </c>
    </row>
    <row r="1874" spans="1:7" x14ac:dyDescent="0.2">
      <c r="A1874" s="2">
        <v>19970731</v>
      </c>
      <c r="B1874" s="13">
        <v>8222.61</v>
      </c>
      <c r="C1874" s="2">
        <f t="shared" si="147"/>
        <v>-3.9104094663888721E-3</v>
      </c>
      <c r="D1874" s="21">
        <f t="shared" ca="1" si="145"/>
        <v>-4.2943618814957393E-3</v>
      </c>
      <c r="E1874" s="21">
        <f t="shared" ca="1" si="148"/>
        <v>7.9999734617579906E-5</v>
      </c>
      <c r="F1874" s="11">
        <f t="shared" ca="1" si="149"/>
        <v>4.6014835881304714</v>
      </c>
      <c r="G1874" s="10">
        <f t="shared" ca="1" si="146"/>
        <v>1</v>
      </c>
    </row>
    <row r="1875" spans="1:7" x14ac:dyDescent="0.2">
      <c r="A1875" s="2">
        <v>19970801</v>
      </c>
      <c r="B1875" s="13">
        <v>8194.0400000000009</v>
      </c>
      <c r="C1875" s="2">
        <f t="shared" si="147"/>
        <v>-3.474565861691082E-3</v>
      </c>
      <c r="D1875" s="21">
        <f t="shared" ca="1" si="145"/>
        <v>-3.8585182767979492E-3</v>
      </c>
      <c r="E1875" s="21">
        <f t="shared" ca="1" si="148"/>
        <v>7.7539652582486317E-5</v>
      </c>
      <c r="F1875" s="11">
        <f t="shared" ca="1" si="149"/>
        <v>4.6363570065625854</v>
      </c>
      <c r="G1875" s="10">
        <f t="shared" ca="1" si="146"/>
        <v>1</v>
      </c>
    </row>
    <row r="1876" spans="1:7" x14ac:dyDescent="0.2">
      <c r="A1876" s="2">
        <v>19970804</v>
      </c>
      <c r="B1876" s="13">
        <v>8198.4500000000007</v>
      </c>
      <c r="C1876" s="2">
        <f t="shared" si="147"/>
        <v>5.3819605469339349E-4</v>
      </c>
      <c r="D1876" s="21">
        <f t="shared" ca="1" si="145"/>
        <v>1.5424363958652619E-4</v>
      </c>
      <c r="E1876" s="21">
        <f t="shared" ca="1" si="148"/>
        <v>7.507336289570725E-5</v>
      </c>
      <c r="F1876" s="11">
        <f t="shared" ca="1" si="149"/>
        <v>4.7483639229497623</v>
      </c>
      <c r="G1876" s="10">
        <f t="shared" ca="1" si="146"/>
        <v>1</v>
      </c>
    </row>
    <row r="1877" spans="1:7" x14ac:dyDescent="0.2">
      <c r="A1877" s="2">
        <v>19970805</v>
      </c>
      <c r="B1877" s="13">
        <v>8187.54</v>
      </c>
      <c r="C1877" s="2">
        <f t="shared" si="147"/>
        <v>-1.3307393470717956E-3</v>
      </c>
      <c r="D1877" s="21">
        <f t="shared" ca="1" si="145"/>
        <v>-1.714691762178663E-3</v>
      </c>
      <c r="E1877" s="21">
        <f t="shared" ca="1" si="148"/>
        <v>7.2185254696849102E-5</v>
      </c>
      <c r="F1877" s="11">
        <f t="shared" ca="1" si="149"/>
        <v>4.7477719484207785</v>
      </c>
      <c r="G1877" s="10">
        <f t="shared" ca="1" si="146"/>
        <v>1</v>
      </c>
    </row>
    <row r="1878" spans="1:7" x14ac:dyDescent="0.2">
      <c r="A1878" s="2">
        <v>19970806</v>
      </c>
      <c r="B1878" s="13">
        <v>8259.31</v>
      </c>
      <c r="C1878" s="2">
        <f t="shared" si="147"/>
        <v>8.7657587016368201E-3</v>
      </c>
      <c r="D1878" s="21">
        <f t="shared" ca="1" si="145"/>
        <v>8.3818062865299529E-3</v>
      </c>
      <c r="E1878" s="21">
        <f t="shared" ca="1" si="148"/>
        <v>6.9550497107543575E-5</v>
      </c>
      <c r="F1878" s="11">
        <f t="shared" ca="1" si="149"/>
        <v>4.2816663845705216</v>
      </c>
      <c r="G1878" s="10">
        <f t="shared" ca="1" si="146"/>
        <v>0</v>
      </c>
    </row>
    <row r="1879" spans="1:7" x14ac:dyDescent="0.2">
      <c r="A1879" s="2">
        <v>19970807</v>
      </c>
      <c r="B1879" s="13">
        <v>8188</v>
      </c>
      <c r="C1879" s="2">
        <f t="shared" si="147"/>
        <v>-8.6338931460375624E-3</v>
      </c>
      <c r="D1879" s="21">
        <f t="shared" ca="1" si="145"/>
        <v>-9.0178455611444296E-3</v>
      </c>
      <c r="E1879" s="21">
        <f t="shared" ca="1" si="148"/>
        <v>6.9524304794560353E-5</v>
      </c>
      <c r="F1879" s="11">
        <f t="shared" ca="1" si="149"/>
        <v>4.2020745634447216</v>
      </c>
      <c r="G1879" s="10">
        <f t="shared" ca="1" si="146"/>
        <v>0</v>
      </c>
    </row>
    <row r="1880" spans="1:7" x14ac:dyDescent="0.2">
      <c r="A1880" s="2">
        <v>19970808</v>
      </c>
      <c r="B1880" s="13">
        <v>8031.22</v>
      </c>
      <c r="C1880" s="2">
        <f t="shared" si="147"/>
        <v>-1.9147532975085459E-2</v>
      </c>
      <c r="D1880" s="21">
        <f t="shared" ca="1" si="145"/>
        <v>-1.9531485390192328E-2</v>
      </c>
      <c r="E1880" s="21">
        <f t="shared" ca="1" si="148"/>
        <v>6.9906385396101118E-5</v>
      </c>
      <c r="F1880" s="11">
        <f t="shared" ca="1" si="149"/>
        <v>2.0556783802159218</v>
      </c>
      <c r="G1880" s="10">
        <f t="shared" ca="1" si="146"/>
        <v>0</v>
      </c>
    </row>
    <row r="1881" spans="1:7" x14ac:dyDescent="0.2">
      <c r="A1881" s="2">
        <v>19970811</v>
      </c>
      <c r="B1881" s="13">
        <v>8062.11</v>
      </c>
      <c r="C1881" s="2">
        <f t="shared" si="147"/>
        <v>3.8462400482117808E-3</v>
      </c>
      <c r="D1881" s="21">
        <f t="shared" ca="1" si="145"/>
        <v>3.4622876331049136E-3</v>
      </c>
      <c r="E1881" s="21">
        <f t="shared" ca="1" si="148"/>
        <v>8.130644747539239E-5</v>
      </c>
      <c r="F1881" s="11">
        <f t="shared" ca="1" si="149"/>
        <v>4.6349249995551123</v>
      </c>
      <c r="G1881" s="10">
        <f t="shared" ca="1" si="146"/>
        <v>1</v>
      </c>
    </row>
    <row r="1882" spans="1:7" x14ac:dyDescent="0.2">
      <c r="A1882" s="2">
        <v>19970812</v>
      </c>
      <c r="B1882" s="13">
        <v>7960.84</v>
      </c>
      <c r="C1882" s="2">
        <f t="shared" si="147"/>
        <v>-1.2561227767916778E-2</v>
      </c>
      <c r="D1882" s="21">
        <f t="shared" ca="1" si="145"/>
        <v>-1.2945180183023645E-2</v>
      </c>
      <c r="E1882" s="21">
        <f t="shared" ca="1" si="148"/>
        <v>7.8542929574652761E-5</v>
      </c>
      <c r="F1882" s="11">
        <f t="shared" ca="1" si="149"/>
        <v>3.6591421825546142</v>
      </c>
      <c r="G1882" s="10">
        <f t="shared" ca="1" si="146"/>
        <v>0</v>
      </c>
    </row>
    <row r="1883" spans="1:7" x14ac:dyDescent="0.2">
      <c r="A1883" s="2">
        <v>19970813</v>
      </c>
      <c r="B1883" s="13">
        <v>7928.32</v>
      </c>
      <c r="C1883" s="2">
        <f t="shared" si="147"/>
        <v>-4.0849960556926697E-3</v>
      </c>
      <c r="D1883" s="21">
        <f t="shared" ca="1" si="145"/>
        <v>-4.4689484707995369E-3</v>
      </c>
      <c r="E1883" s="21">
        <f t="shared" ca="1" si="148"/>
        <v>8.1640544273566684E-5</v>
      </c>
      <c r="F1883" s="11">
        <f t="shared" ca="1" si="149"/>
        <v>4.5842786602178469</v>
      </c>
      <c r="G1883" s="10">
        <f t="shared" ca="1" si="146"/>
        <v>1</v>
      </c>
    </row>
    <row r="1884" spans="1:7" x14ac:dyDescent="0.2">
      <c r="A1884" s="2">
        <v>19970814</v>
      </c>
      <c r="B1884" s="13">
        <v>7942.03</v>
      </c>
      <c r="C1884" s="2">
        <f t="shared" si="147"/>
        <v>1.7292440264772408E-3</v>
      </c>
      <c r="D1884" s="21">
        <f t="shared" ca="1" si="145"/>
        <v>1.3452916113703734E-3</v>
      </c>
      <c r="E1884" s="21">
        <f t="shared" ca="1" si="148"/>
        <v>7.9153712308326098E-5</v>
      </c>
      <c r="F1884" s="11">
        <f t="shared" ca="1" si="149"/>
        <v>4.7106271886559865</v>
      </c>
      <c r="G1884" s="10">
        <f t="shared" ca="1" si="146"/>
        <v>1</v>
      </c>
    </row>
    <row r="1885" spans="1:7" x14ac:dyDescent="0.2">
      <c r="A1885" s="2">
        <v>19970815</v>
      </c>
      <c r="B1885" s="13">
        <v>7694.66</v>
      </c>
      <c r="C1885" s="2">
        <f t="shared" si="147"/>
        <v>-3.1146948576119694E-2</v>
      </c>
      <c r="D1885" s="21">
        <f t="shared" ca="1" si="145"/>
        <v>-3.153090099122656E-2</v>
      </c>
      <c r="E1885" s="21">
        <f t="shared" ca="1" si="148"/>
        <v>7.6124852904919019E-5</v>
      </c>
      <c r="F1885" s="11">
        <f t="shared" ca="1" si="149"/>
        <v>-1.788479003894043</v>
      </c>
      <c r="G1885" s="10">
        <f t="shared" ca="1" si="146"/>
        <v>0</v>
      </c>
    </row>
    <row r="1886" spans="1:7" x14ac:dyDescent="0.2">
      <c r="A1886" s="2">
        <v>19970818</v>
      </c>
      <c r="B1886" s="13">
        <v>7803.36</v>
      </c>
      <c r="C1886" s="2">
        <f t="shared" si="147"/>
        <v>1.412668006123725E-2</v>
      </c>
      <c r="D1886" s="21">
        <f t="shared" ca="1" si="145"/>
        <v>1.3742727646130383E-2</v>
      </c>
      <c r="E1886" s="21">
        <f t="shared" ca="1" si="148"/>
        <v>1.0974106062178033E-4</v>
      </c>
      <c r="F1886" s="11">
        <f t="shared" ca="1" si="149"/>
        <v>3.6982016917902643</v>
      </c>
      <c r="G1886" s="10">
        <f t="shared" ca="1" si="146"/>
        <v>0</v>
      </c>
    </row>
    <row r="1887" spans="1:7" x14ac:dyDescent="0.2">
      <c r="A1887" s="2">
        <v>19970819</v>
      </c>
      <c r="B1887" s="13">
        <v>7918.1</v>
      </c>
      <c r="C1887" s="2">
        <f t="shared" si="147"/>
        <v>1.4703922412909401E-2</v>
      </c>
      <c r="D1887" s="21">
        <f t="shared" ca="1" si="145"/>
        <v>1.4319969997802533E-2</v>
      </c>
      <c r="E1887" s="21">
        <f t="shared" ca="1" si="148"/>
        <v>1.1204303354998394E-4</v>
      </c>
      <c r="F1887" s="11">
        <f t="shared" ca="1" si="149"/>
        <v>3.6332120671144903</v>
      </c>
      <c r="G1887" s="10">
        <f t="shared" ca="1" si="146"/>
        <v>0</v>
      </c>
    </row>
    <row r="1888" spans="1:7" x14ac:dyDescent="0.2">
      <c r="A1888" s="2">
        <v>19970820</v>
      </c>
      <c r="B1888" s="13">
        <v>8021.23</v>
      </c>
      <c r="C1888" s="2">
        <f t="shared" si="147"/>
        <v>1.3024589232265215E-2</v>
      </c>
      <c r="D1888" s="21">
        <f t="shared" ca="1" si="145"/>
        <v>1.2640636817158348E-2</v>
      </c>
      <c r="E1888" s="21">
        <f t="shared" ca="1" si="148"/>
        <v>1.1482421359966871E-4</v>
      </c>
      <c r="F1888" s="11">
        <f t="shared" ca="1" si="149"/>
        <v>3.8402700974934674</v>
      </c>
      <c r="G1888" s="10">
        <f t="shared" ca="1" si="146"/>
        <v>0</v>
      </c>
    </row>
    <row r="1889" spans="1:7" x14ac:dyDescent="0.2">
      <c r="A1889" s="2">
        <v>19970821</v>
      </c>
      <c r="B1889" s="13">
        <v>7893.95</v>
      </c>
      <c r="C1889" s="2">
        <f t="shared" si="147"/>
        <v>-1.5867890585359073E-2</v>
      </c>
      <c r="D1889" s="21">
        <f t="shared" ca="1" si="145"/>
        <v>-1.6251843000465942E-2</v>
      </c>
      <c r="E1889" s="21">
        <f t="shared" ca="1" si="148"/>
        <v>1.1579982108571069E-4</v>
      </c>
      <c r="F1889" s="11">
        <f t="shared" ca="1" si="149"/>
        <v>3.3913971325326866</v>
      </c>
      <c r="G1889" s="10">
        <f t="shared" ca="1" si="146"/>
        <v>0</v>
      </c>
    </row>
    <row r="1890" spans="1:7" x14ac:dyDescent="0.2">
      <c r="A1890" s="2">
        <v>19970822</v>
      </c>
      <c r="B1890" s="13">
        <v>7887.91</v>
      </c>
      <c r="C1890" s="2">
        <f t="shared" si="147"/>
        <v>-7.6514292591161129E-4</v>
      </c>
      <c r="D1890" s="21">
        <f t="shared" ca="1" si="145"/>
        <v>-1.1490953410184786E-3</v>
      </c>
      <c r="E1890" s="21">
        <f t="shared" ca="1" si="148"/>
        <v>1.2056271496862006E-4</v>
      </c>
      <c r="F1890" s="11">
        <f t="shared" ca="1" si="149"/>
        <v>4.5061941705934387</v>
      </c>
      <c r="G1890" s="10">
        <f t="shared" ca="1" si="146"/>
        <v>1</v>
      </c>
    </row>
    <row r="1891" spans="1:7" x14ac:dyDescent="0.2">
      <c r="A1891" s="2">
        <v>19970825</v>
      </c>
      <c r="B1891" s="13">
        <v>7859.57</v>
      </c>
      <c r="C1891" s="2">
        <f t="shared" si="147"/>
        <v>-3.5928401820000668E-3</v>
      </c>
      <c r="D1891" s="21">
        <f t="shared" ca="1" si="145"/>
        <v>-3.976792597106934E-3</v>
      </c>
      <c r="E1891" s="21">
        <f t="shared" ca="1" si="148"/>
        <v>1.1542096478276768E-4</v>
      </c>
      <c r="F1891" s="11">
        <f t="shared" ca="1" si="149"/>
        <v>4.4649527134576417</v>
      </c>
      <c r="G1891" s="10">
        <f t="shared" ca="1" si="146"/>
        <v>1</v>
      </c>
    </row>
    <row r="1892" spans="1:7" x14ac:dyDescent="0.2">
      <c r="A1892" s="2">
        <v>19970826</v>
      </c>
      <c r="B1892" s="13">
        <v>7782.22</v>
      </c>
      <c r="C1892" s="2">
        <f t="shared" si="147"/>
        <v>-9.8415053240825459E-3</v>
      </c>
      <c r="D1892" s="21">
        <f t="shared" ca="1" si="145"/>
        <v>-1.0225457739189413E-2</v>
      </c>
      <c r="E1892" s="21">
        <f t="shared" ca="1" si="148"/>
        <v>1.1107232400672418E-4</v>
      </c>
      <c r="F1892" s="11">
        <f t="shared" ca="1" si="149"/>
        <v>4.081980255398574</v>
      </c>
      <c r="G1892" s="10">
        <f t="shared" ca="1" si="146"/>
        <v>1</v>
      </c>
    </row>
    <row r="1893" spans="1:7" x14ac:dyDescent="0.2">
      <c r="A1893" s="2">
        <v>19970827</v>
      </c>
      <c r="B1893" s="13">
        <v>7787.33</v>
      </c>
      <c r="C1893" s="2">
        <f t="shared" si="147"/>
        <v>6.5662497333661505E-4</v>
      </c>
      <c r="D1893" s="21">
        <f t="shared" ca="1" si="145"/>
        <v>2.7267255822974775E-4</v>
      </c>
      <c r="E1893" s="21">
        <f t="shared" ca="1" si="148"/>
        <v>1.1020699492277888E-4</v>
      </c>
      <c r="F1893" s="11">
        <f t="shared" ca="1" si="149"/>
        <v>4.5562377729742414</v>
      </c>
      <c r="G1893" s="10">
        <f t="shared" ca="1" si="146"/>
        <v>1</v>
      </c>
    </row>
    <row r="1894" spans="1:7" x14ac:dyDescent="0.2">
      <c r="A1894" s="2">
        <v>19970828</v>
      </c>
      <c r="B1894" s="13">
        <v>7694.43</v>
      </c>
      <c r="C1894" s="2">
        <f t="shared" si="147"/>
        <v>-1.1929634418985665E-2</v>
      </c>
      <c r="D1894" s="21">
        <f t="shared" ca="1" si="145"/>
        <v>-1.2313586834092533E-2</v>
      </c>
      <c r="E1894" s="21">
        <f t="shared" ca="1" si="148"/>
        <v>1.0554332386235366E-4</v>
      </c>
      <c r="F1894" s="11">
        <f t="shared" ca="1" si="149"/>
        <v>3.8598903415409986</v>
      </c>
      <c r="G1894" s="10">
        <f t="shared" ca="1" si="146"/>
        <v>0</v>
      </c>
    </row>
    <row r="1895" spans="1:7" x14ac:dyDescent="0.2">
      <c r="A1895" s="2">
        <v>19970829</v>
      </c>
      <c r="B1895" s="13">
        <v>7622.42</v>
      </c>
      <c r="C1895" s="2">
        <f t="shared" si="147"/>
        <v>-9.3587179297232176E-3</v>
      </c>
      <c r="D1895" s="21">
        <f t="shared" ca="1" si="145"/>
        <v>-9.7426703448300848E-3</v>
      </c>
      <c r="E1895" s="21">
        <f t="shared" ca="1" si="148"/>
        <v>1.0668835015849814E-4</v>
      </c>
      <c r="F1895" s="11">
        <f t="shared" ca="1" si="149"/>
        <v>4.1279539794659428</v>
      </c>
      <c r="G1895" s="10">
        <f t="shared" ca="1" si="146"/>
        <v>1</v>
      </c>
    </row>
    <row r="1896" spans="1:7" x14ac:dyDescent="0.2">
      <c r="A1896" s="2">
        <v>19970902</v>
      </c>
      <c r="B1896" s="13">
        <v>7879.78</v>
      </c>
      <c r="C1896" s="2">
        <f t="shared" si="147"/>
        <v>3.3763555406288247E-2</v>
      </c>
      <c r="D1896" s="21">
        <f t="shared" ca="1" si="145"/>
        <v>3.3379602991181381E-2</v>
      </c>
      <c r="E1896" s="21">
        <f t="shared" ca="1" si="148"/>
        <v>1.0569031486588594E-4</v>
      </c>
      <c r="F1896" s="11">
        <f t="shared" ca="1" si="149"/>
        <v>-0.69355148120189281</v>
      </c>
      <c r="G1896" s="10">
        <f t="shared" ca="1" si="146"/>
        <v>0</v>
      </c>
    </row>
    <row r="1897" spans="1:7" x14ac:dyDescent="0.2">
      <c r="A1897" s="2">
        <v>19970903</v>
      </c>
      <c r="B1897" s="13">
        <v>7894.64</v>
      </c>
      <c r="C1897" s="2">
        <f t="shared" si="147"/>
        <v>1.8858394523705716E-3</v>
      </c>
      <c r="D1897" s="21">
        <f t="shared" ca="1" si="145"/>
        <v>1.5018870372637042E-3</v>
      </c>
      <c r="E1897" s="21">
        <f t="shared" ca="1" si="148"/>
        <v>1.4222341221781126E-4</v>
      </c>
      <c r="F1897" s="11">
        <f t="shared" ca="1" si="149"/>
        <v>4.4211257008693021</v>
      </c>
      <c r="G1897" s="10">
        <f t="shared" ca="1" si="146"/>
        <v>1</v>
      </c>
    </row>
    <row r="1898" spans="1:7" x14ac:dyDescent="0.2">
      <c r="A1898" s="2">
        <v>19970904</v>
      </c>
      <c r="B1898" s="13">
        <v>7867.24</v>
      </c>
      <c r="C1898" s="2">
        <f t="shared" si="147"/>
        <v>-3.4707092407000881E-3</v>
      </c>
      <c r="D1898" s="21">
        <f t="shared" ca="1" si="145"/>
        <v>-3.8546616558069553E-3</v>
      </c>
      <c r="E1898" s="21">
        <f t="shared" ca="1" si="148"/>
        <v>1.360202308018464E-4</v>
      </c>
      <c r="F1898" s="11">
        <f t="shared" ca="1" si="149"/>
        <v>4.3967350573284287</v>
      </c>
      <c r="G1898" s="10">
        <f t="shared" ca="1" si="146"/>
        <v>1</v>
      </c>
    </row>
    <row r="1899" spans="1:7" x14ac:dyDescent="0.2">
      <c r="A1899" s="2">
        <v>19970905</v>
      </c>
      <c r="B1899" s="13">
        <v>7822.41</v>
      </c>
      <c r="C1899" s="2">
        <f t="shared" si="147"/>
        <v>-5.6983135127439775E-3</v>
      </c>
      <c r="D1899" s="21">
        <f t="shared" ca="1" si="145"/>
        <v>-6.0822659278508447E-3</v>
      </c>
      <c r="E1899" s="21">
        <f t="shared" ca="1" si="148"/>
        <v>1.3059429556518096E-4</v>
      </c>
      <c r="F1899" s="11">
        <f t="shared" ca="1" si="149"/>
        <v>4.330070547378206</v>
      </c>
      <c r="G1899" s="10">
        <f t="shared" ca="1" si="146"/>
        <v>1</v>
      </c>
    </row>
    <row r="1900" spans="1:7" x14ac:dyDescent="0.2">
      <c r="A1900" s="2">
        <v>19970908</v>
      </c>
      <c r="B1900" s="13">
        <v>7835.18</v>
      </c>
      <c r="C1900" s="2">
        <f t="shared" si="147"/>
        <v>1.6324892200741763E-3</v>
      </c>
      <c r="D1900" s="21">
        <f t="shared" ca="1" si="145"/>
        <v>1.2485368049673091E-3</v>
      </c>
      <c r="E1900" s="21">
        <f t="shared" ca="1" si="148"/>
        <v>1.2625682272011121E-4</v>
      </c>
      <c r="F1900" s="11">
        <f t="shared" ca="1" si="149"/>
        <v>4.4824229183632731</v>
      </c>
      <c r="G1900" s="10">
        <f t="shared" ca="1" si="146"/>
        <v>1</v>
      </c>
    </row>
    <row r="1901" spans="1:7" x14ac:dyDescent="0.2">
      <c r="A1901" s="2">
        <v>19970909</v>
      </c>
      <c r="B1901" s="13">
        <v>7851.91</v>
      </c>
      <c r="C1901" s="2">
        <f t="shared" si="147"/>
        <v>2.1352413090700612E-3</v>
      </c>
      <c r="D1901" s="21">
        <f t="shared" ca="1" si="145"/>
        <v>1.751288893963194E-3</v>
      </c>
      <c r="E1901" s="21">
        <f t="shared" ca="1" si="148"/>
        <v>1.2083577301688502E-4</v>
      </c>
      <c r="F1901" s="11">
        <f t="shared" ca="1" si="149"/>
        <v>4.4978482598551004</v>
      </c>
      <c r="G1901" s="10">
        <f t="shared" ca="1" si="146"/>
        <v>1</v>
      </c>
    </row>
    <row r="1902" spans="1:7" x14ac:dyDescent="0.2">
      <c r="A1902" s="2">
        <v>19970910</v>
      </c>
      <c r="B1902" s="13">
        <v>7719.28</v>
      </c>
      <c r="C1902" s="2">
        <f t="shared" si="147"/>
        <v>-1.6891431511568536E-2</v>
      </c>
      <c r="D1902" s="21">
        <f t="shared" ca="1" si="145"/>
        <v>-1.7275383926675405E-2</v>
      </c>
      <c r="E1902" s="21">
        <f t="shared" ca="1" si="148"/>
        <v>1.1574443399721019E-4</v>
      </c>
      <c r="F1902" s="11">
        <f t="shared" ca="1" si="149"/>
        <v>3.242848110794895</v>
      </c>
      <c r="G1902" s="10">
        <f t="shared" ca="1" si="146"/>
        <v>0</v>
      </c>
    </row>
    <row r="1903" spans="1:7" x14ac:dyDescent="0.2">
      <c r="A1903" s="2">
        <v>19970911</v>
      </c>
      <c r="B1903" s="13">
        <v>7660.98</v>
      </c>
      <c r="C1903" s="2">
        <f t="shared" si="147"/>
        <v>-7.5525178514058546E-3</v>
      </c>
      <c r="D1903" s="21">
        <f t="shared" ca="1" si="145"/>
        <v>-7.9364702665127226E-3</v>
      </c>
      <c r="E1903" s="21">
        <f t="shared" ca="1" si="148"/>
        <v>1.2177200714630376E-4</v>
      </c>
      <c r="F1903" s="11">
        <f t="shared" ca="1" si="149"/>
        <v>4.2480509644338742</v>
      </c>
      <c r="G1903" s="10">
        <f t="shared" ca="1" si="146"/>
        <v>1</v>
      </c>
    </row>
    <row r="1904" spans="1:7" x14ac:dyDescent="0.2">
      <c r="A1904" s="2">
        <v>19970912</v>
      </c>
      <c r="B1904" s="13">
        <v>7742.97</v>
      </c>
      <c r="C1904" s="2">
        <f t="shared" si="147"/>
        <v>1.0702286130495144E-2</v>
      </c>
      <c r="D1904" s="21">
        <f t="shared" ca="1" si="145"/>
        <v>1.0318333715388277E-2</v>
      </c>
      <c r="E1904" s="21">
        <f t="shared" ca="1" si="148"/>
        <v>1.1883668688946524E-4</v>
      </c>
      <c r="F1904" s="11">
        <f t="shared" ca="1" si="149"/>
        <v>4.0709208405954813</v>
      </c>
      <c r="G1904" s="10">
        <f t="shared" ca="1" si="146"/>
        <v>1</v>
      </c>
    </row>
    <row r="1905" spans="1:7" x14ac:dyDescent="0.2">
      <c r="A1905" s="2">
        <v>19970915</v>
      </c>
      <c r="B1905" s="13">
        <v>7721.14</v>
      </c>
      <c r="C1905" s="2">
        <f t="shared" si="147"/>
        <v>-2.819331600148254E-3</v>
      </c>
      <c r="D1905" s="21">
        <f t="shared" ca="1" si="145"/>
        <v>-3.2032840152551212E-3</v>
      </c>
      <c r="E1905" s="21">
        <f t="shared" ca="1" si="148"/>
        <v>1.1764871752996604E-4</v>
      </c>
      <c r="F1905" s="11">
        <f t="shared" ca="1" si="149"/>
        <v>4.48029491557645</v>
      </c>
      <c r="G1905" s="10">
        <f t="shared" ca="1" si="146"/>
        <v>1</v>
      </c>
    </row>
    <row r="1906" spans="1:7" x14ac:dyDescent="0.2">
      <c r="A1906" s="2">
        <v>19970916</v>
      </c>
      <c r="B1906" s="13">
        <v>7895.92</v>
      </c>
      <c r="C1906" s="2">
        <f t="shared" si="147"/>
        <v>2.2636553669535812E-2</v>
      </c>
      <c r="D1906" s="21">
        <f t="shared" ca="1" si="145"/>
        <v>2.2252601254428944E-2</v>
      </c>
      <c r="E1906" s="21">
        <f t="shared" ca="1" si="148"/>
        <v>1.1298314921485273E-4</v>
      </c>
      <c r="F1906" s="11">
        <f t="shared" ca="1" si="149"/>
        <v>2.352754893833179</v>
      </c>
      <c r="G1906" s="10">
        <f t="shared" ca="1" si="146"/>
        <v>0</v>
      </c>
    </row>
    <row r="1907" spans="1:7" x14ac:dyDescent="0.2">
      <c r="A1907" s="2">
        <v>19970917</v>
      </c>
      <c r="B1907" s="13">
        <v>7886.44</v>
      </c>
      <c r="C1907" s="2">
        <f t="shared" si="147"/>
        <v>-1.2006200670726746E-3</v>
      </c>
      <c r="D1907" s="21">
        <f t="shared" ca="1" si="145"/>
        <v>-1.5845724821795418E-3</v>
      </c>
      <c r="E1907" s="21">
        <f t="shared" ca="1" si="148"/>
        <v>1.2638486692340288E-4</v>
      </c>
      <c r="F1907" s="11">
        <f t="shared" ca="1" si="149"/>
        <v>4.4781559755649569</v>
      </c>
      <c r="G1907" s="10">
        <f t="shared" ca="1" si="146"/>
        <v>1</v>
      </c>
    </row>
    <row r="1908" spans="1:7" x14ac:dyDescent="0.2">
      <c r="A1908" s="2">
        <v>19970918</v>
      </c>
      <c r="B1908" s="13">
        <v>7922.72</v>
      </c>
      <c r="C1908" s="2">
        <f t="shared" si="147"/>
        <v>4.6003012766217275E-3</v>
      </c>
      <c r="D1908" s="21">
        <f t="shared" ca="1" si="145"/>
        <v>4.2163488615148603E-3</v>
      </c>
      <c r="E1908" s="21">
        <f t="shared" ca="1" si="148"/>
        <v>1.2099234707264325E-4</v>
      </c>
      <c r="F1908" s="11">
        <f t="shared" ca="1" si="149"/>
        <v>4.4364258367234841</v>
      </c>
      <c r="G1908" s="10">
        <f t="shared" ca="1" si="146"/>
        <v>1</v>
      </c>
    </row>
    <row r="1909" spans="1:7" x14ac:dyDescent="0.2">
      <c r="A1909" s="2">
        <v>19970919</v>
      </c>
      <c r="B1909" s="13">
        <v>7917.27</v>
      </c>
      <c r="C1909" s="2">
        <f t="shared" si="147"/>
        <v>-6.8789506634082964E-4</v>
      </c>
      <c r="D1909" s="21">
        <f t="shared" ca="1" si="145"/>
        <v>-1.0718474814476969E-3</v>
      </c>
      <c r="E1909" s="21">
        <f t="shared" ca="1" si="148"/>
        <v>1.1643402081325214E-4</v>
      </c>
      <c r="F1909" s="11">
        <f t="shared" ca="1" si="149"/>
        <v>4.524159384263525</v>
      </c>
      <c r="G1909" s="10">
        <f t="shared" ca="1" si="146"/>
        <v>1</v>
      </c>
    </row>
    <row r="1910" spans="1:7" x14ac:dyDescent="0.2">
      <c r="A1910" s="2">
        <v>19970922</v>
      </c>
      <c r="B1910" s="13">
        <v>7996.83</v>
      </c>
      <c r="C1910" s="2">
        <f t="shared" si="147"/>
        <v>1.0048918377167822E-2</v>
      </c>
      <c r="D1910" s="21">
        <f t="shared" ca="1" si="145"/>
        <v>9.6649659620609545E-3</v>
      </c>
      <c r="E1910" s="21">
        <f t="shared" ca="1" si="148"/>
        <v>1.1149483395016957E-4</v>
      </c>
      <c r="F1910" s="11">
        <f t="shared" ca="1" si="149"/>
        <v>4.1318607904817792</v>
      </c>
      <c r="G1910" s="10">
        <f t="shared" ca="1" si="146"/>
        <v>1</v>
      </c>
    </row>
    <row r="1911" spans="1:7" x14ac:dyDescent="0.2">
      <c r="A1911" s="2">
        <v>19970923</v>
      </c>
      <c r="B1911" s="13">
        <v>7970.06</v>
      </c>
      <c r="C1911" s="2">
        <f t="shared" si="147"/>
        <v>-3.347576477179023E-3</v>
      </c>
      <c r="D1911" s="21">
        <f t="shared" ca="1" si="145"/>
        <v>-3.7315288922858902E-3</v>
      </c>
      <c r="E1911" s="21">
        <f t="shared" ca="1" si="148"/>
        <v>1.101981831194157E-4</v>
      </c>
      <c r="F1911" s="11">
        <f t="shared" ca="1" si="149"/>
        <v>4.49343659217483</v>
      </c>
      <c r="G1911" s="10">
        <f t="shared" ca="1" si="146"/>
        <v>1</v>
      </c>
    </row>
    <row r="1912" spans="1:7" x14ac:dyDescent="0.2">
      <c r="A1912" s="2">
        <v>19970924</v>
      </c>
      <c r="B1912" s="13">
        <v>7906.71</v>
      </c>
      <c r="C1912" s="2">
        <f t="shared" si="147"/>
        <v>-7.9484972509617693E-3</v>
      </c>
      <c r="D1912" s="21">
        <f t="shared" ca="1" si="145"/>
        <v>-8.3324496660686365E-3</v>
      </c>
      <c r="E1912" s="21">
        <f t="shared" ca="1" si="148"/>
        <v>1.0604424497281345E-4</v>
      </c>
      <c r="F1912" s="11">
        <f t="shared" ca="1" si="149"/>
        <v>4.2484650482885673</v>
      </c>
      <c r="G1912" s="10">
        <f t="shared" ca="1" si="146"/>
        <v>1</v>
      </c>
    </row>
    <row r="1913" spans="1:7" x14ac:dyDescent="0.2">
      <c r="A1913" s="2">
        <v>19970925</v>
      </c>
      <c r="B1913" s="13">
        <v>7848.01</v>
      </c>
      <c r="C1913" s="2">
        <f t="shared" si="147"/>
        <v>-7.4240739827311003E-3</v>
      </c>
      <c r="D1913" s="21">
        <f t="shared" ca="1" si="145"/>
        <v>-7.8080263978379675E-3</v>
      </c>
      <c r="E1913" s="21">
        <f t="shared" ca="1" si="148"/>
        <v>1.0414148674950217E-4</v>
      </c>
      <c r="F1913" s="11">
        <f t="shared" ca="1" si="149"/>
        <v>4.2921759865007196</v>
      </c>
      <c r="G1913" s="10">
        <f t="shared" ca="1" si="146"/>
        <v>1</v>
      </c>
    </row>
    <row r="1914" spans="1:7" x14ac:dyDescent="0.2">
      <c r="A1914" s="2">
        <v>19970926</v>
      </c>
      <c r="B1914" s="13">
        <v>7922.18</v>
      </c>
      <c r="C1914" s="2">
        <f t="shared" si="147"/>
        <v>9.4508034520853143E-3</v>
      </c>
      <c r="D1914" s="21">
        <f t="shared" ca="1" si="145"/>
        <v>9.0668510369784471E-3</v>
      </c>
      <c r="E1914" s="21">
        <f t="shared" ca="1" si="148"/>
        <v>1.0202373740867912E-4</v>
      </c>
      <c r="F1914" s="11">
        <f t="shared" ca="1" si="149"/>
        <v>4.1922669338405996</v>
      </c>
      <c r="G1914" s="10">
        <f t="shared" ca="1" si="146"/>
        <v>1</v>
      </c>
    </row>
    <row r="1915" spans="1:7" x14ac:dyDescent="0.2">
      <c r="A1915" s="2">
        <v>19970929</v>
      </c>
      <c r="B1915" s="13">
        <v>7991.43</v>
      </c>
      <c r="C1915" s="2">
        <f t="shared" si="147"/>
        <v>8.7412808090702298E-3</v>
      </c>
      <c r="D1915" s="21">
        <f t="shared" ca="1" si="145"/>
        <v>8.3573283939633626E-3</v>
      </c>
      <c r="E1915" s="21">
        <f t="shared" ca="1" si="148"/>
        <v>1.0079424994249251E-4</v>
      </c>
      <c r="F1915" s="11">
        <f t="shared" ca="1" si="149"/>
        <v>4.2547417949114497</v>
      </c>
      <c r="G1915" s="10">
        <f t="shared" ca="1" si="146"/>
        <v>1</v>
      </c>
    </row>
    <row r="1916" spans="1:7" x14ac:dyDescent="0.2">
      <c r="A1916" s="2">
        <v>19970930</v>
      </c>
      <c r="B1916" s="13">
        <v>7945.26</v>
      </c>
      <c r="C1916" s="2">
        <f t="shared" si="147"/>
        <v>-5.77743908161619E-3</v>
      </c>
      <c r="D1916" s="21">
        <f t="shared" ca="1" si="145"/>
        <v>-6.1613914967230572E-3</v>
      </c>
      <c r="E1916" s="21">
        <f t="shared" ca="1" si="148"/>
        <v>9.9172359077230872E-5</v>
      </c>
      <c r="F1916" s="11">
        <f t="shared" ca="1" si="149"/>
        <v>4.4179277979163443</v>
      </c>
      <c r="G1916" s="10">
        <f t="shared" ca="1" si="146"/>
        <v>1</v>
      </c>
    </row>
    <row r="1917" spans="1:7" x14ac:dyDescent="0.2">
      <c r="A1917" s="2">
        <v>19971001</v>
      </c>
      <c r="B1917" s="13">
        <v>8015.5</v>
      </c>
      <c r="C1917" s="2">
        <f t="shared" si="147"/>
        <v>8.8404910600785609E-3</v>
      </c>
      <c r="D1917" s="21">
        <f t="shared" ca="1" si="145"/>
        <v>8.4565386449716937E-3</v>
      </c>
      <c r="E1917" s="21">
        <f t="shared" ca="1" si="148"/>
        <v>9.6460156311167455E-5</v>
      </c>
      <c r="F1917" s="11">
        <f t="shared" ca="1" si="149"/>
        <v>4.2525032928937634</v>
      </c>
      <c r="G1917" s="10">
        <f t="shared" ca="1" si="146"/>
        <v>1</v>
      </c>
    </row>
    <row r="1918" spans="1:7" x14ac:dyDescent="0.2">
      <c r="A1918" s="2">
        <v>19971002</v>
      </c>
      <c r="B1918" s="13">
        <v>8027.53</v>
      </c>
      <c r="C1918" s="2">
        <f t="shared" si="147"/>
        <v>1.5008421183955768E-3</v>
      </c>
      <c r="D1918" s="21">
        <f t="shared" ca="1" si="145"/>
        <v>1.1168897032887096E-3</v>
      </c>
      <c r="E1918" s="21">
        <f t="shared" ca="1" si="148"/>
        <v>9.5118867912404942E-5</v>
      </c>
      <c r="F1918" s="11">
        <f t="shared" ca="1" si="149"/>
        <v>4.6236343209899013</v>
      </c>
      <c r="G1918" s="10">
        <f t="shared" ca="1" si="146"/>
        <v>1</v>
      </c>
    </row>
    <row r="1919" spans="1:7" x14ac:dyDescent="0.2">
      <c r="A1919" s="2">
        <v>19971003</v>
      </c>
      <c r="B1919" s="13">
        <v>8038.58</v>
      </c>
      <c r="C1919" s="2">
        <f t="shared" si="147"/>
        <v>1.3765130743828029E-3</v>
      </c>
      <c r="D1919" s="21">
        <f t="shared" ca="1" si="145"/>
        <v>9.9256065927593546E-4</v>
      </c>
      <c r="E1919" s="21">
        <f t="shared" ca="1" si="148"/>
        <v>9.1261646817020726E-5</v>
      </c>
      <c r="F1919" s="11">
        <f t="shared" ca="1" si="149"/>
        <v>4.6454924292832152</v>
      </c>
      <c r="G1919" s="10">
        <f t="shared" ca="1" si="146"/>
        <v>1</v>
      </c>
    </row>
    <row r="1920" spans="1:7" x14ac:dyDescent="0.2">
      <c r="A1920" s="2">
        <v>19971006</v>
      </c>
      <c r="B1920" s="13">
        <v>8100.22</v>
      </c>
      <c r="C1920" s="2">
        <f t="shared" si="147"/>
        <v>7.6680209688776285E-3</v>
      </c>
      <c r="D1920" s="21">
        <f t="shared" ca="1" si="145"/>
        <v>7.2840685537707613E-3</v>
      </c>
      <c r="E1920" s="21">
        <f t="shared" ca="1" si="148"/>
        <v>8.7589919830098379E-5</v>
      </c>
      <c r="F1920" s="11">
        <f t="shared" ca="1" si="149"/>
        <v>4.3685469717002823</v>
      </c>
      <c r="G1920" s="10">
        <f t="shared" ca="1" si="146"/>
        <v>1</v>
      </c>
    </row>
    <row r="1921" spans="1:7" x14ac:dyDescent="0.2">
      <c r="A1921" s="2">
        <v>19971007</v>
      </c>
      <c r="B1921" s="13">
        <v>8178.31</v>
      </c>
      <c r="C1921" s="2">
        <f t="shared" si="147"/>
        <v>9.6404789005730893E-3</v>
      </c>
      <c r="D1921" s="21">
        <f t="shared" ca="1" si="145"/>
        <v>9.2565264854662221E-3</v>
      </c>
      <c r="E1921" s="21">
        <f t="shared" ca="1" si="148"/>
        <v>8.6018742658708946E-5</v>
      </c>
      <c r="F1921" s="11">
        <f t="shared" ca="1" si="149"/>
        <v>4.1824225981367791</v>
      </c>
      <c r="G1921" s="10">
        <f t="shared" ca="1" si="146"/>
        <v>1</v>
      </c>
    </row>
    <row r="1922" spans="1:7" x14ac:dyDescent="0.2">
      <c r="A1922" s="2">
        <v>19971008</v>
      </c>
      <c r="B1922" s="13">
        <v>8095.06</v>
      </c>
      <c r="C1922" s="2">
        <f t="shared" si="147"/>
        <v>-1.0179364685368982E-2</v>
      </c>
      <c r="D1922" s="21">
        <f t="shared" ca="1" si="145"/>
        <v>-1.0563317100475849E-2</v>
      </c>
      <c r="E1922" s="21">
        <f t="shared" ca="1" si="148"/>
        <v>8.5726753160785758E-5</v>
      </c>
      <c r="F1922" s="11">
        <f t="shared" ca="1" si="149"/>
        <v>4.0313627360853763</v>
      </c>
      <c r="G1922" s="10">
        <f t="shared" ca="1" si="146"/>
        <v>0</v>
      </c>
    </row>
    <row r="1923" spans="1:7" x14ac:dyDescent="0.2">
      <c r="A1923" s="2">
        <v>19971009</v>
      </c>
      <c r="B1923" s="13">
        <v>8061.42</v>
      </c>
      <c r="C1923" s="2">
        <f t="shared" si="147"/>
        <v>-4.1556208354231253E-3</v>
      </c>
      <c r="D1923" s="21">
        <f t="shared" ca="1" si="145"/>
        <v>-4.5395732505299925E-3</v>
      </c>
      <c r="E1923" s="21">
        <f t="shared" ca="1" si="148"/>
        <v>8.6401937909106366E-5</v>
      </c>
      <c r="F1923" s="11">
        <f t="shared" ca="1" si="149"/>
        <v>4.5589952317390505</v>
      </c>
      <c r="G1923" s="10">
        <f t="shared" ca="1" si="146"/>
        <v>1</v>
      </c>
    </row>
    <row r="1924" spans="1:7" x14ac:dyDescent="0.2">
      <c r="A1924" s="2">
        <v>19971010</v>
      </c>
      <c r="B1924" s="13">
        <v>8045.21</v>
      </c>
      <c r="C1924" s="2">
        <f t="shared" si="147"/>
        <v>-2.010811990939566E-3</v>
      </c>
      <c r="D1924" s="21">
        <f t="shared" ca="1" si="145"/>
        <v>-2.3947644060464332E-3</v>
      </c>
      <c r="E1924" s="21">
        <f t="shared" ca="1" si="148"/>
        <v>8.3697620571151034E-5</v>
      </c>
      <c r="F1924" s="11">
        <f t="shared" ca="1" si="149"/>
        <v>4.6598903891924275</v>
      </c>
      <c r="G1924" s="10">
        <f t="shared" ca="1" si="146"/>
        <v>1</v>
      </c>
    </row>
    <row r="1925" spans="1:7" x14ac:dyDescent="0.2">
      <c r="A1925" s="2">
        <v>19971013</v>
      </c>
      <c r="B1925" s="13">
        <v>8072.22</v>
      </c>
      <c r="C1925" s="2">
        <f t="shared" si="147"/>
        <v>3.3572771872953247E-3</v>
      </c>
      <c r="D1925" s="21">
        <f t="shared" ca="1" si="145"/>
        <v>2.9733247721884576E-3</v>
      </c>
      <c r="E1925" s="21">
        <f t="shared" ca="1" si="148"/>
        <v>8.0583215656459444E-5</v>
      </c>
      <c r="F1925" s="11">
        <f t="shared" ca="1" si="149"/>
        <v>4.6582558581095856</v>
      </c>
      <c r="G1925" s="10">
        <f t="shared" ca="1" si="146"/>
        <v>1</v>
      </c>
    </row>
    <row r="1926" spans="1:7" x14ac:dyDescent="0.2">
      <c r="A1926" s="2">
        <v>19971014</v>
      </c>
      <c r="B1926" s="13">
        <v>8096.29</v>
      </c>
      <c r="C1926" s="2">
        <f t="shared" si="147"/>
        <v>2.9818315159893696E-3</v>
      </c>
      <c r="D1926" s="21">
        <f t="shared" ca="1" si="145"/>
        <v>2.5978791008825024E-3</v>
      </c>
      <c r="E1926" s="21">
        <f t="shared" ca="1" si="148"/>
        <v>7.7740573863732952E-5</v>
      </c>
      <c r="F1926" s="11">
        <f t="shared" ca="1" si="149"/>
        <v>4.6876595890706572</v>
      </c>
      <c r="G1926" s="10">
        <f t="shared" ca="1" si="146"/>
        <v>1</v>
      </c>
    </row>
    <row r="1927" spans="1:7" x14ac:dyDescent="0.2">
      <c r="A1927" s="2">
        <v>19971015</v>
      </c>
      <c r="B1927" s="13">
        <v>8057.98</v>
      </c>
      <c r="C1927" s="2">
        <f t="shared" si="147"/>
        <v>-4.7317969094486986E-3</v>
      </c>
      <c r="D1927" s="21">
        <f t="shared" ca="1" si="145"/>
        <v>-5.1157493245555657E-3</v>
      </c>
      <c r="E1927" s="21">
        <f t="shared" ca="1" si="148"/>
        <v>7.4964827368518528E-5</v>
      </c>
      <c r="F1927" s="11">
        <f t="shared" ca="1" si="149"/>
        <v>4.574691293212843</v>
      </c>
      <c r="G1927" s="10">
        <f t="shared" ca="1" si="146"/>
        <v>1</v>
      </c>
    </row>
    <row r="1928" spans="1:7" x14ac:dyDescent="0.2">
      <c r="A1928" s="2">
        <v>19971016</v>
      </c>
      <c r="B1928" s="13">
        <v>7938.88</v>
      </c>
      <c r="C1928" s="2">
        <f t="shared" si="147"/>
        <v>-1.4780379201735356E-2</v>
      </c>
      <c r="D1928" s="21">
        <f t="shared" ca="1" si="145"/>
        <v>-1.5164331616842223E-2</v>
      </c>
      <c r="E1928" s="21">
        <f t="shared" ca="1" si="148"/>
        <v>7.3043684540672599E-5</v>
      </c>
      <c r="F1928" s="11">
        <f t="shared" ca="1" si="149"/>
        <v>3.1881207865185104</v>
      </c>
      <c r="G1928" s="10">
        <f t="shared" ca="1" si="146"/>
        <v>0</v>
      </c>
    </row>
    <row r="1929" spans="1:7" x14ac:dyDescent="0.2">
      <c r="A1929" s="2">
        <v>19971017</v>
      </c>
      <c r="B1929" s="13">
        <v>7847.03</v>
      </c>
      <c r="C1929" s="2">
        <f t="shared" si="147"/>
        <v>-1.1569642065379545E-2</v>
      </c>
      <c r="D1929" s="21">
        <f t="shared" ca="1" si="145"/>
        <v>-1.1953594480486412E-2</v>
      </c>
      <c r="E1929" s="21">
        <f t="shared" ca="1" si="148"/>
        <v>7.8713302289445378E-5</v>
      </c>
      <c r="F1929" s="11">
        <f t="shared" ca="1" si="149"/>
        <v>3.8171981580961347</v>
      </c>
      <c r="G1929" s="10">
        <f t="shared" ca="1" si="146"/>
        <v>0</v>
      </c>
    </row>
    <row r="1930" spans="1:7" x14ac:dyDescent="0.2">
      <c r="A1930" s="2">
        <v>19971020</v>
      </c>
      <c r="B1930" s="13">
        <v>7921.44</v>
      </c>
      <c r="C1930" s="2">
        <f t="shared" si="147"/>
        <v>9.4825685641573756E-3</v>
      </c>
      <c r="D1930" s="21">
        <f t="shared" ca="1" si="145"/>
        <v>9.0986161490505084E-3</v>
      </c>
      <c r="E1930" s="21">
        <f t="shared" ca="1" si="148"/>
        <v>8.0894430248076995E-5</v>
      </c>
      <c r="F1930" s="11">
        <f t="shared" ca="1" si="149"/>
        <v>4.199498516560225</v>
      </c>
      <c r="G1930" s="10">
        <f t="shared" ca="1" si="146"/>
        <v>0</v>
      </c>
    </row>
    <row r="1931" spans="1:7" x14ac:dyDescent="0.2">
      <c r="A1931" s="2">
        <v>19971021</v>
      </c>
      <c r="B1931" s="13">
        <v>8060.44</v>
      </c>
      <c r="C1931" s="2">
        <f t="shared" si="147"/>
        <v>1.7547314629663295E-2</v>
      </c>
      <c r="D1931" s="21">
        <f t="shared" ca="1" si="145"/>
        <v>1.7163362214556426E-2</v>
      </c>
      <c r="E1931" s="21">
        <f t="shared" ca="1" si="148"/>
        <v>8.0755099719063663E-5</v>
      </c>
      <c r="F1931" s="11">
        <f t="shared" ca="1" si="149"/>
        <v>2.8881289347735999</v>
      </c>
      <c r="G1931" s="10">
        <f t="shared" ca="1" si="146"/>
        <v>0</v>
      </c>
    </row>
    <row r="1932" spans="1:7" x14ac:dyDescent="0.2">
      <c r="A1932" s="2">
        <v>19971022</v>
      </c>
      <c r="B1932" s="13">
        <v>8034.65</v>
      </c>
      <c r="C1932" s="2">
        <f t="shared" si="147"/>
        <v>-3.1995771942970814E-3</v>
      </c>
      <c r="D1932" s="21">
        <f t="shared" ca="1" si="145"/>
        <v>-3.5835296094039485E-3</v>
      </c>
      <c r="E1932" s="21">
        <f t="shared" ca="1" si="148"/>
        <v>8.8410933557733426E-5</v>
      </c>
      <c r="F1932" s="11">
        <f t="shared" ca="1" si="149"/>
        <v>4.5941324771676531</v>
      </c>
      <c r="G1932" s="10">
        <f t="shared" ca="1" si="146"/>
        <v>1</v>
      </c>
    </row>
    <row r="1933" spans="1:7" x14ac:dyDescent="0.2">
      <c r="A1933" s="2">
        <v>19971023</v>
      </c>
      <c r="B1933" s="13">
        <v>7847.77</v>
      </c>
      <c r="C1933" s="2">
        <f t="shared" si="147"/>
        <v>-2.3259258337326356E-2</v>
      </c>
      <c r="D1933" s="21">
        <f t="shared" ca="1" si="145"/>
        <v>-2.3643210752433225E-2</v>
      </c>
      <c r="E1933" s="21">
        <f t="shared" ca="1" si="148"/>
        <v>8.5319409587031176E-5</v>
      </c>
      <c r="F1933" s="11">
        <f t="shared" ca="1" si="149"/>
        <v>1.4086208475571218</v>
      </c>
      <c r="G1933" s="10">
        <f t="shared" ca="1" si="146"/>
        <v>0</v>
      </c>
    </row>
    <row r="1934" spans="1:7" x14ac:dyDescent="0.2">
      <c r="A1934" s="2">
        <v>19971024</v>
      </c>
      <c r="B1934" s="13">
        <v>7715.41</v>
      </c>
      <c r="C1934" s="2">
        <f t="shared" si="147"/>
        <v>-1.6865937712241895E-2</v>
      </c>
      <c r="D1934" s="21">
        <f t="shared" ref="D1934:D1997" ca="1" si="150">(C1934-mu)</f>
        <v>-1.7249890127348764E-2</v>
      </c>
      <c r="E1934" s="21">
        <f t="shared" ca="1" si="148"/>
        <v>1.0246753373280781E-4</v>
      </c>
      <c r="F1934" s="11">
        <f t="shared" ca="1" si="149"/>
        <v>3.1410164757178718</v>
      </c>
      <c r="G1934" s="10">
        <f t="shared" ref="G1934:G1997" ca="1" si="151">IF(AND(C1934&lt;=mu+zvalue*SQRT(E1934),C1934&gt;=mu-zvalue*SQRT(E1934)),1,0)</f>
        <v>0</v>
      </c>
    </row>
    <row r="1935" spans="1:7" x14ac:dyDescent="0.2">
      <c r="A1935" s="2">
        <v>19971027</v>
      </c>
      <c r="B1935" s="13">
        <v>7161.15</v>
      </c>
      <c r="C1935" s="2">
        <f t="shared" ref="C1935:C1998" si="152">(B1935-B1934)/B1934</f>
        <v>-7.1838048788074801E-2</v>
      </c>
      <c r="D1935" s="21">
        <f t="shared" ca="1" si="150"/>
        <v>-7.2222001203181674E-2</v>
      </c>
      <c r="E1935" s="21">
        <f t="shared" ref="E1935:E1998" ca="1" si="153">(1-alpha-beta)*longvar+alpha*D1934^2+beta*E1934</f>
        <v>1.0913442386743215E-4</v>
      </c>
      <c r="F1935" s="11">
        <f t="shared" ref="F1935:F1998" ca="1" si="154">(-0.5)*(LN(E1935)+D1935^2/E1935)</f>
        <v>-19.335749335847279</v>
      </c>
      <c r="G1935" s="10">
        <f t="shared" ca="1" si="151"/>
        <v>0</v>
      </c>
    </row>
    <row r="1936" spans="1:7" x14ac:dyDescent="0.2">
      <c r="A1936" s="2">
        <v>19971028</v>
      </c>
      <c r="B1936" s="13">
        <v>7498.32</v>
      </c>
      <c r="C1936" s="2">
        <f t="shared" si="152"/>
        <v>4.7083219873902946E-2</v>
      </c>
      <c r="D1936" s="21">
        <f t="shared" ca="1" si="150"/>
        <v>4.669926745879608E-2</v>
      </c>
      <c r="E1936" s="21">
        <f t="shared" ca="1" si="153"/>
        <v>2.9632434987359666E-4</v>
      </c>
      <c r="F1936" s="11">
        <f t="shared" ca="1" si="154"/>
        <v>0.38223995058651328</v>
      </c>
      <c r="G1936" s="10">
        <f t="shared" ca="1" si="151"/>
        <v>0</v>
      </c>
    </row>
    <row r="1937" spans="1:7" x14ac:dyDescent="0.2">
      <c r="A1937" s="2">
        <v>19971029</v>
      </c>
      <c r="B1937" s="13">
        <v>7506.67</v>
      </c>
      <c r="C1937" s="2">
        <f t="shared" si="152"/>
        <v>1.113582775875178E-3</v>
      </c>
      <c r="D1937" s="21">
        <f t="shared" ca="1" si="150"/>
        <v>7.2963036076831073E-4</v>
      </c>
      <c r="E1937" s="21">
        <f t="shared" ca="1" si="153"/>
        <v>3.6243482391057824E-4</v>
      </c>
      <c r="F1937" s="11">
        <f t="shared" ca="1" si="154"/>
        <v>3.9605985256312146</v>
      </c>
      <c r="G1937" s="10">
        <f t="shared" ca="1" si="151"/>
        <v>1</v>
      </c>
    </row>
    <row r="1938" spans="1:7" x14ac:dyDescent="0.2">
      <c r="A1938" s="2">
        <v>19971030</v>
      </c>
      <c r="B1938" s="13">
        <v>7381.67</v>
      </c>
      <c r="C1938" s="2">
        <f t="shared" si="152"/>
        <v>-1.6651857614628056E-2</v>
      </c>
      <c r="D1938" s="21">
        <f t="shared" ca="1" si="150"/>
        <v>-1.7035810029734925E-2</v>
      </c>
      <c r="E1938" s="21">
        <f t="shared" ca="1" si="153"/>
        <v>3.4502770576457534E-4</v>
      </c>
      <c r="F1938" s="11">
        <f t="shared" ca="1" si="154"/>
        <v>3.5653697031963438</v>
      </c>
      <c r="G1938" s="10">
        <f t="shared" ca="1" si="151"/>
        <v>1</v>
      </c>
    </row>
    <row r="1939" spans="1:7" x14ac:dyDescent="0.2">
      <c r="A1939" s="2">
        <v>19971031</v>
      </c>
      <c r="B1939" s="13">
        <v>7442.08</v>
      </c>
      <c r="C1939" s="2">
        <f t="shared" si="152"/>
        <v>8.1837849700677288E-3</v>
      </c>
      <c r="D1939" s="21">
        <f t="shared" ca="1" si="150"/>
        <v>7.7998325549608616E-3</v>
      </c>
      <c r="E1939" s="21">
        <f t="shared" ca="1" si="153"/>
        <v>3.3915349650436651E-4</v>
      </c>
      <c r="F1939" s="11">
        <f t="shared" ca="1" si="154"/>
        <v>3.9048388308507844</v>
      </c>
      <c r="G1939" s="10">
        <f t="shared" ca="1" si="151"/>
        <v>1</v>
      </c>
    </row>
    <row r="1940" spans="1:7" x14ac:dyDescent="0.2">
      <c r="A1940" s="2">
        <v>19971103</v>
      </c>
      <c r="B1940" s="13">
        <v>7674.39</v>
      </c>
      <c r="C1940" s="2">
        <f t="shared" si="152"/>
        <v>3.1215735385806173E-2</v>
      </c>
      <c r="D1940" s="21">
        <f t="shared" ca="1" si="150"/>
        <v>3.0831782970699304E-2</v>
      </c>
      <c r="E1940" s="21">
        <f t="shared" ca="1" si="153"/>
        <v>3.2514170953127893E-4</v>
      </c>
      <c r="F1940" s="11">
        <f t="shared" ca="1" si="154"/>
        <v>2.5538023624704724</v>
      </c>
      <c r="G1940" s="10">
        <f t="shared" ca="1" si="151"/>
        <v>0</v>
      </c>
    </row>
    <row r="1941" spans="1:7" x14ac:dyDescent="0.2">
      <c r="A1941" s="2">
        <v>19971104</v>
      </c>
      <c r="B1941" s="13">
        <v>7689.13</v>
      </c>
      <c r="C1941" s="2">
        <f t="shared" si="152"/>
        <v>1.9206738255418061E-3</v>
      </c>
      <c r="D1941" s="21">
        <f t="shared" ca="1" si="150"/>
        <v>1.5367214104349386E-3</v>
      </c>
      <c r="E1941" s="21">
        <f t="shared" ca="1" si="153"/>
        <v>3.4455686567673362E-4</v>
      </c>
      <c r="F1941" s="11">
        <f t="shared" ca="1" si="154"/>
        <v>3.9831988231122128</v>
      </c>
      <c r="G1941" s="10">
        <f t="shared" ca="1" si="151"/>
        <v>1</v>
      </c>
    </row>
    <row r="1942" spans="1:7" x14ac:dyDescent="0.2">
      <c r="A1942" s="2">
        <v>19971105</v>
      </c>
      <c r="B1942" s="13">
        <v>7692.57</v>
      </c>
      <c r="C1942" s="2">
        <f t="shared" si="152"/>
        <v>4.4738481466688685E-4</v>
      </c>
      <c r="D1942" s="21">
        <f t="shared" ca="1" si="150"/>
        <v>6.343239956001955E-5</v>
      </c>
      <c r="E1942" s="21">
        <f t="shared" ca="1" si="153"/>
        <v>3.2812146044563459E-4</v>
      </c>
      <c r="F1942" s="11">
        <f t="shared" ca="1" si="154"/>
        <v>4.0110572245731744</v>
      </c>
      <c r="G1942" s="10">
        <f t="shared" ca="1" si="151"/>
        <v>1</v>
      </c>
    </row>
    <row r="1943" spans="1:7" x14ac:dyDescent="0.2">
      <c r="A1943" s="2">
        <v>19971106</v>
      </c>
      <c r="B1943" s="13">
        <v>7683.24</v>
      </c>
      <c r="C1943" s="2">
        <f t="shared" si="152"/>
        <v>-1.2128586415203148E-3</v>
      </c>
      <c r="D1943" s="21">
        <f t="shared" ca="1" si="150"/>
        <v>-1.5968110566271822E-3</v>
      </c>
      <c r="E1943" s="21">
        <f t="shared" ca="1" si="153"/>
        <v>3.1243083878907052E-4</v>
      </c>
      <c r="F1943" s="11">
        <f t="shared" ca="1" si="154"/>
        <v>4.0314831225976908</v>
      </c>
      <c r="G1943" s="10">
        <f t="shared" ca="1" si="151"/>
        <v>1</v>
      </c>
    </row>
    <row r="1944" spans="1:7" x14ac:dyDescent="0.2">
      <c r="A1944" s="2">
        <v>19971107</v>
      </c>
      <c r="B1944" s="13">
        <v>7581.32</v>
      </c>
      <c r="C1944" s="2">
        <f t="shared" si="152"/>
        <v>-1.3265237061448045E-2</v>
      </c>
      <c r="D1944" s="21">
        <f t="shared" ca="1" si="150"/>
        <v>-1.3649189476554913E-2</v>
      </c>
      <c r="E1944" s="21">
        <f t="shared" ca="1" si="153"/>
        <v>2.9762762369330199E-4</v>
      </c>
      <c r="F1944" s="11">
        <f t="shared" ca="1" si="154"/>
        <v>3.7468581102079921</v>
      </c>
      <c r="G1944" s="10">
        <f t="shared" ca="1" si="151"/>
        <v>1</v>
      </c>
    </row>
    <row r="1945" spans="1:7" x14ac:dyDescent="0.2">
      <c r="A1945" s="2">
        <v>19971110</v>
      </c>
      <c r="B1945" s="13">
        <v>7552.59</v>
      </c>
      <c r="C1945" s="2">
        <f t="shared" si="152"/>
        <v>-3.7895775405865422E-3</v>
      </c>
      <c r="D1945" s="21">
        <f t="shared" ca="1" si="150"/>
        <v>-4.1735299556934094E-3</v>
      </c>
      <c r="E1945" s="21">
        <f t="shared" ca="1" si="153"/>
        <v>2.9033013733914358E-4</v>
      </c>
      <c r="F1945" s="11">
        <f t="shared" ca="1" si="154"/>
        <v>4.042248446331536</v>
      </c>
      <c r="G1945" s="10">
        <f t="shared" ca="1" si="151"/>
        <v>1</v>
      </c>
    </row>
    <row r="1946" spans="1:7" x14ac:dyDescent="0.2">
      <c r="A1946" s="2">
        <v>19971111</v>
      </c>
      <c r="B1946" s="13">
        <v>7558.73</v>
      </c>
      <c r="C1946" s="2">
        <f t="shared" si="152"/>
        <v>8.1296614803655668E-4</v>
      </c>
      <c r="D1946" s="21">
        <f t="shared" ca="1" si="150"/>
        <v>4.2901373292968939E-4</v>
      </c>
      <c r="E1946" s="21">
        <f t="shared" ca="1" si="153"/>
        <v>2.7719174643152914E-4</v>
      </c>
      <c r="F1946" s="11">
        <f t="shared" ca="1" si="154"/>
        <v>4.0950685375104303</v>
      </c>
      <c r="G1946" s="10">
        <f t="shared" ca="1" si="151"/>
        <v>1</v>
      </c>
    </row>
    <row r="1947" spans="1:7" x14ac:dyDescent="0.2">
      <c r="A1947" s="2">
        <v>19971112</v>
      </c>
      <c r="B1947" s="13">
        <v>7401.32</v>
      </c>
      <c r="C1947" s="2">
        <f t="shared" si="152"/>
        <v>-2.0824926938784672E-2</v>
      </c>
      <c r="D1947" s="21">
        <f t="shared" ca="1" si="150"/>
        <v>-2.1208879353891541E-2</v>
      </c>
      <c r="E1947" s="21">
        <f t="shared" ca="1" si="153"/>
        <v>2.6408429576112565E-4</v>
      </c>
      <c r="F1947" s="11">
        <f t="shared" ca="1" si="154"/>
        <v>3.2679677270015626</v>
      </c>
      <c r="G1947" s="10">
        <f t="shared" ca="1" si="151"/>
        <v>0</v>
      </c>
    </row>
    <row r="1948" spans="1:7" x14ac:dyDescent="0.2">
      <c r="A1948" s="2">
        <v>19971113</v>
      </c>
      <c r="B1948" s="13">
        <v>7487.76</v>
      </c>
      <c r="C1948" s="2">
        <f t="shared" si="152"/>
        <v>1.1678997800392431E-2</v>
      </c>
      <c r="D1948" s="21">
        <f t="shared" ca="1" si="150"/>
        <v>1.1295045385285564E-2</v>
      </c>
      <c r="E1948" s="21">
        <f t="shared" ca="1" si="153"/>
        <v>2.6817372783262438E-4</v>
      </c>
      <c r="F1948" s="11">
        <f t="shared" ca="1" si="154"/>
        <v>3.8740732170550589</v>
      </c>
      <c r="G1948" s="10">
        <f t="shared" ca="1" si="151"/>
        <v>1</v>
      </c>
    </row>
    <row r="1949" spans="1:7" x14ac:dyDescent="0.2">
      <c r="A1949" s="2">
        <v>19971114</v>
      </c>
      <c r="B1949" s="13">
        <v>7572.48</v>
      </c>
      <c r="C1949" s="2">
        <f t="shared" si="152"/>
        <v>1.1314465207218093E-2</v>
      </c>
      <c r="D1949" s="21">
        <f t="shared" ca="1" si="150"/>
        <v>1.0930512792111225E-2</v>
      </c>
      <c r="E1949" s="21">
        <f t="shared" ca="1" si="153"/>
        <v>2.6020700141543383E-4</v>
      </c>
      <c r="F1949" s="11">
        <f t="shared" ca="1" si="154"/>
        <v>3.8974375738363216</v>
      </c>
      <c r="G1949" s="10">
        <f t="shared" ca="1" si="151"/>
        <v>1</v>
      </c>
    </row>
    <row r="1950" spans="1:7" x14ac:dyDescent="0.2">
      <c r="A1950" s="2">
        <v>19971117</v>
      </c>
      <c r="B1950" s="13">
        <v>7698.22</v>
      </c>
      <c r="C1950" s="2">
        <f t="shared" si="152"/>
        <v>1.6604863928330046E-2</v>
      </c>
      <c r="D1950" s="21">
        <f t="shared" ca="1" si="150"/>
        <v>1.6220911513223177E-2</v>
      </c>
      <c r="E1950" s="21">
        <f t="shared" ca="1" si="153"/>
        <v>2.5234539181754576E-4</v>
      </c>
      <c r="F1950" s="11">
        <f t="shared" ca="1" si="154"/>
        <v>3.6210109948988793</v>
      </c>
      <c r="G1950" s="10">
        <f t="shared" ca="1" si="151"/>
        <v>0</v>
      </c>
    </row>
    <row r="1951" spans="1:7" x14ac:dyDescent="0.2">
      <c r="A1951" s="2">
        <v>19971118</v>
      </c>
      <c r="B1951" s="13">
        <v>7650.82</v>
      </c>
      <c r="C1951" s="2">
        <f t="shared" si="152"/>
        <v>-6.1572675241809852E-3</v>
      </c>
      <c r="D1951" s="21">
        <f t="shared" ca="1" si="150"/>
        <v>-6.5412199392878524E-3</v>
      </c>
      <c r="E1951" s="21">
        <f t="shared" ca="1" si="153"/>
        <v>2.501634656509017E-4</v>
      </c>
      <c r="F1951" s="11">
        <f t="shared" ca="1" si="154"/>
        <v>4.061178796804418</v>
      </c>
      <c r="G1951" s="10">
        <f t="shared" ca="1" si="151"/>
        <v>1</v>
      </c>
    </row>
    <row r="1952" spans="1:7" x14ac:dyDescent="0.2">
      <c r="A1952" s="2">
        <v>19971119</v>
      </c>
      <c r="B1952" s="13">
        <v>7724.74</v>
      </c>
      <c r="C1952" s="2">
        <f t="shared" si="152"/>
        <v>9.6617094638221882E-3</v>
      </c>
      <c r="D1952" s="21">
        <f t="shared" ca="1" si="150"/>
        <v>9.277757048715321E-3</v>
      </c>
      <c r="E1952" s="21">
        <f t="shared" ca="1" si="153"/>
        <v>2.3998998989000617E-4</v>
      </c>
      <c r="F1952" s="11">
        <f t="shared" ca="1" si="154"/>
        <v>3.9881225759688723</v>
      </c>
      <c r="G1952" s="10">
        <f t="shared" ca="1" si="151"/>
        <v>1</v>
      </c>
    </row>
    <row r="1953" spans="1:7" x14ac:dyDescent="0.2">
      <c r="A1953" s="2">
        <v>19971120</v>
      </c>
      <c r="B1953" s="13">
        <v>7826.61</v>
      </c>
      <c r="C1953" s="2">
        <f t="shared" si="152"/>
        <v>1.3187498867275778E-2</v>
      </c>
      <c r="D1953" s="21">
        <f t="shared" ca="1" si="150"/>
        <v>1.2803546452168911E-2</v>
      </c>
      <c r="E1953" s="21">
        <f t="shared" ca="1" si="153"/>
        <v>2.3192301373234006E-4</v>
      </c>
      <c r="F1953" s="11">
        <f t="shared" ca="1" si="154"/>
        <v>3.831136120884159</v>
      </c>
      <c r="G1953" s="10">
        <f t="shared" ca="1" si="151"/>
        <v>1</v>
      </c>
    </row>
    <row r="1954" spans="1:7" x14ac:dyDescent="0.2">
      <c r="A1954" s="2">
        <v>19971121</v>
      </c>
      <c r="B1954" s="13">
        <v>7881.07</v>
      </c>
      <c r="C1954" s="2">
        <f t="shared" si="152"/>
        <v>6.9583127305436251E-3</v>
      </c>
      <c r="D1954" s="21">
        <f t="shared" ca="1" si="150"/>
        <v>6.5743603154367579E-3</v>
      </c>
      <c r="E1954" s="21">
        <f t="shared" ca="1" si="153"/>
        <v>2.2712697702371477E-4</v>
      </c>
      <c r="F1954" s="11">
        <f t="shared" ca="1" si="154"/>
        <v>4.0998507738075158</v>
      </c>
      <c r="G1954" s="10">
        <f t="shared" ca="1" si="151"/>
        <v>1</v>
      </c>
    </row>
    <row r="1955" spans="1:7" x14ac:dyDescent="0.2">
      <c r="A1955" s="2">
        <v>19971124</v>
      </c>
      <c r="B1955" s="13">
        <v>7767.92</v>
      </c>
      <c r="C1955" s="2">
        <f t="shared" si="152"/>
        <v>-1.4357187539255412E-2</v>
      </c>
      <c r="D1955" s="21">
        <f t="shared" ca="1" si="150"/>
        <v>-1.4741139954362279E-2</v>
      </c>
      <c r="E1955" s="21">
        <f t="shared" ca="1" si="153"/>
        <v>2.181349078405126E-4</v>
      </c>
      <c r="F1955" s="11">
        <f t="shared" ca="1" si="154"/>
        <v>3.7171093965809217</v>
      </c>
      <c r="G1955" s="10">
        <f t="shared" ca="1" si="151"/>
        <v>1</v>
      </c>
    </row>
    <row r="1956" spans="1:7" x14ac:dyDescent="0.2">
      <c r="A1956" s="2">
        <v>19971125</v>
      </c>
      <c r="B1956" s="13">
        <v>7808.95</v>
      </c>
      <c r="C1956" s="2">
        <f t="shared" si="152"/>
        <v>5.2819802469644059E-3</v>
      </c>
      <c r="D1956" s="21">
        <f t="shared" ca="1" si="150"/>
        <v>4.8980278318575387E-3</v>
      </c>
      <c r="E1956" s="21">
        <f t="shared" ca="1" si="153"/>
        <v>2.1599893894272908E-4</v>
      </c>
      <c r="F1956" s="11">
        <f t="shared" ca="1" si="154"/>
        <v>4.1645842847886509</v>
      </c>
      <c r="G1956" s="10">
        <f t="shared" ca="1" si="151"/>
        <v>1</v>
      </c>
    </row>
    <row r="1957" spans="1:7" x14ac:dyDescent="0.2">
      <c r="A1957" s="2">
        <v>19971126</v>
      </c>
      <c r="B1957" s="13">
        <v>7794.78</v>
      </c>
      <c r="C1957" s="2">
        <f t="shared" si="152"/>
        <v>-1.8145845472182654E-3</v>
      </c>
      <c r="D1957" s="21">
        <f t="shared" ca="1" si="150"/>
        <v>-2.1985369623251328E-3</v>
      </c>
      <c r="E1957" s="21">
        <f t="shared" ca="1" si="153"/>
        <v>2.068626636785566E-4</v>
      </c>
      <c r="F1957" s="11">
        <f t="shared" ca="1" si="154"/>
        <v>4.230044694226752</v>
      </c>
      <c r="G1957" s="10">
        <f t="shared" ca="1" si="151"/>
        <v>1</v>
      </c>
    </row>
    <row r="1958" spans="1:7" x14ac:dyDescent="0.2">
      <c r="A1958" s="2">
        <v>19971128</v>
      </c>
      <c r="B1958" s="13">
        <v>7823.13</v>
      </c>
      <c r="C1958" s="2">
        <f t="shared" si="152"/>
        <v>3.6370494099898093E-3</v>
      </c>
      <c r="D1958" s="21">
        <f t="shared" ca="1" si="150"/>
        <v>3.2530969948829421E-3</v>
      </c>
      <c r="E1958" s="21">
        <f t="shared" ca="1" si="153"/>
        <v>1.9748415513568148E-4</v>
      </c>
      <c r="F1958" s="11">
        <f t="shared" ca="1" si="154"/>
        <v>4.2381324586053255</v>
      </c>
      <c r="G1958" s="10">
        <f t="shared" ca="1" si="151"/>
        <v>1</v>
      </c>
    </row>
    <row r="1959" spans="1:7" x14ac:dyDescent="0.2">
      <c r="A1959" s="2">
        <v>19971201</v>
      </c>
      <c r="B1959" s="13">
        <v>8013.11</v>
      </c>
      <c r="C1959" s="2">
        <f t="shared" si="152"/>
        <v>2.4284397677144513E-2</v>
      </c>
      <c r="D1959" s="21">
        <f t="shared" ca="1" si="150"/>
        <v>2.3900445262037644E-2</v>
      </c>
      <c r="E1959" s="21">
        <f t="shared" ca="1" si="153"/>
        <v>1.8879151196432516E-4</v>
      </c>
      <c r="F1959" s="11">
        <f t="shared" ca="1" si="154"/>
        <v>2.7745709032842956</v>
      </c>
      <c r="G1959" s="10">
        <f t="shared" ca="1" si="151"/>
        <v>0</v>
      </c>
    </row>
    <row r="1960" spans="1:7" x14ac:dyDescent="0.2">
      <c r="A1960" s="2">
        <v>19971202</v>
      </c>
      <c r="B1960" s="13">
        <v>8018.83</v>
      </c>
      <c r="C1960" s="2">
        <f t="shared" si="152"/>
        <v>7.1383021074217809E-4</v>
      </c>
      <c r="D1960" s="21">
        <f t="shared" ca="1" si="150"/>
        <v>3.2987779563531079E-4</v>
      </c>
      <c r="E1960" s="21">
        <f t="shared" ca="1" si="153"/>
        <v>2.0115466201968269E-4</v>
      </c>
      <c r="F1960" s="11">
        <f t="shared" ca="1" si="154"/>
        <v>4.2554477547067293</v>
      </c>
      <c r="G1960" s="10">
        <f t="shared" ca="1" si="151"/>
        <v>1</v>
      </c>
    </row>
    <row r="1961" spans="1:7" x14ac:dyDescent="0.2">
      <c r="A1961" s="2">
        <v>19971203</v>
      </c>
      <c r="B1961" s="13">
        <v>8032.01</v>
      </c>
      <c r="C1961" s="2">
        <f t="shared" si="152"/>
        <v>1.6436313028210215E-3</v>
      </c>
      <c r="D1961" s="21">
        <f t="shared" ca="1" si="150"/>
        <v>1.2596788877141541E-3</v>
      </c>
      <c r="E1961" s="21">
        <f t="shared" ca="1" si="153"/>
        <v>1.9189118602164633E-4</v>
      </c>
      <c r="F1961" s="11">
        <f t="shared" ca="1" si="154"/>
        <v>4.2751564318157813</v>
      </c>
      <c r="G1961" s="10">
        <f t="shared" ca="1" si="151"/>
        <v>1</v>
      </c>
    </row>
    <row r="1962" spans="1:7" x14ac:dyDescent="0.2">
      <c r="A1962" s="2">
        <v>19971204</v>
      </c>
      <c r="B1962" s="13">
        <v>8050.16</v>
      </c>
      <c r="C1962" s="2">
        <f t="shared" si="152"/>
        <v>2.2597083419965409E-3</v>
      </c>
      <c r="D1962" s="21">
        <f t="shared" ca="1" si="150"/>
        <v>1.8757559268896737E-3</v>
      </c>
      <c r="E1962" s="21">
        <f t="shared" ca="1" si="153"/>
        <v>1.8315069991861973E-4</v>
      </c>
      <c r="F1962" s="11">
        <f t="shared" ca="1" si="154"/>
        <v>4.292995254084194</v>
      </c>
      <c r="G1962" s="10">
        <f t="shared" ca="1" si="151"/>
        <v>1</v>
      </c>
    </row>
    <row r="1963" spans="1:7" x14ac:dyDescent="0.2">
      <c r="A1963" s="2">
        <v>19971205</v>
      </c>
      <c r="B1963" s="13">
        <v>8149.13</v>
      </c>
      <c r="C1963" s="2">
        <f t="shared" si="152"/>
        <v>1.2294165581802134E-2</v>
      </c>
      <c r="D1963" s="21">
        <f t="shared" ca="1" si="150"/>
        <v>1.1910213166695266E-2</v>
      </c>
      <c r="E1963" s="21">
        <f t="shared" ca="1" si="153"/>
        <v>1.7492342874199252E-4</v>
      </c>
      <c r="F1963" s="11">
        <f t="shared" ca="1" si="154"/>
        <v>3.9201089071763375</v>
      </c>
      <c r="G1963" s="10">
        <f t="shared" ca="1" si="151"/>
        <v>1</v>
      </c>
    </row>
    <row r="1964" spans="1:7" x14ac:dyDescent="0.2">
      <c r="A1964" s="2">
        <v>19971208</v>
      </c>
      <c r="B1964" s="13">
        <v>8110.84</v>
      </c>
      <c r="C1964" s="2">
        <f t="shared" si="152"/>
        <v>-4.698661084066638E-3</v>
      </c>
      <c r="D1964" s="21">
        <f t="shared" ca="1" si="150"/>
        <v>-5.0826134991735052E-3</v>
      </c>
      <c r="E1964" s="21">
        <f t="shared" ca="1" si="153"/>
        <v>1.7219918702008472E-4</v>
      </c>
      <c r="F1964" s="11">
        <f t="shared" ca="1" si="154"/>
        <v>4.2584203948271222</v>
      </c>
      <c r="G1964" s="10">
        <f t="shared" ca="1" si="151"/>
        <v>1</v>
      </c>
    </row>
    <row r="1965" spans="1:7" x14ac:dyDescent="0.2">
      <c r="A1965" s="2">
        <v>19971209</v>
      </c>
      <c r="B1965" s="13">
        <v>8049.66</v>
      </c>
      <c r="C1965" s="2">
        <f t="shared" si="152"/>
        <v>-7.5429918479467343E-3</v>
      </c>
      <c r="D1965" s="21">
        <f t="shared" ca="1" si="150"/>
        <v>-7.9269442630536015E-3</v>
      </c>
      <c r="E1965" s="21">
        <f t="shared" ca="1" si="153"/>
        <v>1.6534649960251016E-4</v>
      </c>
      <c r="F1965" s="11">
        <f t="shared" ca="1" si="154"/>
        <v>4.1637192033046411</v>
      </c>
      <c r="G1965" s="10">
        <f t="shared" ca="1" si="151"/>
        <v>1</v>
      </c>
    </row>
    <row r="1966" spans="1:7" x14ac:dyDescent="0.2">
      <c r="A1966" s="2">
        <v>19971210</v>
      </c>
      <c r="B1966" s="13">
        <v>7978.79</v>
      </c>
      <c r="C1966" s="2">
        <f t="shared" si="152"/>
        <v>-8.80409855819996E-3</v>
      </c>
      <c r="D1966" s="21">
        <f t="shared" ca="1" si="150"/>
        <v>-9.1880509733068272E-3</v>
      </c>
      <c r="E1966" s="21">
        <f t="shared" ca="1" si="153"/>
        <v>1.6020117466452862E-4</v>
      </c>
      <c r="F1966" s="11">
        <f t="shared" ca="1" si="154"/>
        <v>4.1060580052911746</v>
      </c>
      <c r="G1966" s="10">
        <f t="shared" ca="1" si="151"/>
        <v>1</v>
      </c>
    </row>
    <row r="1967" spans="1:7" x14ac:dyDescent="0.2">
      <c r="A1967" s="2">
        <v>19971211</v>
      </c>
      <c r="B1967" s="13">
        <v>7848.99</v>
      </c>
      <c r="C1967" s="2">
        <f t="shared" si="152"/>
        <v>-1.6268130882000929E-2</v>
      </c>
      <c r="D1967" s="21">
        <f t="shared" ca="1" si="150"/>
        <v>-1.6652083297107798E-2</v>
      </c>
      <c r="E1967" s="21">
        <f t="shared" ca="1" si="153"/>
        <v>1.5610982872112111E-4</v>
      </c>
      <c r="F1967" s="11">
        <f t="shared" ca="1" si="154"/>
        <v>3.4943446353475656</v>
      </c>
      <c r="G1967" s="10">
        <f t="shared" ca="1" si="151"/>
        <v>0</v>
      </c>
    </row>
    <row r="1968" spans="1:7" x14ac:dyDescent="0.2">
      <c r="A1968" s="2">
        <v>19971212</v>
      </c>
      <c r="B1968" s="13">
        <v>7838.3</v>
      </c>
      <c r="C1968" s="2">
        <f t="shared" si="152"/>
        <v>-1.361958672389645E-3</v>
      </c>
      <c r="D1968" s="21">
        <f t="shared" ca="1" si="150"/>
        <v>-1.7459110874965124E-3</v>
      </c>
      <c r="E1968" s="21">
        <f t="shared" ca="1" si="153"/>
        <v>1.5931769071708996E-4</v>
      </c>
      <c r="F1968" s="11">
        <f t="shared" ca="1" si="154"/>
        <v>4.3627387094882977</v>
      </c>
      <c r="G1968" s="10">
        <f t="shared" ca="1" si="151"/>
        <v>1</v>
      </c>
    </row>
    <row r="1969" spans="1:7" x14ac:dyDescent="0.2">
      <c r="A1969" s="2">
        <v>19971215</v>
      </c>
      <c r="B1969" s="13">
        <v>7922.59</v>
      </c>
      <c r="C1969" s="2">
        <f t="shared" si="152"/>
        <v>1.0753607287294433E-2</v>
      </c>
      <c r="D1969" s="21">
        <f t="shared" ca="1" si="150"/>
        <v>1.0369654872187566E-2</v>
      </c>
      <c r="E1969" s="21">
        <f t="shared" ca="1" si="153"/>
        <v>1.5227884723428018E-4</v>
      </c>
      <c r="F1969" s="11">
        <f t="shared" ca="1" si="154"/>
        <v>4.0418300528860343</v>
      </c>
      <c r="G1969" s="10">
        <f t="shared" ca="1" si="151"/>
        <v>1</v>
      </c>
    </row>
    <row r="1970" spans="1:7" x14ac:dyDescent="0.2">
      <c r="A1970" s="2">
        <v>19971216</v>
      </c>
      <c r="B1970" s="13">
        <v>7976.31</v>
      </c>
      <c r="C1970" s="2">
        <f t="shared" si="152"/>
        <v>6.7806108860865265E-3</v>
      </c>
      <c r="D1970" s="21">
        <f t="shared" ca="1" si="150"/>
        <v>6.3966584709796593E-3</v>
      </c>
      <c r="E1970" s="21">
        <f t="shared" ca="1" si="153"/>
        <v>1.4943806969294263E-4</v>
      </c>
      <c r="F1970" s="11">
        <f t="shared" ca="1" si="154"/>
        <v>4.2674105828049651</v>
      </c>
      <c r="G1970" s="10">
        <f t="shared" ca="1" si="151"/>
        <v>1</v>
      </c>
    </row>
    <row r="1971" spans="1:7" x14ac:dyDescent="0.2">
      <c r="A1971" s="2">
        <v>19971217</v>
      </c>
      <c r="B1971" s="13">
        <v>7957.41</v>
      </c>
      <c r="C1971" s="2">
        <f t="shared" si="152"/>
        <v>-2.3695167314209883E-3</v>
      </c>
      <c r="D1971" s="21">
        <f t="shared" ca="1" si="150"/>
        <v>-2.7534691465278555E-3</v>
      </c>
      <c r="E1971" s="21">
        <f t="shared" ca="1" si="153"/>
        <v>1.4429154999458032E-4</v>
      </c>
      <c r="F1971" s="11">
        <f t="shared" ca="1" si="154"/>
        <v>4.3955655440775159</v>
      </c>
      <c r="G1971" s="10">
        <f t="shared" ca="1" si="151"/>
        <v>1</v>
      </c>
    </row>
    <row r="1972" spans="1:7" x14ac:dyDescent="0.2">
      <c r="A1972" s="2">
        <v>19971218</v>
      </c>
      <c r="B1972" s="13">
        <v>7846.5</v>
      </c>
      <c r="C1972" s="2">
        <f t="shared" si="152"/>
        <v>-1.3937952172880354E-2</v>
      </c>
      <c r="D1972" s="21">
        <f t="shared" ca="1" si="150"/>
        <v>-1.4321904587987221E-2</v>
      </c>
      <c r="E1972" s="21">
        <f t="shared" ca="1" si="153"/>
        <v>1.3817958446720415E-4</v>
      </c>
      <c r="F1972" s="11">
        <f t="shared" ca="1" si="154"/>
        <v>3.7012666993188654</v>
      </c>
      <c r="G1972" s="10">
        <f t="shared" ca="1" si="151"/>
        <v>0</v>
      </c>
    </row>
    <row r="1973" spans="1:7" x14ac:dyDescent="0.2">
      <c r="A1973" s="2">
        <v>19971219</v>
      </c>
      <c r="B1973" s="13">
        <v>7756.29</v>
      </c>
      <c r="C1973" s="2">
        <f t="shared" si="152"/>
        <v>-1.1496845727394385E-2</v>
      </c>
      <c r="D1973" s="21">
        <f t="shared" ca="1" si="150"/>
        <v>-1.1880798142501252E-2</v>
      </c>
      <c r="E1973" s="21">
        <f t="shared" ca="1" si="153"/>
        <v>1.3964054533324583E-4</v>
      </c>
      <c r="F1973" s="11">
        <f t="shared" ca="1" si="154"/>
        <v>3.9328026517213619</v>
      </c>
      <c r="G1973" s="10">
        <f t="shared" ca="1" si="151"/>
        <v>0</v>
      </c>
    </row>
    <row r="1974" spans="1:7" x14ac:dyDescent="0.2">
      <c r="A1974" s="2">
        <v>19971222</v>
      </c>
      <c r="B1974" s="13">
        <v>7819.31</v>
      </c>
      <c r="C1974" s="2">
        <f t="shared" si="152"/>
        <v>8.1250185333452511E-3</v>
      </c>
      <c r="D1974" s="21">
        <f t="shared" ca="1" si="150"/>
        <v>7.7410661182383839E-3</v>
      </c>
      <c r="E1974" s="21">
        <f t="shared" ca="1" si="153"/>
        <v>1.3867554294809238E-4</v>
      </c>
      <c r="F1974" s="11">
        <f t="shared" ca="1" si="154"/>
        <v>4.2256281259404922</v>
      </c>
      <c r="G1974" s="10">
        <f t="shared" ca="1" si="151"/>
        <v>1</v>
      </c>
    </row>
    <row r="1975" spans="1:7" x14ac:dyDescent="0.2">
      <c r="A1975" s="2">
        <v>19971223</v>
      </c>
      <c r="B1975" s="13">
        <v>7691.77</v>
      </c>
      <c r="C1975" s="2">
        <f t="shared" si="152"/>
        <v>-1.6310902112846269E-2</v>
      </c>
      <c r="D1975" s="21">
        <f t="shared" ca="1" si="150"/>
        <v>-1.6694854527953138E-2</v>
      </c>
      <c r="E1975" s="21">
        <f t="shared" ca="1" si="153"/>
        <v>1.3477241863633202E-4</v>
      </c>
      <c r="F1975" s="11">
        <f t="shared" ca="1" si="154"/>
        <v>3.4219288251956339</v>
      </c>
      <c r="G1975" s="10">
        <f t="shared" ca="1" si="151"/>
        <v>0</v>
      </c>
    </row>
    <row r="1976" spans="1:7" x14ac:dyDescent="0.2">
      <c r="A1976" s="2">
        <v>19971224</v>
      </c>
      <c r="B1976" s="13">
        <v>7660.13</v>
      </c>
      <c r="C1976" s="2">
        <f t="shared" si="152"/>
        <v>-4.1134875327785833E-3</v>
      </c>
      <c r="D1976" s="21">
        <f t="shared" ca="1" si="150"/>
        <v>-4.4974399478854505E-3</v>
      </c>
      <c r="E1976" s="21">
        <f t="shared" ca="1" si="153"/>
        <v>1.3911219439220469E-4</v>
      </c>
      <c r="F1976" s="11">
        <f t="shared" ca="1" si="154"/>
        <v>4.3674147076868186</v>
      </c>
      <c r="G1976" s="10">
        <f t="shared" ca="1" si="151"/>
        <v>1</v>
      </c>
    </row>
    <row r="1977" spans="1:7" x14ac:dyDescent="0.2">
      <c r="A1977" s="2">
        <v>19971226</v>
      </c>
      <c r="B1977" s="13">
        <v>7679.31</v>
      </c>
      <c r="C1977" s="2">
        <f t="shared" si="152"/>
        <v>2.5038739551417914E-3</v>
      </c>
      <c r="D1977" s="21">
        <f t="shared" ca="1" si="150"/>
        <v>2.1199215400349242E-3</v>
      </c>
      <c r="E1977" s="21">
        <f t="shared" ca="1" si="153"/>
        <v>1.3372724664211238E-4</v>
      </c>
      <c r="F1977" s="11">
        <f t="shared" ca="1" si="154"/>
        <v>4.4430510423678191</v>
      </c>
      <c r="G1977" s="10">
        <f t="shared" ca="1" si="151"/>
        <v>1</v>
      </c>
    </row>
    <row r="1978" spans="1:7" x14ac:dyDescent="0.2">
      <c r="A1978" s="2">
        <v>19971229</v>
      </c>
      <c r="B1978" s="13">
        <v>7792.41</v>
      </c>
      <c r="C1978" s="2">
        <f t="shared" si="152"/>
        <v>1.4727885708481549E-2</v>
      </c>
      <c r="D1978" s="21">
        <f t="shared" ca="1" si="150"/>
        <v>1.4343933293374682E-2</v>
      </c>
      <c r="E1978" s="21">
        <f t="shared" ca="1" si="153"/>
        <v>1.2803619901438838E-4</v>
      </c>
      <c r="F1978" s="11">
        <f t="shared" ca="1" si="154"/>
        <v>3.6781212172140854</v>
      </c>
      <c r="G1978" s="10">
        <f t="shared" ca="1" si="151"/>
        <v>0</v>
      </c>
    </row>
    <row r="1979" spans="1:7" x14ac:dyDescent="0.2">
      <c r="A1979" s="2">
        <v>19971230</v>
      </c>
      <c r="B1979" s="13">
        <v>7915.97</v>
      </c>
      <c r="C1979" s="2">
        <f t="shared" si="152"/>
        <v>1.5856455191654496E-2</v>
      </c>
      <c r="D1979" s="21">
        <f t="shared" ca="1" si="150"/>
        <v>1.5472502776547629E-2</v>
      </c>
      <c r="E1979" s="21">
        <f t="shared" ca="1" si="153"/>
        <v>1.300335373925256E-4</v>
      </c>
      <c r="F1979" s="11">
        <f t="shared" ca="1" si="154"/>
        <v>3.5533337030015311</v>
      </c>
      <c r="G1979" s="10">
        <f t="shared" ca="1" si="151"/>
        <v>0</v>
      </c>
    </row>
    <row r="1980" spans="1:7" x14ac:dyDescent="0.2">
      <c r="A1980" s="2">
        <v>19971231</v>
      </c>
      <c r="B1980" s="13">
        <v>7908.25</v>
      </c>
      <c r="C1980" s="2">
        <f t="shared" si="152"/>
        <v>-9.7524371618389841E-4</v>
      </c>
      <c r="D1980" s="21">
        <f t="shared" ca="1" si="150"/>
        <v>-1.3591961312907656E-3</v>
      </c>
      <c r="E1980" s="21">
        <f t="shared" ca="1" si="153"/>
        <v>1.3316719607152301E-4</v>
      </c>
      <c r="F1980" s="11">
        <f t="shared" ca="1" si="154"/>
        <v>4.45501610698558</v>
      </c>
      <c r="G1980" s="10">
        <f t="shared" ca="1" si="151"/>
        <v>1</v>
      </c>
    </row>
    <row r="1981" spans="1:7" x14ac:dyDescent="0.2">
      <c r="A1981" s="2">
        <v>19980102</v>
      </c>
      <c r="B1981" s="13">
        <v>7965.04</v>
      </c>
      <c r="C1981" s="2">
        <f t="shared" si="152"/>
        <v>7.1811083362311465E-3</v>
      </c>
      <c r="D1981" s="21">
        <f t="shared" ca="1" si="150"/>
        <v>6.7971559211242793E-3</v>
      </c>
      <c r="E1981" s="21">
        <f t="shared" ca="1" si="153"/>
        <v>1.2740715952676184E-4</v>
      </c>
      <c r="F1981" s="11">
        <f t="shared" ca="1" si="154"/>
        <v>4.302747603249033</v>
      </c>
      <c r="G1981" s="10">
        <f t="shared" ca="1" si="151"/>
        <v>1</v>
      </c>
    </row>
    <row r="1982" spans="1:7" x14ac:dyDescent="0.2">
      <c r="A1982" s="2">
        <v>19980105</v>
      </c>
      <c r="B1982" s="13">
        <v>7978.99</v>
      </c>
      <c r="C1982" s="2">
        <f t="shared" si="152"/>
        <v>1.751403633880033E-3</v>
      </c>
      <c r="D1982" s="21">
        <f t="shared" ca="1" si="150"/>
        <v>1.3674512187731658E-3</v>
      </c>
      <c r="E1982" s="21">
        <f t="shared" ca="1" si="153"/>
        <v>1.2356949600729521E-4</v>
      </c>
      <c r="F1982" s="11">
        <f t="shared" ca="1" si="154"/>
        <v>4.49178713963469</v>
      </c>
      <c r="G1982" s="10">
        <f t="shared" ca="1" si="151"/>
        <v>1</v>
      </c>
    </row>
    <row r="1983" spans="1:7" x14ac:dyDescent="0.2">
      <c r="A1983" s="2">
        <v>19980106</v>
      </c>
      <c r="B1983" s="13">
        <v>7906.25</v>
      </c>
      <c r="C1983" s="2">
        <f t="shared" si="152"/>
        <v>-9.1164420559494107E-3</v>
      </c>
      <c r="D1983" s="21">
        <f t="shared" ca="1" si="150"/>
        <v>-9.5003944710562779E-3</v>
      </c>
      <c r="E1983" s="21">
        <f t="shared" ca="1" si="153"/>
        <v>1.1829583795361971E-4</v>
      </c>
      <c r="F1983" s="11">
        <f t="shared" ca="1" si="154"/>
        <v>4.1396704072303079</v>
      </c>
      <c r="G1983" s="10">
        <f t="shared" ca="1" si="151"/>
        <v>1</v>
      </c>
    </row>
    <row r="1984" spans="1:7" x14ac:dyDescent="0.2">
      <c r="A1984" s="2">
        <v>19980107</v>
      </c>
      <c r="B1984" s="13">
        <v>7902.27</v>
      </c>
      <c r="C1984" s="2">
        <f t="shared" si="152"/>
        <v>-5.0339920948611083E-4</v>
      </c>
      <c r="D1984" s="21">
        <f t="shared" ca="1" si="150"/>
        <v>-8.8735162459297812E-4</v>
      </c>
      <c r="E1984" s="21">
        <f t="shared" ca="1" si="153"/>
        <v>1.1653914135853377E-4</v>
      </c>
      <c r="F1984" s="11">
        <f t="shared" ca="1" si="154"/>
        <v>4.5252634483459637</v>
      </c>
      <c r="G1984" s="10">
        <f t="shared" ca="1" si="151"/>
        <v>1</v>
      </c>
    </row>
    <row r="1985" spans="1:7" x14ac:dyDescent="0.2">
      <c r="A1985" s="2">
        <v>19980108</v>
      </c>
      <c r="B1985" s="13">
        <v>7802.62</v>
      </c>
      <c r="C1985" s="2">
        <f t="shared" si="152"/>
        <v>-1.2610300584515658E-2</v>
      </c>
      <c r="D1985" s="21">
        <f t="shared" ca="1" si="150"/>
        <v>-1.2994252999622525E-2</v>
      </c>
      <c r="E1985" s="21">
        <f t="shared" ca="1" si="153"/>
        <v>1.1158134474570743E-4</v>
      </c>
      <c r="F1985" s="11">
        <f t="shared" ca="1" si="154"/>
        <v>3.7937527096910784</v>
      </c>
      <c r="G1985" s="10">
        <f t="shared" ca="1" si="151"/>
        <v>0</v>
      </c>
    </row>
    <row r="1986" spans="1:7" x14ac:dyDescent="0.2">
      <c r="A1986" s="2">
        <v>19980109</v>
      </c>
      <c r="B1986" s="13">
        <v>7580.42</v>
      </c>
      <c r="C1986" s="2">
        <f t="shared" si="152"/>
        <v>-2.8477613929680009E-2</v>
      </c>
      <c r="D1986" s="21">
        <f t="shared" ca="1" si="150"/>
        <v>-2.8861566344786878E-2</v>
      </c>
      <c r="E1986" s="21">
        <f t="shared" ca="1" si="153"/>
        <v>1.1305434267223502E-4</v>
      </c>
      <c r="F1986" s="11">
        <f t="shared" ca="1" si="154"/>
        <v>0.85979613964381985</v>
      </c>
      <c r="G1986" s="10">
        <f t="shared" ca="1" si="151"/>
        <v>0</v>
      </c>
    </row>
    <row r="1987" spans="1:7" x14ac:dyDescent="0.2">
      <c r="A1987" s="2">
        <v>19980112</v>
      </c>
      <c r="B1987" s="13">
        <v>7647.18</v>
      </c>
      <c r="C1987" s="2">
        <f t="shared" si="152"/>
        <v>8.8068998815369354E-3</v>
      </c>
      <c r="D1987" s="21">
        <f t="shared" ca="1" si="150"/>
        <v>8.4229474664300683E-3</v>
      </c>
      <c r="E1987" s="21">
        <f t="shared" ca="1" si="153"/>
        <v>1.3887438653678981E-4</v>
      </c>
      <c r="F1987" s="11">
        <f t="shared" ca="1" si="154"/>
        <v>4.1855379337440137</v>
      </c>
      <c r="G1987" s="10">
        <f t="shared" ca="1" si="151"/>
        <v>1</v>
      </c>
    </row>
    <row r="1988" spans="1:7" x14ac:dyDescent="0.2">
      <c r="A1988" s="2">
        <v>19980113</v>
      </c>
      <c r="B1988" s="13">
        <v>7732.13</v>
      </c>
      <c r="C1988" s="2">
        <f t="shared" si="152"/>
        <v>1.1108670124150316E-2</v>
      </c>
      <c r="D1988" s="21">
        <f t="shared" ca="1" si="150"/>
        <v>1.0724717709043449E-2</v>
      </c>
      <c r="E1988" s="21">
        <f t="shared" ca="1" si="153"/>
        <v>1.3536649861805986E-4</v>
      </c>
      <c r="F1988" s="11">
        <f t="shared" ca="1" si="154"/>
        <v>4.0289172907551247</v>
      </c>
      <c r="G1988" s="10">
        <f t="shared" ca="1" si="151"/>
        <v>1</v>
      </c>
    </row>
    <row r="1989" spans="1:7" x14ac:dyDescent="0.2">
      <c r="A1989" s="2">
        <v>19980114</v>
      </c>
      <c r="B1989" s="13">
        <v>7784.69</v>
      </c>
      <c r="C1989" s="2">
        <f t="shared" si="152"/>
        <v>6.7976094556091906E-3</v>
      </c>
      <c r="D1989" s="21">
        <f t="shared" ca="1" si="150"/>
        <v>6.4136570405023234E-3</v>
      </c>
      <c r="E1989" s="21">
        <f t="shared" ca="1" si="153"/>
        <v>1.3365673640655816E-4</v>
      </c>
      <c r="F1989" s="11">
        <f t="shared" ca="1" si="154"/>
        <v>4.3062348660203664</v>
      </c>
      <c r="G1989" s="10">
        <f t="shared" ca="1" si="151"/>
        <v>1</v>
      </c>
    </row>
    <row r="1990" spans="1:7" x14ac:dyDescent="0.2">
      <c r="A1990" s="2">
        <v>19980115</v>
      </c>
      <c r="B1990" s="13">
        <v>7691.77</v>
      </c>
      <c r="C1990" s="2">
        <f t="shared" si="152"/>
        <v>-1.1936249227650577E-2</v>
      </c>
      <c r="D1990" s="21">
        <f t="shared" ca="1" si="150"/>
        <v>-1.2320201642757444E-2</v>
      </c>
      <c r="E1990" s="21">
        <f t="shared" ca="1" si="153"/>
        <v>1.2931660686191525E-4</v>
      </c>
      <c r="F1990" s="11">
        <f t="shared" ca="1" si="154"/>
        <v>3.8897406842271236</v>
      </c>
      <c r="G1990" s="10">
        <f t="shared" ca="1" si="151"/>
        <v>0</v>
      </c>
    </row>
    <row r="1991" spans="1:7" x14ac:dyDescent="0.2">
      <c r="A1991" s="2">
        <v>19980116</v>
      </c>
      <c r="B1991" s="13">
        <v>7753.55</v>
      </c>
      <c r="C1991" s="2">
        <f t="shared" si="152"/>
        <v>8.0319614341042098E-3</v>
      </c>
      <c r="D1991" s="21">
        <f t="shared" ca="1" si="150"/>
        <v>7.6480090189973426E-3</v>
      </c>
      <c r="E1991" s="21">
        <f t="shared" ca="1" si="153"/>
        <v>1.2926492681844621E-4</v>
      </c>
      <c r="F1991" s="11">
        <f t="shared" ca="1" si="154"/>
        <v>4.2505745868338591</v>
      </c>
      <c r="G1991" s="10">
        <f t="shared" ca="1" si="151"/>
        <v>1</v>
      </c>
    </row>
    <row r="1992" spans="1:7" x14ac:dyDescent="0.2">
      <c r="A1992" s="2">
        <v>19980120</v>
      </c>
      <c r="B1992" s="13">
        <v>7873.12</v>
      </c>
      <c r="C1992" s="2">
        <f t="shared" si="152"/>
        <v>1.5421323135853862E-2</v>
      </c>
      <c r="D1992" s="21">
        <f t="shared" ca="1" si="150"/>
        <v>1.5037370720746995E-2</v>
      </c>
      <c r="E1992" s="21">
        <f t="shared" ca="1" si="153"/>
        <v>1.2578522922962069E-4</v>
      </c>
      <c r="F1992" s="11">
        <f t="shared" ca="1" si="154"/>
        <v>3.5916236315589543</v>
      </c>
      <c r="G1992" s="10">
        <f t="shared" ca="1" si="151"/>
        <v>0</v>
      </c>
    </row>
    <row r="1993" spans="1:7" x14ac:dyDescent="0.2">
      <c r="A1993" s="2">
        <v>19980121</v>
      </c>
      <c r="B1993" s="13">
        <v>7794.4</v>
      </c>
      <c r="C1993" s="2">
        <f t="shared" si="152"/>
        <v>-9.9985774381693981E-3</v>
      </c>
      <c r="D1993" s="21">
        <f t="shared" ca="1" si="150"/>
        <v>-1.0382529853276265E-2</v>
      </c>
      <c r="E1993" s="21">
        <f t="shared" ca="1" si="153"/>
        <v>1.2864563598954441E-4</v>
      </c>
      <c r="F1993" s="11">
        <f t="shared" ca="1" si="154"/>
        <v>4.0602560178377853</v>
      </c>
      <c r="G1993" s="10">
        <f t="shared" ca="1" si="151"/>
        <v>1</v>
      </c>
    </row>
    <row r="1994" spans="1:7" x14ac:dyDescent="0.2">
      <c r="A1994" s="2">
        <v>19980122</v>
      </c>
      <c r="B1994" s="13">
        <v>7730.88</v>
      </c>
      <c r="C1994" s="2">
        <f t="shared" si="152"/>
        <v>-8.1494406240377112E-3</v>
      </c>
      <c r="D1994" s="21">
        <f t="shared" ca="1" si="150"/>
        <v>-8.5333930391445784E-3</v>
      </c>
      <c r="E1994" s="21">
        <f t="shared" ca="1" si="153"/>
        <v>1.2701029520832739E-4</v>
      </c>
      <c r="F1994" s="11">
        <f t="shared" ca="1" si="154"/>
        <v>4.1989562672446832</v>
      </c>
      <c r="G1994" s="10">
        <f t="shared" ca="1" si="151"/>
        <v>1</v>
      </c>
    </row>
    <row r="1995" spans="1:7" x14ac:dyDescent="0.2">
      <c r="A1995" s="2">
        <v>19980123</v>
      </c>
      <c r="B1995" s="13">
        <v>7700.74</v>
      </c>
      <c r="C1995" s="2">
        <f t="shared" si="152"/>
        <v>-3.8986506063993136E-3</v>
      </c>
      <c r="D1995" s="21">
        <f t="shared" ca="1" si="150"/>
        <v>-4.2826030215061808E-3</v>
      </c>
      <c r="E1995" s="21">
        <f t="shared" ca="1" si="153"/>
        <v>1.2417147996442691E-4</v>
      </c>
      <c r="F1995" s="11">
        <f t="shared" ca="1" si="154"/>
        <v>4.423071263204549</v>
      </c>
      <c r="G1995" s="10">
        <f t="shared" ca="1" si="151"/>
        <v>1</v>
      </c>
    </row>
    <row r="1996" spans="1:7" x14ac:dyDescent="0.2">
      <c r="A1996" s="2">
        <v>19980126</v>
      </c>
      <c r="B1996" s="13">
        <v>7712.94</v>
      </c>
      <c r="C1996" s="2">
        <f t="shared" si="152"/>
        <v>1.5842633305370418E-3</v>
      </c>
      <c r="D1996" s="21">
        <f t="shared" ca="1" si="150"/>
        <v>1.2003109154301744E-3</v>
      </c>
      <c r="E1996" s="21">
        <f t="shared" ca="1" si="153"/>
        <v>1.1947302616149689E-4</v>
      </c>
      <c r="F1996" s="11">
        <f t="shared" ca="1" si="154"/>
        <v>4.5101803791008974</v>
      </c>
      <c r="G1996" s="10">
        <f t="shared" ca="1" si="151"/>
        <v>1</v>
      </c>
    </row>
    <row r="1997" spans="1:7" x14ac:dyDescent="0.2">
      <c r="A1997" s="2">
        <v>19980127</v>
      </c>
      <c r="B1997" s="13">
        <v>7815.08</v>
      </c>
      <c r="C1997" s="2">
        <f t="shared" si="152"/>
        <v>1.3242680482410122E-2</v>
      </c>
      <c r="D1997" s="21">
        <f t="shared" ca="1" si="150"/>
        <v>1.2858728067303255E-2</v>
      </c>
      <c r="E1997" s="21">
        <f t="shared" ca="1" si="153"/>
        <v>1.1439082829532891E-4</v>
      </c>
      <c r="F1997" s="11">
        <f t="shared" ca="1" si="154"/>
        <v>3.8152169216320191</v>
      </c>
      <c r="G1997" s="10">
        <f t="shared" ca="1" si="151"/>
        <v>0</v>
      </c>
    </row>
    <row r="1998" spans="1:7" x14ac:dyDescent="0.2">
      <c r="A1998" s="2">
        <v>19980128</v>
      </c>
      <c r="B1998" s="13">
        <v>7915.47</v>
      </c>
      <c r="C1998" s="2">
        <f t="shared" si="152"/>
        <v>1.2845677843349054E-2</v>
      </c>
      <c r="D1998" s="21">
        <f t="shared" ref="D1998:D2061" ca="1" si="155">(C1998-mu)</f>
        <v>1.2461725428242186E-2</v>
      </c>
      <c r="E1998" s="21">
        <f t="shared" ca="1" si="153"/>
        <v>1.1559285549291375E-4</v>
      </c>
      <c r="F1998" s="11">
        <f t="shared" ca="1" si="154"/>
        <v>3.8609872390364508</v>
      </c>
      <c r="G1998" s="10">
        <f t="shared" ref="G1998:G2061" ca="1" si="156">IF(AND(C1998&lt;=mu+zvalue*SQRT(E1998),C1998&gt;=mu-zvalue*SQRT(E1998)),1,0)</f>
        <v>0</v>
      </c>
    </row>
    <row r="1999" spans="1:7" x14ac:dyDescent="0.2">
      <c r="A1999" s="2">
        <v>19980129</v>
      </c>
      <c r="B1999" s="13">
        <v>7973.02</v>
      </c>
      <c r="C1999" s="2">
        <f t="shared" ref="C1999:C2062" si="157">(B1999-B1998)/B1998</f>
        <v>7.2705726886716998E-3</v>
      </c>
      <c r="D1999" s="21">
        <f t="shared" ca="1" si="155"/>
        <v>6.8866202735648327E-3</v>
      </c>
      <c r="E1999" s="21">
        <f t="shared" ref="E1999:E2062" ca="1" si="158">(1-alpha-beta)*longvar+alpha*D1998^2+beta*E1998</f>
        <v>1.1636443159918169E-4</v>
      </c>
      <c r="F1999" s="11">
        <f t="shared" ref="F1999:F2062" ca="1" si="159">(-0.5)*(LN(E1999)+D1999^2/E1999)</f>
        <v>4.3256116005557024</v>
      </c>
      <c r="G1999" s="10">
        <f t="shared" ca="1" si="156"/>
        <v>1</v>
      </c>
    </row>
    <row r="2000" spans="1:7" x14ac:dyDescent="0.2">
      <c r="A2000" s="2">
        <v>19980130</v>
      </c>
      <c r="B2000" s="13">
        <v>7906.5</v>
      </c>
      <c r="C2000" s="2">
        <f t="shared" si="157"/>
        <v>-8.3431372303092721E-3</v>
      </c>
      <c r="D2000" s="21">
        <f t="shared" ca="1" si="155"/>
        <v>-8.7270896454161393E-3</v>
      </c>
      <c r="E2000" s="21">
        <f t="shared" ca="1" si="158"/>
        <v>1.1313043966725469E-4</v>
      </c>
      <c r="F2000" s="11">
        <f t="shared" ca="1" si="159"/>
        <v>4.2068726835956767</v>
      </c>
      <c r="G2000" s="10">
        <f t="shared" ca="1" si="156"/>
        <v>1</v>
      </c>
    </row>
    <row r="2001" spans="1:7" x14ac:dyDescent="0.2">
      <c r="A2001" s="2">
        <v>19980202</v>
      </c>
      <c r="B2001" s="13">
        <v>8107.78</v>
      </c>
      <c r="C2001" s="2">
        <f t="shared" si="157"/>
        <v>2.5457534939606622E-2</v>
      </c>
      <c r="D2001" s="21">
        <f t="shared" ca="1" si="155"/>
        <v>2.5073582524499753E-2</v>
      </c>
      <c r="E2001" s="21">
        <f t="shared" ca="1" si="158"/>
        <v>1.1111674975056878E-4</v>
      </c>
      <c r="F2001" s="11">
        <f t="shared" ca="1" si="159"/>
        <v>1.7235276843629377</v>
      </c>
      <c r="G2001" s="10">
        <f t="shared" ca="1" si="156"/>
        <v>0</v>
      </c>
    </row>
    <row r="2002" spans="1:7" x14ac:dyDescent="0.2">
      <c r="A2002" s="2">
        <v>19980203</v>
      </c>
      <c r="B2002" s="13">
        <v>8160.35</v>
      </c>
      <c r="C2002" s="2">
        <f t="shared" si="157"/>
        <v>6.4838957149800092E-3</v>
      </c>
      <c r="D2002" s="21">
        <f t="shared" ca="1" si="155"/>
        <v>6.099943299873142E-3</v>
      </c>
      <c r="E2002" s="21">
        <f t="shared" ca="1" si="158"/>
        <v>1.2952214817375302E-4</v>
      </c>
      <c r="F2002" s="11">
        <f t="shared" ca="1" si="159"/>
        <v>4.3321886153136102</v>
      </c>
      <c r="G2002" s="10">
        <f t="shared" ca="1" si="156"/>
        <v>1</v>
      </c>
    </row>
    <row r="2003" spans="1:7" x14ac:dyDescent="0.2">
      <c r="A2003" s="2">
        <v>19980204</v>
      </c>
      <c r="B2003" s="13">
        <v>8129.71</v>
      </c>
      <c r="C2003" s="2">
        <f t="shared" si="157"/>
        <v>-3.7547409118481837E-3</v>
      </c>
      <c r="D2003" s="21">
        <f t="shared" ca="1" si="155"/>
        <v>-4.1386933269550513E-3</v>
      </c>
      <c r="E2003" s="21">
        <f t="shared" ca="1" si="158"/>
        <v>1.2524683439332261E-4</v>
      </c>
      <c r="F2003" s="11">
        <f t="shared" ca="1" si="159"/>
        <v>4.424231944980046</v>
      </c>
      <c r="G2003" s="10">
        <f t="shared" ca="1" si="156"/>
        <v>1</v>
      </c>
    </row>
    <row r="2004" spans="1:7" x14ac:dyDescent="0.2">
      <c r="A2004" s="2">
        <v>19980205</v>
      </c>
      <c r="B2004" s="13">
        <v>8117.25</v>
      </c>
      <c r="C2004" s="2">
        <f t="shared" si="157"/>
        <v>-1.5326499961253275E-3</v>
      </c>
      <c r="D2004" s="21">
        <f t="shared" ca="1" si="155"/>
        <v>-1.9166024112321949E-3</v>
      </c>
      <c r="E2004" s="21">
        <f t="shared" ca="1" si="158"/>
        <v>1.2044941414928275E-4</v>
      </c>
      <c r="F2004" s="11">
        <f t="shared" ca="1" si="159"/>
        <v>4.4968917674306059</v>
      </c>
      <c r="G2004" s="10">
        <f t="shared" ca="1" si="156"/>
        <v>1</v>
      </c>
    </row>
    <row r="2005" spans="1:7" x14ac:dyDescent="0.2">
      <c r="A2005" s="2">
        <v>19980206</v>
      </c>
      <c r="B2005" s="13">
        <v>8189.49</v>
      </c>
      <c r="C2005" s="2">
        <f t="shared" si="157"/>
        <v>8.8995657396285423E-3</v>
      </c>
      <c r="D2005" s="21">
        <f t="shared" ca="1" si="155"/>
        <v>8.5156133245216752E-3</v>
      </c>
      <c r="E2005" s="21">
        <f t="shared" ca="1" si="158"/>
        <v>1.1539991777415738E-4</v>
      </c>
      <c r="F2005" s="11">
        <f t="shared" ca="1" si="159"/>
        <v>4.2193605554267162</v>
      </c>
      <c r="G2005" s="10">
        <f t="shared" ca="1" si="156"/>
        <v>1</v>
      </c>
    </row>
    <row r="2006" spans="1:7" x14ac:dyDescent="0.2">
      <c r="A2006" s="2">
        <v>19980209</v>
      </c>
      <c r="B2006" s="13">
        <v>8180.52</v>
      </c>
      <c r="C2006" s="2">
        <f t="shared" si="157"/>
        <v>-1.0953063011248986E-3</v>
      </c>
      <c r="D2006" s="21">
        <f t="shared" ca="1" si="155"/>
        <v>-1.479258716231766E-3</v>
      </c>
      <c r="E2006" s="21">
        <f t="shared" ca="1" si="158"/>
        <v>1.1313732885804195E-4</v>
      </c>
      <c r="F2006" s="11">
        <f t="shared" ca="1" si="159"/>
        <v>4.5337835124185615</v>
      </c>
      <c r="G2006" s="10">
        <f t="shared" ca="1" si="156"/>
        <v>1</v>
      </c>
    </row>
    <row r="2007" spans="1:7" x14ac:dyDescent="0.2">
      <c r="A2007" s="2">
        <v>19980210</v>
      </c>
      <c r="B2007" s="13">
        <v>8295.61</v>
      </c>
      <c r="C2007" s="2">
        <f t="shared" si="157"/>
        <v>1.4068787803220351E-2</v>
      </c>
      <c r="D2007" s="21">
        <f t="shared" ca="1" si="155"/>
        <v>1.3684835388113483E-2</v>
      </c>
      <c r="E2007" s="21">
        <f t="shared" ca="1" si="158"/>
        <v>1.0840314141592851E-4</v>
      </c>
      <c r="F2007" s="11">
        <f t="shared" ca="1" si="159"/>
        <v>3.7010384949321322</v>
      </c>
      <c r="G2007" s="10">
        <f t="shared" ca="1" si="156"/>
        <v>0</v>
      </c>
    </row>
    <row r="2008" spans="1:7" x14ac:dyDescent="0.2">
      <c r="A2008" s="2">
        <v>19980211</v>
      </c>
      <c r="B2008" s="13">
        <v>8314.5499999999993</v>
      </c>
      <c r="C2008" s="2">
        <f t="shared" si="157"/>
        <v>2.2831352968616762E-3</v>
      </c>
      <c r="D2008" s="21">
        <f t="shared" ca="1" si="155"/>
        <v>1.8991828817548091E-3</v>
      </c>
      <c r="E2008" s="21">
        <f t="shared" ca="1" si="158"/>
        <v>1.107144123372832E-4</v>
      </c>
      <c r="F2008" s="11">
        <f t="shared" ca="1" si="159"/>
        <v>4.537989079599102</v>
      </c>
      <c r="G2008" s="10">
        <f t="shared" ca="1" si="156"/>
        <v>1</v>
      </c>
    </row>
    <row r="2009" spans="1:7" x14ac:dyDescent="0.2">
      <c r="A2009" s="2">
        <v>19980212</v>
      </c>
      <c r="B2009" s="13">
        <v>8369.6</v>
      </c>
      <c r="C2009" s="2">
        <f t="shared" si="157"/>
        <v>6.6209235617082215E-3</v>
      </c>
      <c r="D2009" s="21">
        <f t="shared" ca="1" si="155"/>
        <v>6.2369711466013543E-3</v>
      </c>
      <c r="E2009" s="21">
        <f t="shared" ca="1" si="158"/>
        <v>1.0615496872124694E-4</v>
      </c>
      <c r="F2009" s="11">
        <f t="shared" ca="1" si="159"/>
        <v>4.3920834803272433</v>
      </c>
      <c r="G2009" s="10">
        <f t="shared" ca="1" si="156"/>
        <v>1</v>
      </c>
    </row>
    <row r="2010" spans="1:7" x14ac:dyDescent="0.2">
      <c r="A2010" s="2">
        <v>19980213</v>
      </c>
      <c r="B2010" s="13">
        <v>8370.1</v>
      </c>
      <c r="C2010" s="2">
        <f t="shared" si="157"/>
        <v>5.9740011470082202E-5</v>
      </c>
      <c r="D2010" s="21">
        <f t="shared" ca="1" si="155"/>
        <v>-3.2421240363678507E-4</v>
      </c>
      <c r="E2010" s="21">
        <f t="shared" ca="1" si="158"/>
        <v>1.0312397091021064E-4</v>
      </c>
      <c r="F2010" s="11">
        <f t="shared" ca="1" si="159"/>
        <v>4.5892796990222626</v>
      </c>
      <c r="G2010" s="10">
        <f t="shared" ca="1" si="156"/>
        <v>1</v>
      </c>
    </row>
    <row r="2011" spans="1:7" x14ac:dyDescent="0.2">
      <c r="A2011" s="2">
        <v>19980217</v>
      </c>
      <c r="B2011" s="13">
        <v>8398.5</v>
      </c>
      <c r="C2011" s="2">
        <f t="shared" si="157"/>
        <v>3.3930299518523835E-3</v>
      </c>
      <c r="D2011" s="21">
        <f t="shared" ca="1" si="155"/>
        <v>3.0090775367455163E-3</v>
      </c>
      <c r="E2011" s="21">
        <f t="shared" ca="1" si="158"/>
        <v>9.8819763589180293E-5</v>
      </c>
      <c r="F2011" s="11">
        <f t="shared" ca="1" si="159"/>
        <v>4.5652930233731519</v>
      </c>
      <c r="G2011" s="10">
        <f t="shared" ca="1" si="156"/>
        <v>1</v>
      </c>
    </row>
    <row r="2012" spans="1:7" x14ac:dyDescent="0.2">
      <c r="A2012" s="2">
        <v>19980218</v>
      </c>
      <c r="B2012" s="13">
        <v>8451.06</v>
      </c>
      <c r="C2012" s="2">
        <f t="shared" si="157"/>
        <v>6.2582604036434475E-3</v>
      </c>
      <c r="D2012" s="21">
        <f t="shared" ca="1" si="155"/>
        <v>5.8743079885365803E-3</v>
      </c>
      <c r="E2012" s="21">
        <f t="shared" ca="1" si="158"/>
        <v>9.506239384582991E-5</v>
      </c>
      <c r="F2012" s="11">
        <f t="shared" ca="1" si="159"/>
        <v>4.4489893655766082</v>
      </c>
      <c r="G2012" s="10">
        <f t="shared" ca="1" si="156"/>
        <v>1</v>
      </c>
    </row>
    <row r="2013" spans="1:7" x14ac:dyDescent="0.2">
      <c r="A2013" s="2">
        <v>19980219</v>
      </c>
      <c r="B2013" s="13">
        <v>8375.58</v>
      </c>
      <c r="C2013" s="2">
        <f t="shared" si="157"/>
        <v>-8.9314239870500935E-3</v>
      </c>
      <c r="D2013" s="21">
        <f t="shared" ca="1" si="155"/>
        <v>-9.3153764021569607E-3</v>
      </c>
      <c r="E2013" s="21">
        <f t="shared" ca="1" si="158"/>
        <v>9.2431059967975433E-5</v>
      </c>
      <c r="F2013" s="11">
        <f t="shared" ca="1" si="159"/>
        <v>4.1751131505532131</v>
      </c>
      <c r="G2013" s="10">
        <f t="shared" ca="1" si="156"/>
        <v>1</v>
      </c>
    </row>
    <row r="2014" spans="1:7" x14ac:dyDescent="0.2">
      <c r="A2014" s="2">
        <v>19980220</v>
      </c>
      <c r="B2014" s="13">
        <v>8413.94</v>
      </c>
      <c r="C2014" s="2">
        <f t="shared" si="157"/>
        <v>4.5799813266664017E-3</v>
      </c>
      <c r="D2014" s="21">
        <f t="shared" ca="1" si="155"/>
        <v>4.1960289115595345E-3</v>
      </c>
      <c r="E2014" s="21">
        <f t="shared" ca="1" si="158"/>
        <v>9.1854859087440297E-5</v>
      </c>
      <c r="F2014" s="11">
        <f t="shared" ca="1" si="159"/>
        <v>4.5518108622645181</v>
      </c>
      <c r="G2014" s="10">
        <f t="shared" ca="1" si="156"/>
        <v>1</v>
      </c>
    </row>
    <row r="2015" spans="1:7" x14ac:dyDescent="0.2">
      <c r="A2015" s="2">
        <v>19980223</v>
      </c>
      <c r="B2015" s="13">
        <v>8410.2000000000007</v>
      </c>
      <c r="C2015" s="2">
        <f t="shared" si="157"/>
        <v>-4.4450043618088331E-4</v>
      </c>
      <c r="D2015" s="21">
        <f t="shared" ca="1" si="155"/>
        <v>-8.2845285128775061E-4</v>
      </c>
      <c r="E2015" s="21">
        <f t="shared" ca="1" si="158"/>
        <v>8.8764322210150873E-5</v>
      </c>
      <c r="F2015" s="11">
        <f t="shared" ca="1" si="159"/>
        <v>4.6608968355606448</v>
      </c>
      <c r="G2015" s="10">
        <f t="shared" ca="1" si="156"/>
        <v>1</v>
      </c>
    </row>
    <row r="2016" spans="1:7" x14ac:dyDescent="0.2">
      <c r="A2016" s="2">
        <v>19980224</v>
      </c>
      <c r="B2016" s="13">
        <v>8370.1</v>
      </c>
      <c r="C2016" s="2">
        <f t="shared" si="157"/>
        <v>-4.7680197854986037E-3</v>
      </c>
      <c r="D2016" s="21">
        <f t="shared" ca="1" si="155"/>
        <v>-5.1519722006054709E-3</v>
      </c>
      <c r="E2016" s="21">
        <f t="shared" ca="1" si="158"/>
        <v>8.5207946735545102E-5</v>
      </c>
      <c r="F2016" s="11">
        <f t="shared" ca="1" si="159"/>
        <v>4.529454747146116</v>
      </c>
      <c r="G2016" s="10">
        <f t="shared" ca="1" si="156"/>
        <v>1</v>
      </c>
    </row>
    <row r="2017" spans="1:7" x14ac:dyDescent="0.2">
      <c r="A2017" s="2">
        <v>19980225</v>
      </c>
      <c r="B2017" s="13">
        <v>8457.7800000000007</v>
      </c>
      <c r="C2017" s="2">
        <f t="shared" si="157"/>
        <v>1.0475382611916259E-2</v>
      </c>
      <c r="D2017" s="21">
        <f t="shared" ca="1" si="155"/>
        <v>1.0091430196809392E-2</v>
      </c>
      <c r="E2017" s="21">
        <f t="shared" ca="1" si="158"/>
        <v>8.2782277509508436E-5</v>
      </c>
      <c r="F2017" s="11">
        <f t="shared" ca="1" si="159"/>
        <v>4.084559117529837</v>
      </c>
      <c r="G2017" s="10">
        <f t="shared" ca="1" si="156"/>
        <v>0</v>
      </c>
    </row>
    <row r="2018" spans="1:7" x14ac:dyDescent="0.2">
      <c r="A2018" s="2">
        <v>19980226</v>
      </c>
      <c r="B2018" s="13">
        <v>8490.67</v>
      </c>
      <c r="C2018" s="2">
        <f t="shared" si="157"/>
        <v>3.8887273019633305E-3</v>
      </c>
      <c r="D2018" s="21">
        <f t="shared" ca="1" si="155"/>
        <v>3.5047748868564633E-3</v>
      </c>
      <c r="E2018" s="21">
        <f t="shared" ca="1" si="158"/>
        <v>8.3248020898743958E-5</v>
      </c>
      <c r="F2018" s="11">
        <f t="shared" ca="1" si="159"/>
        <v>4.6230668908044725</v>
      </c>
      <c r="G2018" s="10">
        <f t="shared" ca="1" si="156"/>
        <v>1</v>
      </c>
    </row>
    <row r="2019" spans="1:7" x14ac:dyDescent="0.2">
      <c r="A2019" s="2">
        <v>19980227</v>
      </c>
      <c r="B2019" s="13">
        <v>8545.7199999999993</v>
      </c>
      <c r="C2019" s="2">
        <f t="shared" si="157"/>
        <v>6.4835872787423459E-3</v>
      </c>
      <c r="D2019" s="21">
        <f t="shared" ca="1" si="155"/>
        <v>6.0996348636354787E-3</v>
      </c>
      <c r="E2019" s="21">
        <f t="shared" ca="1" si="158"/>
        <v>8.0397163013532682E-5</v>
      </c>
      <c r="F2019" s="11">
        <f t="shared" ca="1" si="159"/>
        <v>4.4828798991565382</v>
      </c>
      <c r="G2019" s="10">
        <f t="shared" ca="1" si="156"/>
        <v>1</v>
      </c>
    </row>
    <row r="2020" spans="1:7" x14ac:dyDescent="0.2">
      <c r="A2020" s="2">
        <v>19980302</v>
      </c>
      <c r="B2020" s="13">
        <v>8550.4500000000007</v>
      </c>
      <c r="C2020" s="2">
        <f t="shared" si="157"/>
        <v>5.5349344467188054E-4</v>
      </c>
      <c r="D2020" s="21">
        <f t="shared" ca="1" si="155"/>
        <v>1.6954102956501325E-4</v>
      </c>
      <c r="E2020" s="21">
        <f t="shared" ca="1" si="158"/>
        <v>7.8606960043029462E-5</v>
      </c>
      <c r="F2020" s="11">
        <f t="shared" ca="1" si="159"/>
        <v>4.7253423214368064</v>
      </c>
      <c r="G2020" s="10">
        <f t="shared" ca="1" si="156"/>
        <v>1</v>
      </c>
    </row>
    <row r="2021" spans="1:7" x14ac:dyDescent="0.2">
      <c r="A2021" s="2">
        <v>19980303</v>
      </c>
      <c r="B2021" s="13">
        <v>8584.83</v>
      </c>
      <c r="C2021" s="2">
        <f t="shared" si="157"/>
        <v>4.0208410083678869E-3</v>
      </c>
      <c r="D2021" s="21">
        <f t="shared" ca="1" si="155"/>
        <v>3.6368885932610198E-3</v>
      </c>
      <c r="E2021" s="21">
        <f t="shared" ca="1" si="158"/>
        <v>7.5540268133678399E-5</v>
      </c>
      <c r="F2021" s="11">
        <f t="shared" ca="1" si="159"/>
        <v>4.6578732875143745</v>
      </c>
      <c r="G2021" s="10">
        <f t="shared" ca="1" si="156"/>
        <v>1</v>
      </c>
    </row>
    <row r="2022" spans="1:7" x14ac:dyDescent="0.2">
      <c r="A2022" s="2">
        <v>19980304</v>
      </c>
      <c r="B2022" s="13">
        <v>8539.24</v>
      </c>
      <c r="C2022" s="2">
        <f t="shared" si="157"/>
        <v>-5.3105303191793131E-3</v>
      </c>
      <c r="D2022" s="21">
        <f t="shared" ca="1" si="155"/>
        <v>-5.6944827342861803E-3</v>
      </c>
      <c r="E2022" s="21">
        <f t="shared" ca="1" si="158"/>
        <v>7.3114042568873128E-5</v>
      </c>
      <c r="F2022" s="11">
        <f t="shared" ca="1" si="159"/>
        <v>4.5399878346653395</v>
      </c>
      <c r="G2022" s="10">
        <f t="shared" ca="1" si="156"/>
        <v>1</v>
      </c>
    </row>
    <row r="2023" spans="1:7" x14ac:dyDescent="0.2">
      <c r="A2023" s="2">
        <v>19980305</v>
      </c>
      <c r="B2023" s="13">
        <v>8444.33</v>
      </c>
      <c r="C2023" s="2">
        <f t="shared" si="157"/>
        <v>-1.111457225701583E-2</v>
      </c>
      <c r="D2023" s="21">
        <f t="shared" ca="1" si="155"/>
        <v>-1.1498524672122697E-2</v>
      </c>
      <c r="E2023" s="21">
        <f t="shared" ca="1" si="158"/>
        <v>7.1516584512364208E-5</v>
      </c>
      <c r="F2023" s="11">
        <f t="shared" ca="1" si="159"/>
        <v>3.8484171019816014</v>
      </c>
      <c r="G2023" s="10">
        <f t="shared" ca="1" si="156"/>
        <v>0</v>
      </c>
    </row>
    <row r="2024" spans="1:7" x14ac:dyDescent="0.2">
      <c r="A2024" s="2">
        <v>19980306</v>
      </c>
      <c r="B2024" s="13">
        <v>8569.39</v>
      </c>
      <c r="C2024" s="2">
        <f t="shared" si="157"/>
        <v>1.4809937555732603E-2</v>
      </c>
      <c r="D2024" s="21">
        <f t="shared" ca="1" si="155"/>
        <v>1.4425985140625736E-2</v>
      </c>
      <c r="E2024" s="21">
        <f t="shared" ca="1" si="158"/>
        <v>7.3669355798712991E-5</v>
      </c>
      <c r="F2024" s="11">
        <f t="shared" ca="1" si="159"/>
        <v>3.3455085353600396</v>
      </c>
      <c r="G2024" s="10">
        <f t="shared" ca="1" si="156"/>
        <v>0</v>
      </c>
    </row>
    <row r="2025" spans="1:7" x14ac:dyDescent="0.2">
      <c r="A2025" s="2">
        <v>19980309</v>
      </c>
      <c r="B2025" s="13">
        <v>8567.14</v>
      </c>
      <c r="C2025" s="2">
        <f t="shared" si="157"/>
        <v>-2.6256244610176456E-4</v>
      </c>
      <c r="D2025" s="21">
        <f t="shared" ca="1" si="155"/>
        <v>-6.4651486120863191E-4</v>
      </c>
      <c r="E2025" s="21">
        <f t="shared" ca="1" si="158"/>
        <v>7.8503934977466682E-5</v>
      </c>
      <c r="F2025" s="11">
        <f t="shared" ca="1" si="159"/>
        <v>4.7235187347824779</v>
      </c>
      <c r="G2025" s="10">
        <f t="shared" ca="1" si="156"/>
        <v>1</v>
      </c>
    </row>
    <row r="2026" spans="1:7" x14ac:dyDescent="0.2">
      <c r="A2026" s="2">
        <v>19980310</v>
      </c>
      <c r="B2026" s="13">
        <v>8643.1200000000008</v>
      </c>
      <c r="C2026" s="2">
        <f t="shared" si="157"/>
        <v>8.8687706749278512E-3</v>
      </c>
      <c r="D2026" s="21">
        <f t="shared" ca="1" si="155"/>
        <v>8.484818259820984E-3</v>
      </c>
      <c r="E2026" s="21">
        <f t="shared" ca="1" si="158"/>
        <v>7.5456768075438541E-5</v>
      </c>
      <c r="F2026" s="11">
        <f t="shared" ca="1" si="159"/>
        <v>4.2689330335753617</v>
      </c>
      <c r="G2026" s="10">
        <f t="shared" ca="1" si="156"/>
        <v>1</v>
      </c>
    </row>
    <row r="2027" spans="1:7" x14ac:dyDescent="0.2">
      <c r="A2027" s="2">
        <v>19980311</v>
      </c>
      <c r="B2027" s="13">
        <v>8675.75</v>
      </c>
      <c r="C2027" s="2">
        <f t="shared" si="157"/>
        <v>3.7752570830902727E-3</v>
      </c>
      <c r="D2027" s="21">
        <f t="shared" ca="1" si="155"/>
        <v>3.3913046679834055E-3</v>
      </c>
      <c r="E2027" s="21">
        <f t="shared" ca="1" si="158"/>
        <v>7.5195665164635354E-5</v>
      </c>
      <c r="F2027" s="11">
        <f t="shared" ca="1" si="159"/>
        <v>4.6712350133007234</v>
      </c>
      <c r="G2027" s="10">
        <f t="shared" ca="1" si="156"/>
        <v>1</v>
      </c>
    </row>
    <row r="2028" spans="1:7" x14ac:dyDescent="0.2">
      <c r="A2028" s="2">
        <v>19980312</v>
      </c>
      <c r="B2028" s="13">
        <v>8659.56</v>
      </c>
      <c r="C2028" s="2">
        <f t="shared" si="157"/>
        <v>-1.8661210846325112E-3</v>
      </c>
      <c r="D2028" s="21">
        <f t="shared" ca="1" si="155"/>
        <v>-2.2500734997393784E-3</v>
      </c>
      <c r="E2028" s="21">
        <f t="shared" ca="1" si="158"/>
        <v>7.2723404728716742E-5</v>
      </c>
      <c r="F2028" s="11">
        <f t="shared" ca="1" si="159"/>
        <v>4.7296148320032749</v>
      </c>
      <c r="G2028" s="10">
        <f t="shared" ca="1" si="156"/>
        <v>1</v>
      </c>
    </row>
    <row r="2029" spans="1:7" x14ac:dyDescent="0.2">
      <c r="A2029" s="2">
        <v>19980313</v>
      </c>
      <c r="B2029" s="13">
        <v>8602.52</v>
      </c>
      <c r="C2029" s="2">
        <f t="shared" si="157"/>
        <v>-6.5869397521351033E-3</v>
      </c>
      <c r="D2029" s="21">
        <f t="shared" ca="1" si="155"/>
        <v>-6.9708921672419705E-3</v>
      </c>
      <c r="E2029" s="21">
        <f t="shared" ca="1" si="158"/>
        <v>7.0139475973757357E-5</v>
      </c>
      <c r="F2029" s="11">
        <f t="shared" ca="1" si="159"/>
        <v>4.436107340474206</v>
      </c>
      <c r="G2029" s="10">
        <f t="shared" ca="1" si="156"/>
        <v>1</v>
      </c>
    </row>
    <row r="2030" spans="1:7" x14ac:dyDescent="0.2">
      <c r="A2030" s="2">
        <v>19980316</v>
      </c>
      <c r="B2030" s="13">
        <v>8718.85</v>
      </c>
      <c r="C2030" s="2">
        <f t="shared" si="157"/>
        <v>1.3522781696526124E-2</v>
      </c>
      <c r="D2030" s="21">
        <f t="shared" ca="1" si="155"/>
        <v>1.3138829281419257E-2</v>
      </c>
      <c r="E2030" s="21">
        <f t="shared" ca="1" si="158"/>
        <v>6.9286961768608317E-5</v>
      </c>
      <c r="F2030" s="11">
        <f t="shared" ca="1" si="159"/>
        <v>3.5428742382125917</v>
      </c>
      <c r="G2030" s="10">
        <f t="shared" ca="1" si="156"/>
        <v>0</v>
      </c>
    </row>
    <row r="2031" spans="1:7" x14ac:dyDescent="0.2">
      <c r="A2031" s="2">
        <v>19980317</v>
      </c>
      <c r="B2031" s="13">
        <v>8749.99</v>
      </c>
      <c r="C2031" s="2">
        <f t="shared" si="157"/>
        <v>3.5715719389597732E-3</v>
      </c>
      <c r="D2031" s="21">
        <f t="shared" ca="1" si="155"/>
        <v>3.187619523852906E-3</v>
      </c>
      <c r="E2031" s="21">
        <f t="shared" ca="1" si="158"/>
        <v>7.3038578344563132E-5</v>
      </c>
      <c r="F2031" s="11">
        <f t="shared" ca="1" si="159"/>
        <v>4.6927028222830849</v>
      </c>
      <c r="G2031" s="10">
        <f t="shared" ca="1" si="156"/>
        <v>1</v>
      </c>
    </row>
    <row r="2032" spans="1:7" x14ac:dyDescent="0.2">
      <c r="A2032" s="2">
        <v>19980318</v>
      </c>
      <c r="B2032" s="13">
        <v>8775.4</v>
      </c>
      <c r="C2032" s="2">
        <f t="shared" si="157"/>
        <v>2.9040033188609195E-3</v>
      </c>
      <c r="D2032" s="21">
        <f t="shared" ca="1" si="155"/>
        <v>2.5200509037540523E-3</v>
      </c>
      <c r="E2032" s="21">
        <f t="shared" ca="1" si="158"/>
        <v>7.0626170430545041E-5</v>
      </c>
      <c r="F2032" s="11">
        <f t="shared" ca="1" si="159"/>
        <v>4.7340952427688308</v>
      </c>
      <c r="G2032" s="10">
        <f t="shared" ca="1" si="156"/>
        <v>1</v>
      </c>
    </row>
    <row r="2033" spans="1:7" x14ac:dyDescent="0.2">
      <c r="A2033" s="2">
        <v>19980319</v>
      </c>
      <c r="B2033" s="13">
        <v>8803.0499999999993</v>
      </c>
      <c r="C2033" s="2">
        <f t="shared" si="157"/>
        <v>3.1508535223465184E-3</v>
      </c>
      <c r="D2033" s="21">
        <f t="shared" ca="1" si="155"/>
        <v>2.7669011072396512E-3</v>
      </c>
      <c r="E2033" s="21">
        <f t="shared" ca="1" si="158"/>
        <v>6.8195697052665649E-5</v>
      </c>
      <c r="F2033" s="11">
        <f t="shared" ca="1" si="159"/>
        <v>4.7404338637943555</v>
      </c>
      <c r="G2033" s="10">
        <f t="shared" ca="1" si="156"/>
        <v>1</v>
      </c>
    </row>
    <row r="2034" spans="1:7" x14ac:dyDescent="0.2">
      <c r="A2034" s="2">
        <v>19980320</v>
      </c>
      <c r="B2034" s="13">
        <v>8906.43</v>
      </c>
      <c r="C2034" s="2">
        <f t="shared" si="157"/>
        <v>1.1743657027962016E-2</v>
      </c>
      <c r="D2034" s="21">
        <f t="shared" ca="1" si="155"/>
        <v>1.1359704612855149E-2</v>
      </c>
      <c r="E2034" s="21">
        <f t="shared" ca="1" si="158"/>
        <v>6.5936172384040162E-5</v>
      </c>
      <c r="F2034" s="11">
        <f t="shared" ca="1" si="159"/>
        <v>3.8348677060705212</v>
      </c>
      <c r="G2034" s="10">
        <f t="shared" ca="1" si="156"/>
        <v>0</v>
      </c>
    </row>
    <row r="2035" spans="1:7" x14ac:dyDescent="0.2">
      <c r="A2035" s="2">
        <v>19980323</v>
      </c>
      <c r="B2035" s="13">
        <v>8816.25</v>
      </c>
      <c r="C2035" s="2">
        <f t="shared" si="157"/>
        <v>-1.0125269047194026E-2</v>
      </c>
      <c r="D2035" s="21">
        <f t="shared" ca="1" si="155"/>
        <v>-1.0509221462300893E-2</v>
      </c>
      <c r="E2035" s="21">
        <f t="shared" ca="1" si="158"/>
        <v>6.8254575160908105E-5</v>
      </c>
      <c r="F2035" s="11">
        <f t="shared" ca="1" si="159"/>
        <v>3.9870756636650517</v>
      </c>
      <c r="G2035" s="10">
        <f t="shared" ca="1" si="156"/>
        <v>0</v>
      </c>
    </row>
    <row r="2036" spans="1:7" x14ac:dyDescent="0.2">
      <c r="A2036" s="2">
        <v>19980324</v>
      </c>
      <c r="B2036" s="13">
        <v>8904.44</v>
      </c>
      <c r="C2036" s="2">
        <f t="shared" si="157"/>
        <v>1.0003119240039757E-2</v>
      </c>
      <c r="D2036" s="21">
        <f t="shared" ca="1" si="155"/>
        <v>9.6191668249328895E-3</v>
      </c>
      <c r="E2036" s="21">
        <f t="shared" ca="1" si="158"/>
        <v>6.9771765841691787E-5</v>
      </c>
      <c r="F2036" s="11">
        <f t="shared" ca="1" si="159"/>
        <v>4.1220616732061508</v>
      </c>
      <c r="G2036" s="10">
        <f t="shared" ca="1" si="156"/>
        <v>0</v>
      </c>
    </row>
    <row r="2037" spans="1:7" x14ac:dyDescent="0.2">
      <c r="A2037" s="2">
        <v>19980325</v>
      </c>
      <c r="B2037" s="13">
        <v>8872.7999999999993</v>
      </c>
      <c r="C2037" s="2">
        <f t="shared" si="157"/>
        <v>-3.5532835304635927E-3</v>
      </c>
      <c r="D2037" s="21">
        <f t="shared" ca="1" si="155"/>
        <v>-3.9372359455704603E-3</v>
      </c>
      <c r="E2037" s="21">
        <f t="shared" ca="1" si="158"/>
        <v>7.0553422081836171E-5</v>
      </c>
      <c r="F2037" s="11">
        <f t="shared" ca="1" si="159"/>
        <v>4.6697113994471184</v>
      </c>
      <c r="G2037" s="10">
        <f t="shared" ca="1" si="156"/>
        <v>1</v>
      </c>
    </row>
    <row r="2038" spans="1:7" x14ac:dyDescent="0.2">
      <c r="A2038" s="2">
        <v>19980326</v>
      </c>
      <c r="B2038" s="13">
        <v>8846.89</v>
      </c>
      <c r="C2038" s="2">
        <f t="shared" si="157"/>
        <v>-2.9201604904877669E-3</v>
      </c>
      <c r="D2038" s="21">
        <f t="shared" ca="1" si="155"/>
        <v>-3.3041129055946341E-3</v>
      </c>
      <c r="E2038" s="21">
        <f t="shared" ca="1" si="158"/>
        <v>6.8463133578411202E-5</v>
      </c>
      <c r="F2038" s="11">
        <f t="shared" ca="1" si="159"/>
        <v>4.7148773517256615</v>
      </c>
      <c r="G2038" s="10">
        <f t="shared" ca="1" si="156"/>
        <v>1</v>
      </c>
    </row>
    <row r="2039" spans="1:7" x14ac:dyDescent="0.2">
      <c r="A2039" s="2">
        <v>19980327</v>
      </c>
      <c r="B2039" s="13">
        <v>8796.08</v>
      </c>
      <c r="C2039" s="2">
        <f t="shared" si="157"/>
        <v>-5.7432611912208121E-3</v>
      </c>
      <c r="D2039" s="21">
        <f t="shared" ca="1" si="155"/>
        <v>-6.1272136063276793E-3</v>
      </c>
      <c r="E2039" s="21">
        <f t="shared" ca="1" si="158"/>
        <v>6.6310007328962463E-5</v>
      </c>
      <c r="F2039" s="11">
        <f t="shared" ca="1" si="159"/>
        <v>4.5274997926754823</v>
      </c>
      <c r="G2039" s="10">
        <f t="shared" ca="1" si="156"/>
        <v>1</v>
      </c>
    </row>
    <row r="2040" spans="1:7" x14ac:dyDescent="0.2">
      <c r="A2040" s="2">
        <v>19980330</v>
      </c>
      <c r="B2040" s="13">
        <v>8782.1200000000008</v>
      </c>
      <c r="C2040" s="2">
        <f t="shared" si="157"/>
        <v>-1.5870706041781256E-3</v>
      </c>
      <c r="D2040" s="21">
        <f t="shared" ca="1" si="155"/>
        <v>-1.971023019284993E-3</v>
      </c>
      <c r="E2040" s="21">
        <f t="shared" ca="1" si="158"/>
        <v>6.5244877676445018E-5</v>
      </c>
      <c r="F2040" s="11">
        <f t="shared" ca="1" si="159"/>
        <v>4.7889095798590189</v>
      </c>
      <c r="G2040" s="10">
        <f t="shared" ca="1" si="156"/>
        <v>1</v>
      </c>
    </row>
    <row r="2041" spans="1:7" x14ac:dyDescent="0.2">
      <c r="A2041" s="2">
        <v>19980331</v>
      </c>
      <c r="B2041" s="13">
        <v>8799.81</v>
      </c>
      <c r="C2041" s="2">
        <f t="shared" si="157"/>
        <v>2.0143200047367479E-3</v>
      </c>
      <c r="D2041" s="21">
        <f t="shared" ca="1" si="155"/>
        <v>1.6303675896298807E-3</v>
      </c>
      <c r="E2041" s="21">
        <f t="shared" ca="1" si="158"/>
        <v>6.2995976664145407E-5</v>
      </c>
      <c r="F2041" s="11">
        <f t="shared" ca="1" si="159"/>
        <v>4.8151224810516764</v>
      </c>
      <c r="G2041" s="10">
        <f t="shared" ca="1" si="156"/>
        <v>1</v>
      </c>
    </row>
    <row r="2042" spans="1:7" x14ac:dyDescent="0.2">
      <c r="A2042" s="2">
        <v>19980401</v>
      </c>
      <c r="B2042" s="13">
        <v>8868.32</v>
      </c>
      <c r="C2042" s="2">
        <f t="shared" si="157"/>
        <v>7.7853953664908928E-3</v>
      </c>
      <c r="D2042" s="21">
        <f t="shared" ca="1" si="155"/>
        <v>7.4014429513840256E-3</v>
      </c>
      <c r="E2042" s="21">
        <f t="shared" ca="1" si="158"/>
        <v>6.0815735493269478E-5</v>
      </c>
      <c r="F2042" s="11">
        <f t="shared" ca="1" si="159"/>
        <v>4.4034429744256016</v>
      </c>
      <c r="G2042" s="10">
        <f t="shared" ca="1" si="156"/>
        <v>1</v>
      </c>
    </row>
    <row r="2043" spans="1:7" x14ac:dyDescent="0.2">
      <c r="A2043" s="2">
        <v>19980402</v>
      </c>
      <c r="B2043" s="13">
        <v>8986.64</v>
      </c>
      <c r="C2043" s="2">
        <f t="shared" si="157"/>
        <v>1.3341873094340271E-2</v>
      </c>
      <c r="D2043" s="21">
        <f t="shared" ca="1" si="155"/>
        <v>1.2957920679233403E-2</v>
      </c>
      <c r="E2043" s="21">
        <f t="shared" ca="1" si="158"/>
        <v>6.0662456694686981E-5</v>
      </c>
      <c r="F2043" s="11">
        <f t="shared" ca="1" si="159"/>
        <v>3.4711420001137334</v>
      </c>
      <c r="G2043" s="10">
        <f t="shared" ca="1" si="156"/>
        <v>0</v>
      </c>
    </row>
    <row r="2044" spans="1:7" x14ac:dyDescent="0.2">
      <c r="A2044" s="2">
        <v>19980403</v>
      </c>
      <c r="B2044" s="13">
        <v>8983.41</v>
      </c>
      <c r="C2044" s="2">
        <f t="shared" si="157"/>
        <v>-3.5942243152051976E-4</v>
      </c>
      <c r="D2044" s="21">
        <f t="shared" ca="1" si="155"/>
        <v>-7.4337484662738711E-4</v>
      </c>
      <c r="E2044" s="21">
        <f t="shared" ca="1" si="158"/>
        <v>6.4676785755263862E-5</v>
      </c>
      <c r="F2044" s="11">
        <f t="shared" ca="1" si="159"/>
        <v>4.8187820499634588</v>
      </c>
      <c r="G2044" s="10">
        <f t="shared" ca="1" si="156"/>
        <v>1</v>
      </c>
    </row>
    <row r="2045" spans="1:7" x14ac:dyDescent="0.2">
      <c r="A2045" s="2">
        <v>19980406</v>
      </c>
      <c r="B2045" s="13">
        <v>9033.23</v>
      </c>
      <c r="C2045" s="2">
        <f t="shared" si="157"/>
        <v>5.5457782735063533E-3</v>
      </c>
      <c r="D2045" s="21">
        <f t="shared" ca="1" si="155"/>
        <v>5.1618258583994861E-3</v>
      </c>
      <c r="E2045" s="21">
        <f t="shared" ca="1" si="158"/>
        <v>6.233408927033703E-5</v>
      </c>
      <c r="F2045" s="11">
        <f t="shared" ca="1" si="159"/>
        <v>4.6277781389310455</v>
      </c>
      <c r="G2045" s="10">
        <f t="shared" ca="1" si="156"/>
        <v>1</v>
      </c>
    </row>
    <row r="2046" spans="1:7" x14ac:dyDescent="0.2">
      <c r="A2046" s="2">
        <v>19980407</v>
      </c>
      <c r="B2046" s="13">
        <v>8956.5</v>
      </c>
      <c r="C2046" s="2">
        <f t="shared" si="157"/>
        <v>-8.4941931070059724E-3</v>
      </c>
      <c r="D2046" s="21">
        <f t="shared" ca="1" si="155"/>
        <v>-8.8781455221128396E-3</v>
      </c>
      <c r="E2046" s="21">
        <f t="shared" ca="1" si="158"/>
        <v>6.1069353087426844E-5</v>
      </c>
      <c r="F2046" s="11">
        <f t="shared" ca="1" si="159"/>
        <v>4.2064063106538958</v>
      </c>
      <c r="G2046" s="10">
        <f t="shared" ca="1" si="156"/>
        <v>0</v>
      </c>
    </row>
    <row r="2047" spans="1:7" x14ac:dyDescent="0.2">
      <c r="A2047" s="2">
        <v>19980408</v>
      </c>
      <c r="B2047" s="13">
        <v>8891.48</v>
      </c>
      <c r="C2047" s="2">
        <f t="shared" si="157"/>
        <v>-7.2595321833305911E-3</v>
      </c>
      <c r="D2047" s="21">
        <f t="shared" ca="1" si="155"/>
        <v>-7.6434845984374583E-3</v>
      </c>
      <c r="E2047" s="21">
        <f t="shared" ca="1" si="158"/>
        <v>6.1787240516599174E-5</v>
      </c>
      <c r="F2047" s="11">
        <f t="shared" ca="1" si="159"/>
        <v>4.3731323935045863</v>
      </c>
      <c r="G2047" s="10">
        <f t="shared" ca="1" si="156"/>
        <v>1</v>
      </c>
    </row>
    <row r="2048" spans="1:7" x14ac:dyDescent="0.2">
      <c r="A2048" s="2">
        <v>19980409</v>
      </c>
      <c r="B2048" s="13">
        <v>8994.86</v>
      </c>
      <c r="C2048" s="2">
        <f t="shared" si="157"/>
        <v>1.1626860770085635E-2</v>
      </c>
      <c r="D2048" s="21">
        <f t="shared" ca="1" si="155"/>
        <v>1.1242908354978768E-2</v>
      </c>
      <c r="E2048" s="21">
        <f t="shared" ca="1" si="158"/>
        <v>6.1718717237079578E-5</v>
      </c>
      <c r="F2048" s="11">
        <f t="shared" ca="1" si="159"/>
        <v>3.8224369047018918</v>
      </c>
      <c r="G2048" s="10">
        <f t="shared" ca="1" si="156"/>
        <v>0</v>
      </c>
    </row>
    <row r="2049" spans="1:7" x14ac:dyDescent="0.2">
      <c r="A2049" s="2">
        <v>19980413</v>
      </c>
      <c r="B2049" s="13">
        <v>9012.2999999999993</v>
      </c>
      <c r="C2049" s="2">
        <f t="shared" si="157"/>
        <v>1.9388850965994678E-3</v>
      </c>
      <c r="D2049" s="21">
        <f t="shared" ca="1" si="155"/>
        <v>1.5549326814926004E-3</v>
      </c>
      <c r="E2049" s="21">
        <f t="shared" ca="1" si="158"/>
        <v>6.4153408703563635E-5</v>
      </c>
      <c r="F2049" s="11">
        <f t="shared" ca="1" si="159"/>
        <v>4.8082726505233921</v>
      </c>
      <c r="G2049" s="10">
        <f t="shared" ca="1" si="156"/>
        <v>1</v>
      </c>
    </row>
    <row r="2050" spans="1:7" x14ac:dyDescent="0.2">
      <c r="A2050" s="2">
        <v>19980414</v>
      </c>
      <c r="B2050" s="13">
        <v>9110.2000000000007</v>
      </c>
      <c r="C2050" s="2">
        <f t="shared" si="157"/>
        <v>1.0862931771024207E-2</v>
      </c>
      <c r="D2050" s="21">
        <f t="shared" ca="1" si="155"/>
        <v>1.047897935591734E-2</v>
      </c>
      <c r="E2050" s="21">
        <f t="shared" ca="1" si="158"/>
        <v>6.1905777045385391E-5</v>
      </c>
      <c r="F2050" s="11">
        <f t="shared" ca="1" si="159"/>
        <v>3.9580441572792733</v>
      </c>
      <c r="G2050" s="10">
        <f t="shared" ca="1" si="156"/>
        <v>0</v>
      </c>
    </row>
    <row r="2051" spans="1:7" x14ac:dyDescent="0.2">
      <c r="A2051" s="2">
        <v>19980415</v>
      </c>
      <c r="B2051" s="13">
        <v>9162.27</v>
      </c>
      <c r="C2051" s="2">
        <f t="shared" si="157"/>
        <v>5.7155715571556836E-3</v>
      </c>
      <c r="D2051" s="21">
        <f t="shared" ca="1" si="155"/>
        <v>5.3316191420488164E-3</v>
      </c>
      <c r="E2051" s="21">
        <f t="shared" ca="1" si="158"/>
        <v>6.3720815478432441E-5</v>
      </c>
      <c r="F2051" s="11">
        <f t="shared" ca="1" si="159"/>
        <v>4.6074472294915063</v>
      </c>
      <c r="G2051" s="10">
        <f t="shared" ca="1" si="156"/>
        <v>1</v>
      </c>
    </row>
    <row r="2052" spans="1:7" x14ac:dyDescent="0.2">
      <c r="A2052" s="2">
        <v>19980416</v>
      </c>
      <c r="B2052" s="13">
        <v>9076.57</v>
      </c>
      <c r="C2052" s="2">
        <f t="shared" si="157"/>
        <v>-9.3535772248581114E-3</v>
      </c>
      <c r="D2052" s="21">
        <f t="shared" ca="1" si="155"/>
        <v>-9.7375296399649786E-3</v>
      </c>
      <c r="E2052" s="21">
        <f t="shared" ca="1" si="158"/>
        <v>6.2451441186111477E-5</v>
      </c>
      <c r="F2052" s="11">
        <f t="shared" ca="1" si="159"/>
        <v>4.0814149427759316</v>
      </c>
      <c r="G2052" s="10">
        <f t="shared" ca="1" si="156"/>
        <v>0</v>
      </c>
    </row>
    <row r="2053" spans="1:7" x14ac:dyDescent="0.2">
      <c r="A2053" s="2">
        <v>19980417</v>
      </c>
      <c r="B2053" s="13">
        <v>9167.5</v>
      </c>
      <c r="C2053" s="2">
        <f t="shared" si="157"/>
        <v>1.0018101551577336E-2</v>
      </c>
      <c r="D2053" s="21">
        <f t="shared" ca="1" si="155"/>
        <v>9.6341491364704684E-3</v>
      </c>
      <c r="E2053" s="21">
        <f t="shared" ca="1" si="158"/>
        <v>6.3687683289367594E-5</v>
      </c>
      <c r="F2053" s="11">
        <f t="shared" ca="1" si="159"/>
        <v>4.1020722461478663</v>
      </c>
      <c r="G2053" s="10">
        <f t="shared" ca="1" si="156"/>
        <v>0</v>
      </c>
    </row>
    <row r="2054" spans="1:7" x14ac:dyDescent="0.2">
      <c r="A2054" s="2">
        <v>19980420</v>
      </c>
      <c r="B2054" s="13">
        <v>9141.84</v>
      </c>
      <c r="C2054" s="2">
        <f t="shared" si="157"/>
        <v>-2.7990182710662509E-3</v>
      </c>
      <c r="D2054" s="21">
        <f t="shared" ca="1" si="155"/>
        <v>-3.1829706861731181E-3</v>
      </c>
      <c r="E2054" s="21">
        <f t="shared" ca="1" si="158"/>
        <v>6.4787742416738548E-5</v>
      </c>
      <c r="F2054" s="11">
        <f t="shared" ca="1" si="159"/>
        <v>4.7440086466823832</v>
      </c>
      <c r="G2054" s="10">
        <f t="shared" ca="1" si="156"/>
        <v>1</v>
      </c>
    </row>
    <row r="2055" spans="1:7" x14ac:dyDescent="0.2">
      <c r="A2055" s="2">
        <v>19980421</v>
      </c>
      <c r="B2055" s="13">
        <v>9184.94</v>
      </c>
      <c r="C2055" s="2">
        <f t="shared" si="157"/>
        <v>4.7145869978035453E-3</v>
      </c>
      <c r="D2055" s="21">
        <f t="shared" ca="1" si="155"/>
        <v>4.3306345826966781E-3</v>
      </c>
      <c r="E2055" s="21">
        <f t="shared" ca="1" si="158"/>
        <v>6.2791657982874189E-5</v>
      </c>
      <c r="F2055" s="11">
        <f t="shared" ca="1" si="159"/>
        <v>4.6885058880847952</v>
      </c>
      <c r="G2055" s="10">
        <f t="shared" ca="1" si="156"/>
        <v>1</v>
      </c>
    </row>
    <row r="2056" spans="1:7" x14ac:dyDescent="0.2">
      <c r="A2056" s="2">
        <v>19980422</v>
      </c>
      <c r="B2056" s="13">
        <v>9176.7199999999993</v>
      </c>
      <c r="C2056" s="2">
        <f t="shared" si="157"/>
        <v>-8.9494324404962517E-4</v>
      </c>
      <c r="D2056" s="21">
        <f t="shared" ca="1" si="155"/>
        <v>-1.2788956591564924E-3</v>
      </c>
      <c r="E2056" s="21">
        <f t="shared" ca="1" si="158"/>
        <v>6.1213642322073458E-5</v>
      </c>
      <c r="F2056" s="11">
        <f t="shared" ca="1" si="159"/>
        <v>4.8372106842388503</v>
      </c>
      <c r="G2056" s="10">
        <f t="shared" ca="1" si="156"/>
        <v>1</v>
      </c>
    </row>
    <row r="2057" spans="1:7" x14ac:dyDescent="0.2">
      <c r="A2057" s="2">
        <v>19980423</v>
      </c>
      <c r="B2057" s="13">
        <v>9143.33</v>
      </c>
      <c r="C2057" s="2">
        <f t="shared" si="157"/>
        <v>-3.6385549520961107E-3</v>
      </c>
      <c r="D2057" s="21">
        <f t="shared" ca="1" si="155"/>
        <v>-4.0225073672029779E-3</v>
      </c>
      <c r="E2057" s="21">
        <f t="shared" ca="1" si="158"/>
        <v>5.9085970025950163E-5</v>
      </c>
      <c r="F2057" s="11">
        <f t="shared" ca="1" si="159"/>
        <v>4.7313346056278602</v>
      </c>
      <c r="G2057" s="10">
        <f t="shared" ca="1" si="156"/>
        <v>1</v>
      </c>
    </row>
    <row r="2058" spans="1:7" x14ac:dyDescent="0.2">
      <c r="A2058" s="2">
        <v>19980424</v>
      </c>
      <c r="B2058" s="13">
        <v>9064.6200000000008</v>
      </c>
      <c r="C2058" s="2">
        <f t="shared" si="157"/>
        <v>-8.6084610311559489E-3</v>
      </c>
      <c r="D2058" s="21">
        <f t="shared" ca="1" si="155"/>
        <v>-8.9924134462628161E-3</v>
      </c>
      <c r="E2058" s="21">
        <f t="shared" ca="1" si="158"/>
        <v>5.7600782102320072E-5</v>
      </c>
      <c r="F2058" s="11">
        <f t="shared" ca="1" si="159"/>
        <v>4.1790566364290918</v>
      </c>
      <c r="G2058" s="10">
        <f t="shared" ca="1" si="156"/>
        <v>0</v>
      </c>
    </row>
    <row r="2059" spans="1:7" x14ac:dyDescent="0.2">
      <c r="A2059" s="2">
        <v>19980427</v>
      </c>
      <c r="B2059" s="13">
        <v>8917.64</v>
      </c>
      <c r="C2059" s="2">
        <f t="shared" si="157"/>
        <v>-1.6214689639499655E-2</v>
      </c>
      <c r="D2059" s="21">
        <f t="shared" ca="1" si="155"/>
        <v>-1.6598642054606524E-2</v>
      </c>
      <c r="E2059" s="21">
        <f t="shared" ca="1" si="158"/>
        <v>5.8569234749941763E-5</v>
      </c>
      <c r="F2059" s="11">
        <f t="shared" ca="1" si="159"/>
        <v>2.5206057872119438</v>
      </c>
      <c r="G2059" s="10">
        <f t="shared" ca="1" si="156"/>
        <v>0</v>
      </c>
    </row>
    <row r="2060" spans="1:7" x14ac:dyDescent="0.2">
      <c r="A2060" s="2">
        <v>19980428</v>
      </c>
      <c r="B2060" s="13">
        <v>8898.9599999999991</v>
      </c>
      <c r="C2060" s="2">
        <f t="shared" si="157"/>
        <v>-2.094724613238513E-3</v>
      </c>
      <c r="D2060" s="21">
        <f t="shared" ca="1" si="155"/>
        <v>-2.4786770283453802E-3</v>
      </c>
      <c r="E2060" s="21">
        <f t="shared" ca="1" si="158"/>
        <v>6.6646365586864328E-5</v>
      </c>
      <c r="F2060" s="11">
        <f t="shared" ca="1" si="159"/>
        <v>4.7619621867318722</v>
      </c>
      <c r="G2060" s="10">
        <f t="shared" ca="1" si="156"/>
        <v>1</v>
      </c>
    </row>
    <row r="2061" spans="1:7" x14ac:dyDescent="0.2">
      <c r="A2061" s="2">
        <v>19980429</v>
      </c>
      <c r="B2061" s="13">
        <v>8951.52</v>
      </c>
      <c r="C2061" s="2">
        <f t="shared" si="157"/>
        <v>5.9063081528629539E-3</v>
      </c>
      <c r="D2061" s="21">
        <f t="shared" ca="1" si="155"/>
        <v>5.5223557377560867E-3</v>
      </c>
      <c r="E2061" s="21">
        <f t="shared" ca="1" si="158"/>
        <v>6.4409626833547727E-5</v>
      </c>
      <c r="F2061" s="11">
        <f t="shared" ca="1" si="159"/>
        <v>4.5883857222584288</v>
      </c>
      <c r="G2061" s="10">
        <f t="shared" ca="1" si="156"/>
        <v>1</v>
      </c>
    </row>
    <row r="2062" spans="1:7" x14ac:dyDescent="0.2">
      <c r="A2062" s="2">
        <v>19980430</v>
      </c>
      <c r="B2062" s="13">
        <v>9063.3700000000008</v>
      </c>
      <c r="C2062" s="2">
        <f t="shared" si="157"/>
        <v>1.2495084633671194E-2</v>
      </c>
      <c r="D2062" s="21">
        <f t="shared" ref="D2062:D2125" ca="1" si="160">(C2062-mu)</f>
        <v>1.2111132218564327E-2</v>
      </c>
      <c r="E2062" s="21">
        <f t="shared" ca="1" si="158"/>
        <v>6.3181532063257809E-5</v>
      </c>
      <c r="F2062" s="11">
        <f t="shared" ca="1" si="159"/>
        <v>3.6739707918035895</v>
      </c>
      <c r="G2062" s="10">
        <f t="shared" ref="G2062:G2125" ca="1" si="161">IF(AND(C2062&lt;=mu+zvalue*SQRT(E2062),C2062&gt;=mu-zvalue*SQRT(E2062)),1,0)</f>
        <v>0</v>
      </c>
    </row>
    <row r="2063" spans="1:7" x14ac:dyDescent="0.2">
      <c r="A2063" s="2">
        <v>19980501</v>
      </c>
      <c r="B2063" s="13">
        <v>9147.07</v>
      </c>
      <c r="C2063" s="2">
        <f t="shared" ref="C2063:C2126" si="162">(B2063-B2062)/B2062</f>
        <v>9.2349755113163099E-3</v>
      </c>
      <c r="D2063" s="21">
        <f t="shared" ca="1" si="160"/>
        <v>8.8510230962094427E-3</v>
      </c>
      <c r="E2063" s="21">
        <f t="shared" ref="E2063:E2126" ca="1" si="163">(1-alpha-beta)*longvar+alpha*D2062^2+beta*E2062</f>
        <v>6.6287822854162748E-5</v>
      </c>
      <c r="F2063" s="11">
        <f t="shared" ref="F2063:F2126" ca="1" si="164">(-0.5)*(LN(E2063)+D2063^2/E2063)</f>
        <v>4.2198396453075855</v>
      </c>
      <c r="G2063" s="10">
        <f t="shared" ca="1" si="161"/>
        <v>0</v>
      </c>
    </row>
    <row r="2064" spans="1:7" x14ac:dyDescent="0.2">
      <c r="A2064" s="2">
        <v>19980504</v>
      </c>
      <c r="B2064" s="13">
        <v>9192.66</v>
      </c>
      <c r="C2064" s="2">
        <f t="shared" si="162"/>
        <v>4.9841096657181096E-3</v>
      </c>
      <c r="D2064" s="21">
        <f t="shared" ca="1" si="160"/>
        <v>4.6001572506112424E-3</v>
      </c>
      <c r="E2064" s="21">
        <f t="shared" ca="1" si="163"/>
        <v>6.6724024189033053E-5</v>
      </c>
      <c r="F2064" s="11">
        <f t="shared" ca="1" si="164"/>
        <v>4.6488983246334863</v>
      </c>
      <c r="G2064" s="10">
        <f t="shared" ca="1" si="161"/>
        <v>1</v>
      </c>
    </row>
    <row r="2065" spans="1:7" x14ac:dyDescent="0.2">
      <c r="A2065" s="2">
        <v>19980505</v>
      </c>
      <c r="B2065" s="13">
        <v>9147.57</v>
      </c>
      <c r="C2065" s="2">
        <f t="shared" si="162"/>
        <v>-4.9050002937126086E-3</v>
      </c>
      <c r="D2065" s="21">
        <f t="shared" ca="1" si="160"/>
        <v>-5.2889527088194757E-3</v>
      </c>
      <c r="E2065" s="21">
        <f t="shared" ca="1" si="163"/>
        <v>6.5035580289341105E-5</v>
      </c>
      <c r="F2065" s="11">
        <f t="shared" ca="1" si="164"/>
        <v>4.605228662786093</v>
      </c>
      <c r="G2065" s="10">
        <f t="shared" ca="1" si="161"/>
        <v>1</v>
      </c>
    </row>
    <row r="2066" spans="1:7" x14ac:dyDescent="0.2">
      <c r="A2066" s="2">
        <v>19980506</v>
      </c>
      <c r="B2066" s="13">
        <v>9054.65</v>
      </c>
      <c r="C2066" s="2">
        <f t="shared" si="162"/>
        <v>-1.0157888925692842E-2</v>
      </c>
      <c r="D2066" s="21">
        <f t="shared" ca="1" si="160"/>
        <v>-1.0541841340799709E-2</v>
      </c>
      <c r="E2066" s="21">
        <f t="shared" ca="1" si="163"/>
        <v>6.3683028792735496E-5</v>
      </c>
      <c r="F2066" s="11">
        <f t="shared" ca="1" si="164"/>
        <v>3.9582684836858122</v>
      </c>
      <c r="G2066" s="10">
        <f t="shared" ca="1" si="161"/>
        <v>0</v>
      </c>
    </row>
    <row r="2067" spans="1:7" x14ac:dyDescent="0.2">
      <c r="A2067" s="2">
        <v>19980507</v>
      </c>
      <c r="B2067" s="13">
        <v>8976.68</v>
      </c>
      <c r="C2067" s="2">
        <f t="shared" si="162"/>
        <v>-8.6110451535950424E-3</v>
      </c>
      <c r="D2067" s="21">
        <f t="shared" ca="1" si="160"/>
        <v>-8.9949975687019096E-3</v>
      </c>
      <c r="E2067" s="21">
        <f t="shared" ca="1" si="163"/>
        <v>6.5456746046501098E-5</v>
      </c>
      <c r="F2067" s="11">
        <f t="shared" ca="1" si="164"/>
        <v>4.1990189213804809</v>
      </c>
      <c r="G2067" s="10">
        <f t="shared" ca="1" si="161"/>
        <v>0</v>
      </c>
    </row>
    <row r="2068" spans="1:7" x14ac:dyDescent="0.2">
      <c r="A2068" s="2">
        <v>19980508</v>
      </c>
      <c r="B2068" s="13">
        <v>9055.15</v>
      </c>
      <c r="C2068" s="2">
        <f t="shared" si="162"/>
        <v>8.7415391882075932E-3</v>
      </c>
      <c r="D2068" s="21">
        <f t="shared" ca="1" si="160"/>
        <v>8.357586773100726E-3</v>
      </c>
      <c r="E2068" s="21">
        <f t="shared" ca="1" si="163"/>
        <v>6.6029472103752576E-5</v>
      </c>
      <c r="F2068" s="11">
        <f t="shared" ca="1" si="164"/>
        <v>4.2837798387308368</v>
      </c>
      <c r="G2068" s="10">
        <f t="shared" ca="1" si="161"/>
        <v>0</v>
      </c>
    </row>
    <row r="2069" spans="1:7" x14ac:dyDescent="0.2">
      <c r="A2069" s="2">
        <v>19980511</v>
      </c>
      <c r="B2069" s="13">
        <v>9091.52</v>
      </c>
      <c r="C2069" s="2">
        <f t="shared" si="162"/>
        <v>4.0164988984170112E-3</v>
      </c>
      <c r="D2069" s="21">
        <f t="shared" ca="1" si="160"/>
        <v>3.632546483310144E-3</v>
      </c>
      <c r="E2069" s="21">
        <f t="shared" ca="1" si="163"/>
        <v>6.616650160543109E-5</v>
      </c>
      <c r="F2069" s="11">
        <f t="shared" ca="1" si="164"/>
        <v>4.7119545673861811</v>
      </c>
      <c r="G2069" s="10">
        <f t="shared" ca="1" si="161"/>
        <v>1</v>
      </c>
    </row>
    <row r="2070" spans="1:7" x14ac:dyDescent="0.2">
      <c r="A2070" s="2">
        <v>19980512</v>
      </c>
      <c r="B2070" s="13">
        <v>9161.77</v>
      </c>
      <c r="C2070" s="2">
        <f t="shared" si="162"/>
        <v>7.7269807468938086E-3</v>
      </c>
      <c r="D2070" s="21">
        <f t="shared" ca="1" si="160"/>
        <v>7.3430283317869414E-3</v>
      </c>
      <c r="E2070" s="21">
        <f t="shared" ca="1" si="163"/>
        <v>6.4213337287104635E-5</v>
      </c>
      <c r="F2070" s="11">
        <f t="shared" ca="1" si="164"/>
        <v>4.4067988322226839</v>
      </c>
      <c r="G2070" s="10">
        <f t="shared" ca="1" si="161"/>
        <v>1</v>
      </c>
    </row>
    <row r="2071" spans="1:7" x14ac:dyDescent="0.2">
      <c r="A2071" s="2">
        <v>19980513</v>
      </c>
      <c r="B2071" s="13">
        <v>9211.84</v>
      </c>
      <c r="C2071" s="2">
        <f t="shared" si="162"/>
        <v>5.4651011758644567E-3</v>
      </c>
      <c r="D2071" s="21">
        <f t="shared" ca="1" si="160"/>
        <v>5.0811487607575895E-3</v>
      </c>
      <c r="E2071" s="21">
        <f t="shared" ca="1" si="163"/>
        <v>6.3856501459319049E-5</v>
      </c>
      <c r="F2071" s="11">
        <f t="shared" ca="1" si="164"/>
        <v>4.6272791159593574</v>
      </c>
      <c r="G2071" s="10">
        <f t="shared" ca="1" si="161"/>
        <v>1</v>
      </c>
    </row>
    <row r="2072" spans="1:7" x14ac:dyDescent="0.2">
      <c r="A2072" s="2">
        <v>19980514</v>
      </c>
      <c r="B2072" s="13">
        <v>9172.23</v>
      </c>
      <c r="C2072" s="2">
        <f t="shared" si="162"/>
        <v>-4.2999009969778654E-3</v>
      </c>
      <c r="D2072" s="21">
        <f t="shared" ca="1" si="160"/>
        <v>-4.6838534120847326E-3</v>
      </c>
      <c r="E2072" s="21">
        <f t="shared" ca="1" si="163"/>
        <v>6.24843587473527E-5</v>
      </c>
      <c r="F2072" s="11">
        <f t="shared" ca="1" si="164"/>
        <v>4.664745350405215</v>
      </c>
      <c r="G2072" s="10">
        <f t="shared" ca="1" si="161"/>
        <v>1</v>
      </c>
    </row>
    <row r="2073" spans="1:7" x14ac:dyDescent="0.2">
      <c r="A2073" s="2">
        <v>19980515</v>
      </c>
      <c r="B2073" s="13">
        <v>9096</v>
      </c>
      <c r="C2073" s="2">
        <f t="shared" si="162"/>
        <v>-8.3109560052462231E-3</v>
      </c>
      <c r="D2073" s="21">
        <f t="shared" ca="1" si="160"/>
        <v>-8.6949084203530903E-3</v>
      </c>
      <c r="E2073" s="21">
        <f t="shared" ca="1" si="163"/>
        <v>6.1038973890829737E-5</v>
      </c>
      <c r="F2073" s="11">
        <f t="shared" ca="1" si="164"/>
        <v>4.2327107916282731</v>
      </c>
      <c r="G2073" s="10">
        <f t="shared" ca="1" si="161"/>
        <v>0</v>
      </c>
    </row>
    <row r="2074" spans="1:7" x14ac:dyDescent="0.2">
      <c r="A2074" s="2">
        <v>19980518</v>
      </c>
      <c r="B2074" s="13">
        <v>9050.91</v>
      </c>
      <c r="C2074" s="2">
        <f t="shared" si="162"/>
        <v>-4.9571240105541056E-3</v>
      </c>
      <c r="D2074" s="21">
        <f t="shared" ca="1" si="160"/>
        <v>-5.3410764256609728E-3</v>
      </c>
      <c r="E2074" s="21">
        <f t="shared" ca="1" si="163"/>
        <v>6.163999188686718E-5</v>
      </c>
      <c r="F2074" s="11">
        <f t="shared" ca="1" si="164"/>
        <v>4.615698954268912</v>
      </c>
      <c r="G2074" s="10">
        <f t="shared" ca="1" si="161"/>
        <v>1</v>
      </c>
    </row>
    <row r="2075" spans="1:7" x14ac:dyDescent="0.2">
      <c r="A2075" s="2">
        <v>19980519</v>
      </c>
      <c r="B2075" s="13">
        <v>9054.65</v>
      </c>
      <c r="C2075" s="2">
        <f t="shared" si="162"/>
        <v>4.1321811839912029E-4</v>
      </c>
      <c r="D2075" s="21">
        <f t="shared" ca="1" si="160"/>
        <v>2.9265703292252992E-5</v>
      </c>
      <c r="E2075" s="21">
        <f t="shared" ca="1" si="163"/>
        <v>6.0479598690667024E-5</v>
      </c>
      <c r="F2075" s="11">
        <f t="shared" ca="1" si="164"/>
        <v>4.8565951500140256</v>
      </c>
      <c r="G2075" s="10">
        <f t="shared" ca="1" si="161"/>
        <v>1</v>
      </c>
    </row>
    <row r="2076" spans="1:7" x14ac:dyDescent="0.2">
      <c r="A2076" s="2">
        <v>19980520</v>
      </c>
      <c r="B2076" s="13">
        <v>9171.48</v>
      </c>
      <c r="C2076" s="2">
        <f t="shared" si="162"/>
        <v>1.2902762668904919E-2</v>
      </c>
      <c r="D2076" s="21">
        <f t="shared" ca="1" si="160"/>
        <v>1.2518810253798052E-2</v>
      </c>
      <c r="E2076" s="21">
        <f t="shared" ca="1" si="163"/>
        <v>5.8328950482162982E-5</v>
      </c>
      <c r="F2076" s="11">
        <f t="shared" ca="1" si="164"/>
        <v>3.5312855519666142</v>
      </c>
      <c r="G2076" s="10">
        <f t="shared" ca="1" si="161"/>
        <v>0</v>
      </c>
    </row>
    <row r="2077" spans="1:7" x14ac:dyDescent="0.2">
      <c r="A2077" s="2">
        <v>19980521</v>
      </c>
      <c r="B2077" s="13">
        <v>9132.3700000000008</v>
      </c>
      <c r="C2077" s="2">
        <f t="shared" si="162"/>
        <v>-4.2643063060704232E-3</v>
      </c>
      <c r="D2077" s="21">
        <f t="shared" ca="1" si="160"/>
        <v>-4.6482587211772904E-3</v>
      </c>
      <c r="E2077" s="21">
        <f t="shared" ca="1" si="163"/>
        <v>6.2049963257876256E-5</v>
      </c>
      <c r="F2077" s="11">
        <f t="shared" ca="1" si="164"/>
        <v>4.669681194061126</v>
      </c>
      <c r="G2077" s="10">
        <f t="shared" ca="1" si="161"/>
        <v>1</v>
      </c>
    </row>
    <row r="2078" spans="1:7" x14ac:dyDescent="0.2">
      <c r="A2078" s="2">
        <v>19980522</v>
      </c>
      <c r="B2078" s="13">
        <v>9114.44</v>
      </c>
      <c r="C2078" s="2">
        <f t="shared" si="162"/>
        <v>-1.9633457689515743E-3</v>
      </c>
      <c r="D2078" s="21">
        <f t="shared" ca="1" si="160"/>
        <v>-2.3472981840584415E-3</v>
      </c>
      <c r="E2078" s="21">
        <f t="shared" ca="1" si="163"/>
        <v>6.0614340007209602E-5</v>
      </c>
      <c r="F2078" s="11">
        <f t="shared" ca="1" si="164"/>
        <v>4.8100398161304767</v>
      </c>
      <c r="G2078" s="10">
        <f t="shared" ca="1" si="161"/>
        <v>1</v>
      </c>
    </row>
    <row r="2079" spans="1:7" x14ac:dyDescent="0.2">
      <c r="A2079" s="2">
        <v>19980526</v>
      </c>
      <c r="B2079" s="13">
        <v>8963.73</v>
      </c>
      <c r="C2079" s="2">
        <f t="shared" si="162"/>
        <v>-1.6535300029403992E-2</v>
      </c>
      <c r="D2079" s="21">
        <f t="shared" ca="1" si="160"/>
        <v>-1.6919252444510861E-2</v>
      </c>
      <c r="E2079" s="21">
        <f t="shared" ca="1" si="163"/>
        <v>5.8659448985490207E-5</v>
      </c>
      <c r="F2079" s="11">
        <f t="shared" ca="1" si="164"/>
        <v>2.4318554387954134</v>
      </c>
      <c r="G2079" s="10">
        <f t="shared" ca="1" si="161"/>
        <v>0</v>
      </c>
    </row>
    <row r="2080" spans="1:7" x14ac:dyDescent="0.2">
      <c r="A2080" s="2">
        <v>19980527</v>
      </c>
      <c r="B2080" s="13">
        <v>8936.57</v>
      </c>
      <c r="C2080" s="2">
        <f t="shared" si="162"/>
        <v>-3.0299886319645791E-3</v>
      </c>
      <c r="D2080" s="21">
        <f t="shared" ca="1" si="160"/>
        <v>-3.4139410470714463E-3</v>
      </c>
      <c r="E2080" s="21">
        <f t="shared" ca="1" si="163"/>
        <v>6.7127171848568588E-5</v>
      </c>
      <c r="F2080" s="11">
        <f t="shared" ca="1" si="164"/>
        <v>4.7176480401998937</v>
      </c>
      <c r="G2080" s="10">
        <f t="shared" ca="1" si="161"/>
        <v>1</v>
      </c>
    </row>
    <row r="2081" spans="1:7" x14ac:dyDescent="0.2">
      <c r="A2081" s="2">
        <v>19980528</v>
      </c>
      <c r="B2081" s="13">
        <v>8970.2000000000007</v>
      </c>
      <c r="C2081" s="2">
        <f t="shared" si="162"/>
        <v>3.7631887849589965E-3</v>
      </c>
      <c r="D2081" s="21">
        <f t="shared" ca="1" si="160"/>
        <v>3.3792363698521293E-3</v>
      </c>
      <c r="E2081" s="21">
        <f t="shared" ca="1" si="163"/>
        <v>6.5068763691046607E-5</v>
      </c>
      <c r="F2081" s="11">
        <f t="shared" ca="1" si="164"/>
        <v>4.7322855047429657</v>
      </c>
      <c r="G2081" s="10">
        <f t="shared" ca="1" si="161"/>
        <v>1</v>
      </c>
    </row>
    <row r="2082" spans="1:7" x14ac:dyDescent="0.2">
      <c r="A2082" s="2">
        <v>19980529</v>
      </c>
      <c r="B2082" s="13">
        <v>8899.9500000000007</v>
      </c>
      <c r="C2082" s="2">
        <f t="shared" si="162"/>
        <v>-7.8314864774475471E-3</v>
      </c>
      <c r="D2082" s="21">
        <f t="shared" ca="1" si="160"/>
        <v>-8.2154388925544143E-3</v>
      </c>
      <c r="E2082" s="21">
        <f t="shared" ca="1" si="163"/>
        <v>6.3105821955898106E-5</v>
      </c>
      <c r="F2082" s="11">
        <f t="shared" ca="1" si="164"/>
        <v>4.3005848217802063</v>
      </c>
      <c r="G2082" s="10">
        <f t="shared" ca="1" si="161"/>
        <v>0</v>
      </c>
    </row>
    <row r="2083" spans="1:7" x14ac:dyDescent="0.2">
      <c r="A2083" s="2">
        <v>19980601</v>
      </c>
      <c r="B2083" s="13">
        <v>8922.3700000000008</v>
      </c>
      <c r="C2083" s="2">
        <f t="shared" si="162"/>
        <v>2.5191152759285245E-3</v>
      </c>
      <c r="D2083" s="21">
        <f t="shared" ca="1" si="160"/>
        <v>2.1351628608216574E-3</v>
      </c>
      <c r="E2083" s="21">
        <f t="shared" ca="1" si="163"/>
        <v>6.3304132249058766E-5</v>
      </c>
      <c r="F2083" s="11">
        <f t="shared" ca="1" si="164"/>
        <v>4.7977718958627209</v>
      </c>
      <c r="G2083" s="10">
        <f t="shared" ca="1" si="161"/>
        <v>1</v>
      </c>
    </row>
    <row r="2084" spans="1:7" x14ac:dyDescent="0.2">
      <c r="A2084" s="2">
        <v>19980602</v>
      </c>
      <c r="B2084" s="13">
        <v>8891.24</v>
      </c>
      <c r="C2084" s="2">
        <f t="shared" si="162"/>
        <v>-3.4889833082466896E-3</v>
      </c>
      <c r="D2084" s="21">
        <f t="shared" ca="1" si="160"/>
        <v>-3.8729357233535568E-3</v>
      </c>
      <c r="E2084" s="21">
        <f t="shared" ca="1" si="163"/>
        <v>6.1178197928252038E-5</v>
      </c>
      <c r="F2084" s="11">
        <f t="shared" ca="1" si="164"/>
        <v>4.7282701598845005</v>
      </c>
      <c r="G2084" s="10">
        <f t="shared" ca="1" si="161"/>
        <v>1</v>
      </c>
    </row>
    <row r="2085" spans="1:7" x14ac:dyDescent="0.2">
      <c r="A2085" s="2">
        <v>19980603</v>
      </c>
      <c r="B2085" s="13">
        <v>8803.7999999999993</v>
      </c>
      <c r="C2085" s="2">
        <f t="shared" si="162"/>
        <v>-9.834398801517057E-3</v>
      </c>
      <c r="D2085" s="21">
        <f t="shared" ca="1" si="160"/>
        <v>-1.0218351216623924E-2</v>
      </c>
      <c r="E2085" s="21">
        <f t="shared" ca="1" si="163"/>
        <v>5.9543738486220948E-5</v>
      </c>
      <c r="F2085" s="11">
        <f t="shared" ca="1" si="164"/>
        <v>3.9876097691348225</v>
      </c>
      <c r="G2085" s="10">
        <f t="shared" ca="1" si="161"/>
        <v>0</v>
      </c>
    </row>
    <row r="2086" spans="1:7" x14ac:dyDescent="0.2">
      <c r="A2086" s="2">
        <v>19980604</v>
      </c>
      <c r="B2086" s="13">
        <v>8870.56</v>
      </c>
      <c r="C2086" s="2">
        <f t="shared" si="162"/>
        <v>7.583089120607036E-3</v>
      </c>
      <c r="D2086" s="21">
        <f t="shared" ca="1" si="160"/>
        <v>7.1991367055001688E-3</v>
      </c>
      <c r="E2086" s="21">
        <f t="shared" ca="1" si="163"/>
        <v>6.127991514959927E-5</v>
      </c>
      <c r="F2086" s="11">
        <f t="shared" ca="1" si="164"/>
        <v>4.4271535471377135</v>
      </c>
      <c r="G2086" s="10">
        <f t="shared" ca="1" si="161"/>
        <v>1</v>
      </c>
    </row>
    <row r="2087" spans="1:7" x14ac:dyDescent="0.2">
      <c r="A2087" s="2">
        <v>19980605</v>
      </c>
      <c r="B2087" s="13">
        <v>9037.7099999999991</v>
      </c>
      <c r="C2087" s="2">
        <f t="shared" si="162"/>
        <v>1.8843229739723268E-2</v>
      </c>
      <c r="D2087" s="21">
        <f t="shared" ca="1" si="160"/>
        <v>1.8459277324616399E-2</v>
      </c>
      <c r="E2087" s="21">
        <f t="shared" ca="1" si="163"/>
        <v>6.0994537390306814E-5</v>
      </c>
      <c r="F2087" s="11">
        <f t="shared" ca="1" si="164"/>
        <v>2.059121844710416</v>
      </c>
      <c r="G2087" s="10">
        <f t="shared" ca="1" si="161"/>
        <v>0</v>
      </c>
    </row>
    <row r="2088" spans="1:7" x14ac:dyDescent="0.2">
      <c r="A2088" s="2">
        <v>19980608</v>
      </c>
      <c r="B2088" s="13">
        <v>9069.6</v>
      </c>
      <c r="C2088" s="2">
        <f t="shared" si="162"/>
        <v>3.5285487142208854E-3</v>
      </c>
      <c r="D2088" s="21">
        <f t="shared" ca="1" si="160"/>
        <v>3.1445962991140182E-3</v>
      </c>
      <c r="E2088" s="21">
        <f t="shared" ca="1" si="163"/>
        <v>7.1347592410178374E-5</v>
      </c>
      <c r="F2088" s="11">
        <f t="shared" ca="1" si="164"/>
        <v>4.7046755142659276</v>
      </c>
      <c r="G2088" s="10">
        <f t="shared" ca="1" si="161"/>
        <v>1</v>
      </c>
    </row>
    <row r="2089" spans="1:7" x14ac:dyDescent="0.2">
      <c r="A2089" s="2">
        <v>19980609</v>
      </c>
      <c r="B2089" s="13">
        <v>9049.92</v>
      </c>
      <c r="C2089" s="2">
        <f t="shared" si="162"/>
        <v>-2.1698862132839697E-3</v>
      </c>
      <c r="D2089" s="21">
        <f t="shared" ca="1" si="160"/>
        <v>-2.5538386283908369E-3</v>
      </c>
      <c r="E2089" s="21">
        <f t="shared" ca="1" si="163"/>
        <v>6.9010714218377072E-5</v>
      </c>
      <c r="F2089" s="11">
        <f t="shared" ca="1" si="164"/>
        <v>4.7433701966623971</v>
      </c>
      <c r="G2089" s="10">
        <f t="shared" ca="1" si="161"/>
        <v>1</v>
      </c>
    </row>
    <row r="2090" spans="1:7" x14ac:dyDescent="0.2">
      <c r="A2090" s="2">
        <v>19980610</v>
      </c>
      <c r="B2090" s="13">
        <v>8971.7000000000007</v>
      </c>
      <c r="C2090" s="2">
        <f t="shared" si="162"/>
        <v>-8.6431703263674543E-3</v>
      </c>
      <c r="D2090" s="21">
        <f t="shared" ca="1" si="160"/>
        <v>-9.0271227414743214E-3</v>
      </c>
      <c r="E2090" s="21">
        <f t="shared" ca="1" si="163"/>
        <v>6.6668271273172185E-5</v>
      </c>
      <c r="F2090" s="11">
        <f t="shared" ca="1" si="164"/>
        <v>4.1967383281021018</v>
      </c>
      <c r="G2090" s="10">
        <f t="shared" ca="1" si="161"/>
        <v>0</v>
      </c>
    </row>
    <row r="2091" spans="1:7" x14ac:dyDescent="0.2">
      <c r="A2091" s="2">
        <v>19980611</v>
      </c>
      <c r="B2091" s="13">
        <v>8811.77</v>
      </c>
      <c r="C2091" s="2">
        <f t="shared" si="162"/>
        <v>-1.7826053033427363E-2</v>
      </c>
      <c r="D2091" s="21">
        <f t="shared" ca="1" si="160"/>
        <v>-1.8210005448534232E-2</v>
      </c>
      <c r="E2091" s="21">
        <f t="shared" ca="1" si="163"/>
        <v>6.7200995377496214E-5</v>
      </c>
      <c r="F2091" s="11">
        <f t="shared" ca="1" si="164"/>
        <v>2.3366539074430301</v>
      </c>
      <c r="G2091" s="10">
        <f t="shared" ca="1" si="161"/>
        <v>0</v>
      </c>
    </row>
    <row r="2092" spans="1:7" x14ac:dyDescent="0.2">
      <c r="A2092" s="2">
        <v>19980612</v>
      </c>
      <c r="B2092" s="13">
        <v>8834.94</v>
      </c>
      <c r="C2092" s="2">
        <f t="shared" si="162"/>
        <v>2.6294376725674944E-3</v>
      </c>
      <c r="D2092" s="21">
        <f t="shared" ca="1" si="160"/>
        <v>2.2454852574606272E-3</v>
      </c>
      <c r="E2092" s="21">
        <f t="shared" ca="1" si="163"/>
        <v>7.6903947053362604E-5</v>
      </c>
      <c r="F2092" s="11">
        <f t="shared" ca="1" si="164"/>
        <v>4.703694198950287</v>
      </c>
      <c r="G2092" s="10">
        <f t="shared" ca="1" si="161"/>
        <v>1</v>
      </c>
    </row>
    <row r="2093" spans="1:7" x14ac:dyDescent="0.2">
      <c r="A2093" s="2">
        <v>19980615</v>
      </c>
      <c r="B2093" s="13">
        <v>8627.93</v>
      </c>
      <c r="C2093" s="2">
        <f t="shared" si="162"/>
        <v>-2.3430832580640073E-2</v>
      </c>
      <c r="D2093" s="21">
        <f t="shared" ca="1" si="160"/>
        <v>-2.3814784995746942E-2</v>
      </c>
      <c r="E2093" s="21">
        <f t="shared" ca="1" si="163"/>
        <v>7.4107764805452829E-5</v>
      </c>
      <c r="F2093" s="11">
        <f t="shared" ca="1" si="164"/>
        <v>0.9285136057917871</v>
      </c>
      <c r="G2093" s="10">
        <f t="shared" ca="1" si="161"/>
        <v>0</v>
      </c>
    </row>
    <row r="2094" spans="1:7" x14ac:dyDescent="0.2">
      <c r="A2094" s="2">
        <v>19980616</v>
      </c>
      <c r="B2094" s="13">
        <v>8665.2900000000009</v>
      </c>
      <c r="C2094" s="2">
        <f t="shared" si="162"/>
        <v>4.3301232161133182E-3</v>
      </c>
      <c r="D2094" s="21">
        <f t="shared" ca="1" si="160"/>
        <v>3.946170801006451E-3</v>
      </c>
      <c r="E2094" s="21">
        <f t="shared" ca="1" si="163"/>
        <v>9.2122506257858534E-5</v>
      </c>
      <c r="F2094" s="11">
        <f t="shared" ca="1" si="164"/>
        <v>4.5616763140197918</v>
      </c>
      <c r="G2094" s="10">
        <f t="shared" ca="1" si="161"/>
        <v>1</v>
      </c>
    </row>
    <row r="2095" spans="1:7" x14ac:dyDescent="0.2">
      <c r="A2095" s="2">
        <v>19980617</v>
      </c>
      <c r="B2095" s="13">
        <v>8829.4599999999991</v>
      </c>
      <c r="C2095" s="2">
        <f t="shared" si="162"/>
        <v>1.8945701759548524E-2</v>
      </c>
      <c r="D2095" s="21">
        <f t="shared" ca="1" si="160"/>
        <v>1.8561749344441655E-2</v>
      </c>
      <c r="E2095" s="21">
        <f t="shared" ca="1" si="163"/>
        <v>8.8943620779179179E-5</v>
      </c>
      <c r="F2095" s="11">
        <f t="shared" ca="1" si="164"/>
        <v>2.7269172271012341</v>
      </c>
      <c r="G2095" s="10">
        <f t="shared" ca="1" si="161"/>
        <v>0</v>
      </c>
    </row>
    <row r="2096" spans="1:7" x14ac:dyDescent="0.2">
      <c r="A2096" s="2">
        <v>19980618</v>
      </c>
      <c r="B2096" s="13">
        <v>8813.01</v>
      </c>
      <c r="C2096" s="2">
        <f t="shared" si="162"/>
        <v>-1.8630810944269423E-3</v>
      </c>
      <c r="D2096" s="21">
        <f t="shared" ca="1" si="160"/>
        <v>-2.2470335095338095E-3</v>
      </c>
      <c r="E2096" s="21">
        <f t="shared" ca="1" si="163"/>
        <v>9.8022220476168536E-5</v>
      </c>
      <c r="F2096" s="11">
        <f t="shared" ca="1" si="164"/>
        <v>4.5894030041074556</v>
      </c>
      <c r="G2096" s="10">
        <f t="shared" ca="1" si="161"/>
        <v>1</v>
      </c>
    </row>
    <row r="2097" spans="1:7" x14ac:dyDescent="0.2">
      <c r="A2097" s="2">
        <v>19980619</v>
      </c>
      <c r="B2097" s="13">
        <v>8712.8700000000008</v>
      </c>
      <c r="C2097" s="2">
        <f t="shared" si="162"/>
        <v>-1.1362746666575826E-2</v>
      </c>
      <c r="D2097" s="21">
        <f t="shared" ca="1" si="160"/>
        <v>-1.1746699081682693E-2</v>
      </c>
      <c r="E2097" s="21">
        <f t="shared" ca="1" si="163"/>
        <v>9.4157913590078995E-5</v>
      </c>
      <c r="F2097" s="11">
        <f t="shared" ca="1" si="164"/>
        <v>3.9025371224895173</v>
      </c>
      <c r="G2097" s="10">
        <f t="shared" ca="1" si="161"/>
        <v>0</v>
      </c>
    </row>
    <row r="2098" spans="1:7" x14ac:dyDescent="0.2">
      <c r="A2098" s="2">
        <v>19980622</v>
      </c>
      <c r="B2098" s="13">
        <v>8711.1299999999992</v>
      </c>
      <c r="C2098" s="2">
        <f t="shared" si="162"/>
        <v>-1.9970457495654137E-4</v>
      </c>
      <c r="D2098" s="21">
        <f t="shared" ca="1" si="160"/>
        <v>-5.8365699006340864E-4</v>
      </c>
      <c r="E2098" s="21">
        <f t="shared" ca="1" si="163"/>
        <v>9.5377383994263719E-5</v>
      </c>
      <c r="F2098" s="11">
        <f t="shared" ca="1" si="164"/>
        <v>4.6270487068838655</v>
      </c>
      <c r="G2098" s="10">
        <f t="shared" ca="1" si="161"/>
        <v>1</v>
      </c>
    </row>
    <row r="2099" spans="1:7" x14ac:dyDescent="0.2">
      <c r="A2099" s="2">
        <v>19980623</v>
      </c>
      <c r="B2099" s="13">
        <v>8828.4599999999991</v>
      </c>
      <c r="C2099" s="2">
        <f t="shared" si="162"/>
        <v>1.3468975896353279E-2</v>
      </c>
      <c r="D2099" s="21">
        <f t="shared" ca="1" si="160"/>
        <v>1.3085023481246412E-2</v>
      </c>
      <c r="E2099" s="21">
        <f t="shared" ca="1" si="163"/>
        <v>9.1473740339215724E-5</v>
      </c>
      <c r="F2099" s="11">
        <f t="shared" ca="1" si="164"/>
        <v>3.7138441090660859</v>
      </c>
      <c r="G2099" s="10">
        <f t="shared" ca="1" si="161"/>
        <v>0</v>
      </c>
    </row>
    <row r="2100" spans="1:7" x14ac:dyDescent="0.2">
      <c r="A2100" s="2">
        <v>19980624</v>
      </c>
      <c r="B2100" s="13">
        <v>8923.8700000000008</v>
      </c>
      <c r="C2100" s="2">
        <f t="shared" si="162"/>
        <v>1.0807094329022467E-2</v>
      </c>
      <c r="D2100" s="21">
        <f t="shared" ca="1" si="160"/>
        <v>1.04231419139156E-2</v>
      </c>
      <c r="E2100" s="21">
        <f t="shared" ca="1" si="163"/>
        <v>9.4051035718127266E-5</v>
      </c>
      <c r="F2100" s="11">
        <f t="shared" ca="1" si="164"/>
        <v>4.0582676966264257</v>
      </c>
      <c r="G2100" s="10">
        <f t="shared" ca="1" si="161"/>
        <v>0</v>
      </c>
    </row>
    <row r="2101" spans="1:7" x14ac:dyDescent="0.2">
      <c r="A2101" s="2">
        <v>19980625</v>
      </c>
      <c r="B2101" s="13">
        <v>8935.58</v>
      </c>
      <c r="C2101" s="2">
        <f t="shared" si="162"/>
        <v>1.3122109578018422E-3</v>
      </c>
      <c r="D2101" s="21">
        <f t="shared" ca="1" si="160"/>
        <v>9.2825854269497495E-4</v>
      </c>
      <c r="E2101" s="21">
        <f t="shared" ca="1" si="163"/>
        <v>9.4196917854200526E-5</v>
      </c>
      <c r="F2101" s="11">
        <f t="shared" ca="1" si="164"/>
        <v>4.6304878106978062</v>
      </c>
      <c r="G2101" s="10">
        <f t="shared" ca="1" si="161"/>
        <v>1</v>
      </c>
    </row>
    <row r="2102" spans="1:7" x14ac:dyDescent="0.2">
      <c r="A2102" s="2">
        <v>19980626</v>
      </c>
      <c r="B2102" s="13">
        <v>8944.5400000000009</v>
      </c>
      <c r="C2102" s="2">
        <f t="shared" si="162"/>
        <v>1.0027328947870139E-3</v>
      </c>
      <c r="D2102" s="21">
        <f t="shared" ca="1" si="160"/>
        <v>6.187804796801466E-4</v>
      </c>
      <c r="E2102" s="21">
        <f t="shared" ca="1" si="163"/>
        <v>9.037215275990906E-5</v>
      </c>
      <c r="F2102" s="11">
        <f t="shared" ca="1" si="164"/>
        <v>4.653668788339937</v>
      </c>
      <c r="G2102" s="10">
        <f t="shared" ca="1" si="161"/>
        <v>1</v>
      </c>
    </row>
    <row r="2103" spans="1:7" x14ac:dyDescent="0.2">
      <c r="A2103" s="2">
        <v>19980629</v>
      </c>
      <c r="B2103" s="13">
        <v>8997.36</v>
      </c>
      <c r="C2103" s="2">
        <f t="shared" si="162"/>
        <v>5.9052785274591769E-3</v>
      </c>
      <c r="D2103" s="21">
        <f t="shared" ca="1" si="160"/>
        <v>5.5213261123523098E-3</v>
      </c>
      <c r="E2103" s="21">
        <f t="shared" ca="1" si="163"/>
        <v>8.6723278411618551E-5</v>
      </c>
      <c r="F2103" s="11">
        <f t="shared" ca="1" si="164"/>
        <v>4.5006336745823949</v>
      </c>
      <c r="G2103" s="10">
        <f t="shared" ca="1" si="161"/>
        <v>1</v>
      </c>
    </row>
    <row r="2104" spans="1:7" x14ac:dyDescent="0.2">
      <c r="A2104" s="2">
        <v>19980630</v>
      </c>
      <c r="B2104" s="13">
        <v>8952.02</v>
      </c>
      <c r="C2104" s="2">
        <f t="shared" si="162"/>
        <v>-5.0392559595259208E-3</v>
      </c>
      <c r="D2104" s="21">
        <f t="shared" ca="1" si="160"/>
        <v>-5.423208374632788E-3</v>
      </c>
      <c r="E2104" s="21">
        <f t="shared" ca="1" si="163"/>
        <v>8.4365910534698959E-5</v>
      </c>
      <c r="F2104" s="11">
        <f t="shared" ca="1" si="164"/>
        <v>4.5158662653329324</v>
      </c>
      <c r="G2104" s="10">
        <f t="shared" ca="1" si="161"/>
        <v>1</v>
      </c>
    </row>
    <row r="2105" spans="1:7" x14ac:dyDescent="0.2">
      <c r="A2105" s="2">
        <v>19980701</v>
      </c>
      <c r="B2105" s="13">
        <v>9048.67</v>
      </c>
      <c r="C2105" s="2">
        <f t="shared" si="162"/>
        <v>1.079644594180974E-2</v>
      </c>
      <c r="D2105" s="21">
        <f t="shared" ca="1" si="160"/>
        <v>1.0412493526702872E-2</v>
      </c>
      <c r="E2105" s="21">
        <f t="shared" ca="1" si="163"/>
        <v>8.2088315226376283E-5</v>
      </c>
      <c r="F2105" s="11">
        <f t="shared" ca="1" si="164"/>
        <v>4.0434709920034946</v>
      </c>
      <c r="G2105" s="10">
        <f t="shared" ca="1" si="161"/>
        <v>0</v>
      </c>
    </row>
    <row r="2106" spans="1:7" x14ac:dyDescent="0.2">
      <c r="A2106" s="2">
        <v>19980702</v>
      </c>
      <c r="B2106" s="13">
        <v>9025.26</v>
      </c>
      <c r="C2106" s="2">
        <f t="shared" si="162"/>
        <v>-2.5871205381564201E-3</v>
      </c>
      <c r="D2106" s="21">
        <f t="shared" ca="1" si="160"/>
        <v>-2.9710729532632873E-3</v>
      </c>
      <c r="E2106" s="21">
        <f t="shared" ca="1" si="163"/>
        <v>8.283123693397791E-5</v>
      </c>
      <c r="F2106" s="11">
        <f t="shared" ca="1" si="164"/>
        <v>4.6460679594227114</v>
      </c>
      <c r="G2106" s="10">
        <f t="shared" ca="1" si="161"/>
        <v>1</v>
      </c>
    </row>
    <row r="2107" spans="1:7" x14ac:dyDescent="0.2">
      <c r="A2107" s="2">
        <v>19980706</v>
      </c>
      <c r="B2107" s="13">
        <v>9091.77</v>
      </c>
      <c r="C2107" s="2">
        <f t="shared" si="162"/>
        <v>7.3693167842256305E-3</v>
      </c>
      <c r="D2107" s="21">
        <f t="shared" ca="1" si="160"/>
        <v>6.9853643691187633E-3</v>
      </c>
      <c r="E2107" s="21">
        <f t="shared" ca="1" si="163"/>
        <v>7.9874374788799254E-5</v>
      </c>
      <c r="F2107" s="11">
        <f t="shared" ca="1" si="164"/>
        <v>4.4120773619278282</v>
      </c>
      <c r="G2107" s="10">
        <f t="shared" ca="1" si="161"/>
        <v>1</v>
      </c>
    </row>
    <row r="2108" spans="1:7" x14ac:dyDescent="0.2">
      <c r="A2108" s="2">
        <v>19980707</v>
      </c>
      <c r="B2108" s="13">
        <v>9085.0400000000009</v>
      </c>
      <c r="C2108" s="2">
        <f t="shared" si="162"/>
        <v>-7.4022990022840031E-4</v>
      </c>
      <c r="D2108" s="21">
        <f t="shared" ca="1" si="160"/>
        <v>-1.1241823153352675E-3</v>
      </c>
      <c r="E2108" s="21">
        <f t="shared" ca="1" si="163"/>
        <v>7.8536795922215568E-5</v>
      </c>
      <c r="F2108" s="11">
        <f t="shared" ca="1" si="164"/>
        <v>4.717925832368512</v>
      </c>
      <c r="G2108" s="10">
        <f t="shared" ca="1" si="161"/>
        <v>1</v>
      </c>
    </row>
    <row r="2109" spans="1:7" x14ac:dyDescent="0.2">
      <c r="A2109" s="2">
        <v>19980708</v>
      </c>
      <c r="B2109" s="13">
        <v>9174.9699999999993</v>
      </c>
      <c r="C2109" s="2">
        <f t="shared" si="162"/>
        <v>9.8986905946477355E-3</v>
      </c>
      <c r="D2109" s="21">
        <f t="shared" ca="1" si="160"/>
        <v>9.5147381795408683E-3</v>
      </c>
      <c r="E2109" s="21">
        <f t="shared" ca="1" si="163"/>
        <v>7.5519068279229025E-5</v>
      </c>
      <c r="F2109" s="11">
        <f t="shared" ca="1" si="164"/>
        <v>4.1461760372592469</v>
      </c>
      <c r="G2109" s="10">
        <f t="shared" ca="1" si="161"/>
        <v>0</v>
      </c>
    </row>
    <row r="2110" spans="1:7" x14ac:dyDescent="0.2">
      <c r="A2110" s="2">
        <v>19980709</v>
      </c>
      <c r="B2110" s="13">
        <v>9089.7800000000007</v>
      </c>
      <c r="C2110" s="2">
        <f t="shared" si="162"/>
        <v>-9.2850439837948995E-3</v>
      </c>
      <c r="D2110" s="21">
        <f t="shared" ca="1" si="160"/>
        <v>-9.6689963989017667E-3</v>
      </c>
      <c r="E2110" s="21">
        <f t="shared" ca="1" si="163"/>
        <v>7.5936491949356346E-5</v>
      </c>
      <c r="F2110" s="11">
        <f t="shared" ca="1" si="164"/>
        <v>4.1272297606022041</v>
      </c>
      <c r="G2110" s="10">
        <f t="shared" ca="1" si="161"/>
        <v>0</v>
      </c>
    </row>
    <row r="2111" spans="1:7" x14ac:dyDescent="0.2">
      <c r="A2111" s="2">
        <v>19980710</v>
      </c>
      <c r="B2111" s="13">
        <v>9105.74</v>
      </c>
      <c r="C2111" s="2">
        <f t="shared" si="162"/>
        <v>1.7558180726045213E-3</v>
      </c>
      <c r="D2111" s="21">
        <f t="shared" ca="1" si="160"/>
        <v>1.3718656574976539E-3</v>
      </c>
      <c r="E2111" s="21">
        <f t="shared" ca="1" si="163"/>
        <v>7.6441614761607542E-5</v>
      </c>
      <c r="F2111" s="11">
        <f t="shared" ca="1" si="164"/>
        <v>4.72718150781742</v>
      </c>
      <c r="G2111" s="10">
        <f t="shared" ca="1" si="161"/>
        <v>1</v>
      </c>
    </row>
    <row r="2112" spans="1:7" x14ac:dyDescent="0.2">
      <c r="A2112" s="2">
        <v>19980713</v>
      </c>
      <c r="B2112" s="13">
        <v>9096.2099999999991</v>
      </c>
      <c r="C2112" s="2">
        <f t="shared" si="162"/>
        <v>-1.0465925888506211E-3</v>
      </c>
      <c r="D2112" s="21">
        <f t="shared" ca="1" si="160"/>
        <v>-1.4305450039574885E-3</v>
      </c>
      <c r="E2112" s="21">
        <f t="shared" ca="1" si="163"/>
        <v>7.3552616401728382E-5</v>
      </c>
      <c r="F2112" s="11">
        <f t="shared" ca="1" si="164"/>
        <v>4.74484323821006</v>
      </c>
      <c r="G2112" s="10">
        <f t="shared" ca="1" si="161"/>
        <v>1</v>
      </c>
    </row>
    <row r="2113" spans="1:7" x14ac:dyDescent="0.2">
      <c r="A2113" s="2">
        <v>19980714</v>
      </c>
      <c r="B2113" s="13">
        <v>9245.5400000000009</v>
      </c>
      <c r="C2113" s="2">
        <f t="shared" si="162"/>
        <v>1.6416727406249609E-2</v>
      </c>
      <c r="D2113" s="21">
        <f t="shared" ca="1" si="160"/>
        <v>1.603277499114274E-2</v>
      </c>
      <c r="E2113" s="21">
        <f t="shared" ca="1" si="163"/>
        <v>7.0815820299378451E-5</v>
      </c>
      <c r="F2113" s="11">
        <f t="shared" ca="1" si="164"/>
        <v>2.9627956420284702</v>
      </c>
      <c r="G2113" s="10">
        <f t="shared" ca="1" si="161"/>
        <v>0</v>
      </c>
    </row>
    <row r="2114" spans="1:7" x14ac:dyDescent="0.2">
      <c r="A2114" s="2">
        <v>19980715</v>
      </c>
      <c r="B2114" s="13">
        <v>9234.4699999999993</v>
      </c>
      <c r="C2114" s="2">
        <f t="shared" si="162"/>
        <v>-1.1973340659389854E-3</v>
      </c>
      <c r="D2114" s="21">
        <f t="shared" ca="1" si="160"/>
        <v>-1.5812864810458528E-3</v>
      </c>
      <c r="E2114" s="21">
        <f t="shared" ca="1" si="163"/>
        <v>7.7594400427115419E-5</v>
      </c>
      <c r="F2114" s="11">
        <f t="shared" ca="1" si="164"/>
        <v>4.7158952277229975</v>
      </c>
      <c r="G2114" s="10">
        <f t="shared" ca="1" si="161"/>
        <v>1</v>
      </c>
    </row>
    <row r="2115" spans="1:7" x14ac:dyDescent="0.2">
      <c r="A2115" s="2">
        <v>19980716</v>
      </c>
      <c r="B2115" s="13">
        <v>9328.19</v>
      </c>
      <c r="C2115" s="2">
        <f t="shared" si="162"/>
        <v>1.0148931124363518E-2</v>
      </c>
      <c r="D2115" s="21">
        <f t="shared" ca="1" si="160"/>
        <v>9.7649787092566505E-3</v>
      </c>
      <c r="E2115" s="21">
        <f t="shared" ca="1" si="163"/>
        <v>7.4669823804293336E-5</v>
      </c>
      <c r="F2115" s="11">
        <f t="shared" ca="1" si="164"/>
        <v>4.1127075857549276</v>
      </c>
      <c r="G2115" s="10">
        <f t="shared" ca="1" si="161"/>
        <v>0</v>
      </c>
    </row>
    <row r="2116" spans="1:7" x14ac:dyDescent="0.2">
      <c r="A2116" s="2">
        <v>19980717</v>
      </c>
      <c r="B2116" s="13">
        <v>9337.9699999999993</v>
      </c>
      <c r="C2116" s="2">
        <f t="shared" si="162"/>
        <v>1.0484349053780889E-3</v>
      </c>
      <c r="D2116" s="21">
        <f t="shared" ca="1" si="160"/>
        <v>6.6448249027122161E-4</v>
      </c>
      <c r="E2116" s="21">
        <f t="shared" ca="1" si="163"/>
        <v>7.5307618768623229E-5</v>
      </c>
      <c r="F2116" s="11">
        <f t="shared" ca="1" si="164"/>
        <v>4.7440330688607162</v>
      </c>
      <c r="G2116" s="10">
        <f t="shared" ca="1" si="161"/>
        <v>1</v>
      </c>
    </row>
    <row r="2117" spans="1:7" x14ac:dyDescent="0.2">
      <c r="A2117" s="2">
        <v>19980720</v>
      </c>
      <c r="B2117" s="13">
        <v>9295.75</v>
      </c>
      <c r="C2117" s="2">
        <f t="shared" si="162"/>
        <v>-4.5213252987532995E-3</v>
      </c>
      <c r="D2117" s="21">
        <f t="shared" ca="1" si="160"/>
        <v>-4.9052777138601667E-3</v>
      </c>
      <c r="E2117" s="21">
        <f t="shared" ca="1" si="163"/>
        <v>7.2423020733416226E-5</v>
      </c>
      <c r="F2117" s="11">
        <f t="shared" ca="1" si="164"/>
        <v>4.6003736890947469</v>
      </c>
      <c r="G2117" s="10">
        <f t="shared" ca="1" si="161"/>
        <v>1</v>
      </c>
    </row>
    <row r="2118" spans="1:7" x14ac:dyDescent="0.2">
      <c r="A2118" s="2">
        <v>19980721</v>
      </c>
      <c r="B2118" s="13">
        <v>9190.19</v>
      </c>
      <c r="C2118" s="2">
        <f t="shared" si="162"/>
        <v>-1.1355727079579324E-2</v>
      </c>
      <c r="D2118" s="21">
        <f t="shared" ca="1" si="160"/>
        <v>-1.1739679494686191E-2</v>
      </c>
      <c r="E2118" s="21">
        <f t="shared" ca="1" si="163"/>
        <v>7.0552911917137856E-5</v>
      </c>
      <c r="F2118" s="11">
        <f t="shared" ca="1" si="164"/>
        <v>3.8028595123143889</v>
      </c>
      <c r="G2118" s="10">
        <f t="shared" ca="1" si="161"/>
        <v>0</v>
      </c>
    </row>
    <row r="2119" spans="1:7" x14ac:dyDescent="0.2">
      <c r="A2119" s="2">
        <v>19980722</v>
      </c>
      <c r="B2119" s="13">
        <v>9128.91</v>
      </c>
      <c r="C2119" s="2">
        <f t="shared" si="162"/>
        <v>-6.6679796609211183E-3</v>
      </c>
      <c r="D2119" s="21">
        <f t="shared" ca="1" si="160"/>
        <v>-7.0519320760279855E-3</v>
      </c>
      <c r="E2119" s="21">
        <f t="shared" ca="1" si="163"/>
        <v>7.2960504766181997E-5</v>
      </c>
      <c r="F2119" s="11">
        <f t="shared" ca="1" si="164"/>
        <v>4.4219970655176439</v>
      </c>
      <c r="G2119" s="10">
        <f t="shared" ca="1" si="161"/>
        <v>1</v>
      </c>
    </row>
    <row r="2120" spans="1:7" x14ac:dyDescent="0.2">
      <c r="A2120" s="2">
        <v>19980723</v>
      </c>
      <c r="B2120" s="13">
        <v>8932.98</v>
      </c>
      <c r="C2120" s="2">
        <f t="shared" si="162"/>
        <v>-2.1462584251570046E-2</v>
      </c>
      <c r="D2120" s="21">
        <f t="shared" ca="1" si="160"/>
        <v>-2.1846536666676915E-2</v>
      </c>
      <c r="E2120" s="21">
        <f t="shared" ca="1" si="163"/>
        <v>7.2007061506562339E-5</v>
      </c>
      <c r="F2120" s="11">
        <f t="shared" ca="1" si="164"/>
        <v>1.4553151291729924</v>
      </c>
      <c r="G2120" s="10">
        <f t="shared" ca="1" si="161"/>
        <v>0</v>
      </c>
    </row>
    <row r="2121" spans="1:7" x14ac:dyDescent="0.2">
      <c r="A2121" s="2">
        <v>19980724</v>
      </c>
      <c r="B2121" s="13">
        <v>8937.36</v>
      </c>
      <c r="C2121" s="2">
        <f t="shared" si="162"/>
        <v>4.9031790063349735E-4</v>
      </c>
      <c r="D2121" s="21">
        <f t="shared" ca="1" si="160"/>
        <v>1.0636548552663005E-4</v>
      </c>
      <c r="E2121" s="21">
        <f t="shared" ca="1" si="163"/>
        <v>8.6823297714575003E-5</v>
      </c>
      <c r="F2121" s="11">
        <f t="shared" ca="1" si="164"/>
        <v>4.6757526296168699</v>
      </c>
      <c r="G2121" s="10">
        <f t="shared" ca="1" si="161"/>
        <v>1</v>
      </c>
    </row>
    <row r="2122" spans="1:7" x14ac:dyDescent="0.2">
      <c r="A2122" s="2">
        <v>19980727</v>
      </c>
      <c r="B2122" s="13">
        <v>9028.24</v>
      </c>
      <c r="C2122" s="2">
        <f t="shared" si="162"/>
        <v>1.0168550891985911E-2</v>
      </c>
      <c r="D2122" s="21">
        <f t="shared" ca="1" si="160"/>
        <v>9.7845984768790435E-3</v>
      </c>
      <c r="E2122" s="21">
        <f t="shared" ca="1" si="163"/>
        <v>8.3340297625529323E-5</v>
      </c>
      <c r="F2122" s="11">
        <f t="shared" ca="1" si="164"/>
        <v>4.1219069782412365</v>
      </c>
      <c r="G2122" s="10">
        <f t="shared" ca="1" si="161"/>
        <v>0</v>
      </c>
    </row>
    <row r="2123" spans="1:7" x14ac:dyDescent="0.2">
      <c r="A2123" s="2">
        <v>19980728</v>
      </c>
      <c r="B2123" s="13">
        <v>8934.7800000000007</v>
      </c>
      <c r="C2123" s="2">
        <f t="shared" si="162"/>
        <v>-1.0351962287223106E-2</v>
      </c>
      <c r="D2123" s="21">
        <f t="shared" ca="1" si="160"/>
        <v>-1.0735914702329973E-2</v>
      </c>
      <c r="E2123" s="21">
        <f t="shared" ca="1" si="163"/>
        <v>8.3553554567674786E-5</v>
      </c>
      <c r="F2123" s="11">
        <f t="shared" ca="1" si="164"/>
        <v>4.0052749281940594</v>
      </c>
      <c r="G2123" s="10">
        <f t="shared" ca="1" si="161"/>
        <v>0</v>
      </c>
    </row>
    <row r="2124" spans="1:7" x14ac:dyDescent="0.2">
      <c r="A2124" s="2">
        <v>19980729</v>
      </c>
      <c r="B2124" s="13">
        <v>8914.9599999999991</v>
      </c>
      <c r="C2124" s="2">
        <f t="shared" si="162"/>
        <v>-2.2182974846612371E-3</v>
      </c>
      <c r="D2124" s="21">
        <f t="shared" ca="1" si="160"/>
        <v>-2.6022498997681043E-3</v>
      </c>
      <c r="E2124" s="21">
        <f t="shared" ca="1" si="163"/>
        <v>8.4473862306261812E-5</v>
      </c>
      <c r="F2124" s="11">
        <f t="shared" ca="1" si="164"/>
        <v>4.6494525408663856</v>
      </c>
      <c r="G2124" s="10">
        <f t="shared" ca="1" si="161"/>
        <v>1</v>
      </c>
    </row>
    <row r="2125" spans="1:7" x14ac:dyDescent="0.2">
      <c r="A2125" s="2">
        <v>19980730</v>
      </c>
      <c r="B2125" s="13">
        <v>9026.9500000000007</v>
      </c>
      <c r="C2125" s="2">
        <f t="shared" si="162"/>
        <v>1.2562030564354927E-2</v>
      </c>
      <c r="D2125" s="21">
        <f t="shared" ca="1" si="160"/>
        <v>1.217807814924806E-2</v>
      </c>
      <c r="E2125" s="21">
        <f t="shared" ca="1" si="163"/>
        <v>8.1358312306356234E-5</v>
      </c>
      <c r="F2125" s="11">
        <f t="shared" ca="1" si="164"/>
        <v>3.7968890167836848</v>
      </c>
      <c r="G2125" s="10">
        <f t="shared" ca="1" si="161"/>
        <v>0</v>
      </c>
    </row>
    <row r="2126" spans="1:7" x14ac:dyDescent="0.2">
      <c r="A2126" s="2">
        <v>19980731</v>
      </c>
      <c r="B2126" s="13">
        <v>8883.2900000000009</v>
      </c>
      <c r="C2126" s="2">
        <f t="shared" si="162"/>
        <v>-1.5914566935675931E-2</v>
      </c>
      <c r="D2126" s="21">
        <f t="shared" ref="D2126:D2189" ca="1" si="165">(C2126-mu)</f>
        <v>-1.62985193507828E-2</v>
      </c>
      <c r="E2126" s="21">
        <f t="shared" ca="1" si="163"/>
        <v>8.3604827004674548E-5</v>
      </c>
      <c r="F2126" s="11">
        <f t="shared" ca="1" si="164"/>
        <v>3.1060300332097572</v>
      </c>
      <c r="G2126" s="10">
        <f t="shared" ref="G2126:G2189" ca="1" si="166">IF(AND(C2126&lt;=mu+zvalue*SQRT(E2126),C2126&gt;=mu-zvalue*SQRT(E2126)),1,0)</f>
        <v>0</v>
      </c>
    </row>
    <row r="2127" spans="1:7" x14ac:dyDescent="0.2">
      <c r="A2127" s="2">
        <v>19980803</v>
      </c>
      <c r="B2127" s="13">
        <v>8786.74</v>
      </c>
      <c r="C2127" s="2">
        <f t="shared" ref="C2127:C2190" si="167">(B2127-B2126)/B2126</f>
        <v>-1.0868720935599433E-2</v>
      </c>
      <c r="D2127" s="21">
        <f t="shared" ca="1" si="165"/>
        <v>-1.12526733507063E-2</v>
      </c>
      <c r="E2127" s="21">
        <f t="shared" ref="E2127:E2190" ca="1" si="168">(1-alpha-beta)*longvar+alpha*D2126^2+beta*E2126</f>
        <v>9.0052344733537694E-5</v>
      </c>
      <c r="F2127" s="11">
        <f t="shared" ref="F2127:F2190" ca="1" si="169">(-0.5)*(LN(E2127)+D2127^2/E2127)</f>
        <v>3.9545094155230003</v>
      </c>
      <c r="G2127" s="10">
        <f t="shared" ca="1" si="166"/>
        <v>0</v>
      </c>
    </row>
    <row r="2128" spans="1:7" x14ac:dyDescent="0.2">
      <c r="A2128" s="2">
        <v>19980804</v>
      </c>
      <c r="B2128" s="13">
        <v>8487.31</v>
      </c>
      <c r="C2128" s="2">
        <f t="shared" si="167"/>
        <v>-3.4077484937530905E-2</v>
      </c>
      <c r="D2128" s="21">
        <f t="shared" ca="1" si="165"/>
        <v>-3.4461437352637771E-2</v>
      </c>
      <c r="E2128" s="21">
        <f t="shared" ca="1" si="168"/>
        <v>9.1061706277939617E-5</v>
      </c>
      <c r="F2128" s="11">
        <f t="shared" ca="1" si="169"/>
        <v>-1.8688151389331651</v>
      </c>
      <c r="G2128" s="10">
        <f t="shared" ca="1" si="166"/>
        <v>0</v>
      </c>
    </row>
    <row r="2129" spans="1:7" x14ac:dyDescent="0.2">
      <c r="A2129" s="2">
        <v>19980805</v>
      </c>
      <c r="B2129" s="13">
        <v>8546.7800000000007</v>
      </c>
      <c r="C2129" s="2">
        <f t="shared" si="167"/>
        <v>7.0069315248295592E-3</v>
      </c>
      <c r="D2129" s="21">
        <f t="shared" ca="1" si="165"/>
        <v>6.6229791097226921E-3</v>
      </c>
      <c r="E2129" s="21">
        <f t="shared" ca="1" si="168"/>
        <v>1.3103365000221928E-4</v>
      </c>
      <c r="F2129" s="11">
        <f t="shared" ca="1" si="169"/>
        <v>4.3026519091986968</v>
      </c>
      <c r="G2129" s="10">
        <f t="shared" ca="1" si="166"/>
        <v>1</v>
      </c>
    </row>
    <row r="2130" spans="1:7" x14ac:dyDescent="0.2">
      <c r="A2130" s="2">
        <v>19980806</v>
      </c>
      <c r="B2130" s="13">
        <v>8577.68</v>
      </c>
      <c r="C2130" s="2">
        <f t="shared" si="167"/>
        <v>3.6153966757070657E-3</v>
      </c>
      <c r="D2130" s="21">
        <f t="shared" ca="1" si="165"/>
        <v>3.2314442606001985E-3</v>
      </c>
      <c r="E2130" s="21">
        <f t="shared" ca="1" si="168"/>
        <v>1.2692656804959198E-4</v>
      </c>
      <c r="F2130" s="11">
        <f t="shared" ca="1" si="169"/>
        <v>4.4448159874917863</v>
      </c>
      <c r="G2130" s="10">
        <f t="shared" ca="1" si="166"/>
        <v>1</v>
      </c>
    </row>
    <row r="2131" spans="1:7" x14ac:dyDescent="0.2">
      <c r="A2131" s="2">
        <v>19980807</v>
      </c>
      <c r="B2131" s="13">
        <v>8598.02</v>
      </c>
      <c r="C2131" s="2">
        <f t="shared" si="167"/>
        <v>2.3712705533431122E-3</v>
      </c>
      <c r="D2131" s="21">
        <f t="shared" ca="1" si="165"/>
        <v>1.987318138236245E-3</v>
      </c>
      <c r="E2131" s="21">
        <f t="shared" ca="1" si="168"/>
        <v>1.217982933919028E-4</v>
      </c>
      <c r="F2131" s="11">
        <f t="shared" ca="1" si="169"/>
        <v>4.490359099287546</v>
      </c>
      <c r="G2131" s="10">
        <f t="shared" ca="1" si="166"/>
        <v>1</v>
      </c>
    </row>
    <row r="2132" spans="1:7" x14ac:dyDescent="0.2">
      <c r="A2132" s="2">
        <v>19980810</v>
      </c>
      <c r="B2132" s="13">
        <v>8574.85</v>
      </c>
      <c r="C2132" s="2">
        <f t="shared" si="167"/>
        <v>-2.6948064787009184E-3</v>
      </c>
      <c r="D2132" s="21">
        <f t="shared" ca="1" si="165"/>
        <v>-3.0787588938077856E-3</v>
      </c>
      <c r="E2132" s="21">
        <f t="shared" ca="1" si="168"/>
        <v>1.1669070829546431E-4</v>
      </c>
      <c r="F2132" s="11">
        <f t="shared" ca="1" si="169"/>
        <v>4.487376949290816</v>
      </c>
      <c r="G2132" s="10">
        <f t="shared" ca="1" si="166"/>
        <v>1</v>
      </c>
    </row>
    <row r="2133" spans="1:7" x14ac:dyDescent="0.2">
      <c r="A2133" s="2">
        <v>19980811</v>
      </c>
      <c r="B2133" s="13">
        <v>8462.85</v>
      </c>
      <c r="C2133" s="2">
        <f t="shared" si="167"/>
        <v>-1.3061452970022799E-2</v>
      </c>
      <c r="D2133" s="21">
        <f t="shared" ca="1" si="165"/>
        <v>-1.3445405385129667E-2</v>
      </c>
      <c r="E2133" s="21">
        <f t="shared" ca="1" si="168"/>
        <v>1.1204484046989562E-4</v>
      </c>
      <c r="F2133" s="11">
        <f t="shared" ca="1" si="169"/>
        <v>3.7415799078920244</v>
      </c>
      <c r="G2133" s="10">
        <f t="shared" ca="1" si="166"/>
        <v>0</v>
      </c>
    </row>
    <row r="2134" spans="1:7" x14ac:dyDescent="0.2">
      <c r="A2134" s="2">
        <v>19980812</v>
      </c>
      <c r="B2134" s="13">
        <v>8552.9599999999991</v>
      </c>
      <c r="C2134" s="2">
        <f t="shared" si="167"/>
        <v>1.0647713240811164E-2</v>
      </c>
      <c r="D2134" s="21">
        <f t="shared" ca="1" si="165"/>
        <v>1.0263760825704297E-2</v>
      </c>
      <c r="E2134" s="21">
        <f t="shared" ca="1" si="168"/>
        <v>1.1393301496331834E-4</v>
      </c>
      <c r="F2134" s="11">
        <f t="shared" ca="1" si="169"/>
        <v>4.0776397508709872</v>
      </c>
      <c r="G2134" s="10">
        <f t="shared" ca="1" si="166"/>
        <v>1</v>
      </c>
    </row>
    <row r="2135" spans="1:7" x14ac:dyDescent="0.2">
      <c r="A2135" s="2">
        <v>19980813</v>
      </c>
      <c r="B2135" s="13">
        <v>8459.5</v>
      </c>
      <c r="C2135" s="2">
        <f t="shared" si="167"/>
        <v>-1.0927211164321958E-2</v>
      </c>
      <c r="D2135" s="21">
        <f t="shared" ca="1" si="165"/>
        <v>-1.1311163579428825E-2</v>
      </c>
      <c r="E2135" s="21">
        <f t="shared" ca="1" si="168"/>
        <v>1.1295182105970086E-4</v>
      </c>
      <c r="F2135" s="11">
        <f t="shared" ca="1" si="169"/>
        <v>3.9779162129887782</v>
      </c>
      <c r="G2135" s="10">
        <f t="shared" ca="1" si="166"/>
        <v>0</v>
      </c>
    </row>
    <row r="2136" spans="1:7" x14ac:dyDescent="0.2">
      <c r="A2136" s="2">
        <v>19980814</v>
      </c>
      <c r="B2136" s="13">
        <v>8425</v>
      </c>
      <c r="C2136" s="2">
        <f t="shared" si="167"/>
        <v>-4.0782552160293162E-3</v>
      </c>
      <c r="D2136" s="21">
        <f t="shared" ca="1" si="165"/>
        <v>-4.4622076311361834E-3</v>
      </c>
      <c r="E2136" s="21">
        <f t="shared" ca="1" si="168"/>
        <v>1.1285122058280378E-4</v>
      </c>
      <c r="F2136" s="11">
        <f t="shared" ca="1" si="169"/>
        <v>4.4565008833015929</v>
      </c>
      <c r="G2136" s="10">
        <f t="shared" ca="1" si="166"/>
        <v>1</v>
      </c>
    </row>
    <row r="2137" spans="1:7" x14ac:dyDescent="0.2">
      <c r="A2137" s="2">
        <v>19980817</v>
      </c>
      <c r="B2137" s="13">
        <v>8574.85</v>
      </c>
      <c r="C2137" s="2">
        <f t="shared" si="167"/>
        <v>1.7786350148367994E-2</v>
      </c>
      <c r="D2137" s="21">
        <f t="shared" ca="1" si="165"/>
        <v>1.7402397733261125E-2</v>
      </c>
      <c r="E2137" s="21">
        <f t="shared" ca="1" si="168"/>
        <v>1.0878321643902497E-4</v>
      </c>
      <c r="F2137" s="11">
        <f t="shared" ca="1" si="169"/>
        <v>3.171118242047398</v>
      </c>
      <c r="G2137" s="10">
        <f t="shared" ca="1" si="166"/>
        <v>0</v>
      </c>
    </row>
    <row r="2138" spans="1:7" x14ac:dyDescent="0.2">
      <c r="A2138" s="2">
        <v>19980818</v>
      </c>
      <c r="B2138" s="13">
        <v>8714.65</v>
      </c>
      <c r="C2138" s="2">
        <f t="shared" si="167"/>
        <v>1.630349218936766E-2</v>
      </c>
      <c r="D2138" s="21">
        <f t="shared" ca="1" si="165"/>
        <v>1.5919539774260791E-2</v>
      </c>
      <c r="E2138" s="21">
        <f t="shared" ca="1" si="168"/>
        <v>1.1532492312985459E-4</v>
      </c>
      <c r="F2138" s="11">
        <f t="shared" ca="1" si="169"/>
        <v>3.4351058309424864</v>
      </c>
      <c r="G2138" s="10">
        <f t="shared" ca="1" si="166"/>
        <v>0</v>
      </c>
    </row>
    <row r="2139" spans="1:7" x14ac:dyDescent="0.2">
      <c r="A2139" s="2">
        <v>19980819</v>
      </c>
      <c r="B2139" s="13">
        <v>8693.2800000000007</v>
      </c>
      <c r="C2139" s="2">
        <f t="shared" si="167"/>
        <v>-2.4521925722775996E-3</v>
      </c>
      <c r="D2139" s="21">
        <f t="shared" ca="1" si="165"/>
        <v>-2.8361449873844668E-3</v>
      </c>
      <c r="E2139" s="21">
        <f t="shared" ca="1" si="168"/>
        <v>1.1971872823217996E-4</v>
      </c>
      <c r="F2139" s="11">
        <f t="shared" ca="1" si="169"/>
        <v>4.481588513070295</v>
      </c>
      <c r="G2139" s="10">
        <f t="shared" ca="1" si="166"/>
        <v>1</v>
      </c>
    </row>
    <row r="2140" spans="1:7" x14ac:dyDescent="0.2">
      <c r="A2140" s="2">
        <v>19980820</v>
      </c>
      <c r="B2140" s="13">
        <v>8611.41</v>
      </c>
      <c r="C2140" s="2">
        <f t="shared" si="167"/>
        <v>-9.4176191264978004E-3</v>
      </c>
      <c r="D2140" s="21">
        <f t="shared" ca="1" si="165"/>
        <v>-9.8015715416046676E-3</v>
      </c>
      <c r="E2140" s="21">
        <f t="shared" ca="1" si="168"/>
        <v>1.148669030304165E-4</v>
      </c>
      <c r="F2140" s="11">
        <f t="shared" ca="1" si="169"/>
        <v>4.1176850910921283</v>
      </c>
      <c r="G2140" s="10">
        <f t="shared" ca="1" si="166"/>
        <v>1</v>
      </c>
    </row>
    <row r="2141" spans="1:7" x14ac:dyDescent="0.2">
      <c r="A2141" s="2">
        <v>19980821</v>
      </c>
      <c r="B2141" s="13">
        <v>8533.65</v>
      </c>
      <c r="C2141" s="2">
        <f t="shared" si="167"/>
        <v>-9.0298801241608766E-3</v>
      </c>
      <c r="D2141" s="21">
        <f t="shared" ca="1" si="165"/>
        <v>-9.4138325392677438E-3</v>
      </c>
      <c r="E2141" s="21">
        <f t="shared" ca="1" si="168"/>
        <v>1.1349744292567219E-4</v>
      </c>
      <c r="F2141" s="11">
        <f t="shared" ca="1" si="169"/>
        <v>4.1514587831191472</v>
      </c>
      <c r="G2141" s="10">
        <f t="shared" ca="1" si="166"/>
        <v>1</v>
      </c>
    </row>
    <row r="2142" spans="1:7" x14ac:dyDescent="0.2">
      <c r="A2142" s="2">
        <v>19980824</v>
      </c>
      <c r="B2142" s="13">
        <v>8566.61</v>
      </c>
      <c r="C2142" s="2">
        <f t="shared" si="167"/>
        <v>3.8623566703580468E-3</v>
      </c>
      <c r="D2142" s="21">
        <f t="shared" ca="1" si="165"/>
        <v>3.4784042552511796E-3</v>
      </c>
      <c r="E2142" s="21">
        <f t="shared" ca="1" si="168"/>
        <v>1.1192329409919052E-4</v>
      </c>
      <c r="F2142" s="11">
        <f t="shared" ca="1" si="169"/>
        <v>4.4947966640621022</v>
      </c>
      <c r="G2142" s="10">
        <f t="shared" ca="1" si="166"/>
        <v>1</v>
      </c>
    </row>
    <row r="2143" spans="1:7" x14ac:dyDescent="0.2">
      <c r="A2143" s="2">
        <v>19980825</v>
      </c>
      <c r="B2143" s="13">
        <v>8602.65</v>
      </c>
      <c r="C2143" s="2">
        <f t="shared" si="167"/>
        <v>4.2070317196649613E-3</v>
      </c>
      <c r="D2143" s="21">
        <f t="shared" ca="1" si="165"/>
        <v>3.8230793045580941E-3</v>
      </c>
      <c r="E2143" s="21">
        <f t="shared" ca="1" si="168"/>
        <v>1.0761497315293369E-4</v>
      </c>
      <c r="F2143" s="11">
        <f t="shared" ca="1" si="169"/>
        <v>4.5005669166773377</v>
      </c>
      <c r="G2143" s="10">
        <f t="shared" ca="1" si="166"/>
        <v>1</v>
      </c>
    </row>
    <row r="2144" spans="1:7" x14ac:dyDescent="0.2">
      <c r="A2144" s="2">
        <v>19980826</v>
      </c>
      <c r="B2144" s="13">
        <v>8523.35</v>
      </c>
      <c r="C2144" s="2">
        <f t="shared" si="167"/>
        <v>-9.2180897746623747E-3</v>
      </c>
      <c r="D2144" s="21">
        <f t="shared" ca="1" si="165"/>
        <v>-9.6020421897692419E-3</v>
      </c>
      <c r="E2144" s="21">
        <f t="shared" ca="1" si="168"/>
        <v>1.0361715279969897E-4</v>
      </c>
      <c r="F2144" s="11">
        <f t="shared" ca="1" si="169"/>
        <v>4.1425005961078973</v>
      </c>
      <c r="G2144" s="10">
        <f t="shared" ca="1" si="166"/>
        <v>1</v>
      </c>
    </row>
    <row r="2145" spans="1:7" x14ac:dyDescent="0.2">
      <c r="A2145" s="2">
        <v>19980827</v>
      </c>
      <c r="B2145" s="13">
        <v>8165.99</v>
      </c>
      <c r="C2145" s="2">
        <f t="shared" si="167"/>
        <v>-4.1927176520968931E-2</v>
      </c>
      <c r="D2145" s="21">
        <f t="shared" ca="1" si="165"/>
        <v>-4.2311128936075797E-2</v>
      </c>
      <c r="E2145" s="21">
        <f t="shared" ca="1" si="168"/>
        <v>1.0267445612166663E-4</v>
      </c>
      <c r="F2145" s="11">
        <f t="shared" ca="1" si="169"/>
        <v>-4.1260255010346061</v>
      </c>
      <c r="G2145" s="10">
        <f t="shared" ca="1" si="166"/>
        <v>0</v>
      </c>
    </row>
    <row r="2146" spans="1:7" x14ac:dyDescent="0.2">
      <c r="A2146" s="2">
        <v>19980828</v>
      </c>
      <c r="B2146" s="13">
        <v>8051.68</v>
      </c>
      <c r="C2146" s="2">
        <f t="shared" si="167"/>
        <v>-1.3998302716510735E-2</v>
      </c>
      <c r="D2146" s="21">
        <f t="shared" ca="1" si="165"/>
        <v>-1.4382255131617602E-2</v>
      </c>
      <c r="E2146" s="21">
        <f t="shared" ca="1" si="168"/>
        <v>1.6421906761977949E-4</v>
      </c>
      <c r="F2146" s="11">
        <f t="shared" ca="1" si="169"/>
        <v>3.7273578944357251</v>
      </c>
      <c r="G2146" s="10">
        <f t="shared" ca="1" si="166"/>
        <v>0</v>
      </c>
    </row>
    <row r="2147" spans="1:7" x14ac:dyDescent="0.2">
      <c r="A2147" s="2">
        <v>19980831</v>
      </c>
      <c r="B2147" s="13">
        <v>7539.07</v>
      </c>
      <c r="C2147" s="2">
        <f t="shared" si="167"/>
        <v>-6.3664974266240154E-2</v>
      </c>
      <c r="D2147" s="21">
        <f t="shared" ca="1" si="165"/>
        <v>-6.4048926681347026E-2</v>
      </c>
      <c r="E2147" s="21">
        <f t="shared" ca="1" si="168"/>
        <v>1.644263825830909E-4</v>
      </c>
      <c r="F2147" s="11">
        <f t="shared" ca="1" si="169"/>
        <v>-8.1179494046860405</v>
      </c>
      <c r="G2147" s="10">
        <f t="shared" ca="1" si="166"/>
        <v>0</v>
      </c>
    </row>
    <row r="2148" spans="1:7" x14ac:dyDescent="0.2">
      <c r="A2148" s="2">
        <v>19980901</v>
      </c>
      <c r="B2148" s="13">
        <v>7827.43</v>
      </c>
      <c r="C2148" s="2">
        <f t="shared" si="167"/>
        <v>3.8248749514197454E-2</v>
      </c>
      <c r="D2148" s="21">
        <f t="shared" ca="1" si="165"/>
        <v>3.7864797099090589E-2</v>
      </c>
      <c r="E2148" s="21">
        <f t="shared" ca="1" si="168"/>
        <v>3.0786444798707596E-4</v>
      </c>
      <c r="F2148" s="11">
        <f t="shared" ca="1" si="169"/>
        <v>1.7143960511158838</v>
      </c>
      <c r="G2148" s="10">
        <f t="shared" ca="1" si="166"/>
        <v>0</v>
      </c>
    </row>
    <row r="2149" spans="1:7" x14ac:dyDescent="0.2">
      <c r="A2149" s="2">
        <v>19980902</v>
      </c>
      <c r="B2149" s="13">
        <v>7782.37</v>
      </c>
      <c r="C2149" s="2">
        <f t="shared" si="167"/>
        <v>-5.7566787566289829E-3</v>
      </c>
      <c r="D2149" s="21">
        <f t="shared" ca="1" si="165"/>
        <v>-6.1406311717358501E-3</v>
      </c>
      <c r="E2149" s="21">
        <f t="shared" ca="1" si="168"/>
        <v>3.4591971562435381E-4</v>
      </c>
      <c r="F2149" s="11">
        <f t="shared" ca="1" si="169"/>
        <v>3.9301488842558414</v>
      </c>
      <c r="G2149" s="10">
        <f t="shared" ca="1" si="166"/>
        <v>1</v>
      </c>
    </row>
    <row r="2150" spans="1:7" x14ac:dyDescent="0.2">
      <c r="A2150" s="2">
        <v>19980903</v>
      </c>
      <c r="B2150" s="13">
        <v>7682.22</v>
      </c>
      <c r="C2150" s="2">
        <f t="shared" si="167"/>
        <v>-1.2868830446252187E-2</v>
      </c>
      <c r="D2150" s="21">
        <f t="shared" ca="1" si="165"/>
        <v>-1.3252782861359055E-2</v>
      </c>
      <c r="E2150" s="21">
        <f t="shared" ca="1" si="168"/>
        <v>3.3071509156258882E-4</v>
      </c>
      <c r="F2150" s="11">
        <f t="shared" ca="1" si="169"/>
        <v>3.7415865268084283</v>
      </c>
      <c r="G2150" s="10">
        <f t="shared" ca="1" si="166"/>
        <v>1</v>
      </c>
    </row>
    <row r="2151" spans="1:7" x14ac:dyDescent="0.2">
      <c r="A2151" s="2">
        <v>19980904</v>
      </c>
      <c r="B2151" s="13">
        <v>7640.25</v>
      </c>
      <c r="C2151" s="2">
        <f t="shared" si="167"/>
        <v>-5.4632645250982468E-3</v>
      </c>
      <c r="D2151" s="21">
        <f t="shared" ca="1" si="165"/>
        <v>-5.847216940205114E-3</v>
      </c>
      <c r="E2151" s="21">
        <f t="shared" ca="1" si="168"/>
        <v>3.21351561009427E-4</v>
      </c>
      <c r="F2151" s="11">
        <f t="shared" ca="1" si="169"/>
        <v>3.9682903085020094</v>
      </c>
      <c r="G2151" s="10">
        <f t="shared" ca="1" si="166"/>
        <v>1</v>
      </c>
    </row>
    <row r="2152" spans="1:7" x14ac:dyDescent="0.2">
      <c r="A2152" s="2">
        <v>19980908</v>
      </c>
      <c r="B2152" s="13">
        <v>8020.78</v>
      </c>
      <c r="C2152" s="2">
        <f t="shared" si="167"/>
        <v>4.9805961846798176E-2</v>
      </c>
      <c r="D2152" s="21">
        <f t="shared" ca="1" si="165"/>
        <v>4.9422009431691311E-2</v>
      </c>
      <c r="E2152" s="21">
        <f t="shared" ca="1" si="168"/>
        <v>3.0726050684676303E-4</v>
      </c>
      <c r="F2152" s="11">
        <f t="shared" ca="1" si="169"/>
        <v>6.9210003030338196E-2</v>
      </c>
      <c r="G2152" s="10">
        <f t="shared" ca="1" si="166"/>
        <v>0</v>
      </c>
    </row>
    <row r="2153" spans="1:7" x14ac:dyDescent="0.2">
      <c r="A2153" s="2">
        <v>19980909</v>
      </c>
      <c r="B2153" s="13">
        <v>7865.02</v>
      </c>
      <c r="C2153" s="2">
        <f t="shared" si="167"/>
        <v>-1.9419557698877082E-2</v>
      </c>
      <c r="D2153" s="21">
        <f t="shared" ca="1" si="165"/>
        <v>-1.9803510113983951E-2</v>
      </c>
      <c r="E2153" s="21">
        <f t="shared" ca="1" si="168"/>
        <v>3.8244137707337867E-4</v>
      </c>
      <c r="F2153" s="11">
        <f t="shared" ca="1" si="169"/>
        <v>3.4217367026945391</v>
      </c>
      <c r="G2153" s="10">
        <f t="shared" ca="1" si="166"/>
        <v>0</v>
      </c>
    </row>
    <row r="2154" spans="1:7" x14ac:dyDescent="0.2">
      <c r="A2154" s="2">
        <v>19980910</v>
      </c>
      <c r="B2154" s="13">
        <v>7615.54</v>
      </c>
      <c r="C2154" s="2">
        <f t="shared" si="167"/>
        <v>-3.1720199058616567E-2</v>
      </c>
      <c r="D2154" s="21">
        <f t="shared" ca="1" si="165"/>
        <v>-3.2104151473723433E-2</v>
      </c>
      <c r="E2154" s="21">
        <f t="shared" ca="1" si="168"/>
        <v>3.7842365205660534E-4</v>
      </c>
      <c r="F2154" s="11">
        <f t="shared" ca="1" si="169"/>
        <v>2.5779456205595594</v>
      </c>
      <c r="G2154" s="10">
        <f t="shared" ca="1" si="166"/>
        <v>0</v>
      </c>
    </row>
    <row r="2155" spans="1:7" x14ac:dyDescent="0.2">
      <c r="A2155" s="2">
        <v>19980911</v>
      </c>
      <c r="B2155" s="13">
        <v>7795.5</v>
      </c>
      <c r="C2155" s="2">
        <f t="shared" si="167"/>
        <v>2.3630628950803232E-2</v>
      </c>
      <c r="D2155" s="21">
        <f t="shared" ca="1" si="165"/>
        <v>2.3246676535696363E-2</v>
      </c>
      <c r="E2155" s="21">
        <f t="shared" ca="1" si="168"/>
        <v>3.9808785405986952E-4</v>
      </c>
      <c r="F2155" s="11">
        <f t="shared" ca="1" si="169"/>
        <v>3.2356642617474769</v>
      </c>
      <c r="G2155" s="10">
        <f t="shared" ca="1" si="166"/>
        <v>0</v>
      </c>
    </row>
    <row r="2156" spans="1:7" x14ac:dyDescent="0.2">
      <c r="A2156" s="2">
        <v>19980914</v>
      </c>
      <c r="B2156" s="13">
        <v>7945.35</v>
      </c>
      <c r="C2156" s="2">
        <f t="shared" si="167"/>
        <v>1.9222628439484364E-2</v>
      </c>
      <c r="D2156" s="21">
        <f t="shared" ca="1" si="165"/>
        <v>1.8838676024377495E-2</v>
      </c>
      <c r="E2156" s="21">
        <f t="shared" ca="1" si="168"/>
        <v>3.9872920618858396E-4</v>
      </c>
      <c r="F2156" s="11">
        <f t="shared" ca="1" si="169"/>
        <v>3.4685805188498438</v>
      </c>
      <c r="G2156" s="10">
        <f t="shared" ca="1" si="166"/>
        <v>1</v>
      </c>
    </row>
    <row r="2157" spans="1:7" x14ac:dyDescent="0.2">
      <c r="A2157" s="2">
        <v>19980915</v>
      </c>
      <c r="B2157" s="13">
        <v>8024.39</v>
      </c>
      <c r="C2157" s="2">
        <f t="shared" si="167"/>
        <v>9.9479569811273209E-3</v>
      </c>
      <c r="D2157" s="21">
        <f t="shared" ca="1" si="165"/>
        <v>9.5640045660204537E-3</v>
      </c>
      <c r="E2157" s="21">
        <f t="shared" ca="1" si="168"/>
        <v>3.9251650255025063E-4</v>
      </c>
      <c r="F2157" s="11">
        <f t="shared" ca="1" si="169"/>
        <v>3.8049483608598371</v>
      </c>
      <c r="G2157" s="10">
        <f t="shared" ca="1" si="166"/>
        <v>1</v>
      </c>
    </row>
    <row r="2158" spans="1:7" x14ac:dyDescent="0.2">
      <c r="A2158" s="2">
        <v>19980916</v>
      </c>
      <c r="B2158" s="13">
        <v>8089.78</v>
      </c>
      <c r="C2158" s="2">
        <f t="shared" si="167"/>
        <v>8.1489060227630285E-3</v>
      </c>
      <c r="D2158" s="21">
        <f t="shared" ca="1" si="165"/>
        <v>7.7649536076561613E-3</v>
      </c>
      <c r="E2158" s="21">
        <f t="shared" ca="1" si="168"/>
        <v>3.769314849058949E-4</v>
      </c>
      <c r="F2158" s="11">
        <f t="shared" ca="1" si="169"/>
        <v>3.8617428404548426</v>
      </c>
      <c r="G2158" s="10">
        <f t="shared" ca="1" si="166"/>
        <v>1</v>
      </c>
    </row>
    <row r="2159" spans="1:7" x14ac:dyDescent="0.2">
      <c r="A2159" s="2">
        <v>19980917</v>
      </c>
      <c r="B2159" s="13">
        <v>7873.77</v>
      </c>
      <c r="C2159" s="2">
        <f t="shared" si="167"/>
        <v>-2.6701591390618697E-2</v>
      </c>
      <c r="D2159" s="21">
        <f t="shared" ca="1" si="165"/>
        <v>-2.7085543805725566E-2</v>
      </c>
      <c r="E2159" s="21">
        <f t="shared" ca="1" si="168"/>
        <v>3.6098853429171788E-4</v>
      </c>
      <c r="F2159" s="11">
        <f t="shared" ca="1" si="169"/>
        <v>2.947196467692665</v>
      </c>
      <c r="G2159" s="10">
        <f t="shared" ca="1" si="166"/>
        <v>0</v>
      </c>
    </row>
    <row r="2160" spans="1:7" x14ac:dyDescent="0.2">
      <c r="A2160" s="2">
        <v>19980918</v>
      </c>
      <c r="B2160" s="13">
        <v>7895.66</v>
      </c>
      <c r="C2160" s="2">
        <f t="shared" si="167"/>
        <v>2.7801167674442379E-3</v>
      </c>
      <c r="D2160" s="21">
        <f t="shared" ca="1" si="165"/>
        <v>2.3961643523373708E-3</v>
      </c>
      <c r="E2160" s="21">
        <f t="shared" ca="1" si="168"/>
        <v>3.7061174267986576E-4</v>
      </c>
      <c r="F2160" s="11">
        <f t="shared" ca="1" si="169"/>
        <v>3.9424316628323997</v>
      </c>
      <c r="G2160" s="10">
        <f t="shared" ca="1" si="166"/>
        <v>1</v>
      </c>
    </row>
    <row r="2161" spans="1:7" x14ac:dyDescent="0.2">
      <c r="A2161" s="2">
        <v>19980921</v>
      </c>
      <c r="B2161" s="13">
        <v>7933.25</v>
      </c>
      <c r="C2161" s="2">
        <f t="shared" si="167"/>
        <v>4.7608432987236212E-3</v>
      </c>
      <c r="D2161" s="21">
        <f t="shared" ca="1" si="165"/>
        <v>4.376890883616754E-3</v>
      </c>
      <c r="E2161" s="21">
        <f t="shared" ca="1" si="168"/>
        <v>3.5298250448680092E-4</v>
      </c>
      <c r="F2161" s="11">
        <f t="shared" ca="1" si="169"/>
        <v>3.9474098802858477</v>
      </c>
      <c r="G2161" s="10">
        <f t="shared" ca="1" si="166"/>
        <v>1</v>
      </c>
    </row>
    <row r="2162" spans="1:7" x14ac:dyDescent="0.2">
      <c r="A2162" s="2">
        <v>19980922</v>
      </c>
      <c r="B2162" s="13">
        <v>7897.2</v>
      </c>
      <c r="C2162" s="2">
        <f t="shared" si="167"/>
        <v>-4.5441653798884672E-3</v>
      </c>
      <c r="D2162" s="21">
        <f t="shared" ca="1" si="165"/>
        <v>-4.9281177949953344E-3</v>
      </c>
      <c r="E2162" s="21">
        <f t="shared" ca="1" si="168"/>
        <v>3.3673844919920772E-4</v>
      </c>
      <c r="F2162" s="11">
        <f t="shared" ca="1" si="169"/>
        <v>3.9620408816226456</v>
      </c>
      <c r="G2162" s="10">
        <f t="shared" ca="1" si="166"/>
        <v>1</v>
      </c>
    </row>
    <row r="2163" spans="1:7" x14ac:dyDescent="0.2">
      <c r="A2163" s="2">
        <v>19980923</v>
      </c>
      <c r="B2163" s="13">
        <v>8154.41</v>
      </c>
      <c r="C2163" s="2">
        <f t="shared" si="167"/>
        <v>3.2569771564605179E-2</v>
      </c>
      <c r="D2163" s="21">
        <f t="shared" ca="1" si="165"/>
        <v>3.2185819149498314E-2</v>
      </c>
      <c r="E2163" s="21">
        <f t="shared" ca="1" si="168"/>
        <v>3.2150479459778846E-4</v>
      </c>
      <c r="F2163" s="11">
        <f t="shared" ca="1" si="169"/>
        <v>2.4101891663689083</v>
      </c>
      <c r="G2163" s="10">
        <f t="shared" ca="1" si="166"/>
        <v>0</v>
      </c>
    </row>
    <row r="2164" spans="1:7" x14ac:dyDescent="0.2">
      <c r="A2164" s="2">
        <v>19980924</v>
      </c>
      <c r="B2164" s="13">
        <v>8001.99</v>
      </c>
      <c r="C2164" s="2">
        <f t="shared" si="167"/>
        <v>-1.8691726317415985E-2</v>
      </c>
      <c r="D2164" s="21">
        <f t="shared" ca="1" si="165"/>
        <v>-1.9075678732522854E-2</v>
      </c>
      <c r="E2164" s="21">
        <f t="shared" ca="1" si="168"/>
        <v>3.4424160717546682E-4</v>
      </c>
      <c r="F2164" s="11">
        <f t="shared" ca="1" si="169"/>
        <v>3.4585570520987643</v>
      </c>
      <c r="G2164" s="10">
        <f t="shared" ca="1" si="166"/>
        <v>0</v>
      </c>
    </row>
    <row r="2165" spans="1:7" x14ac:dyDescent="0.2">
      <c r="A2165" s="2">
        <v>19980925</v>
      </c>
      <c r="B2165" s="13">
        <v>8028.77</v>
      </c>
      <c r="C2165" s="2">
        <f t="shared" si="167"/>
        <v>3.3466675164553635E-3</v>
      </c>
      <c r="D2165" s="21">
        <f t="shared" ca="1" si="165"/>
        <v>2.9627151013484963E-3</v>
      </c>
      <c r="E2165" s="21">
        <f t="shared" ca="1" si="168"/>
        <v>3.4111587284250565E-4</v>
      </c>
      <c r="F2165" s="11">
        <f t="shared" ca="1" si="169"/>
        <v>3.9787780399559671</v>
      </c>
      <c r="G2165" s="10">
        <f t="shared" ca="1" si="166"/>
        <v>1</v>
      </c>
    </row>
    <row r="2166" spans="1:7" x14ac:dyDescent="0.2">
      <c r="A2166" s="2">
        <v>19980928</v>
      </c>
      <c r="B2166" s="13">
        <v>8108.84</v>
      </c>
      <c r="C2166" s="2">
        <f t="shared" si="167"/>
        <v>9.972885012274571E-3</v>
      </c>
      <c r="D2166" s="21">
        <f t="shared" ca="1" si="165"/>
        <v>9.5889325971677038E-3</v>
      </c>
      <c r="E2166" s="21">
        <f t="shared" ca="1" si="168"/>
        <v>3.2509048227506303E-4</v>
      </c>
      <c r="F2166" s="11">
        <f t="shared" ca="1" si="169"/>
        <v>3.8742849858226367</v>
      </c>
      <c r="G2166" s="10">
        <f t="shared" ca="1" si="166"/>
        <v>1</v>
      </c>
    </row>
    <row r="2167" spans="1:7" x14ac:dyDescent="0.2">
      <c r="A2167" s="2">
        <v>19980929</v>
      </c>
      <c r="B2167" s="13">
        <v>8080.52</v>
      </c>
      <c r="C2167" s="2">
        <f t="shared" si="167"/>
        <v>-3.492484745043645E-3</v>
      </c>
      <c r="D2167" s="21">
        <f t="shared" ca="1" si="165"/>
        <v>-3.8764371601505121E-3</v>
      </c>
      <c r="E2167" s="21">
        <f t="shared" ca="1" si="168"/>
        <v>3.1293412568422177E-4</v>
      </c>
      <c r="F2167" s="11">
        <f t="shared" ca="1" si="169"/>
        <v>4.0107494552413208</v>
      </c>
      <c r="G2167" s="10">
        <f t="shared" ca="1" si="166"/>
        <v>1</v>
      </c>
    </row>
    <row r="2168" spans="1:7" x14ac:dyDescent="0.2">
      <c r="A2168" s="2">
        <v>19980930</v>
      </c>
      <c r="B2168" s="13">
        <v>7842.62</v>
      </c>
      <c r="C2168" s="2">
        <f t="shared" si="167"/>
        <v>-2.9441174577873767E-2</v>
      </c>
      <c r="D2168" s="21">
        <f t="shared" ca="1" si="165"/>
        <v>-2.9825126992980636E-2</v>
      </c>
      <c r="E2168" s="21">
        <f t="shared" ca="1" si="168"/>
        <v>2.985642487251083E-4</v>
      </c>
      <c r="F2168" s="11">
        <f t="shared" ca="1" si="169"/>
        <v>2.5685696087221528</v>
      </c>
      <c r="G2168" s="10">
        <f t="shared" ca="1" si="166"/>
        <v>0</v>
      </c>
    </row>
    <row r="2169" spans="1:7" x14ac:dyDescent="0.2">
      <c r="A2169" s="2">
        <v>19981001</v>
      </c>
      <c r="B2169" s="13">
        <v>7632.53</v>
      </c>
      <c r="C2169" s="2">
        <f t="shared" si="167"/>
        <v>-2.6788241684539114E-2</v>
      </c>
      <c r="D2169" s="21">
        <f t="shared" ca="1" si="165"/>
        <v>-2.7172194099645983E-2</v>
      </c>
      <c r="E2169" s="21">
        <f t="shared" ca="1" si="168"/>
        <v>3.1707866097925358E-4</v>
      </c>
      <c r="F2169" s="11">
        <f t="shared" ca="1" si="169"/>
        <v>2.8639138262350676</v>
      </c>
      <c r="G2169" s="10">
        <f t="shared" ca="1" si="166"/>
        <v>0</v>
      </c>
    </row>
    <row r="2170" spans="1:7" x14ac:dyDescent="0.2">
      <c r="A2170" s="2">
        <v>19981002</v>
      </c>
      <c r="B2170" s="13">
        <v>7784.69</v>
      </c>
      <c r="C2170" s="2">
        <f t="shared" si="167"/>
        <v>1.9935722493065845E-2</v>
      </c>
      <c r="D2170" s="21">
        <f t="shared" ca="1" si="165"/>
        <v>1.9551770077958976E-2</v>
      </c>
      <c r="E2170" s="21">
        <f t="shared" ca="1" si="168"/>
        <v>3.290961648025951E-4</v>
      </c>
      <c r="F2170" s="11">
        <f t="shared" ca="1" si="169"/>
        <v>3.4287899890621287</v>
      </c>
      <c r="G2170" s="10">
        <f t="shared" ca="1" si="166"/>
        <v>0</v>
      </c>
    </row>
    <row r="2171" spans="1:7" x14ac:dyDescent="0.2">
      <c r="A2171" s="2">
        <v>19981005</v>
      </c>
      <c r="B2171" s="13">
        <v>7726.24</v>
      </c>
      <c r="C2171" s="2">
        <f t="shared" si="167"/>
        <v>-7.5083272423179109E-3</v>
      </c>
      <c r="D2171" s="21">
        <f t="shared" ca="1" si="165"/>
        <v>-7.8922796574247781E-3</v>
      </c>
      <c r="E2171" s="21">
        <f t="shared" ca="1" si="168"/>
        <v>3.274128829324109E-4</v>
      </c>
      <c r="F2171" s="11">
        <f t="shared" ca="1" si="169"/>
        <v>3.917022666764808</v>
      </c>
      <c r="G2171" s="10">
        <f t="shared" ca="1" si="166"/>
        <v>1</v>
      </c>
    </row>
    <row r="2172" spans="1:7" x14ac:dyDescent="0.2">
      <c r="A2172" s="2">
        <v>19981006</v>
      </c>
      <c r="B2172" s="13">
        <v>7742.98</v>
      </c>
      <c r="C2172" s="2">
        <f t="shared" si="167"/>
        <v>2.166642506574968E-3</v>
      </c>
      <c r="D2172" s="21">
        <f t="shared" ca="1" si="165"/>
        <v>1.7826900914681009E-3</v>
      </c>
      <c r="E2172" s="21">
        <f t="shared" ca="1" si="168"/>
        <v>3.1404840188120273E-4</v>
      </c>
      <c r="F2172" s="11">
        <f t="shared" ca="1" si="169"/>
        <v>4.0279220148258901</v>
      </c>
      <c r="G2172" s="10">
        <f t="shared" ca="1" si="166"/>
        <v>1</v>
      </c>
    </row>
    <row r="2173" spans="1:7" x14ac:dyDescent="0.2">
      <c r="A2173" s="2">
        <v>19981007</v>
      </c>
      <c r="B2173" s="13">
        <v>7741.69</v>
      </c>
      <c r="C2173" s="2">
        <f t="shared" si="167"/>
        <v>-1.6660252254299554E-4</v>
      </c>
      <c r="D2173" s="21">
        <f t="shared" ca="1" si="165"/>
        <v>-5.5055493764986289E-4</v>
      </c>
      <c r="E2173" s="21">
        <f t="shared" ca="1" si="168"/>
        <v>2.9918645295302297E-4</v>
      </c>
      <c r="F2173" s="11">
        <f t="shared" ca="1" si="169"/>
        <v>4.0567152369640063</v>
      </c>
      <c r="G2173" s="10">
        <f t="shared" ca="1" si="166"/>
        <v>1</v>
      </c>
    </row>
    <row r="2174" spans="1:7" x14ac:dyDescent="0.2">
      <c r="A2174" s="2">
        <v>19981008</v>
      </c>
      <c r="B2174" s="13">
        <v>7731.91</v>
      </c>
      <c r="C2174" s="2">
        <f t="shared" si="167"/>
        <v>-1.2632900568221857E-3</v>
      </c>
      <c r="D2174" s="21">
        <f t="shared" ca="1" si="165"/>
        <v>-1.6472424719290528E-3</v>
      </c>
      <c r="E2174" s="21">
        <f t="shared" ca="1" si="168"/>
        <v>2.8497066080656073E-4</v>
      </c>
      <c r="F2174" s="11">
        <f t="shared" ca="1" si="169"/>
        <v>4.0768013091690447</v>
      </c>
      <c r="G2174" s="10">
        <f t="shared" ca="1" si="166"/>
        <v>1</v>
      </c>
    </row>
    <row r="2175" spans="1:7" x14ac:dyDescent="0.2">
      <c r="A2175" s="2">
        <v>19981009</v>
      </c>
      <c r="B2175" s="13">
        <v>7899.52</v>
      </c>
      <c r="C2175" s="2">
        <f t="shared" si="167"/>
        <v>2.1677696714007353E-2</v>
      </c>
      <c r="D2175" s="21">
        <f t="shared" ca="1" si="165"/>
        <v>2.1293744298900484E-2</v>
      </c>
      <c r="E2175" s="21">
        <f t="shared" ca="1" si="168"/>
        <v>2.7156268109553E-4</v>
      </c>
      <c r="F2175" s="11">
        <f t="shared" ca="1" si="169"/>
        <v>3.2708173721331488</v>
      </c>
      <c r="G2175" s="10">
        <f t="shared" ca="1" si="166"/>
        <v>0</v>
      </c>
    </row>
    <row r="2176" spans="1:7" x14ac:dyDescent="0.2">
      <c r="A2176" s="2">
        <v>19981012</v>
      </c>
      <c r="B2176" s="13">
        <v>8001.47</v>
      </c>
      <c r="C2176" s="2">
        <f t="shared" si="167"/>
        <v>1.2905847443895302E-2</v>
      </c>
      <c r="D2176" s="21">
        <f t="shared" ca="1" si="165"/>
        <v>1.2521895028788435E-2</v>
      </c>
      <c r="E2176" s="21">
        <f t="shared" ca="1" si="168"/>
        <v>2.7540641424681351E-4</v>
      </c>
      <c r="F2176" s="11">
        <f t="shared" ca="1" si="169"/>
        <v>3.8139650311431788</v>
      </c>
      <c r="G2176" s="10">
        <f t="shared" ca="1" si="166"/>
        <v>1</v>
      </c>
    </row>
    <row r="2177" spans="1:7" x14ac:dyDescent="0.2">
      <c r="A2177" s="2">
        <v>19981013</v>
      </c>
      <c r="B2177" s="13">
        <v>7938.14</v>
      </c>
      <c r="C2177" s="2">
        <f t="shared" si="167"/>
        <v>-7.9147956562981465E-3</v>
      </c>
      <c r="D2177" s="21">
        <f t="shared" ca="1" si="165"/>
        <v>-8.2987480714050137E-3</v>
      </c>
      <c r="E2177" s="21">
        <f t="shared" ca="1" si="168"/>
        <v>2.6814824708618567E-4</v>
      </c>
      <c r="F2177" s="11">
        <f t="shared" ca="1" si="169"/>
        <v>3.9835689697665138</v>
      </c>
      <c r="G2177" s="10">
        <f t="shared" ca="1" si="166"/>
        <v>1</v>
      </c>
    </row>
    <row r="2178" spans="1:7" x14ac:dyDescent="0.2">
      <c r="A2178" s="2">
        <v>19981014</v>
      </c>
      <c r="B2178" s="13">
        <v>7968.78</v>
      </c>
      <c r="C2178" s="2">
        <f t="shared" si="167"/>
        <v>3.8598462612147704E-3</v>
      </c>
      <c r="D2178" s="21">
        <f t="shared" ca="1" si="165"/>
        <v>3.4758938461079032E-3</v>
      </c>
      <c r="E2178" s="21">
        <f t="shared" ca="1" si="168"/>
        <v>2.5802398353501636E-4</v>
      </c>
      <c r="F2178" s="11">
        <f t="shared" ca="1" si="169"/>
        <v>4.1078167705653801</v>
      </c>
      <c r="G2178" s="10">
        <f t="shared" ca="1" si="166"/>
        <v>1</v>
      </c>
    </row>
    <row r="2179" spans="1:7" x14ac:dyDescent="0.2">
      <c r="A2179" s="2">
        <v>19981015</v>
      </c>
      <c r="B2179" s="13">
        <v>8299.36</v>
      </c>
      <c r="C2179" s="2">
        <f t="shared" si="167"/>
        <v>4.1484392843070185E-2</v>
      </c>
      <c r="D2179" s="21">
        <f t="shared" ca="1" si="165"/>
        <v>4.110044042796332E-2</v>
      </c>
      <c r="E2179" s="21">
        <f t="shared" ca="1" si="168"/>
        <v>2.4632373863840907E-4</v>
      </c>
      <c r="F2179" s="11">
        <f t="shared" ca="1" si="169"/>
        <v>0.72551718420999123</v>
      </c>
      <c r="G2179" s="10">
        <f t="shared" ca="1" si="166"/>
        <v>0</v>
      </c>
    </row>
    <row r="2180" spans="1:7" x14ac:dyDescent="0.2">
      <c r="A2180" s="2">
        <v>19981016</v>
      </c>
      <c r="B2180" s="13">
        <v>8416.76</v>
      </c>
      <c r="C2180" s="2">
        <f t="shared" si="167"/>
        <v>1.4145669063638597E-2</v>
      </c>
      <c r="D2180" s="21">
        <f t="shared" ca="1" si="165"/>
        <v>1.376171664853173E-2</v>
      </c>
      <c r="E2180" s="21">
        <f t="shared" ca="1" si="168"/>
        <v>2.9688767510517106E-4</v>
      </c>
      <c r="F2180" s="11">
        <f t="shared" ca="1" si="169"/>
        <v>3.7421280124448368</v>
      </c>
      <c r="G2180" s="10">
        <f t="shared" ca="1" si="166"/>
        <v>1</v>
      </c>
    </row>
    <row r="2181" spans="1:7" x14ac:dyDescent="0.2">
      <c r="A2181" s="2">
        <v>19981019</v>
      </c>
      <c r="B2181" s="13">
        <v>8466.4500000000007</v>
      </c>
      <c r="C2181" s="2">
        <f t="shared" si="167"/>
        <v>5.9036969094996778E-3</v>
      </c>
      <c r="D2181" s="21">
        <f t="shared" ca="1" si="165"/>
        <v>5.5197444943928106E-3</v>
      </c>
      <c r="E2181" s="21">
        <f t="shared" ca="1" si="168"/>
        <v>2.8974104440551609E-4</v>
      </c>
      <c r="F2181" s="11">
        <f t="shared" ca="1" si="169"/>
        <v>4.0206842341246718</v>
      </c>
      <c r="G2181" s="10">
        <f t="shared" ca="1" si="166"/>
        <v>1</v>
      </c>
    </row>
    <row r="2182" spans="1:7" x14ac:dyDescent="0.2">
      <c r="A2182" s="2">
        <v>19981020</v>
      </c>
      <c r="B2182" s="13">
        <v>8505.85</v>
      </c>
      <c r="C2182" s="2">
        <f t="shared" si="167"/>
        <v>4.6536623968723174E-3</v>
      </c>
      <c r="D2182" s="21">
        <f t="shared" ca="1" si="165"/>
        <v>4.2697099817654502E-3</v>
      </c>
      <c r="E2182" s="21">
        <f t="shared" ca="1" si="168"/>
        <v>2.7711229876445278E-4</v>
      </c>
      <c r="F2182" s="11">
        <f t="shared" ca="1" si="169"/>
        <v>4.0626502957046959</v>
      </c>
      <c r="G2182" s="10">
        <f t="shared" ca="1" si="166"/>
        <v>1</v>
      </c>
    </row>
    <row r="2183" spans="1:7" x14ac:dyDescent="0.2">
      <c r="A2183" s="2">
        <v>19981021</v>
      </c>
      <c r="B2183" s="13">
        <v>8519.23</v>
      </c>
      <c r="C2183" s="2">
        <f t="shared" si="167"/>
        <v>1.573035028833003E-3</v>
      </c>
      <c r="D2183" s="21">
        <f t="shared" ca="1" si="165"/>
        <v>1.1890826137261356E-3</v>
      </c>
      <c r="E2183" s="21">
        <f t="shared" ca="1" si="168"/>
        <v>2.6467246393245048E-4</v>
      </c>
      <c r="F2183" s="11">
        <f t="shared" ca="1" si="169"/>
        <v>4.1158376705992659</v>
      </c>
      <c r="G2183" s="10">
        <f t="shared" ca="1" si="166"/>
        <v>1</v>
      </c>
    </row>
    <row r="2184" spans="1:7" x14ac:dyDescent="0.2">
      <c r="A2184" s="2">
        <v>19981022</v>
      </c>
      <c r="B2184" s="13">
        <v>8533.14</v>
      </c>
      <c r="C2184" s="2">
        <f t="shared" si="167"/>
        <v>1.6327766711310594E-3</v>
      </c>
      <c r="D2184" s="21">
        <f t="shared" ca="1" si="165"/>
        <v>1.2488242560241922E-3</v>
      </c>
      <c r="E2184" s="21">
        <f t="shared" ca="1" si="168"/>
        <v>2.5224359215748459E-4</v>
      </c>
      <c r="F2184" s="11">
        <f t="shared" ca="1" si="169"/>
        <v>4.1394662700457685</v>
      </c>
      <c r="G2184" s="10">
        <f t="shared" ca="1" si="166"/>
        <v>1</v>
      </c>
    </row>
    <row r="2185" spans="1:7" x14ac:dyDescent="0.2">
      <c r="A2185" s="2">
        <v>19981023</v>
      </c>
      <c r="B2185" s="13">
        <v>8452.2900000000009</v>
      </c>
      <c r="C2185" s="2">
        <f t="shared" si="167"/>
        <v>-9.4748240389819632E-3</v>
      </c>
      <c r="D2185" s="21">
        <f t="shared" ca="1" si="165"/>
        <v>-9.8587764540888304E-3</v>
      </c>
      <c r="E2185" s="21">
        <f t="shared" ca="1" si="168"/>
        <v>2.4044885670277744E-4</v>
      </c>
      <c r="F2185" s="11">
        <f t="shared" ca="1" si="169"/>
        <v>3.9643890016887413</v>
      </c>
      <c r="G2185" s="10">
        <f t="shared" ca="1" si="166"/>
        <v>1</v>
      </c>
    </row>
    <row r="2186" spans="1:7" x14ac:dyDescent="0.2">
      <c r="A2186" s="2">
        <v>19981026</v>
      </c>
      <c r="B2186" s="13">
        <v>8432.2099999999991</v>
      </c>
      <c r="C2186" s="2">
        <f t="shared" si="167"/>
        <v>-2.3756875355674906E-3</v>
      </c>
      <c r="D2186" s="21">
        <f t="shared" ca="1" si="165"/>
        <v>-2.7596399506743577E-3</v>
      </c>
      <c r="E2186" s="21">
        <f t="shared" ca="1" si="168"/>
        <v>2.3276752023606898E-4</v>
      </c>
      <c r="F2186" s="11">
        <f t="shared" ca="1" si="169"/>
        <v>4.1663763461181356</v>
      </c>
      <c r="G2186" s="10">
        <f t="shared" ca="1" si="166"/>
        <v>1</v>
      </c>
    </row>
    <row r="2187" spans="1:7" x14ac:dyDescent="0.2">
      <c r="A2187" s="2">
        <v>19981027</v>
      </c>
      <c r="B2187" s="13">
        <v>8366.0400000000009</v>
      </c>
      <c r="C2187" s="2">
        <f t="shared" si="167"/>
        <v>-7.8472903307671722E-3</v>
      </c>
      <c r="D2187" s="21">
        <f t="shared" ca="1" si="165"/>
        <v>-8.2312427458740393E-3</v>
      </c>
      <c r="E2187" s="21">
        <f t="shared" ca="1" si="168"/>
        <v>2.2218077722863669E-4</v>
      </c>
      <c r="F2187" s="11">
        <f t="shared" ca="1" si="169"/>
        <v>4.0535361075605492</v>
      </c>
      <c r="G2187" s="10">
        <f t="shared" ca="1" si="166"/>
        <v>1</v>
      </c>
    </row>
    <row r="2188" spans="1:7" x14ac:dyDescent="0.2">
      <c r="A2188" s="2">
        <v>19981028</v>
      </c>
      <c r="B2188" s="13">
        <v>8371.9699999999993</v>
      </c>
      <c r="C2188" s="2">
        <f t="shared" si="167"/>
        <v>7.0881803099178005E-4</v>
      </c>
      <c r="D2188" s="21">
        <f t="shared" ca="1" si="165"/>
        <v>3.2486561588491276E-4</v>
      </c>
      <c r="E2188" s="21">
        <f t="shared" ca="1" si="168"/>
        <v>2.1434099090380081E-4</v>
      </c>
      <c r="F2188" s="11">
        <f t="shared" ca="1" si="169"/>
        <v>4.2237250067690502</v>
      </c>
      <c r="G2188" s="10">
        <f t="shared" ca="1" si="166"/>
        <v>1</v>
      </c>
    </row>
    <row r="2189" spans="1:7" x14ac:dyDescent="0.2">
      <c r="A2189" s="2">
        <v>19981029</v>
      </c>
      <c r="B2189" s="13">
        <v>8495.0300000000007</v>
      </c>
      <c r="C2189" s="2">
        <f t="shared" si="167"/>
        <v>1.4699049327697222E-2</v>
      </c>
      <c r="D2189" s="21">
        <f t="shared" ca="1" si="165"/>
        <v>1.4315096912590355E-2</v>
      </c>
      <c r="E2189" s="21">
        <f t="shared" ca="1" si="168"/>
        <v>2.0441029351219708E-4</v>
      </c>
      <c r="F2189" s="11">
        <f t="shared" ca="1" si="169"/>
        <v>3.7464390063984978</v>
      </c>
      <c r="G2189" s="10">
        <f t="shared" ca="1" si="166"/>
        <v>0</v>
      </c>
    </row>
    <row r="2190" spans="1:7" x14ac:dyDescent="0.2">
      <c r="A2190" s="2">
        <v>19981030</v>
      </c>
      <c r="B2190" s="13">
        <v>8592.1</v>
      </c>
      <c r="C2190" s="2">
        <f t="shared" si="167"/>
        <v>1.1426681247741292E-2</v>
      </c>
      <c r="D2190" s="21">
        <f t="shared" ref="D2190:D2253" ca="1" si="170">(C2190-mu)</f>
        <v>1.1042728832634425E-2</v>
      </c>
      <c r="E2190" s="21">
        <f t="shared" ca="1" si="168"/>
        <v>2.0251345229648505E-4</v>
      </c>
      <c r="F2190" s="11">
        <f t="shared" ca="1" si="169"/>
        <v>3.9512811092205911</v>
      </c>
      <c r="G2190" s="10">
        <f t="shared" ref="G2190:G2253" ca="1" si="171">IF(AND(C2190&lt;=mu+zvalue*SQRT(E2190),C2190&gt;=mu-zvalue*SQRT(E2190)),1,0)</f>
        <v>1</v>
      </c>
    </row>
    <row r="2191" spans="1:7" x14ac:dyDescent="0.2">
      <c r="A2191" s="2">
        <v>19981102</v>
      </c>
      <c r="B2191" s="13">
        <v>8706.15</v>
      </c>
      <c r="C2191" s="2">
        <f t="shared" ref="C2191:C2254" si="172">(B2191-B2190)/B2190</f>
        <v>1.3273821300962427E-2</v>
      </c>
      <c r="D2191" s="21">
        <f t="shared" ca="1" si="170"/>
        <v>1.288986888585556E-2</v>
      </c>
      <c r="E2191" s="21">
        <f t="shared" ref="E2191:E2254" ca="1" si="173">(1-alpha-beta)*longvar+alpha*D2190^2+beta*E2190</f>
        <v>1.9766124828411171E-4</v>
      </c>
      <c r="F2191" s="11">
        <f t="shared" ref="F2191:F2254" ca="1" si="174">(-0.5)*(LN(E2191)+D2191^2/E2191)</f>
        <v>3.8441914009232643</v>
      </c>
      <c r="G2191" s="10">
        <f t="shared" ca="1" si="171"/>
        <v>1</v>
      </c>
    </row>
    <row r="2192" spans="1:7" x14ac:dyDescent="0.2">
      <c r="A2192" s="2">
        <v>19981103</v>
      </c>
      <c r="B2192" s="13">
        <v>8706.15</v>
      </c>
      <c r="C2192" s="2">
        <f t="shared" si="172"/>
        <v>0</v>
      </c>
      <c r="D2192" s="21">
        <f t="shared" ca="1" si="170"/>
        <v>-3.839524151068673E-4</v>
      </c>
      <c r="E2192" s="21">
        <f t="shared" ca="1" si="173"/>
        <v>1.9468008229334781E-4</v>
      </c>
      <c r="F2192" s="11">
        <f t="shared" ca="1" si="174"/>
        <v>4.2716978553712979</v>
      </c>
      <c r="G2192" s="10">
        <f t="shared" ca="1" si="171"/>
        <v>1</v>
      </c>
    </row>
    <row r="2193" spans="1:7" x14ac:dyDescent="0.2">
      <c r="A2193" s="2">
        <v>19981104</v>
      </c>
      <c r="B2193" s="13">
        <v>8783.14</v>
      </c>
      <c r="C2193" s="2">
        <f t="shared" si="172"/>
        <v>8.8431740780941966E-3</v>
      </c>
      <c r="D2193" s="21">
        <f t="shared" ca="1" si="170"/>
        <v>8.4592216629873294E-3</v>
      </c>
      <c r="E2193" s="21">
        <f t="shared" ca="1" si="173"/>
        <v>1.8574557680847933E-4</v>
      </c>
      <c r="F2193" s="11">
        <f t="shared" ca="1" si="174"/>
        <v>4.1029414844708043</v>
      </c>
      <c r="G2193" s="10">
        <f t="shared" ca="1" si="171"/>
        <v>1</v>
      </c>
    </row>
    <row r="2194" spans="1:7" x14ac:dyDescent="0.2">
      <c r="A2194" s="2">
        <v>19981105</v>
      </c>
      <c r="B2194" s="13">
        <v>8915.4699999999993</v>
      </c>
      <c r="C2194" s="2">
        <f t="shared" si="172"/>
        <v>1.506636578717861E-2</v>
      </c>
      <c r="D2194" s="21">
        <f t="shared" ca="1" si="170"/>
        <v>1.4682413372071743E-2</v>
      </c>
      <c r="E2194" s="21">
        <f t="shared" ca="1" si="173"/>
        <v>1.7988897848460309E-4</v>
      </c>
      <c r="F2194" s="11">
        <f t="shared" ca="1" si="174"/>
        <v>3.7124011553887257</v>
      </c>
      <c r="G2194" s="10">
        <f t="shared" ca="1" si="171"/>
        <v>0</v>
      </c>
    </row>
    <row r="2195" spans="1:7" x14ac:dyDescent="0.2">
      <c r="A2195" s="2">
        <v>19981106</v>
      </c>
      <c r="B2195" s="13">
        <v>8975.4599999999991</v>
      </c>
      <c r="C2195" s="2">
        <f t="shared" si="172"/>
        <v>6.7287535037412255E-3</v>
      </c>
      <c r="D2195" s="21">
        <f t="shared" ca="1" si="170"/>
        <v>6.3448010886343583E-3</v>
      </c>
      <c r="E2195" s="21">
        <f t="shared" ca="1" si="173"/>
        <v>1.7962434420131665E-4</v>
      </c>
      <c r="F2195" s="11">
        <f t="shared" ca="1" si="174"/>
        <v>4.2002639574332195</v>
      </c>
      <c r="G2195" s="10">
        <f t="shared" ca="1" si="171"/>
        <v>1</v>
      </c>
    </row>
    <row r="2196" spans="1:7" x14ac:dyDescent="0.2">
      <c r="A2196" s="2">
        <v>19981109</v>
      </c>
      <c r="B2196" s="13">
        <v>8897.9599999999991</v>
      </c>
      <c r="C2196" s="2">
        <f t="shared" si="172"/>
        <v>-8.6346549369057408E-3</v>
      </c>
      <c r="D2196" s="21">
        <f t="shared" ca="1" si="170"/>
        <v>-9.018607352012608E-3</v>
      </c>
      <c r="E2196" s="21">
        <f t="shared" ca="1" si="173"/>
        <v>1.729263944191621E-4</v>
      </c>
      <c r="F2196" s="11">
        <f t="shared" ca="1" si="174"/>
        <v>4.0961491423286267</v>
      </c>
      <c r="G2196" s="10">
        <f t="shared" ca="1" si="171"/>
        <v>1</v>
      </c>
    </row>
    <row r="2197" spans="1:7" x14ac:dyDescent="0.2">
      <c r="A2197" s="2">
        <v>19981110</v>
      </c>
      <c r="B2197" s="13">
        <v>8863.98</v>
      </c>
      <c r="C2197" s="2">
        <f t="shared" si="172"/>
        <v>-3.818852860655652E-3</v>
      </c>
      <c r="D2197" s="21">
        <f t="shared" ca="1" si="170"/>
        <v>-4.2028052757625192E-3</v>
      </c>
      <c r="E2197" s="21">
        <f t="shared" ca="1" si="173"/>
        <v>1.6807783450395824E-4</v>
      </c>
      <c r="F2197" s="11">
        <f t="shared" ca="1" si="174"/>
        <v>4.2929958818076592</v>
      </c>
      <c r="G2197" s="10">
        <f t="shared" ca="1" si="171"/>
        <v>1</v>
      </c>
    </row>
    <row r="2198" spans="1:7" x14ac:dyDescent="0.2">
      <c r="A2198" s="2">
        <v>19981111</v>
      </c>
      <c r="B2198" s="13">
        <v>8823.82</v>
      </c>
      <c r="C2198" s="2">
        <f t="shared" si="172"/>
        <v>-4.530696143267455E-3</v>
      </c>
      <c r="D2198" s="21">
        <f t="shared" ca="1" si="170"/>
        <v>-4.9146485583743222E-3</v>
      </c>
      <c r="E2198" s="21">
        <f t="shared" ca="1" si="173"/>
        <v>1.6113324501379413E-4</v>
      </c>
      <c r="F2198" s="11">
        <f t="shared" ca="1" si="174"/>
        <v>4.2916897827733189</v>
      </c>
      <c r="G2198" s="10">
        <f t="shared" ca="1" si="171"/>
        <v>1</v>
      </c>
    </row>
    <row r="2199" spans="1:7" x14ac:dyDescent="0.2">
      <c r="A2199" s="2">
        <v>19981112</v>
      </c>
      <c r="B2199" s="13">
        <v>8829.74</v>
      </c>
      <c r="C2199" s="2">
        <f t="shared" si="172"/>
        <v>6.7091123798990377E-4</v>
      </c>
      <c r="D2199" s="21">
        <f t="shared" ca="1" si="170"/>
        <v>2.8695882288303648E-4</v>
      </c>
      <c r="E2199" s="21">
        <f t="shared" ca="1" si="173"/>
        <v>1.5477864051498814E-4</v>
      </c>
      <c r="F2199" s="11">
        <f t="shared" ca="1" si="174"/>
        <v>4.3864912836402485</v>
      </c>
      <c r="G2199" s="10">
        <f t="shared" ca="1" si="171"/>
        <v>1</v>
      </c>
    </row>
    <row r="2200" spans="1:7" x14ac:dyDescent="0.2">
      <c r="A2200" s="2">
        <v>19981113</v>
      </c>
      <c r="B2200" s="13">
        <v>8919.59</v>
      </c>
      <c r="C2200" s="2">
        <f t="shared" si="172"/>
        <v>1.0175837567131123E-2</v>
      </c>
      <c r="D2200" s="21">
        <f t="shared" ca="1" si="170"/>
        <v>9.7918851520242562E-3</v>
      </c>
      <c r="E2200" s="21">
        <f t="shared" ca="1" si="173"/>
        <v>1.4786036921985677E-4</v>
      </c>
      <c r="F2200" s="11">
        <f t="shared" ca="1" si="174"/>
        <v>4.0853928494451202</v>
      </c>
      <c r="G2200" s="10">
        <f t="shared" ca="1" si="171"/>
        <v>1</v>
      </c>
    </row>
    <row r="2201" spans="1:7" x14ac:dyDescent="0.2">
      <c r="A2201" s="2">
        <v>19981116</v>
      </c>
      <c r="B2201" s="13">
        <v>9011.25</v>
      </c>
      <c r="C2201" s="2">
        <f t="shared" si="172"/>
        <v>1.0276257092534507E-2</v>
      </c>
      <c r="D2201" s="21">
        <f t="shared" ca="1" si="170"/>
        <v>9.8923046774276394E-3</v>
      </c>
      <c r="E2201" s="21">
        <f t="shared" ca="1" si="173"/>
        <v>1.4481477989267702E-4</v>
      </c>
      <c r="F2201" s="11">
        <f t="shared" ca="1" si="174"/>
        <v>4.0821555985766933</v>
      </c>
      <c r="G2201" s="10">
        <f t="shared" ca="1" si="171"/>
        <v>1</v>
      </c>
    </row>
    <row r="2202" spans="1:7" x14ac:dyDescent="0.2">
      <c r="A2202" s="2">
        <v>19981117</v>
      </c>
      <c r="B2202" s="13">
        <v>8986.2800000000007</v>
      </c>
      <c r="C2202" s="2">
        <f t="shared" si="172"/>
        <v>-2.7709807185461888E-3</v>
      </c>
      <c r="D2202" s="21">
        <f t="shared" ca="1" si="170"/>
        <v>-3.154933133653056E-3</v>
      </c>
      <c r="E2202" s="21">
        <f t="shared" ca="1" si="173"/>
        <v>1.4199595379704708E-4</v>
      </c>
      <c r="F2202" s="11">
        <f t="shared" ca="1" si="174"/>
        <v>4.394807100719814</v>
      </c>
      <c r="G2202" s="10">
        <f t="shared" ca="1" si="171"/>
        <v>1</v>
      </c>
    </row>
    <row r="2203" spans="1:7" x14ac:dyDescent="0.2">
      <c r="A2203" s="2">
        <v>19981118</v>
      </c>
      <c r="B2203" s="13">
        <v>9041.11</v>
      </c>
      <c r="C2203" s="2">
        <f t="shared" si="172"/>
        <v>6.1015236560623444E-3</v>
      </c>
      <c r="D2203" s="21">
        <f t="shared" ca="1" si="170"/>
        <v>5.7175712409554772E-3</v>
      </c>
      <c r="E2203" s="21">
        <f t="shared" ca="1" si="173"/>
        <v>1.3608734621360164E-4</v>
      </c>
      <c r="F2203" s="11">
        <f t="shared" ca="1" si="174"/>
        <v>4.3309978473454525</v>
      </c>
      <c r="G2203" s="10">
        <f t="shared" ca="1" si="171"/>
        <v>1</v>
      </c>
    </row>
    <row r="2204" spans="1:7" x14ac:dyDescent="0.2">
      <c r="A2204" s="2">
        <v>19981119</v>
      </c>
      <c r="B2204" s="13">
        <v>9056.0499999999993</v>
      </c>
      <c r="C2204" s="2">
        <f t="shared" si="172"/>
        <v>1.6524519666278464E-3</v>
      </c>
      <c r="D2204" s="21">
        <f t="shared" ca="1" si="170"/>
        <v>1.2684995515209792E-3</v>
      </c>
      <c r="E2204" s="21">
        <f t="shared" ca="1" si="173"/>
        <v>1.3131373687835167E-4</v>
      </c>
      <c r="F2204" s="11">
        <f t="shared" ca="1" si="174"/>
        <v>4.4628336844314127</v>
      </c>
      <c r="G2204" s="10">
        <f t="shared" ca="1" si="171"/>
        <v>1</v>
      </c>
    </row>
    <row r="2205" spans="1:7" x14ac:dyDescent="0.2">
      <c r="A2205" s="2">
        <v>19981120</v>
      </c>
      <c r="B2205" s="13">
        <v>9159.5499999999993</v>
      </c>
      <c r="C2205" s="2">
        <f t="shared" si="172"/>
        <v>1.1428823824956798E-2</v>
      </c>
      <c r="D2205" s="21">
        <f t="shared" ca="1" si="170"/>
        <v>1.1044871409849931E-2</v>
      </c>
      <c r="E2205" s="21">
        <f t="shared" ca="1" si="173"/>
        <v>1.2563870389120936E-4</v>
      </c>
      <c r="F2205" s="11">
        <f t="shared" ca="1" si="174"/>
        <v>4.0055739658254641</v>
      </c>
      <c r="G2205" s="10">
        <f t="shared" ca="1" si="171"/>
        <v>1</v>
      </c>
    </row>
    <row r="2206" spans="1:7" x14ac:dyDescent="0.2">
      <c r="A2206" s="2">
        <v>19981123</v>
      </c>
      <c r="B2206" s="13">
        <v>9374.27</v>
      </c>
      <c r="C2206" s="2">
        <f t="shared" si="172"/>
        <v>2.3442199671381364E-2</v>
      </c>
      <c r="D2206" s="21">
        <f t="shared" ca="1" si="170"/>
        <v>2.3058247256274495E-2</v>
      </c>
      <c r="E2206" s="21">
        <f t="shared" ca="1" si="173"/>
        <v>1.2467735891318307E-4</v>
      </c>
      <c r="F2206" s="11">
        <f t="shared" ca="1" si="174"/>
        <v>2.3626560049722274</v>
      </c>
      <c r="G2206" s="10">
        <f t="shared" ca="1" si="171"/>
        <v>0</v>
      </c>
    </row>
    <row r="2207" spans="1:7" x14ac:dyDescent="0.2">
      <c r="A2207" s="2">
        <v>19981124</v>
      </c>
      <c r="B2207" s="13">
        <v>9301.15</v>
      </c>
      <c r="C2207" s="2">
        <f t="shared" si="172"/>
        <v>-7.8000740324314106E-3</v>
      </c>
      <c r="D2207" s="21">
        <f t="shared" ca="1" si="170"/>
        <v>-8.1840264475382778E-3</v>
      </c>
      <c r="E2207" s="21">
        <f t="shared" ca="1" si="173"/>
        <v>1.3882979705117049E-4</v>
      </c>
      <c r="F2207" s="11">
        <f t="shared" ca="1" si="174"/>
        <v>4.1999064567057864</v>
      </c>
      <c r="G2207" s="10">
        <f t="shared" ca="1" si="171"/>
        <v>1</v>
      </c>
    </row>
    <row r="2208" spans="1:7" x14ac:dyDescent="0.2">
      <c r="A2208" s="2">
        <v>19981125</v>
      </c>
      <c r="B2208" s="13">
        <v>9314.2800000000007</v>
      </c>
      <c r="C2208" s="2">
        <f t="shared" si="172"/>
        <v>1.4116533976982436E-3</v>
      </c>
      <c r="D2208" s="21">
        <f t="shared" ca="1" si="170"/>
        <v>1.0277009825913762E-3</v>
      </c>
      <c r="E2208" s="21">
        <f t="shared" ca="1" si="173"/>
        <v>1.3517826364524738E-4</v>
      </c>
      <c r="F2208" s="11">
        <f t="shared" ca="1" si="174"/>
        <v>4.4505515099107491</v>
      </c>
      <c r="G2208" s="10">
        <f t="shared" ca="1" si="171"/>
        <v>1</v>
      </c>
    </row>
    <row r="2209" spans="1:7" x14ac:dyDescent="0.2">
      <c r="A2209" s="2">
        <v>19981127</v>
      </c>
      <c r="B2209" s="13">
        <v>9333.08</v>
      </c>
      <c r="C2209" s="2">
        <f t="shared" si="172"/>
        <v>2.018406146261361E-3</v>
      </c>
      <c r="D2209" s="21">
        <f t="shared" ca="1" si="170"/>
        <v>1.6344537311544938E-3</v>
      </c>
      <c r="E2209" s="21">
        <f t="shared" ca="1" si="173"/>
        <v>1.2928739107640846E-4</v>
      </c>
      <c r="F2209" s="11">
        <f t="shared" ca="1" si="174"/>
        <v>4.4664049988291961</v>
      </c>
      <c r="G2209" s="10">
        <f t="shared" ca="1" si="171"/>
        <v>1</v>
      </c>
    </row>
    <row r="2210" spans="1:7" x14ac:dyDescent="0.2">
      <c r="A2210" s="2">
        <v>19981130</v>
      </c>
      <c r="B2210" s="13">
        <v>9116.5499999999993</v>
      </c>
      <c r="C2210" s="2">
        <f t="shared" si="172"/>
        <v>-2.3200272578827209E-2</v>
      </c>
      <c r="D2210" s="21">
        <f t="shared" ca="1" si="170"/>
        <v>-2.3584224993934078E-2</v>
      </c>
      <c r="E2210" s="21">
        <f t="shared" ca="1" si="173"/>
        <v>1.2375393597730696E-4</v>
      </c>
      <c r="F2210" s="11">
        <f t="shared" ca="1" si="174"/>
        <v>2.251343117188604</v>
      </c>
      <c r="G2210" s="10">
        <f t="shared" ca="1" si="171"/>
        <v>0</v>
      </c>
    </row>
    <row r="2211" spans="1:7" x14ac:dyDescent="0.2">
      <c r="A2211" s="2">
        <v>19981201</v>
      </c>
      <c r="B2211" s="13">
        <v>9133.5400000000009</v>
      </c>
      <c r="C2211" s="2">
        <f t="shared" si="172"/>
        <v>1.8636435932454275E-3</v>
      </c>
      <c r="D2211" s="21">
        <f t="shared" ca="1" si="170"/>
        <v>1.4796911781385603E-3</v>
      </c>
      <c r="E2211" s="21">
        <f t="shared" ca="1" si="173"/>
        <v>1.3885520802902598E-4</v>
      </c>
      <c r="F2211" s="11">
        <f t="shared" ca="1" si="174"/>
        <v>4.4331553568620317</v>
      </c>
      <c r="G2211" s="10">
        <f t="shared" ca="1" si="171"/>
        <v>1</v>
      </c>
    </row>
    <row r="2212" spans="1:7" x14ac:dyDescent="0.2">
      <c r="A2212" s="2">
        <v>19981202</v>
      </c>
      <c r="B2212" s="13">
        <v>9064.5400000000009</v>
      </c>
      <c r="C2212" s="2">
        <f t="shared" si="172"/>
        <v>-7.5545735826415602E-3</v>
      </c>
      <c r="D2212" s="21">
        <f t="shared" ca="1" si="170"/>
        <v>-7.9385259977484274E-3</v>
      </c>
      <c r="E2212" s="21">
        <f t="shared" ca="1" si="173"/>
        <v>1.3281999166601724E-4</v>
      </c>
      <c r="F2212" s="11">
        <f t="shared" ca="1" si="174"/>
        <v>4.2260187795575428</v>
      </c>
      <c r="G2212" s="10">
        <f t="shared" ca="1" si="171"/>
        <v>1</v>
      </c>
    </row>
    <row r="2213" spans="1:7" x14ac:dyDescent="0.2">
      <c r="A2213" s="2">
        <v>19981203</v>
      </c>
      <c r="B2213" s="13">
        <v>8879.68</v>
      </c>
      <c r="C2213" s="2">
        <f t="shared" si="172"/>
        <v>-2.0393754123209845E-2</v>
      </c>
      <c r="D2213" s="21">
        <f t="shared" ca="1" si="170"/>
        <v>-2.0777706538316714E-2</v>
      </c>
      <c r="E2213" s="21">
        <f t="shared" ca="1" si="173"/>
        <v>1.2932695027046497E-4</v>
      </c>
      <c r="F2213" s="11">
        <f t="shared" ca="1" si="174"/>
        <v>2.8075071552714839</v>
      </c>
      <c r="G2213" s="10">
        <f t="shared" ca="1" si="171"/>
        <v>0</v>
      </c>
    </row>
    <row r="2214" spans="1:7" x14ac:dyDescent="0.2">
      <c r="A2214" s="2">
        <v>19981204</v>
      </c>
      <c r="B2214" s="13">
        <v>9016.14</v>
      </c>
      <c r="C2214" s="2">
        <f t="shared" si="172"/>
        <v>1.5367670907059615E-2</v>
      </c>
      <c r="D2214" s="21">
        <f t="shared" ca="1" si="170"/>
        <v>1.4983718491952748E-2</v>
      </c>
      <c r="E2214" s="21">
        <f t="shared" ca="1" si="173"/>
        <v>1.3956810445586956E-4</v>
      </c>
      <c r="F2214" s="11">
        <f t="shared" ca="1" si="174"/>
        <v>3.6341697396324206</v>
      </c>
      <c r="G2214" s="10">
        <f t="shared" ca="1" si="171"/>
        <v>0</v>
      </c>
    </row>
    <row r="2215" spans="1:7" x14ac:dyDescent="0.2">
      <c r="A2215" s="2">
        <v>19981207</v>
      </c>
      <c r="B2215" s="13">
        <v>9070.4699999999993</v>
      </c>
      <c r="C2215" s="2">
        <f t="shared" si="172"/>
        <v>6.0258602905456137E-3</v>
      </c>
      <c r="D2215" s="21">
        <f t="shared" ca="1" si="170"/>
        <v>5.6419078754387465E-3</v>
      </c>
      <c r="E2215" s="21">
        <f t="shared" ca="1" si="173"/>
        <v>1.4167200282931111E-4</v>
      </c>
      <c r="F2215" s="11">
        <f t="shared" ca="1" si="174"/>
        <v>4.3186570920364113</v>
      </c>
      <c r="G2215" s="10">
        <f t="shared" ca="1" si="171"/>
        <v>1</v>
      </c>
    </row>
    <row r="2216" spans="1:7" x14ac:dyDescent="0.2">
      <c r="A2216" s="2">
        <v>19981208</v>
      </c>
      <c r="B2216" s="13">
        <v>9027.98</v>
      </c>
      <c r="C2216" s="2">
        <f t="shared" si="172"/>
        <v>-4.6844320084846527E-3</v>
      </c>
      <c r="D2216" s="21">
        <f t="shared" ca="1" si="170"/>
        <v>-5.0683844235915199E-3</v>
      </c>
      <c r="E2216" s="21">
        <f t="shared" ca="1" si="173"/>
        <v>1.3658425869294278E-4</v>
      </c>
      <c r="F2216" s="11">
        <f t="shared" ca="1" si="174"/>
        <v>4.3552453301290575</v>
      </c>
      <c r="G2216" s="10">
        <f t="shared" ca="1" si="171"/>
        <v>1</v>
      </c>
    </row>
    <row r="2217" spans="1:7" x14ac:dyDescent="0.2">
      <c r="A2217" s="2">
        <v>19981209</v>
      </c>
      <c r="B2217" s="13">
        <v>9009.19</v>
      </c>
      <c r="C2217" s="2">
        <f t="shared" si="172"/>
        <v>-2.0813072248719042E-3</v>
      </c>
      <c r="D2217" s="21">
        <f t="shared" ca="1" si="170"/>
        <v>-2.4652596399787714E-3</v>
      </c>
      <c r="E2217" s="21">
        <f t="shared" ca="1" si="173"/>
        <v>1.3152803094029024E-4</v>
      </c>
      <c r="F2217" s="11">
        <f t="shared" ca="1" si="174"/>
        <v>4.4450418234308291</v>
      </c>
      <c r="G2217" s="10">
        <f t="shared" ca="1" si="171"/>
        <v>1</v>
      </c>
    </row>
    <row r="2218" spans="1:7" x14ac:dyDescent="0.2">
      <c r="A2218" s="2">
        <v>19981210</v>
      </c>
      <c r="B2218" s="13">
        <v>8841.58</v>
      </c>
      <c r="C2218" s="2">
        <f t="shared" si="172"/>
        <v>-1.8604336238885025E-2</v>
      </c>
      <c r="D2218" s="21">
        <f t="shared" ca="1" si="170"/>
        <v>-1.8988288653991894E-2</v>
      </c>
      <c r="E2218" s="21">
        <f t="shared" ca="1" si="173"/>
        <v>1.2600646813011178E-4</v>
      </c>
      <c r="F2218" s="11">
        <f t="shared" ca="1" si="174"/>
        <v>3.0588878729121696</v>
      </c>
      <c r="G2218" s="10">
        <f t="shared" ca="1" si="171"/>
        <v>0</v>
      </c>
    </row>
    <row r="2219" spans="1:7" x14ac:dyDescent="0.2">
      <c r="A2219" s="2">
        <v>19981211</v>
      </c>
      <c r="B2219" s="13">
        <v>8821.76</v>
      </c>
      <c r="C2219" s="2">
        <f t="shared" si="172"/>
        <v>-2.2416807855609191E-3</v>
      </c>
      <c r="D2219" s="21">
        <f t="shared" ca="1" si="170"/>
        <v>-2.6256332006677863E-3</v>
      </c>
      <c r="E2219" s="21">
        <f t="shared" ca="1" si="173"/>
        <v>1.3379900332076419E-4</v>
      </c>
      <c r="F2219" s="11">
        <f t="shared" ca="1" si="174"/>
        <v>4.4338235938679906</v>
      </c>
      <c r="G2219" s="10">
        <f t="shared" ca="1" si="171"/>
        <v>1</v>
      </c>
    </row>
    <row r="2220" spans="1:7" x14ac:dyDescent="0.2">
      <c r="A2220" s="2">
        <v>19981214</v>
      </c>
      <c r="B2220" s="13">
        <v>8695.6</v>
      </c>
      <c r="C2220" s="2">
        <f t="shared" si="172"/>
        <v>-1.4301001160766089E-2</v>
      </c>
      <c r="D2220" s="21">
        <f t="shared" ca="1" si="170"/>
        <v>-1.4684953575872956E-2</v>
      </c>
      <c r="E2220" s="21">
        <f t="shared" ca="1" si="173"/>
        <v>1.2819257336403923E-4</v>
      </c>
      <c r="F2220" s="11">
        <f t="shared" ca="1" si="174"/>
        <v>3.6398794447436544</v>
      </c>
      <c r="G2220" s="10">
        <f t="shared" ca="1" si="171"/>
        <v>0</v>
      </c>
    </row>
    <row r="2221" spans="1:7" x14ac:dyDescent="0.2">
      <c r="A2221" s="2">
        <v>19981215</v>
      </c>
      <c r="B2221" s="13">
        <v>8823.2999999999993</v>
      </c>
      <c r="C2221" s="2">
        <f t="shared" si="172"/>
        <v>1.4685588113528556E-2</v>
      </c>
      <c r="D2221" s="21">
        <f t="shared" ca="1" si="170"/>
        <v>1.4301635698421689E-2</v>
      </c>
      <c r="E2221" s="21">
        <f t="shared" ca="1" si="173"/>
        <v>1.3054602037663784E-4</v>
      </c>
      <c r="F2221" s="11">
        <f t="shared" ca="1" si="174"/>
        <v>3.6885027953035427</v>
      </c>
      <c r="G2221" s="10">
        <f t="shared" ca="1" si="171"/>
        <v>0</v>
      </c>
    </row>
    <row r="2222" spans="1:7" x14ac:dyDescent="0.2">
      <c r="A2222" s="2">
        <v>19981216</v>
      </c>
      <c r="B2222" s="13">
        <v>8790.6</v>
      </c>
      <c r="C2222" s="2">
        <f t="shared" si="172"/>
        <v>-3.7060963585051976E-3</v>
      </c>
      <c r="D2222" s="21">
        <f t="shared" ca="1" si="170"/>
        <v>-4.0900487736120648E-3</v>
      </c>
      <c r="E2222" s="21">
        <f t="shared" ca="1" si="173"/>
        <v>1.32371831996028E-4</v>
      </c>
      <c r="F2222" s="11">
        <f t="shared" ca="1" si="174"/>
        <v>4.4017603103155736</v>
      </c>
      <c r="G2222" s="10">
        <f t="shared" ca="1" si="171"/>
        <v>1</v>
      </c>
    </row>
    <row r="2223" spans="1:7" x14ac:dyDescent="0.2">
      <c r="A2223" s="2">
        <v>19981217</v>
      </c>
      <c r="B2223" s="13">
        <v>8875.82</v>
      </c>
      <c r="C2223" s="2">
        <f t="shared" si="172"/>
        <v>9.6944463404089985E-3</v>
      </c>
      <c r="D2223" s="21">
        <f t="shared" ca="1" si="170"/>
        <v>9.3104939253021313E-3</v>
      </c>
      <c r="E2223" s="21">
        <f t="shared" ca="1" si="173"/>
        <v>1.2719923665463747E-4</v>
      </c>
      <c r="F2223" s="11">
        <f t="shared" ca="1" si="174"/>
        <v>4.144131816739022</v>
      </c>
      <c r="G2223" s="10">
        <f t="shared" ca="1" si="171"/>
        <v>1</v>
      </c>
    </row>
    <row r="2224" spans="1:7" x14ac:dyDescent="0.2">
      <c r="A2224" s="2">
        <v>19981218</v>
      </c>
      <c r="B2224" s="13">
        <v>8903.6299999999992</v>
      </c>
      <c r="C2224" s="2">
        <f t="shared" si="172"/>
        <v>3.1332316338095515E-3</v>
      </c>
      <c r="D2224" s="21">
        <f t="shared" ca="1" si="170"/>
        <v>2.7492792187026843E-3</v>
      </c>
      <c r="E2224" s="21">
        <f t="shared" ca="1" si="173"/>
        <v>1.2486075823101798E-4</v>
      </c>
      <c r="F2224" s="11">
        <f t="shared" ca="1" si="174"/>
        <v>4.4638878265558404</v>
      </c>
      <c r="G2224" s="10">
        <f t="shared" ca="1" si="171"/>
        <v>1</v>
      </c>
    </row>
    <row r="2225" spans="1:7" x14ac:dyDescent="0.2">
      <c r="A2225" s="2">
        <v>19981221</v>
      </c>
      <c r="B2225" s="13">
        <v>8988.85</v>
      </c>
      <c r="C2225" s="2">
        <f t="shared" si="172"/>
        <v>9.5713770675557239E-3</v>
      </c>
      <c r="D2225" s="21">
        <f t="shared" ca="1" si="170"/>
        <v>9.1874246524488567E-3</v>
      </c>
      <c r="E2225" s="21">
        <f t="shared" ca="1" si="173"/>
        <v>1.1973095504309221E-4</v>
      </c>
      <c r="F2225" s="11">
        <f t="shared" ca="1" si="174"/>
        <v>4.1626381661780458</v>
      </c>
      <c r="G2225" s="10">
        <f t="shared" ca="1" si="171"/>
        <v>1</v>
      </c>
    </row>
    <row r="2226" spans="1:7" x14ac:dyDescent="0.2">
      <c r="A2226" s="2">
        <v>19981222</v>
      </c>
      <c r="B2226" s="13">
        <v>9044.4599999999991</v>
      </c>
      <c r="C2226" s="2">
        <f t="shared" si="172"/>
        <v>6.1865533410835382E-3</v>
      </c>
      <c r="D2226" s="21">
        <f t="shared" ca="1" si="170"/>
        <v>5.802600925976671E-3</v>
      </c>
      <c r="E2226" s="21">
        <f t="shared" ca="1" si="173"/>
        <v>1.1768658763177761E-4</v>
      </c>
      <c r="F2226" s="11">
        <f t="shared" ca="1" si="174"/>
        <v>4.3806925617499486</v>
      </c>
      <c r="G2226" s="10">
        <f t="shared" ca="1" si="171"/>
        <v>1</v>
      </c>
    </row>
    <row r="2227" spans="1:7" x14ac:dyDescent="0.2">
      <c r="A2227" s="2">
        <v>19981223</v>
      </c>
      <c r="B2227" s="13">
        <v>9202.0300000000007</v>
      </c>
      <c r="C2227" s="2">
        <f t="shared" si="172"/>
        <v>1.7421714508107897E-2</v>
      </c>
      <c r="D2227" s="21">
        <f t="shared" ca="1" si="170"/>
        <v>1.7037762093001028E-2</v>
      </c>
      <c r="E2227" s="21">
        <f t="shared" ca="1" si="173"/>
        <v>1.1387989873882374E-4</v>
      </c>
      <c r="F2227" s="11">
        <f t="shared" ca="1" si="174"/>
        <v>3.2656590527820994</v>
      </c>
      <c r="G2227" s="10">
        <f t="shared" ca="1" si="171"/>
        <v>0</v>
      </c>
    </row>
    <row r="2228" spans="1:7" x14ac:dyDescent="0.2">
      <c r="A2228" s="2">
        <v>19981224</v>
      </c>
      <c r="B2228" s="13">
        <v>9217.99</v>
      </c>
      <c r="C2228" s="2">
        <f t="shared" si="172"/>
        <v>1.7343999095850726E-3</v>
      </c>
      <c r="D2228" s="21">
        <f t="shared" ca="1" si="170"/>
        <v>1.3504474944782052E-3</v>
      </c>
      <c r="E2228" s="21">
        <f t="shared" ca="1" si="173"/>
        <v>1.1970197897216853E-4</v>
      </c>
      <c r="F2228" s="11">
        <f t="shared" ca="1" si="174"/>
        <v>4.5076350026053333</v>
      </c>
      <c r="G2228" s="10">
        <f t="shared" ca="1" si="171"/>
        <v>1</v>
      </c>
    </row>
    <row r="2229" spans="1:7" x14ac:dyDescent="0.2">
      <c r="A2229" s="2">
        <v>19981228</v>
      </c>
      <c r="B2229" s="13">
        <v>9226.75</v>
      </c>
      <c r="C2229" s="2">
        <f t="shared" si="172"/>
        <v>9.5031563280066676E-4</v>
      </c>
      <c r="D2229" s="21">
        <f t="shared" ca="1" si="170"/>
        <v>5.6636321769379947E-4</v>
      </c>
      <c r="E2229" s="21">
        <f t="shared" ca="1" si="173"/>
        <v>1.1462228049454078E-4</v>
      </c>
      <c r="F2229" s="11">
        <f t="shared" ca="1" si="174"/>
        <v>4.5355349402277492</v>
      </c>
      <c r="G2229" s="10">
        <f t="shared" ca="1" si="171"/>
        <v>1</v>
      </c>
    </row>
    <row r="2230" spans="1:7" x14ac:dyDescent="0.2">
      <c r="A2230" s="2">
        <v>19981229</v>
      </c>
      <c r="B2230" s="13">
        <v>9320.98</v>
      </c>
      <c r="C2230" s="2">
        <f t="shared" si="172"/>
        <v>1.0212696778388876E-2</v>
      </c>
      <c r="D2230" s="21">
        <f t="shared" ca="1" si="170"/>
        <v>9.828744363282009E-3</v>
      </c>
      <c r="E2230" s="21">
        <f t="shared" ca="1" si="173"/>
        <v>1.0974429986549948E-4</v>
      </c>
      <c r="F2230" s="11">
        <f t="shared" ca="1" si="174"/>
        <v>4.1185455406451101</v>
      </c>
      <c r="G2230" s="10">
        <f t="shared" ca="1" si="171"/>
        <v>1</v>
      </c>
    </row>
    <row r="2231" spans="1:7" x14ac:dyDescent="0.2">
      <c r="A2231" s="2">
        <v>19981230</v>
      </c>
      <c r="B2231" s="13">
        <v>9274.64</v>
      </c>
      <c r="C2231" s="2">
        <f t="shared" si="172"/>
        <v>-4.9715802415625987E-3</v>
      </c>
      <c r="D2231" s="21">
        <f t="shared" ca="1" si="170"/>
        <v>-5.3555326566694659E-3</v>
      </c>
      <c r="E2231" s="21">
        <f t="shared" ca="1" si="173"/>
        <v>1.0865360839809398E-4</v>
      </c>
      <c r="F2231" s="11">
        <f t="shared" ca="1" si="174"/>
        <v>4.431685809195252</v>
      </c>
      <c r="G2231" s="10">
        <f t="shared" ca="1" si="171"/>
        <v>1</v>
      </c>
    </row>
    <row r="2232" spans="1:7" x14ac:dyDescent="0.2">
      <c r="A2232" s="2">
        <v>19981231</v>
      </c>
      <c r="B2232" s="13">
        <v>9181.43</v>
      </c>
      <c r="C2232" s="2">
        <f t="shared" si="172"/>
        <v>-1.0049985767641562E-2</v>
      </c>
      <c r="D2232" s="21">
        <f t="shared" ca="1" si="170"/>
        <v>-1.0433938182748429E-2</v>
      </c>
      <c r="E2232" s="21">
        <f t="shared" ca="1" si="173"/>
        <v>1.0512046697529235E-4</v>
      </c>
      <c r="F2232" s="11">
        <f t="shared" ca="1" si="174"/>
        <v>4.06238127826491</v>
      </c>
      <c r="G2232" s="10">
        <f t="shared" ca="1" si="171"/>
        <v>0</v>
      </c>
    </row>
    <row r="2233" spans="1:7" x14ac:dyDescent="0.2">
      <c r="A2233" s="2">
        <v>19990104</v>
      </c>
      <c r="B2233" s="13">
        <v>9184.27</v>
      </c>
      <c r="C2233" s="2">
        <f t="shared" si="172"/>
        <v>3.0932000788549773E-4</v>
      </c>
      <c r="D2233" s="21">
        <f t="shared" ca="1" si="170"/>
        <v>-7.4632407221369567E-5</v>
      </c>
      <c r="E2233" s="21">
        <f t="shared" ca="1" si="173"/>
        <v>1.0471462315120197E-4</v>
      </c>
      <c r="F2233" s="11">
        <f t="shared" ca="1" si="174"/>
        <v>4.5821092952660463</v>
      </c>
      <c r="G2233" s="10">
        <f t="shared" ca="1" si="171"/>
        <v>1</v>
      </c>
    </row>
    <row r="2234" spans="1:7" x14ac:dyDescent="0.2">
      <c r="A2234" s="2">
        <v>19990105</v>
      </c>
      <c r="B2234" s="13">
        <v>9311.19</v>
      </c>
      <c r="C2234" s="2">
        <f t="shared" si="172"/>
        <v>1.3819280138758994E-2</v>
      </c>
      <c r="D2234" s="21">
        <f t="shared" ca="1" si="170"/>
        <v>1.3435327723652126E-2</v>
      </c>
      <c r="E2234" s="21">
        <f t="shared" ca="1" si="173"/>
        <v>1.0032628381439565E-4</v>
      </c>
      <c r="F2234" s="11">
        <f t="shared" ca="1" si="174"/>
        <v>3.7039365326091085</v>
      </c>
      <c r="G2234" s="10">
        <f t="shared" ca="1" si="171"/>
        <v>0</v>
      </c>
    </row>
    <row r="2235" spans="1:7" x14ac:dyDescent="0.2">
      <c r="A2235" s="2">
        <v>19990106</v>
      </c>
      <c r="B2235" s="13">
        <v>9544.9699999999993</v>
      </c>
      <c r="C2235" s="2">
        <f t="shared" si="172"/>
        <v>2.5107424507501062E-2</v>
      </c>
      <c r="D2235" s="21">
        <f t="shared" ca="1" si="170"/>
        <v>2.4723472092394193E-2</v>
      </c>
      <c r="E2235" s="21">
        <f t="shared" ca="1" si="173"/>
        <v>1.0279734266800465E-4</v>
      </c>
      <c r="F2235" s="11">
        <f t="shared" ca="1" si="174"/>
        <v>1.6182924863508221</v>
      </c>
      <c r="G2235" s="10">
        <f t="shared" ca="1" si="171"/>
        <v>0</v>
      </c>
    </row>
    <row r="2236" spans="1:7" x14ac:dyDescent="0.2">
      <c r="A2236" s="2">
        <v>19990107</v>
      </c>
      <c r="B2236" s="13">
        <v>9537.76</v>
      </c>
      <c r="C2236" s="2">
        <f t="shared" si="172"/>
        <v>-7.5537167743839186E-4</v>
      </c>
      <c r="D2236" s="21">
        <f t="shared" ca="1" si="170"/>
        <v>-1.1393240925452592E-3</v>
      </c>
      <c r="E2236" s="21">
        <f t="shared" ca="1" si="173"/>
        <v>1.209825267936368E-4</v>
      </c>
      <c r="F2236" s="11">
        <f t="shared" ca="1" si="174"/>
        <v>4.5045675582695326</v>
      </c>
      <c r="G2236" s="10">
        <f t="shared" ca="1" si="171"/>
        <v>1</v>
      </c>
    </row>
    <row r="2237" spans="1:7" x14ac:dyDescent="0.2">
      <c r="A2237" s="2">
        <v>19990108</v>
      </c>
      <c r="B2237" s="13">
        <v>9643.32</v>
      </c>
      <c r="C2237" s="2">
        <f t="shared" si="172"/>
        <v>1.106758819680926E-2</v>
      </c>
      <c r="D2237" s="21">
        <f t="shared" ca="1" si="170"/>
        <v>1.0683635781702392E-2</v>
      </c>
      <c r="E2237" s="21">
        <f t="shared" ca="1" si="173"/>
        <v>1.1581871594679818E-4</v>
      </c>
      <c r="F2237" s="11">
        <f t="shared" ca="1" si="174"/>
        <v>4.0389890444817613</v>
      </c>
      <c r="G2237" s="10">
        <f t="shared" ca="1" si="171"/>
        <v>1</v>
      </c>
    </row>
    <row r="2238" spans="1:7" x14ac:dyDescent="0.2">
      <c r="A2238" s="2">
        <v>19990111</v>
      </c>
      <c r="B2238" s="13">
        <v>9619.89</v>
      </c>
      <c r="C2238" s="2">
        <f t="shared" si="172"/>
        <v>-2.4296611540424139E-3</v>
      </c>
      <c r="D2238" s="21">
        <f t="shared" ca="1" si="170"/>
        <v>-2.8136135691492811E-3</v>
      </c>
      <c r="E2238" s="21">
        <f t="shared" ca="1" si="173"/>
        <v>1.1506554187792121E-4</v>
      </c>
      <c r="F2238" s="11">
        <f t="shared" ca="1" si="174"/>
        <v>4.5006047135252993</v>
      </c>
      <c r="G2238" s="10">
        <f t="shared" ca="1" si="171"/>
        <v>1</v>
      </c>
    </row>
    <row r="2239" spans="1:7" x14ac:dyDescent="0.2">
      <c r="A2239" s="2">
        <v>19990112</v>
      </c>
      <c r="B2239" s="13">
        <v>9474.68</v>
      </c>
      <c r="C2239" s="2">
        <f t="shared" si="172"/>
        <v>-1.5094767195882607E-2</v>
      </c>
      <c r="D2239" s="21">
        <f t="shared" ca="1" si="170"/>
        <v>-1.5478719610989474E-2</v>
      </c>
      <c r="E2239" s="21">
        <f t="shared" ca="1" si="173"/>
        <v>1.1044444197030817E-4</v>
      </c>
      <c r="F2239" s="11">
        <f t="shared" ca="1" si="174"/>
        <v>3.470832529111461</v>
      </c>
      <c r="G2239" s="10">
        <f t="shared" ca="1" si="171"/>
        <v>0</v>
      </c>
    </row>
    <row r="2240" spans="1:7" x14ac:dyDescent="0.2">
      <c r="A2240" s="2">
        <v>19990113</v>
      </c>
      <c r="B2240" s="13">
        <v>9349.56</v>
      </c>
      <c r="C2240" s="2">
        <f t="shared" si="172"/>
        <v>-1.3205723042889132E-2</v>
      </c>
      <c r="D2240" s="21">
        <f t="shared" ca="1" si="170"/>
        <v>-1.3589675457995999E-2</v>
      </c>
      <c r="E2240" s="21">
        <f t="shared" ca="1" si="173"/>
        <v>1.1457619500553137E-4</v>
      </c>
      <c r="F2240" s="11">
        <f t="shared" ca="1" si="174"/>
        <v>3.7312118236490148</v>
      </c>
      <c r="G2240" s="10">
        <f t="shared" ca="1" si="171"/>
        <v>0</v>
      </c>
    </row>
    <row r="2241" spans="1:7" x14ac:dyDescent="0.2">
      <c r="A2241" s="2">
        <v>19990114</v>
      </c>
      <c r="B2241" s="13">
        <v>9120.93</v>
      </c>
      <c r="C2241" s="2">
        <f t="shared" si="172"/>
        <v>-2.4453557172743872E-2</v>
      </c>
      <c r="D2241" s="21">
        <f t="shared" ca="1" si="170"/>
        <v>-2.4837509587850741E-2</v>
      </c>
      <c r="E2241" s="21">
        <f t="shared" ca="1" si="173"/>
        <v>1.1647973023258037E-4</v>
      </c>
      <c r="F2241" s="11">
        <f t="shared" ca="1" si="174"/>
        <v>1.8807883374381715</v>
      </c>
      <c r="G2241" s="10">
        <f t="shared" ca="1" si="171"/>
        <v>0</v>
      </c>
    </row>
    <row r="2242" spans="1:7" x14ac:dyDescent="0.2">
      <c r="A2242" s="2">
        <v>19990115</v>
      </c>
      <c r="B2242" s="13">
        <v>9340.5499999999993</v>
      </c>
      <c r="C2242" s="2">
        <f t="shared" si="172"/>
        <v>2.40786849586609E-2</v>
      </c>
      <c r="D2242" s="21">
        <f t="shared" ca="1" si="170"/>
        <v>2.3694732543554031E-2</v>
      </c>
      <c r="E2242" s="21">
        <f t="shared" ca="1" si="173"/>
        <v>1.3418054479643216E-4</v>
      </c>
      <c r="F2242" s="11">
        <f t="shared" ca="1" si="174"/>
        <v>2.3660542774956768</v>
      </c>
      <c r="G2242" s="10">
        <f t="shared" ca="1" si="171"/>
        <v>0</v>
      </c>
    </row>
    <row r="2243" spans="1:7" x14ac:dyDescent="0.2">
      <c r="A2243" s="2">
        <v>19990119</v>
      </c>
      <c r="B2243" s="13">
        <v>9355.2199999999993</v>
      </c>
      <c r="C2243" s="2">
        <f t="shared" si="172"/>
        <v>1.5705713260996488E-3</v>
      </c>
      <c r="D2243" s="21">
        <f t="shared" ca="1" si="170"/>
        <v>1.1866189109927816E-3</v>
      </c>
      <c r="E2243" s="21">
        <f t="shared" ca="1" si="173"/>
        <v>1.4894645194522431E-4</v>
      </c>
      <c r="F2243" s="11">
        <f t="shared" ca="1" si="174"/>
        <v>4.4012351025968286</v>
      </c>
      <c r="G2243" s="10">
        <f t="shared" ca="1" si="171"/>
        <v>1</v>
      </c>
    </row>
    <row r="2244" spans="1:7" x14ac:dyDescent="0.2">
      <c r="A2244" s="2">
        <v>19990120</v>
      </c>
      <c r="B2244" s="13">
        <v>9335.91</v>
      </c>
      <c r="C2244" s="2">
        <f t="shared" si="172"/>
        <v>-2.0640882844015951E-3</v>
      </c>
      <c r="D2244" s="21">
        <f t="shared" ca="1" si="170"/>
        <v>-2.4480406995084623E-3</v>
      </c>
      <c r="E2244" s="21">
        <f t="shared" ca="1" si="173"/>
        <v>1.423719819952837E-4</v>
      </c>
      <c r="F2244" s="11">
        <f t="shared" ca="1" si="174"/>
        <v>4.407487028528827</v>
      </c>
      <c r="G2244" s="10">
        <f t="shared" ca="1" si="171"/>
        <v>1</v>
      </c>
    </row>
    <row r="2245" spans="1:7" x14ac:dyDescent="0.2">
      <c r="A2245" s="2">
        <v>19990121</v>
      </c>
      <c r="B2245" s="13">
        <v>9264.08</v>
      </c>
      <c r="C2245" s="2">
        <f t="shared" si="172"/>
        <v>-7.6939473495352814E-3</v>
      </c>
      <c r="D2245" s="21">
        <f t="shared" ca="1" si="170"/>
        <v>-8.0778997646421494E-3</v>
      </c>
      <c r="E2245" s="21">
        <f t="shared" ca="1" si="173"/>
        <v>1.3629870917384441E-4</v>
      </c>
      <c r="F2245" s="11">
        <f t="shared" ca="1" si="174"/>
        <v>4.2109578346740966</v>
      </c>
      <c r="G2245" s="10">
        <f t="shared" ca="1" si="171"/>
        <v>1</v>
      </c>
    </row>
    <row r="2246" spans="1:7" x14ac:dyDescent="0.2">
      <c r="A2246" s="2">
        <v>19990122</v>
      </c>
      <c r="B2246" s="13">
        <v>9120.67</v>
      </c>
      <c r="C2246" s="2">
        <f t="shared" si="172"/>
        <v>-1.548022037806235E-2</v>
      </c>
      <c r="D2246" s="21">
        <f t="shared" ca="1" si="170"/>
        <v>-1.5864172793169217E-2</v>
      </c>
      <c r="E2246" s="21">
        <f t="shared" ca="1" si="173"/>
        <v>1.3271176276465071E-4</v>
      </c>
      <c r="F2246" s="11">
        <f t="shared" ca="1" si="174"/>
        <v>3.5154753170576178</v>
      </c>
      <c r="G2246" s="10">
        <f t="shared" ca="1" si="171"/>
        <v>0</v>
      </c>
    </row>
    <row r="2247" spans="1:7" x14ac:dyDescent="0.2">
      <c r="A2247" s="2">
        <v>19990125</v>
      </c>
      <c r="B2247" s="13">
        <v>9203.32</v>
      </c>
      <c r="C2247" s="2">
        <f t="shared" si="172"/>
        <v>9.0618342731399824E-3</v>
      </c>
      <c r="D2247" s="21">
        <f t="shared" ca="1" si="170"/>
        <v>8.6778818580331152E-3</v>
      </c>
      <c r="E2247" s="21">
        <f t="shared" ca="1" si="173"/>
        <v>1.3616125217516583E-4</v>
      </c>
      <c r="F2247" s="11">
        <f t="shared" ca="1" si="174"/>
        <v>4.1743042783090614</v>
      </c>
      <c r="G2247" s="10">
        <f t="shared" ca="1" si="171"/>
        <v>1</v>
      </c>
    </row>
    <row r="2248" spans="1:7" x14ac:dyDescent="0.2">
      <c r="A2248" s="2">
        <v>19990126</v>
      </c>
      <c r="B2248" s="13">
        <v>9324.58</v>
      </c>
      <c r="C2248" s="2">
        <f t="shared" si="172"/>
        <v>1.3175680080666566E-2</v>
      </c>
      <c r="D2248" s="21">
        <f t="shared" ca="1" si="170"/>
        <v>1.2791727665559699E-2</v>
      </c>
      <c r="E2248" s="21">
        <f t="shared" ca="1" si="173"/>
        <v>1.3295093233581798E-4</v>
      </c>
      <c r="F2248" s="11">
        <f t="shared" ca="1" si="174"/>
        <v>3.8473942126628473</v>
      </c>
      <c r="G2248" s="10">
        <f t="shared" ca="1" si="171"/>
        <v>0</v>
      </c>
    </row>
    <row r="2249" spans="1:7" x14ac:dyDescent="0.2">
      <c r="A2249" s="2">
        <v>19990127</v>
      </c>
      <c r="B2249" s="13">
        <v>9200.23</v>
      </c>
      <c r="C2249" s="2">
        <f t="shared" si="172"/>
        <v>-1.3335721287178658E-2</v>
      </c>
      <c r="D2249" s="21">
        <f t="shared" ca="1" si="170"/>
        <v>-1.3719673702285525E-2</v>
      </c>
      <c r="E2249" s="21">
        <f t="shared" ca="1" si="173"/>
        <v>1.3315080217292432E-4</v>
      </c>
      <c r="F2249" s="11">
        <f t="shared" ca="1" si="174"/>
        <v>3.7551860501107903</v>
      </c>
      <c r="G2249" s="10">
        <f t="shared" ca="1" si="171"/>
        <v>0</v>
      </c>
    </row>
    <row r="2250" spans="1:7" x14ac:dyDescent="0.2">
      <c r="A2250" s="2">
        <v>19990128</v>
      </c>
      <c r="B2250" s="13">
        <v>9281.33</v>
      </c>
      <c r="C2250" s="2">
        <f t="shared" si="172"/>
        <v>8.8149970163789778E-3</v>
      </c>
      <c r="D2250" s="21">
        <f t="shared" ca="1" si="170"/>
        <v>8.4310446012721106E-3</v>
      </c>
      <c r="E2250" s="21">
        <f t="shared" ca="1" si="173"/>
        <v>1.3424518776307805E-4</v>
      </c>
      <c r="F2250" s="11">
        <f t="shared" ca="1" si="174"/>
        <v>4.1931725042292998</v>
      </c>
      <c r="G2250" s="10">
        <f t="shared" ca="1" si="171"/>
        <v>1</v>
      </c>
    </row>
    <row r="2251" spans="1:7" x14ac:dyDescent="0.2">
      <c r="A2251" s="2">
        <v>19990129</v>
      </c>
      <c r="B2251" s="13">
        <v>9358.83</v>
      </c>
      <c r="C2251" s="2">
        <f t="shared" si="172"/>
        <v>8.3500963762736594E-3</v>
      </c>
      <c r="D2251" s="21">
        <f t="shared" ca="1" si="170"/>
        <v>7.9661439611667922E-3</v>
      </c>
      <c r="E2251" s="21">
        <f t="shared" ca="1" si="173"/>
        <v>1.3097651073965748E-4</v>
      </c>
      <c r="F2251" s="11">
        <f t="shared" ca="1" si="174"/>
        <v>4.2279912012413821</v>
      </c>
      <c r="G2251" s="10">
        <f t="shared" ca="1" si="171"/>
        <v>1</v>
      </c>
    </row>
    <row r="2252" spans="1:7" x14ac:dyDescent="0.2">
      <c r="A2252" s="2">
        <v>19990201</v>
      </c>
      <c r="B2252" s="13">
        <v>9345.7000000000007</v>
      </c>
      <c r="C2252" s="2">
        <f t="shared" si="172"/>
        <v>-1.4029531469210573E-3</v>
      </c>
      <c r="D2252" s="21">
        <f t="shared" ca="1" si="170"/>
        <v>-1.7869055620279247E-3</v>
      </c>
      <c r="E2252" s="21">
        <f t="shared" ca="1" si="173"/>
        <v>1.2759288380950989E-4</v>
      </c>
      <c r="F2252" s="11">
        <f t="shared" ca="1" si="174"/>
        <v>4.4708204023730538</v>
      </c>
      <c r="G2252" s="10">
        <f t="shared" ca="1" si="171"/>
        <v>1</v>
      </c>
    </row>
    <row r="2253" spans="1:7" x14ac:dyDescent="0.2">
      <c r="A2253" s="2">
        <v>19990202</v>
      </c>
      <c r="B2253" s="13">
        <v>9274.1200000000008</v>
      </c>
      <c r="C2253" s="2">
        <f t="shared" si="172"/>
        <v>-7.6591373572873003E-3</v>
      </c>
      <c r="D2253" s="21">
        <f t="shared" ca="1" si="170"/>
        <v>-8.0430897723941675E-3</v>
      </c>
      <c r="E2253" s="21">
        <f t="shared" ca="1" si="173"/>
        <v>1.2216433425750212E-4</v>
      </c>
      <c r="F2253" s="11">
        <f t="shared" ca="1" si="174"/>
        <v>4.2403001063085588</v>
      </c>
      <c r="G2253" s="10">
        <f t="shared" ca="1" si="171"/>
        <v>1</v>
      </c>
    </row>
    <row r="2254" spans="1:7" x14ac:dyDescent="0.2">
      <c r="A2254" s="2">
        <v>19990203</v>
      </c>
      <c r="B2254" s="13">
        <v>9366.81</v>
      </c>
      <c r="C2254" s="2">
        <f t="shared" si="172"/>
        <v>9.9944792605658195E-3</v>
      </c>
      <c r="D2254" s="21">
        <f t="shared" ref="D2254:D2317" ca="1" si="175">(C2254-mu)</f>
        <v>9.6105268454589523E-3</v>
      </c>
      <c r="E2254" s="21">
        <f t="shared" ca="1" si="173"/>
        <v>1.1927181527261883E-4</v>
      </c>
      <c r="F2254" s="11">
        <f t="shared" ca="1" si="174"/>
        <v>4.1298605825708981</v>
      </c>
      <c r="G2254" s="10">
        <f t="shared" ref="G2254:G2317" ca="1" si="176">IF(AND(C2254&lt;=mu+zvalue*SQRT(E2254),C2254&gt;=mu-zvalue*SQRT(E2254)),1,0)</f>
        <v>1</v>
      </c>
    </row>
    <row r="2255" spans="1:7" x14ac:dyDescent="0.2">
      <c r="A2255" s="2">
        <v>19990204</v>
      </c>
      <c r="B2255" s="13">
        <v>9304.5</v>
      </c>
      <c r="C2255" s="2">
        <f t="shared" ref="C2255:C2318" si="177">(B2255-B2254)/B2254</f>
        <v>-6.6522113718543979E-3</v>
      </c>
      <c r="D2255" s="21">
        <f t="shared" ca="1" si="175"/>
        <v>-7.036163786961265E-3</v>
      </c>
      <c r="E2255" s="21">
        <f t="shared" ref="E2255:E2318" ca="1" si="178">(1-alpha-beta)*longvar+alpha*D2254^2+beta*E2254</f>
        <v>1.1754313830264691E-4</v>
      </c>
      <c r="F2255" s="11">
        <f t="shared" ref="F2255:F2318" ca="1" si="179">(-0.5)*(LN(E2255)+D2255^2/E2255)</f>
        <v>4.3137592528474604</v>
      </c>
      <c r="G2255" s="10">
        <f t="shared" ca="1" si="176"/>
        <v>1</v>
      </c>
    </row>
    <row r="2256" spans="1:7" x14ac:dyDescent="0.2">
      <c r="A2256" s="2">
        <v>19990205</v>
      </c>
      <c r="B2256" s="13">
        <v>9304.24</v>
      </c>
      <c r="C2256" s="2">
        <f t="shared" si="177"/>
        <v>-2.7943468214328365E-5</v>
      </c>
      <c r="D2256" s="21">
        <f t="shared" ca="1" si="175"/>
        <v>-4.1189588332119566E-4</v>
      </c>
      <c r="E2256" s="21">
        <f t="shared" ca="1" si="178"/>
        <v>1.1432607626724644E-4</v>
      </c>
      <c r="F2256" s="11">
        <f t="shared" ca="1" si="179"/>
        <v>4.5374859445218529</v>
      </c>
      <c r="G2256" s="10">
        <f t="shared" ca="1" si="176"/>
        <v>1</v>
      </c>
    </row>
    <row r="2257" spans="1:7" x14ac:dyDescent="0.2">
      <c r="A2257" s="2">
        <v>19990208</v>
      </c>
      <c r="B2257" s="13">
        <v>9291.11</v>
      </c>
      <c r="C2257" s="2">
        <f t="shared" si="177"/>
        <v>-1.4111845782137176E-3</v>
      </c>
      <c r="D2257" s="21">
        <f t="shared" ca="1" si="175"/>
        <v>-1.7951369933205848E-3</v>
      </c>
      <c r="E2257" s="21">
        <f t="shared" ca="1" si="178"/>
        <v>1.0945752416303788E-4</v>
      </c>
      <c r="F2257" s="11">
        <f t="shared" ca="1" si="179"/>
        <v>4.5452665967288528</v>
      </c>
      <c r="G2257" s="10">
        <f t="shared" ca="1" si="176"/>
        <v>1</v>
      </c>
    </row>
    <row r="2258" spans="1:7" x14ac:dyDescent="0.2">
      <c r="A2258" s="2">
        <v>19990209</v>
      </c>
      <c r="B2258" s="13">
        <v>9133.0300000000007</v>
      </c>
      <c r="C2258" s="2">
        <f t="shared" si="177"/>
        <v>-1.7014113491283595E-2</v>
      </c>
      <c r="D2258" s="21">
        <f t="shared" ca="1" si="175"/>
        <v>-1.7398065906390463E-2</v>
      </c>
      <c r="E2258" s="21">
        <f t="shared" ca="1" si="178"/>
        <v>1.0494753265420232E-4</v>
      </c>
      <c r="F2258" s="11">
        <f t="shared" ca="1" si="179"/>
        <v>3.1389106055480056</v>
      </c>
      <c r="G2258" s="10">
        <f t="shared" ca="1" si="176"/>
        <v>0</v>
      </c>
    </row>
    <row r="2259" spans="1:7" x14ac:dyDescent="0.2">
      <c r="A2259" s="2">
        <v>19990210</v>
      </c>
      <c r="B2259" s="13">
        <v>9177.31</v>
      </c>
      <c r="C2259" s="2">
        <f t="shared" si="177"/>
        <v>4.8483362038664966E-3</v>
      </c>
      <c r="D2259" s="21">
        <f t="shared" ca="1" si="175"/>
        <v>4.4643837887596294E-3</v>
      </c>
      <c r="E2259" s="21">
        <f t="shared" ca="1" si="178"/>
        <v>1.1167774452525843E-4</v>
      </c>
      <c r="F2259" s="11">
        <f t="shared" ca="1" si="179"/>
        <v>4.460713368311823</v>
      </c>
      <c r="G2259" s="10">
        <f t="shared" ca="1" si="176"/>
        <v>1</v>
      </c>
    </row>
    <row r="2260" spans="1:7" x14ac:dyDescent="0.2">
      <c r="A2260" s="2">
        <v>19990211</v>
      </c>
      <c r="B2260" s="13">
        <v>9363.4599999999991</v>
      </c>
      <c r="C2260" s="2">
        <f t="shared" si="177"/>
        <v>2.0283721482656645E-2</v>
      </c>
      <c r="D2260" s="21">
        <f t="shared" ca="1" si="175"/>
        <v>1.9899769067549776E-2</v>
      </c>
      <c r="E2260" s="21">
        <f t="shared" ca="1" si="178"/>
        <v>1.0766982123741751E-4</v>
      </c>
      <c r="F2260" s="11">
        <f t="shared" ca="1" si="179"/>
        <v>2.7292614480232862</v>
      </c>
      <c r="G2260" s="10">
        <f t="shared" ca="1" si="176"/>
        <v>0</v>
      </c>
    </row>
    <row r="2261" spans="1:7" x14ac:dyDescent="0.2">
      <c r="A2261" s="2">
        <v>19990212</v>
      </c>
      <c r="B2261" s="13">
        <v>9274.89</v>
      </c>
      <c r="C2261" s="2">
        <f t="shared" si="177"/>
        <v>-9.4591102007163721E-3</v>
      </c>
      <c r="D2261" s="21">
        <f t="shared" ca="1" si="175"/>
        <v>-9.8430626158232393E-3</v>
      </c>
      <c r="E2261" s="21">
        <f t="shared" ca="1" si="178"/>
        <v>1.1769341381874098E-4</v>
      </c>
      <c r="F2261" s="11">
        <f t="shared" ca="1" si="179"/>
        <v>4.1121109329577079</v>
      </c>
      <c r="G2261" s="10">
        <f t="shared" ca="1" si="176"/>
        <v>1</v>
      </c>
    </row>
    <row r="2262" spans="1:7" x14ac:dyDescent="0.2">
      <c r="A2262" s="2">
        <v>19990216</v>
      </c>
      <c r="B2262" s="13">
        <v>9297.0300000000007</v>
      </c>
      <c r="C2262" s="2">
        <f t="shared" si="177"/>
        <v>2.3870903051142643E-3</v>
      </c>
      <c r="D2262" s="21">
        <f t="shared" ca="1" si="175"/>
        <v>2.0031378900073971E-3</v>
      </c>
      <c r="E2262" s="21">
        <f t="shared" ca="1" si="178"/>
        <v>1.162109314060365E-4</v>
      </c>
      <c r="F2262" s="11">
        <f t="shared" ca="1" si="179"/>
        <v>4.5127876913006544</v>
      </c>
      <c r="G2262" s="10">
        <f t="shared" ca="1" si="176"/>
        <v>1</v>
      </c>
    </row>
    <row r="2263" spans="1:7" x14ac:dyDescent="0.2">
      <c r="A2263" s="2">
        <v>19990217</v>
      </c>
      <c r="B2263" s="13">
        <v>9195.4699999999993</v>
      </c>
      <c r="C2263" s="2">
        <f t="shared" si="177"/>
        <v>-1.0923918713825953E-2</v>
      </c>
      <c r="D2263" s="21">
        <f t="shared" ca="1" si="175"/>
        <v>-1.130787112893282E-2</v>
      </c>
      <c r="E2263" s="21">
        <f t="shared" ca="1" si="178"/>
        <v>1.113883341198421E-4</v>
      </c>
      <c r="F2263" s="11">
        <f t="shared" ca="1" si="179"/>
        <v>3.9772702741475041</v>
      </c>
      <c r="G2263" s="10">
        <f t="shared" ca="1" si="176"/>
        <v>0</v>
      </c>
    </row>
    <row r="2264" spans="1:7" x14ac:dyDescent="0.2">
      <c r="A2264" s="2">
        <v>19990218</v>
      </c>
      <c r="B2264" s="13">
        <v>9298.6299999999992</v>
      </c>
      <c r="C2264" s="2">
        <f t="shared" si="177"/>
        <v>1.1218567403297477E-2</v>
      </c>
      <c r="D2264" s="21">
        <f t="shared" ca="1" si="175"/>
        <v>1.083461498819061E-2</v>
      </c>
      <c r="E2264" s="21">
        <f t="shared" ca="1" si="178"/>
        <v>1.1136409249464751E-4</v>
      </c>
      <c r="F2264" s="11">
        <f t="shared" ca="1" si="179"/>
        <v>4.0243028416828928</v>
      </c>
      <c r="G2264" s="10">
        <f t="shared" ca="1" si="176"/>
        <v>0</v>
      </c>
    </row>
    <row r="2265" spans="1:7" x14ac:dyDescent="0.2">
      <c r="A2265" s="2">
        <v>19990219</v>
      </c>
      <c r="B2265" s="13">
        <v>9339.9500000000007</v>
      </c>
      <c r="C2265" s="2">
        <f t="shared" si="177"/>
        <v>4.4436653571549283E-3</v>
      </c>
      <c r="D2265" s="21">
        <f t="shared" ca="1" si="175"/>
        <v>4.0597129420480611E-3</v>
      </c>
      <c r="E2265" s="21">
        <f t="shared" ca="1" si="178"/>
        <v>1.1095574365136896E-4</v>
      </c>
      <c r="F2265" s="11">
        <f t="shared" ca="1" si="179"/>
        <v>4.4789200080666767</v>
      </c>
      <c r="G2265" s="10">
        <f t="shared" ca="1" si="176"/>
        <v>1</v>
      </c>
    </row>
    <row r="2266" spans="1:7" x14ac:dyDescent="0.2">
      <c r="A2266" s="2">
        <v>19990222</v>
      </c>
      <c r="B2266" s="13">
        <v>9552.68</v>
      </c>
      <c r="C2266" s="2">
        <f t="shared" si="177"/>
        <v>2.2776353192468863E-2</v>
      </c>
      <c r="D2266" s="21">
        <f t="shared" ca="1" si="175"/>
        <v>2.2392400777361994E-2</v>
      </c>
      <c r="E2266" s="21">
        <f t="shared" ca="1" si="178"/>
        <v>1.0685750419951494E-4</v>
      </c>
      <c r="F2266" s="11">
        <f t="shared" ca="1" si="179"/>
        <v>2.2258003428412989</v>
      </c>
      <c r="G2266" s="10">
        <f t="shared" ca="1" si="176"/>
        <v>0</v>
      </c>
    </row>
    <row r="2267" spans="1:7" x14ac:dyDescent="0.2">
      <c r="A2267" s="2">
        <v>19990223</v>
      </c>
      <c r="B2267" s="13">
        <v>9544.42</v>
      </c>
      <c r="C2267" s="2">
        <f t="shared" si="177"/>
        <v>-8.646788126473637E-4</v>
      </c>
      <c r="D2267" s="21">
        <f t="shared" ca="1" si="175"/>
        <v>-1.2486312277542309E-3</v>
      </c>
      <c r="E2267" s="21">
        <f t="shared" ca="1" si="178"/>
        <v>1.2079862564300072E-4</v>
      </c>
      <c r="F2267" s="11">
        <f t="shared" ca="1" si="179"/>
        <v>4.5042396059496665</v>
      </c>
      <c r="G2267" s="10">
        <f t="shared" ca="1" si="176"/>
        <v>1</v>
      </c>
    </row>
    <row r="2268" spans="1:7" x14ac:dyDescent="0.2">
      <c r="A2268" s="2">
        <v>19990224</v>
      </c>
      <c r="B2268" s="13">
        <v>9399.67</v>
      </c>
      <c r="C2268" s="2">
        <f t="shared" si="177"/>
        <v>-1.5165929412159147E-2</v>
      </c>
      <c r="D2268" s="21">
        <f t="shared" ca="1" si="175"/>
        <v>-1.5549881827266014E-2</v>
      </c>
      <c r="E2268" s="21">
        <f t="shared" ca="1" si="178"/>
        <v>1.1565371659748892E-4</v>
      </c>
      <c r="F2268" s="11">
        <f t="shared" ca="1" si="179"/>
        <v>3.4870981013406199</v>
      </c>
      <c r="G2268" s="10">
        <f t="shared" ca="1" si="176"/>
        <v>0</v>
      </c>
    </row>
    <row r="2269" spans="1:7" x14ac:dyDescent="0.2">
      <c r="A2269" s="2">
        <v>19990225</v>
      </c>
      <c r="B2269" s="13">
        <v>9366.34</v>
      </c>
      <c r="C2269" s="2">
        <f t="shared" si="177"/>
        <v>-3.545869163491902E-3</v>
      </c>
      <c r="D2269" s="21">
        <f t="shared" ca="1" si="175"/>
        <v>-3.9298215785987696E-3</v>
      </c>
      <c r="E2269" s="21">
        <f t="shared" ca="1" si="178"/>
        <v>1.1960312508446144E-4</v>
      </c>
      <c r="F2269" s="11">
        <f t="shared" ca="1" si="179"/>
        <v>4.451104363393565</v>
      </c>
      <c r="G2269" s="10">
        <f t="shared" ca="1" si="176"/>
        <v>1</v>
      </c>
    </row>
    <row r="2270" spans="1:7" x14ac:dyDescent="0.2">
      <c r="A2270" s="2">
        <v>19990226</v>
      </c>
      <c r="B2270" s="13">
        <v>9306.58</v>
      </c>
      <c r="C2270" s="2">
        <f t="shared" si="177"/>
        <v>-6.3802936899578933E-3</v>
      </c>
      <c r="D2270" s="21">
        <f t="shared" ca="1" si="175"/>
        <v>-6.7642461050647605E-3</v>
      </c>
      <c r="E2270" s="21">
        <f t="shared" ca="1" si="178"/>
        <v>1.1502925108739605E-4</v>
      </c>
      <c r="F2270" s="11">
        <f t="shared" ca="1" si="179"/>
        <v>4.3362777470900404</v>
      </c>
      <c r="G2270" s="10">
        <f t="shared" ca="1" si="176"/>
        <v>1</v>
      </c>
    </row>
    <row r="2271" spans="1:7" x14ac:dyDescent="0.2">
      <c r="A2271" s="2">
        <v>19990301</v>
      </c>
      <c r="B2271" s="13">
        <v>9324.7800000000007</v>
      </c>
      <c r="C2271" s="2">
        <f t="shared" si="177"/>
        <v>1.9556056037771906E-3</v>
      </c>
      <c r="D2271" s="21">
        <f t="shared" ca="1" si="175"/>
        <v>1.5716531886703234E-3</v>
      </c>
      <c r="E2271" s="21">
        <f t="shared" ca="1" si="178"/>
        <v>1.118013786818512E-4</v>
      </c>
      <c r="F2271" s="11">
        <f t="shared" ca="1" si="179"/>
        <v>4.5383465381619885</v>
      </c>
      <c r="G2271" s="10">
        <f t="shared" ca="1" si="176"/>
        <v>1</v>
      </c>
    </row>
    <row r="2272" spans="1:7" x14ac:dyDescent="0.2">
      <c r="A2272" s="2">
        <v>19990302</v>
      </c>
      <c r="B2272" s="13">
        <v>9297.61</v>
      </c>
      <c r="C2272" s="2">
        <f t="shared" si="177"/>
        <v>-2.9137416646827135E-3</v>
      </c>
      <c r="D2272" s="21">
        <f t="shared" ca="1" si="175"/>
        <v>-3.2976940797895806E-3</v>
      </c>
      <c r="E2272" s="21">
        <f t="shared" ca="1" si="178"/>
        <v>1.0714514289076821E-4</v>
      </c>
      <c r="F2272" s="11">
        <f t="shared" ca="1" si="179"/>
        <v>4.5199151637015893</v>
      </c>
      <c r="G2272" s="10">
        <f t="shared" ca="1" si="176"/>
        <v>1</v>
      </c>
    </row>
    <row r="2273" spans="1:7" x14ac:dyDescent="0.2">
      <c r="A2273" s="2">
        <v>19990303</v>
      </c>
      <c r="B2273" s="13">
        <v>9275.8799999999992</v>
      </c>
      <c r="C2273" s="2">
        <f t="shared" si="177"/>
        <v>-2.3371597647138761E-3</v>
      </c>
      <c r="D2273" s="21">
        <f t="shared" ca="1" si="175"/>
        <v>-2.7211121798207433E-3</v>
      </c>
      <c r="E2273" s="21">
        <f t="shared" ca="1" si="178"/>
        <v>1.0303352281964383E-4</v>
      </c>
      <c r="F2273" s="11">
        <f t="shared" ca="1" si="179"/>
        <v>4.5542958345739049</v>
      </c>
      <c r="G2273" s="10">
        <f t="shared" ca="1" si="176"/>
        <v>1</v>
      </c>
    </row>
    <row r="2274" spans="1:7" x14ac:dyDescent="0.2">
      <c r="A2274" s="2">
        <v>19990304</v>
      </c>
      <c r="B2274" s="13">
        <v>9467.4</v>
      </c>
      <c r="C2274" s="2">
        <f t="shared" si="177"/>
        <v>2.0647097633863357E-2</v>
      </c>
      <c r="D2274" s="21">
        <f t="shared" ca="1" si="175"/>
        <v>2.0263145218756488E-2</v>
      </c>
      <c r="E2274" s="21">
        <f t="shared" ca="1" si="178"/>
        <v>9.9002300693649435E-5</v>
      </c>
      <c r="F2274" s="11">
        <f t="shared" ca="1" si="179"/>
        <v>2.5365195302219159</v>
      </c>
      <c r="G2274" s="10">
        <f t="shared" ca="1" si="176"/>
        <v>0</v>
      </c>
    </row>
    <row r="2275" spans="1:7" x14ac:dyDescent="0.2">
      <c r="A2275" s="2">
        <v>19990305</v>
      </c>
      <c r="B2275" s="13">
        <v>9736.08</v>
      </c>
      <c r="C2275" s="2">
        <f t="shared" si="177"/>
        <v>2.8379491729513942E-2</v>
      </c>
      <c r="D2275" s="21">
        <f t="shared" ca="1" si="175"/>
        <v>2.7995539314407073E-2</v>
      </c>
      <c r="E2275" s="21">
        <f t="shared" ca="1" si="178"/>
        <v>1.1000104187196699E-4</v>
      </c>
      <c r="F2275" s="11">
        <f t="shared" ca="1" si="179"/>
        <v>0.99504309562232818</v>
      </c>
      <c r="G2275" s="10">
        <f t="shared" ca="1" si="176"/>
        <v>0</v>
      </c>
    </row>
    <row r="2276" spans="1:7" x14ac:dyDescent="0.2">
      <c r="A2276" s="2">
        <v>19990308</v>
      </c>
      <c r="B2276" s="13">
        <v>9727.61</v>
      </c>
      <c r="C2276" s="2">
        <f t="shared" si="177"/>
        <v>-8.6995998389488842E-4</v>
      </c>
      <c r="D2276" s="21">
        <f t="shared" ca="1" si="175"/>
        <v>-1.2539123990017557E-3</v>
      </c>
      <c r="E2276" s="21">
        <f t="shared" ca="1" si="178"/>
        <v>1.341649201624533E-4</v>
      </c>
      <c r="F2276" s="11">
        <f t="shared" ca="1" si="179"/>
        <v>4.4523608180311012</v>
      </c>
      <c r="G2276" s="10">
        <f t="shared" ca="1" si="176"/>
        <v>1</v>
      </c>
    </row>
    <row r="2277" spans="1:7" x14ac:dyDescent="0.2">
      <c r="A2277" s="2">
        <v>19990309</v>
      </c>
      <c r="B2277" s="13">
        <v>9693.76</v>
      </c>
      <c r="C2277" s="2">
        <f t="shared" si="177"/>
        <v>-3.4797858877977593E-3</v>
      </c>
      <c r="D2277" s="21">
        <f t="shared" ca="1" si="175"/>
        <v>-3.8637383029046265E-3</v>
      </c>
      <c r="E2277" s="21">
        <f t="shared" ca="1" si="178"/>
        <v>1.2834429186484578E-4</v>
      </c>
      <c r="F2277" s="11">
        <f t="shared" ca="1" si="179"/>
        <v>4.4222391441480253</v>
      </c>
      <c r="G2277" s="10">
        <f t="shared" ca="1" si="176"/>
        <v>1</v>
      </c>
    </row>
    <row r="2278" spans="1:7" x14ac:dyDescent="0.2">
      <c r="A2278" s="2">
        <v>19990310</v>
      </c>
      <c r="B2278" s="13">
        <v>9772.84</v>
      </c>
      <c r="C2278" s="2">
        <f t="shared" si="177"/>
        <v>8.1578252401544836E-3</v>
      </c>
      <c r="D2278" s="21">
        <f t="shared" ca="1" si="175"/>
        <v>7.7738728250476164E-3</v>
      </c>
      <c r="E2278" s="21">
        <f t="shared" ca="1" si="178"/>
        <v>1.2330926103171021E-4</v>
      </c>
      <c r="F2278" s="11">
        <f t="shared" ca="1" si="179"/>
        <v>4.2553606431989204</v>
      </c>
      <c r="G2278" s="10">
        <f t="shared" ca="1" si="176"/>
        <v>1</v>
      </c>
    </row>
    <row r="2279" spans="1:7" x14ac:dyDescent="0.2">
      <c r="A2279" s="2">
        <v>19990311</v>
      </c>
      <c r="B2279" s="13">
        <v>9897.44</v>
      </c>
      <c r="C2279" s="2">
        <f t="shared" si="177"/>
        <v>1.2749620376471973E-2</v>
      </c>
      <c r="D2279" s="21">
        <f t="shared" ca="1" si="175"/>
        <v>1.2365667961365106E-2</v>
      </c>
      <c r="E2279" s="21">
        <f t="shared" ca="1" si="178"/>
        <v>1.2020223858172663E-4</v>
      </c>
      <c r="F2279" s="11">
        <f t="shared" ca="1" si="179"/>
        <v>3.8771154743254033</v>
      </c>
      <c r="G2279" s="10">
        <f t="shared" ca="1" si="176"/>
        <v>0</v>
      </c>
    </row>
    <row r="2280" spans="1:7" x14ac:dyDescent="0.2">
      <c r="A2280" s="2">
        <v>19990312</v>
      </c>
      <c r="B2280" s="13">
        <v>9876.35</v>
      </c>
      <c r="C2280" s="2">
        <f t="shared" si="177"/>
        <v>-2.1308540390242471E-3</v>
      </c>
      <c r="D2280" s="21">
        <f t="shared" ca="1" si="175"/>
        <v>-2.5148064541311143E-3</v>
      </c>
      <c r="E2280" s="21">
        <f t="shared" ca="1" si="178"/>
        <v>1.2065292914158161E-4</v>
      </c>
      <c r="F2280" s="11">
        <f t="shared" ca="1" si="179"/>
        <v>4.4850877983164121</v>
      </c>
      <c r="G2280" s="10">
        <f t="shared" ca="1" si="176"/>
        <v>1</v>
      </c>
    </row>
    <row r="2281" spans="1:7" x14ac:dyDescent="0.2">
      <c r="A2281" s="2">
        <v>19990315</v>
      </c>
      <c r="B2281" s="13">
        <v>9958.77</v>
      </c>
      <c r="C2281" s="2">
        <f t="shared" si="177"/>
        <v>8.3451882527452014E-3</v>
      </c>
      <c r="D2281" s="21">
        <f t="shared" ca="1" si="175"/>
        <v>7.9612358376383342E-3</v>
      </c>
      <c r="E2281" s="21">
        <f t="shared" ca="1" si="178"/>
        <v>1.1569061460848071E-4</v>
      </c>
      <c r="F2281" s="11">
        <f t="shared" ca="1" si="179"/>
        <v>4.2583697756633949</v>
      </c>
      <c r="G2281" s="10">
        <f t="shared" ca="1" si="176"/>
        <v>1</v>
      </c>
    </row>
    <row r="2282" spans="1:7" x14ac:dyDescent="0.2">
      <c r="A2282" s="2">
        <v>19990316</v>
      </c>
      <c r="B2282" s="13">
        <v>9930.4699999999993</v>
      </c>
      <c r="C2282" s="2">
        <f t="shared" si="177"/>
        <v>-2.8417163967037183E-3</v>
      </c>
      <c r="D2282" s="21">
        <f t="shared" ca="1" si="175"/>
        <v>-3.2256688118105854E-3</v>
      </c>
      <c r="E2282" s="21">
        <f t="shared" ca="1" si="178"/>
        <v>1.1307743161887138E-4</v>
      </c>
      <c r="F2282" s="11">
        <f t="shared" ca="1" si="179"/>
        <v>4.4977108411620641</v>
      </c>
      <c r="G2282" s="10">
        <f t="shared" ca="1" si="176"/>
        <v>1</v>
      </c>
    </row>
    <row r="2283" spans="1:7" x14ac:dyDescent="0.2">
      <c r="A2283" s="2">
        <v>19990317</v>
      </c>
      <c r="B2283" s="13">
        <v>9879.41</v>
      </c>
      <c r="C2283" s="2">
        <f t="shared" si="177"/>
        <v>-5.1417505918651884E-3</v>
      </c>
      <c r="D2283" s="21">
        <f t="shared" ca="1" si="175"/>
        <v>-5.5257030069720556E-3</v>
      </c>
      <c r="E2283" s="21">
        <f t="shared" ca="1" si="178"/>
        <v>1.0864841801459296E-4</v>
      </c>
      <c r="F2283" s="11">
        <f t="shared" ca="1" si="179"/>
        <v>4.4231820335063983</v>
      </c>
      <c r="G2283" s="10">
        <f t="shared" ca="1" si="176"/>
        <v>1</v>
      </c>
    </row>
    <row r="2284" spans="1:7" x14ac:dyDescent="0.2">
      <c r="A2284" s="2">
        <v>19990318</v>
      </c>
      <c r="B2284" s="13">
        <v>9997.6200000000008</v>
      </c>
      <c r="C2284" s="2">
        <f t="shared" si="177"/>
        <v>1.196528942517832E-2</v>
      </c>
      <c r="D2284" s="21">
        <f t="shared" ca="1" si="175"/>
        <v>1.1581337010071453E-2</v>
      </c>
      <c r="E2284" s="21">
        <f t="shared" ca="1" si="178"/>
        <v>1.0518362808177657E-4</v>
      </c>
      <c r="F2284" s="11">
        <f t="shared" ca="1" si="179"/>
        <v>3.9423147372736547</v>
      </c>
      <c r="G2284" s="10">
        <f t="shared" ca="1" si="176"/>
        <v>0</v>
      </c>
    </row>
    <row r="2285" spans="1:7" x14ac:dyDescent="0.2">
      <c r="A2285" s="2">
        <v>19990319</v>
      </c>
      <c r="B2285" s="13">
        <v>9903.5499999999993</v>
      </c>
      <c r="C2285" s="2">
        <f t="shared" si="177"/>
        <v>-9.4092393989771081E-3</v>
      </c>
      <c r="D2285" s="21">
        <f t="shared" ca="1" si="175"/>
        <v>-9.7931918140839753E-3</v>
      </c>
      <c r="E2285" s="21">
        <f t="shared" ca="1" si="178"/>
        <v>1.0570345428772968E-4</v>
      </c>
      <c r="F2285" s="11">
        <f t="shared" ca="1" si="179"/>
        <v>4.1237776858901674</v>
      </c>
      <c r="G2285" s="10">
        <f t="shared" ca="1" si="176"/>
        <v>1</v>
      </c>
    </row>
    <row r="2286" spans="1:7" x14ac:dyDescent="0.2">
      <c r="A2286" s="2">
        <v>19990322</v>
      </c>
      <c r="B2286" s="13">
        <v>9890.51</v>
      </c>
      <c r="C2286" s="2">
        <f t="shared" si="177"/>
        <v>-1.3166995673267723E-3</v>
      </c>
      <c r="D2286" s="21">
        <f t="shared" ca="1" si="175"/>
        <v>-1.7006519824336397E-3</v>
      </c>
      <c r="E2286" s="21">
        <f t="shared" ca="1" si="178"/>
        <v>1.0479153819631753E-4</v>
      </c>
      <c r="F2286" s="11">
        <f t="shared" ca="1" si="179"/>
        <v>4.5679689056175876</v>
      </c>
      <c r="G2286" s="10">
        <f t="shared" ca="1" si="176"/>
        <v>1</v>
      </c>
    </row>
    <row r="2287" spans="1:7" x14ac:dyDescent="0.2">
      <c r="A2287" s="2">
        <v>19990323</v>
      </c>
      <c r="B2287" s="13">
        <v>9671.83</v>
      </c>
      <c r="C2287" s="2">
        <f t="shared" si="177"/>
        <v>-2.2110083302074441E-2</v>
      </c>
      <c r="D2287" s="21">
        <f t="shared" ca="1" si="175"/>
        <v>-2.249403571718131E-2</v>
      </c>
      <c r="E2287" s="21">
        <f t="shared" ca="1" si="178"/>
        <v>1.005054547586848E-4</v>
      </c>
      <c r="F2287" s="11">
        <f t="shared" ca="1" si="179"/>
        <v>2.0854642949181796</v>
      </c>
      <c r="G2287" s="10">
        <f t="shared" ca="1" si="176"/>
        <v>0</v>
      </c>
    </row>
    <row r="2288" spans="1:7" x14ac:dyDescent="0.2">
      <c r="A2288" s="2">
        <v>19990324</v>
      </c>
      <c r="B2288" s="13">
        <v>9666.84</v>
      </c>
      <c r="C2288" s="2">
        <f t="shared" si="177"/>
        <v>-5.1593131806491443E-4</v>
      </c>
      <c r="D2288" s="21">
        <f t="shared" ca="1" si="175"/>
        <v>-8.9988373317178173E-4</v>
      </c>
      <c r="E2288" s="21">
        <f t="shared" ca="1" si="178"/>
        <v>1.1493568229349978E-4</v>
      </c>
      <c r="F2288" s="11">
        <f t="shared" ca="1" si="179"/>
        <v>4.5320461357098853</v>
      </c>
      <c r="G2288" s="10">
        <f t="shared" ca="1" si="176"/>
        <v>1</v>
      </c>
    </row>
    <row r="2289" spans="1:7" x14ac:dyDescent="0.2">
      <c r="A2289" s="2">
        <v>19990325</v>
      </c>
      <c r="B2289" s="13">
        <v>9836.39</v>
      </c>
      <c r="C2289" s="2">
        <f t="shared" si="177"/>
        <v>1.753934067389129E-2</v>
      </c>
      <c r="D2289" s="21">
        <f t="shared" ca="1" si="175"/>
        <v>1.7155388258784422E-2</v>
      </c>
      <c r="E2289" s="21">
        <f t="shared" ca="1" si="178"/>
        <v>1.1005982880996235E-4</v>
      </c>
      <c r="F2289" s="11">
        <f t="shared" ca="1" si="179"/>
        <v>3.2202097660216706</v>
      </c>
      <c r="G2289" s="10">
        <f t="shared" ca="1" si="176"/>
        <v>0</v>
      </c>
    </row>
    <row r="2290" spans="1:7" x14ac:dyDescent="0.2">
      <c r="A2290" s="2">
        <v>19990326</v>
      </c>
      <c r="B2290" s="13">
        <v>9822.24</v>
      </c>
      <c r="C2290" s="2">
        <f t="shared" si="177"/>
        <v>-1.438535885624669E-3</v>
      </c>
      <c r="D2290" s="21">
        <f t="shared" ca="1" si="175"/>
        <v>-1.8224883007315362E-3</v>
      </c>
      <c r="E2290" s="21">
        <f t="shared" ca="1" si="178"/>
        <v>1.162230639386902E-4</v>
      </c>
      <c r="F2290" s="11">
        <f t="shared" ca="1" si="179"/>
        <v>4.5157104483092825</v>
      </c>
      <c r="G2290" s="10">
        <f t="shared" ca="1" si="176"/>
        <v>1</v>
      </c>
    </row>
    <row r="2291" spans="1:7" x14ac:dyDescent="0.2">
      <c r="A2291" s="2">
        <v>19990329</v>
      </c>
      <c r="B2291" s="13">
        <v>10006.780000000001</v>
      </c>
      <c r="C2291" s="2">
        <f t="shared" si="177"/>
        <v>1.8787975044389151E-2</v>
      </c>
      <c r="D2291" s="21">
        <f t="shared" ca="1" si="175"/>
        <v>1.8404022629282282E-2</v>
      </c>
      <c r="E2291" s="21">
        <f t="shared" ca="1" si="178"/>
        <v>1.1137443999087583E-4</v>
      </c>
      <c r="F2291" s="11">
        <f t="shared" ca="1" si="179"/>
        <v>3.0307238495153772</v>
      </c>
      <c r="G2291" s="10">
        <f t="shared" ca="1" si="176"/>
        <v>0</v>
      </c>
    </row>
    <row r="2292" spans="1:7" x14ac:dyDescent="0.2">
      <c r="A2292" s="2">
        <v>19990330</v>
      </c>
      <c r="B2292" s="13">
        <v>9913.26</v>
      </c>
      <c r="C2292" s="2">
        <f t="shared" si="177"/>
        <v>-9.3456636400520883E-3</v>
      </c>
      <c r="D2292" s="21">
        <f t="shared" ca="1" si="175"/>
        <v>-9.7296160551589555E-3</v>
      </c>
      <c r="E2292" s="21">
        <f t="shared" ca="1" si="178"/>
        <v>1.1910385986850961E-4</v>
      </c>
      <c r="F2292" s="11">
        <f t="shared" ca="1" si="179"/>
        <v>4.1203502808988626</v>
      </c>
      <c r="G2292" s="10">
        <f t="shared" ca="1" si="176"/>
        <v>1</v>
      </c>
    </row>
    <row r="2293" spans="1:7" x14ac:dyDescent="0.2">
      <c r="A2293" s="2">
        <v>19990331</v>
      </c>
      <c r="B2293" s="13">
        <v>9786.16</v>
      </c>
      <c r="C2293" s="2">
        <f t="shared" si="177"/>
        <v>-1.282121118582589E-2</v>
      </c>
      <c r="D2293" s="21">
        <f t="shared" ca="1" si="175"/>
        <v>-1.3205163600932757E-2</v>
      </c>
      <c r="E2293" s="21">
        <f t="shared" ca="1" si="178"/>
        <v>1.1746837258903647E-4</v>
      </c>
      <c r="F2293" s="11">
        <f t="shared" ca="1" si="179"/>
        <v>3.7824439271585324</v>
      </c>
      <c r="G2293" s="10">
        <f t="shared" ca="1" si="176"/>
        <v>0</v>
      </c>
    </row>
    <row r="2294" spans="1:7" x14ac:dyDescent="0.2">
      <c r="A2294" s="2">
        <v>19990401</v>
      </c>
      <c r="B2294" s="13">
        <v>9832.51</v>
      </c>
      <c r="C2294" s="2">
        <f t="shared" si="177"/>
        <v>4.736280624882524E-3</v>
      </c>
      <c r="D2294" s="21">
        <f t="shared" ca="1" si="175"/>
        <v>4.3523282097756568E-3</v>
      </c>
      <c r="E2294" s="21">
        <f t="shared" ca="1" si="178"/>
        <v>1.1884673475203216E-4</v>
      </c>
      <c r="F2294" s="11">
        <f t="shared" ca="1" si="179"/>
        <v>4.4391438455430254</v>
      </c>
      <c r="G2294" s="10">
        <f t="shared" ca="1" si="176"/>
        <v>1</v>
      </c>
    </row>
    <row r="2295" spans="1:7" x14ac:dyDescent="0.2">
      <c r="A2295" s="2">
        <v>19990405</v>
      </c>
      <c r="B2295" s="13">
        <v>10007.33</v>
      </c>
      <c r="C2295" s="2">
        <f t="shared" si="177"/>
        <v>1.7779793765783071E-2</v>
      </c>
      <c r="D2295" s="21">
        <f t="shared" ca="1" si="175"/>
        <v>1.7395841350676202E-2</v>
      </c>
      <c r="E2295" s="21">
        <f t="shared" ca="1" si="178"/>
        <v>1.1443980080889911E-4</v>
      </c>
      <c r="F2295" s="11">
        <f t="shared" ca="1" si="179"/>
        <v>3.2155715045234823</v>
      </c>
      <c r="G2295" s="10">
        <f t="shared" ca="1" si="176"/>
        <v>0</v>
      </c>
    </row>
    <row r="2296" spans="1:7" x14ac:dyDescent="0.2">
      <c r="A2296" s="2">
        <v>19990406</v>
      </c>
      <c r="B2296" s="13">
        <v>9963.49</v>
      </c>
      <c r="C2296" s="2">
        <f t="shared" si="177"/>
        <v>-4.3807888817496924E-3</v>
      </c>
      <c r="D2296" s="21">
        <f t="shared" ca="1" si="175"/>
        <v>-4.7647412968565596E-3</v>
      </c>
      <c r="E2296" s="21">
        <f t="shared" ca="1" si="178"/>
        <v>1.2068694953917228E-4</v>
      </c>
      <c r="F2296" s="11">
        <f t="shared" ca="1" si="179"/>
        <v>4.4170988809691245</v>
      </c>
      <c r="G2296" s="10">
        <f t="shared" ca="1" si="176"/>
        <v>1</v>
      </c>
    </row>
    <row r="2297" spans="1:7" x14ac:dyDescent="0.2">
      <c r="A2297" s="2">
        <v>19990407</v>
      </c>
      <c r="B2297" s="13">
        <v>10085.31</v>
      </c>
      <c r="C2297" s="2">
        <f t="shared" si="177"/>
        <v>1.2226639460670881E-2</v>
      </c>
      <c r="D2297" s="21">
        <f t="shared" ca="1" si="175"/>
        <v>1.1842687045564014E-2</v>
      </c>
      <c r="E2297" s="21">
        <f t="shared" ca="1" si="178"/>
        <v>1.1632518024432951E-4</v>
      </c>
      <c r="F2297" s="11">
        <f t="shared" ca="1" si="179"/>
        <v>3.926727841952065</v>
      </c>
      <c r="G2297" s="10">
        <f t="shared" ca="1" si="176"/>
        <v>0</v>
      </c>
    </row>
    <row r="2298" spans="1:7" x14ac:dyDescent="0.2">
      <c r="A2298" s="2">
        <v>19990408</v>
      </c>
      <c r="B2298" s="13">
        <v>10197.700000000001</v>
      </c>
      <c r="C2298" s="2">
        <f t="shared" si="177"/>
        <v>1.1143931123584822E-2</v>
      </c>
      <c r="D2298" s="21">
        <f t="shared" ca="1" si="175"/>
        <v>1.0759978708477955E-2</v>
      </c>
      <c r="E2298" s="21">
        <f t="shared" ca="1" si="178"/>
        <v>1.1650646348912472E-4</v>
      </c>
      <c r="F2298" s="11">
        <f t="shared" ca="1" si="179"/>
        <v>4.0319118652751333</v>
      </c>
      <c r="G2298" s="10">
        <f t="shared" ca="1" si="176"/>
        <v>1</v>
      </c>
    </row>
    <row r="2299" spans="1:7" x14ac:dyDescent="0.2">
      <c r="A2299" s="2">
        <v>19990409</v>
      </c>
      <c r="B2299" s="13">
        <v>10173.84</v>
      </c>
      <c r="C2299" s="2">
        <f t="shared" si="177"/>
        <v>-2.3397432754445201E-3</v>
      </c>
      <c r="D2299" s="21">
        <f t="shared" ca="1" si="175"/>
        <v>-2.7236956905513873E-3</v>
      </c>
      <c r="E2299" s="21">
        <f t="shared" ca="1" si="178"/>
        <v>1.1577869390508273E-4</v>
      </c>
      <c r="F2299" s="11">
        <f t="shared" ca="1" si="179"/>
        <v>4.4998775070031503</v>
      </c>
      <c r="G2299" s="10">
        <f t="shared" ca="1" si="176"/>
        <v>1</v>
      </c>
    </row>
    <row r="2300" spans="1:7" x14ac:dyDescent="0.2">
      <c r="A2300" s="2">
        <v>19990412</v>
      </c>
      <c r="B2300" s="13">
        <v>10339.51</v>
      </c>
      <c r="C2300" s="2">
        <f t="shared" si="177"/>
        <v>1.628392032900066E-2</v>
      </c>
      <c r="D2300" s="21">
        <f t="shared" ca="1" si="175"/>
        <v>1.5899967913893791E-2</v>
      </c>
      <c r="E2300" s="21">
        <f t="shared" ca="1" si="178"/>
        <v>1.1110320663518567E-4</v>
      </c>
      <c r="F2300" s="11">
        <f t="shared" ca="1" si="179"/>
        <v>3.4148041532643783</v>
      </c>
      <c r="G2300" s="10">
        <f t="shared" ca="1" si="176"/>
        <v>0</v>
      </c>
    </row>
    <row r="2301" spans="1:7" x14ac:dyDescent="0.2">
      <c r="A2301" s="2">
        <v>19990413</v>
      </c>
      <c r="B2301" s="13">
        <v>10395.01</v>
      </c>
      <c r="C2301" s="2">
        <f t="shared" si="177"/>
        <v>5.3677592071577863E-3</v>
      </c>
      <c r="D2301" s="21">
        <f t="shared" ca="1" si="175"/>
        <v>4.9838067920509191E-3</v>
      </c>
      <c r="E2301" s="21">
        <f t="shared" ca="1" si="178"/>
        <v>1.1568768953648499E-4</v>
      </c>
      <c r="F2301" s="11">
        <f t="shared" ca="1" si="179"/>
        <v>4.4249573728675138</v>
      </c>
      <c r="G2301" s="10">
        <f t="shared" ca="1" si="176"/>
        <v>1</v>
      </c>
    </row>
    <row r="2302" spans="1:7" x14ac:dyDescent="0.2">
      <c r="A2302" s="2">
        <v>19990414</v>
      </c>
      <c r="B2302" s="13">
        <v>10411.66</v>
      </c>
      <c r="C2302" s="2">
        <f t="shared" si="177"/>
        <v>1.6017300608657072E-3</v>
      </c>
      <c r="D2302" s="21">
        <f t="shared" ca="1" si="175"/>
        <v>1.2177776457588398E-3</v>
      </c>
      <c r="E2302" s="21">
        <f t="shared" ca="1" si="178"/>
        <v>1.1165736310788155E-4</v>
      </c>
      <c r="F2302" s="11">
        <f t="shared" ca="1" si="179"/>
        <v>4.543397043909116</v>
      </c>
      <c r="G2302" s="10">
        <f t="shared" ca="1" si="176"/>
        <v>1</v>
      </c>
    </row>
    <row r="2303" spans="1:7" x14ac:dyDescent="0.2">
      <c r="A2303" s="2">
        <v>19990415</v>
      </c>
      <c r="B2303" s="13">
        <v>10462.719999999999</v>
      </c>
      <c r="C2303" s="2">
        <f t="shared" si="177"/>
        <v>4.9041171148500326E-3</v>
      </c>
      <c r="D2303" s="21">
        <f t="shared" ca="1" si="175"/>
        <v>4.5201646997431654E-3</v>
      </c>
      <c r="E2303" s="21">
        <f t="shared" ca="1" si="178"/>
        <v>1.0697211530418764E-4</v>
      </c>
      <c r="F2303" s="11">
        <f t="shared" ca="1" si="179"/>
        <v>4.4759701766304554</v>
      </c>
      <c r="G2303" s="10">
        <f t="shared" ca="1" si="176"/>
        <v>1</v>
      </c>
    </row>
    <row r="2304" spans="1:7" x14ac:dyDescent="0.2">
      <c r="A2304" s="2">
        <v>19990416</v>
      </c>
      <c r="B2304" s="13">
        <v>10493.89</v>
      </c>
      <c r="C2304" s="2">
        <f t="shared" si="177"/>
        <v>2.9791488255444163E-3</v>
      </c>
      <c r="D2304" s="21">
        <f t="shared" ca="1" si="175"/>
        <v>2.5951964104375491E-3</v>
      </c>
      <c r="E2304" s="21">
        <f t="shared" ca="1" si="178"/>
        <v>1.0322068010792758E-4</v>
      </c>
      <c r="F2304" s="11">
        <f t="shared" ca="1" si="179"/>
        <v>4.5566961766400391</v>
      </c>
      <c r="G2304" s="10">
        <f t="shared" ca="1" si="176"/>
        <v>1</v>
      </c>
    </row>
    <row r="2305" spans="1:7" x14ac:dyDescent="0.2">
      <c r="A2305" s="2">
        <v>19990419</v>
      </c>
      <c r="B2305" s="13">
        <v>10440.530000000001</v>
      </c>
      <c r="C2305" s="2">
        <f t="shared" si="177"/>
        <v>-5.0848636682868566E-3</v>
      </c>
      <c r="D2305" s="21">
        <f t="shared" ca="1" si="175"/>
        <v>-5.4688160833937238E-3</v>
      </c>
      <c r="E2305" s="21">
        <f t="shared" ca="1" si="178"/>
        <v>9.9155374365710722E-5</v>
      </c>
      <c r="F2305" s="11">
        <f t="shared" ca="1" si="179"/>
        <v>4.4585976933064524</v>
      </c>
      <c r="G2305" s="10">
        <f t="shared" ca="1" si="176"/>
        <v>1</v>
      </c>
    </row>
    <row r="2306" spans="1:7" x14ac:dyDescent="0.2">
      <c r="A2306" s="2">
        <v>19990420</v>
      </c>
      <c r="B2306" s="13">
        <v>10448.549999999999</v>
      </c>
      <c r="C2306" s="2">
        <f t="shared" si="177"/>
        <v>7.6816023707595472E-4</v>
      </c>
      <c r="D2306" s="21">
        <f t="shared" ca="1" si="175"/>
        <v>3.8420782196908743E-4</v>
      </c>
      <c r="E2306" s="21">
        <f t="shared" ca="1" si="178"/>
        <v>9.6147841955371551E-5</v>
      </c>
      <c r="F2306" s="11">
        <f t="shared" ca="1" si="179"/>
        <v>4.6240441160544039</v>
      </c>
      <c r="G2306" s="10">
        <f t="shared" ca="1" si="176"/>
        <v>1</v>
      </c>
    </row>
    <row r="2307" spans="1:7" x14ac:dyDescent="0.2">
      <c r="A2307" s="2">
        <v>19990421</v>
      </c>
      <c r="B2307" s="13">
        <v>10581.42</v>
      </c>
      <c r="C2307" s="2">
        <f t="shared" si="177"/>
        <v>1.2716597039780717E-2</v>
      </c>
      <c r="D2307" s="21">
        <f t="shared" ca="1" si="175"/>
        <v>1.2332644624673849E-2</v>
      </c>
      <c r="E2307" s="21">
        <f t="shared" ca="1" si="178"/>
        <v>9.2198122166722716E-5</v>
      </c>
      <c r="F2307" s="11">
        <f t="shared" ca="1" si="179"/>
        <v>3.8209631565240763</v>
      </c>
      <c r="G2307" s="10">
        <f t="shared" ca="1" si="176"/>
        <v>0</v>
      </c>
    </row>
    <row r="2308" spans="1:7" x14ac:dyDescent="0.2">
      <c r="A2308" s="2">
        <v>19990422</v>
      </c>
      <c r="B2308" s="13">
        <v>10727.18</v>
      </c>
      <c r="C2308" s="2">
        <f t="shared" si="177"/>
        <v>1.3775088787705262E-2</v>
      </c>
      <c r="D2308" s="21">
        <f t="shared" ca="1" si="175"/>
        <v>1.3391136372598395E-2</v>
      </c>
      <c r="E2308" s="21">
        <f t="shared" ca="1" si="178"/>
        <v>9.4035558399802529E-5</v>
      </c>
      <c r="F2308" s="11">
        <f t="shared" ca="1" si="179"/>
        <v>3.682436204889437</v>
      </c>
      <c r="G2308" s="10">
        <f t="shared" ca="1" si="176"/>
        <v>0</v>
      </c>
    </row>
    <row r="2309" spans="1:7" x14ac:dyDescent="0.2">
      <c r="A2309" s="2">
        <v>19990423</v>
      </c>
      <c r="B2309" s="13">
        <v>10689.67</v>
      </c>
      <c r="C2309" s="2">
        <f t="shared" si="177"/>
        <v>-3.4967251411834438E-3</v>
      </c>
      <c r="D2309" s="21">
        <f t="shared" ca="1" si="175"/>
        <v>-3.880677556290311E-3</v>
      </c>
      <c r="E2309" s="21">
        <f t="shared" ca="1" si="178"/>
        <v>9.6781274303362394E-5</v>
      </c>
      <c r="F2309" s="11">
        <f t="shared" ca="1" si="179"/>
        <v>4.5437259729493391</v>
      </c>
      <c r="G2309" s="10">
        <f t="shared" ca="1" si="176"/>
        <v>1</v>
      </c>
    </row>
    <row r="2310" spans="1:7" x14ac:dyDescent="0.2">
      <c r="A2310" s="2">
        <v>19990426</v>
      </c>
      <c r="B2310" s="13">
        <v>10718.59</v>
      </c>
      <c r="C2310" s="2">
        <f t="shared" si="177"/>
        <v>2.7054156021654617E-3</v>
      </c>
      <c r="D2310" s="21">
        <f t="shared" ca="1" si="175"/>
        <v>2.3214631870585945E-3</v>
      </c>
      <c r="E2310" s="21">
        <f t="shared" ca="1" si="178"/>
        <v>9.3347850808862855E-5</v>
      </c>
      <c r="F2310" s="11">
        <f t="shared" ca="1" si="179"/>
        <v>4.6107226777276518</v>
      </c>
      <c r="G2310" s="10">
        <f t="shared" ca="1" si="176"/>
        <v>1</v>
      </c>
    </row>
    <row r="2311" spans="1:7" x14ac:dyDescent="0.2">
      <c r="A2311" s="2">
        <v>19990427</v>
      </c>
      <c r="B2311" s="13">
        <v>10831.71</v>
      </c>
      <c r="C2311" s="2">
        <f t="shared" si="177"/>
        <v>1.0553626922944061E-2</v>
      </c>
      <c r="D2311" s="21">
        <f t="shared" ca="1" si="175"/>
        <v>1.0169674507837194E-2</v>
      </c>
      <c r="E2311" s="21">
        <f t="shared" ca="1" si="178"/>
        <v>8.9732525383985775E-5</v>
      </c>
      <c r="F2311" s="11">
        <f t="shared" ca="1" si="179"/>
        <v>4.0830577340859353</v>
      </c>
      <c r="G2311" s="10">
        <f t="shared" ca="1" si="176"/>
        <v>0</v>
      </c>
    </row>
    <row r="2312" spans="1:7" x14ac:dyDescent="0.2">
      <c r="A2312" s="2">
        <v>19990428</v>
      </c>
      <c r="B2312" s="13">
        <v>10845.45</v>
      </c>
      <c r="C2312" s="2">
        <f t="shared" si="177"/>
        <v>1.2684977718201099E-3</v>
      </c>
      <c r="D2312" s="21">
        <f t="shared" ca="1" si="175"/>
        <v>8.8454535671324264E-4</v>
      </c>
      <c r="E2312" s="21">
        <f t="shared" ca="1" si="178"/>
        <v>8.9904948288695003E-5</v>
      </c>
      <c r="F2312" s="11">
        <f t="shared" ca="1" si="179"/>
        <v>4.6540274118202669</v>
      </c>
      <c r="G2312" s="10">
        <f t="shared" ca="1" si="176"/>
        <v>1</v>
      </c>
    </row>
    <row r="2313" spans="1:7" x14ac:dyDescent="0.2">
      <c r="A2313" s="2">
        <v>19990429</v>
      </c>
      <c r="B2313" s="13">
        <v>10878.38</v>
      </c>
      <c r="C2313" s="2">
        <f t="shared" si="177"/>
        <v>3.0362963270310103E-3</v>
      </c>
      <c r="D2313" s="21">
        <f t="shared" ca="1" si="175"/>
        <v>2.6523439119241431E-3</v>
      </c>
      <c r="E2313" s="21">
        <f t="shared" ca="1" si="178"/>
        <v>8.6294401428483686E-5</v>
      </c>
      <c r="F2313" s="11">
        <f t="shared" ca="1" si="179"/>
        <v>4.6381117088882986</v>
      </c>
      <c r="G2313" s="10">
        <f t="shared" ca="1" si="176"/>
        <v>1</v>
      </c>
    </row>
    <row r="2314" spans="1:7" x14ac:dyDescent="0.2">
      <c r="A2314" s="2">
        <v>19990430</v>
      </c>
      <c r="B2314" s="13">
        <v>10789.04</v>
      </c>
      <c r="C2314" s="2">
        <f t="shared" si="177"/>
        <v>-8.2126198937707943E-3</v>
      </c>
      <c r="D2314" s="21">
        <f t="shared" ca="1" si="175"/>
        <v>-8.5965723088776615E-3</v>
      </c>
      <c r="E2314" s="21">
        <f t="shared" ca="1" si="178"/>
        <v>8.3096428949491777E-5</v>
      </c>
      <c r="F2314" s="11">
        <f t="shared" ca="1" si="179"/>
        <v>4.2530839496163866</v>
      </c>
      <c r="G2314" s="10">
        <f t="shared" ca="1" si="176"/>
        <v>1</v>
      </c>
    </row>
    <row r="2315" spans="1:7" x14ac:dyDescent="0.2">
      <c r="A2315" s="2">
        <v>19990503</v>
      </c>
      <c r="B2315" s="13">
        <v>11014.69</v>
      </c>
      <c r="C2315" s="2">
        <f t="shared" si="177"/>
        <v>2.0914743109674228E-2</v>
      </c>
      <c r="D2315" s="21">
        <f t="shared" ca="1" si="175"/>
        <v>2.0530790694567359E-2</v>
      </c>
      <c r="E2315" s="21">
        <f t="shared" ca="1" si="178"/>
        <v>8.2519027201012832E-5</v>
      </c>
      <c r="F2315" s="11">
        <f t="shared" ca="1" si="179"/>
        <v>2.1472034099809405</v>
      </c>
      <c r="G2315" s="10">
        <f t="shared" ca="1" si="176"/>
        <v>0</v>
      </c>
    </row>
    <row r="2316" spans="1:7" x14ac:dyDescent="0.2">
      <c r="A2316" s="2">
        <v>19990504</v>
      </c>
      <c r="B2316" s="13">
        <v>10886.11</v>
      </c>
      <c r="C2316" s="2">
        <f t="shared" si="177"/>
        <v>-1.1673501478480095E-2</v>
      </c>
      <c r="D2316" s="21">
        <f t="shared" ca="1" si="175"/>
        <v>-1.2057453893586962E-2</v>
      </c>
      <c r="E2316" s="21">
        <f t="shared" ca="1" si="178"/>
        <v>9.4753148023059839E-5</v>
      </c>
      <c r="F2316" s="11">
        <f t="shared" ca="1" si="179"/>
        <v>3.8649548727058018</v>
      </c>
      <c r="G2316" s="10">
        <f t="shared" ca="1" si="176"/>
        <v>0</v>
      </c>
    </row>
    <row r="2317" spans="1:7" x14ac:dyDescent="0.2">
      <c r="A2317" s="2">
        <v>19990505</v>
      </c>
      <c r="B2317" s="13">
        <v>10955.41</v>
      </c>
      <c r="C2317" s="2">
        <f t="shared" si="177"/>
        <v>6.3659103205827676E-3</v>
      </c>
      <c r="D2317" s="21">
        <f t="shared" ca="1" si="175"/>
        <v>5.9819579054759004E-3</v>
      </c>
      <c r="E2317" s="21">
        <f t="shared" ca="1" si="178"/>
        <v>9.621451530655132E-5</v>
      </c>
      <c r="F2317" s="11">
        <f t="shared" ca="1" si="179"/>
        <v>4.4385066287106678</v>
      </c>
      <c r="G2317" s="10">
        <f t="shared" ca="1" si="176"/>
        <v>1</v>
      </c>
    </row>
    <row r="2318" spans="1:7" x14ac:dyDescent="0.2">
      <c r="A2318" s="2">
        <v>19990506</v>
      </c>
      <c r="B2318" s="13">
        <v>10946.82</v>
      </c>
      <c r="C2318" s="2">
        <f t="shared" si="177"/>
        <v>-7.8408749649717772E-4</v>
      </c>
      <c r="D2318" s="21">
        <f t="shared" ref="D2318:D2381" ca="1" si="180">(C2318-mu)</f>
        <v>-1.1680399116040449E-3</v>
      </c>
      <c r="E2318" s="21">
        <f t="shared" ca="1" si="178"/>
        <v>9.3571827961614853E-5</v>
      </c>
      <c r="F2318" s="11">
        <f t="shared" ca="1" si="179"/>
        <v>4.6311003878997399</v>
      </c>
      <c r="G2318" s="10">
        <f t="shared" ref="G2318:G2381" ca="1" si="181">IF(AND(C2318&lt;=mu+zvalue*SQRT(E2318),C2318&gt;=mu-zvalue*SQRT(E2318)),1,0)</f>
        <v>1</v>
      </c>
    </row>
    <row r="2319" spans="1:7" x14ac:dyDescent="0.2">
      <c r="A2319" s="2">
        <v>19990507</v>
      </c>
      <c r="B2319" s="13">
        <v>11031.59</v>
      </c>
      <c r="C2319" s="2">
        <f t="shared" ref="C2319:C2382" si="182">(B2319-B2318)/B2318</f>
        <v>7.7438013962046002E-3</v>
      </c>
      <c r="D2319" s="21">
        <f t="shared" ca="1" si="180"/>
        <v>7.359848981097733E-3</v>
      </c>
      <c r="E2319" s="21">
        <f t="shared" ref="E2319:E2382" ca="1" si="183">(1-alpha-beta)*longvar+alpha*D2318^2+beta*E2318</f>
        <v>8.9797169810784921E-5</v>
      </c>
      <c r="F2319" s="11">
        <f t="shared" ref="F2319:F2382" ca="1" si="184">(-0.5)*(LN(E2319)+D2319^2/E2319)</f>
        <v>4.357368949372451</v>
      </c>
      <c r="G2319" s="10">
        <f t="shared" ca="1" si="181"/>
        <v>1</v>
      </c>
    </row>
    <row r="2320" spans="1:7" x14ac:dyDescent="0.2">
      <c r="A2320" s="2">
        <v>19990510</v>
      </c>
      <c r="B2320" s="13">
        <v>11007.25</v>
      </c>
      <c r="C2320" s="2">
        <f t="shared" si="182"/>
        <v>-2.2063909191694167E-3</v>
      </c>
      <c r="D2320" s="21">
        <f t="shared" ca="1" si="180"/>
        <v>-2.5903433342762839E-3</v>
      </c>
      <c r="E2320" s="21">
        <f t="shared" ca="1" si="183"/>
        <v>8.8155133563751542E-5</v>
      </c>
      <c r="F2320" s="11">
        <f t="shared" ca="1" si="184"/>
        <v>4.6301489872636692</v>
      </c>
      <c r="G2320" s="10">
        <f t="shared" ca="1" si="181"/>
        <v>1</v>
      </c>
    </row>
    <row r="2321" spans="1:7" x14ac:dyDescent="0.2">
      <c r="A2321" s="2">
        <v>19990511</v>
      </c>
      <c r="B2321" s="13">
        <v>11026.15</v>
      </c>
      <c r="C2321" s="2">
        <f t="shared" si="182"/>
        <v>1.71705012605325E-3</v>
      </c>
      <c r="D2321" s="21">
        <f t="shared" ca="1" si="180"/>
        <v>1.3330977109463826E-3</v>
      </c>
      <c r="E2321" s="21">
        <f t="shared" ca="1" si="183"/>
        <v>8.485107339063392E-5</v>
      </c>
      <c r="F2321" s="11">
        <f t="shared" ca="1" si="184"/>
        <v>4.676834289274491</v>
      </c>
      <c r="G2321" s="10">
        <f t="shared" ca="1" si="181"/>
        <v>1</v>
      </c>
    </row>
    <row r="2322" spans="1:7" x14ac:dyDescent="0.2">
      <c r="A2322" s="2">
        <v>19990512</v>
      </c>
      <c r="B2322" s="13">
        <v>11000.37</v>
      </c>
      <c r="C2322" s="2">
        <f t="shared" si="182"/>
        <v>-2.3380781143008973E-3</v>
      </c>
      <c r="D2322" s="21">
        <f t="shared" ca="1" si="180"/>
        <v>-2.7220305294077644E-3</v>
      </c>
      <c r="E2322" s="21">
        <f t="shared" ca="1" si="183"/>
        <v>8.1532781648442713E-5</v>
      </c>
      <c r="F2322" s="11">
        <f t="shared" ca="1" si="184"/>
        <v>4.66181422183862</v>
      </c>
      <c r="G2322" s="10">
        <f t="shared" ca="1" si="181"/>
        <v>1</v>
      </c>
    </row>
    <row r="2323" spans="1:7" x14ac:dyDescent="0.2">
      <c r="A2323" s="2">
        <v>19990513</v>
      </c>
      <c r="B2323" s="13">
        <v>11107.19</v>
      </c>
      <c r="C2323" s="2">
        <f t="shared" si="182"/>
        <v>9.710582462226244E-3</v>
      </c>
      <c r="D2323" s="21">
        <f t="shared" ca="1" si="180"/>
        <v>9.3266300471193768E-3</v>
      </c>
      <c r="E2323" s="21">
        <f t="shared" ca="1" si="183"/>
        <v>7.8589472908941502E-5</v>
      </c>
      <c r="F2323" s="11">
        <f t="shared" ca="1" si="184"/>
        <v>4.1722160447054213</v>
      </c>
      <c r="G2323" s="10">
        <f t="shared" ca="1" si="181"/>
        <v>0</v>
      </c>
    </row>
    <row r="2324" spans="1:7" x14ac:dyDescent="0.2">
      <c r="A2324" s="2">
        <v>19990514</v>
      </c>
      <c r="B2324" s="13">
        <v>10913.32</v>
      </c>
      <c r="C2324" s="2">
        <f t="shared" si="182"/>
        <v>-1.7454459678820727E-2</v>
      </c>
      <c r="D2324" s="21">
        <f t="shared" ca="1" si="180"/>
        <v>-1.7838412093927596E-2</v>
      </c>
      <c r="E2324" s="21">
        <f t="shared" ca="1" si="183"/>
        <v>7.8721236839060022E-5</v>
      </c>
      <c r="F2324" s="11">
        <f t="shared" ca="1" si="184"/>
        <v>2.7036863319772388</v>
      </c>
      <c r="G2324" s="10">
        <f t="shared" ca="1" si="181"/>
        <v>0</v>
      </c>
    </row>
    <row r="2325" spans="1:7" x14ac:dyDescent="0.2">
      <c r="A2325" s="2">
        <v>19990517</v>
      </c>
      <c r="B2325" s="13">
        <v>10853.47</v>
      </c>
      <c r="C2325" s="2">
        <f t="shared" si="182"/>
        <v>-5.4841239879340441E-3</v>
      </c>
      <c r="D2325" s="21">
        <f t="shared" ca="1" si="180"/>
        <v>-5.8680764030409113E-3</v>
      </c>
      <c r="E2325" s="21">
        <f t="shared" ca="1" si="183"/>
        <v>8.7348805209412823E-5</v>
      </c>
      <c r="F2325" s="11">
        <f t="shared" ca="1" si="184"/>
        <v>4.4756924620140133</v>
      </c>
      <c r="G2325" s="10">
        <f t="shared" ca="1" si="181"/>
        <v>1</v>
      </c>
    </row>
    <row r="2326" spans="1:7" x14ac:dyDescent="0.2">
      <c r="A2326" s="2">
        <v>19990518</v>
      </c>
      <c r="B2326" s="13">
        <v>10836.95</v>
      </c>
      <c r="C2326" s="2">
        <f t="shared" si="182"/>
        <v>-1.5220938556976358E-3</v>
      </c>
      <c r="D2326" s="21">
        <f t="shared" ca="1" si="180"/>
        <v>-1.9060462708045032E-3</v>
      </c>
      <c r="E2326" s="21">
        <f t="shared" ca="1" si="183"/>
        <v>8.5105013596790298E-5</v>
      </c>
      <c r="F2326" s="11">
        <f t="shared" ca="1" si="184"/>
        <v>4.6644680137646342</v>
      </c>
      <c r="G2326" s="10">
        <f t="shared" ca="1" si="181"/>
        <v>1</v>
      </c>
    </row>
    <row r="2327" spans="1:7" x14ac:dyDescent="0.2">
      <c r="A2327" s="2">
        <v>19990519</v>
      </c>
      <c r="B2327" s="13">
        <v>10887.39</v>
      </c>
      <c r="C2327" s="2">
        <f t="shared" si="182"/>
        <v>4.65444613106074E-3</v>
      </c>
      <c r="D2327" s="21">
        <f t="shared" ca="1" si="180"/>
        <v>4.2704937159538728E-3</v>
      </c>
      <c r="E2327" s="21">
        <f t="shared" ca="1" si="183"/>
        <v>8.1842118254459983E-5</v>
      </c>
      <c r="F2327" s="11">
        <f t="shared" ca="1" si="184"/>
        <v>4.5939428267365532</v>
      </c>
      <c r="G2327" s="10">
        <f t="shared" ca="1" si="181"/>
        <v>1</v>
      </c>
    </row>
    <row r="2328" spans="1:7" x14ac:dyDescent="0.2">
      <c r="A2328" s="2">
        <v>19990520</v>
      </c>
      <c r="B2328" s="13">
        <v>10866.74</v>
      </c>
      <c r="C2328" s="2">
        <f t="shared" si="182"/>
        <v>-1.8966896565659572E-3</v>
      </c>
      <c r="D2328" s="21">
        <f t="shared" ca="1" si="180"/>
        <v>-2.2806420716728246E-3</v>
      </c>
      <c r="E2328" s="21">
        <f t="shared" ca="1" si="183"/>
        <v>7.9281312272429678E-5</v>
      </c>
      <c r="F2328" s="11">
        <f t="shared" ca="1" si="184"/>
        <v>4.6884510673987849</v>
      </c>
      <c r="G2328" s="10">
        <f t="shared" ca="1" si="181"/>
        <v>1</v>
      </c>
    </row>
    <row r="2329" spans="1:7" x14ac:dyDescent="0.2">
      <c r="A2329" s="2">
        <v>19990521</v>
      </c>
      <c r="B2329" s="13">
        <v>10829.28</v>
      </c>
      <c r="C2329" s="2">
        <f t="shared" si="182"/>
        <v>-3.4472160003827393E-3</v>
      </c>
      <c r="D2329" s="21">
        <f t="shared" ca="1" si="180"/>
        <v>-3.8311684154896065E-3</v>
      </c>
      <c r="E2329" s="21">
        <f t="shared" ca="1" si="183"/>
        <v>7.6370709610625769E-5</v>
      </c>
      <c r="F2329" s="11">
        <f t="shared" ca="1" si="184"/>
        <v>4.6438595800748921</v>
      </c>
      <c r="G2329" s="10">
        <f t="shared" ca="1" si="181"/>
        <v>1</v>
      </c>
    </row>
    <row r="2330" spans="1:7" x14ac:dyDescent="0.2">
      <c r="A2330" s="2">
        <v>19990524</v>
      </c>
      <c r="B2330" s="13">
        <v>10654.67</v>
      </c>
      <c r="C2330" s="2">
        <f t="shared" si="182"/>
        <v>-1.6123878965175947E-2</v>
      </c>
      <c r="D2330" s="21">
        <f t="shared" ca="1" si="180"/>
        <v>-1.6507831380282816E-2</v>
      </c>
      <c r="E2330" s="21">
        <f t="shared" ca="1" si="183"/>
        <v>7.3955823599210796E-5</v>
      </c>
      <c r="F2330" s="11">
        <f t="shared" ca="1" si="184"/>
        <v>2.9136478259843686</v>
      </c>
      <c r="G2330" s="10">
        <f t="shared" ca="1" si="181"/>
        <v>0</v>
      </c>
    </row>
    <row r="2331" spans="1:7" x14ac:dyDescent="0.2">
      <c r="A2331" s="2">
        <v>19990525</v>
      </c>
      <c r="B2331" s="13">
        <v>10531.09</v>
      </c>
      <c r="C2331" s="2">
        <f t="shared" si="182"/>
        <v>-1.1598669879029563E-2</v>
      </c>
      <c r="D2331" s="21">
        <f t="shared" ca="1" si="180"/>
        <v>-1.1982622294136431E-2</v>
      </c>
      <c r="E2331" s="21">
        <f t="shared" ca="1" si="183"/>
        <v>8.1143990483959749E-5</v>
      </c>
      <c r="F2331" s="11">
        <f t="shared" ca="1" si="184"/>
        <v>3.8248991559332359</v>
      </c>
      <c r="G2331" s="10">
        <f t="shared" ca="1" si="181"/>
        <v>0</v>
      </c>
    </row>
    <row r="2332" spans="1:7" x14ac:dyDescent="0.2">
      <c r="A2332" s="2">
        <v>19990526</v>
      </c>
      <c r="B2332" s="13">
        <v>10702.16</v>
      </c>
      <c r="C2332" s="2">
        <f t="shared" si="182"/>
        <v>1.624428240571486E-2</v>
      </c>
      <c r="D2332" s="21">
        <f t="shared" ca="1" si="180"/>
        <v>1.5860329990607991E-2</v>
      </c>
      <c r="E2332" s="21">
        <f t="shared" ca="1" si="183"/>
        <v>8.3227698725465122E-5</v>
      </c>
      <c r="F2332" s="11">
        <f t="shared" ca="1" si="184"/>
        <v>3.1857491290464761</v>
      </c>
      <c r="G2332" s="10">
        <f t="shared" ca="1" si="181"/>
        <v>0</v>
      </c>
    </row>
    <row r="2333" spans="1:7" x14ac:dyDescent="0.2">
      <c r="A2333" s="2">
        <v>19990527</v>
      </c>
      <c r="B2333" s="13">
        <v>10466.93</v>
      </c>
      <c r="C2333" s="2">
        <f t="shared" si="182"/>
        <v>-2.197967513100155E-2</v>
      </c>
      <c r="D2333" s="21">
        <f t="shared" ca="1" si="180"/>
        <v>-2.2363627546108419E-2</v>
      </c>
      <c r="E2333" s="21">
        <f t="shared" ca="1" si="183"/>
        <v>8.9176120348704988E-5</v>
      </c>
      <c r="F2333" s="11">
        <f t="shared" ca="1" si="184"/>
        <v>1.8582683473757715</v>
      </c>
      <c r="G2333" s="10">
        <f t="shared" ca="1" si="181"/>
        <v>0</v>
      </c>
    </row>
    <row r="2334" spans="1:7" x14ac:dyDescent="0.2">
      <c r="A2334" s="2">
        <v>19990528</v>
      </c>
      <c r="B2334" s="13">
        <v>10559.74</v>
      </c>
      <c r="C2334" s="2">
        <f t="shared" si="182"/>
        <v>8.8669743659315087E-3</v>
      </c>
      <c r="D2334" s="21">
        <f t="shared" ca="1" si="180"/>
        <v>8.4830219508246416E-3</v>
      </c>
      <c r="E2334" s="21">
        <f t="shared" ca="1" si="183"/>
        <v>1.0396439506745305E-4</v>
      </c>
      <c r="F2334" s="11">
        <f t="shared" ca="1" si="184"/>
        <v>4.2396430252285349</v>
      </c>
      <c r="G2334" s="10">
        <f t="shared" ca="1" si="181"/>
        <v>1</v>
      </c>
    </row>
    <row r="2335" spans="1:7" x14ac:dyDescent="0.2">
      <c r="A2335" s="2">
        <v>19990601</v>
      </c>
      <c r="B2335" s="13">
        <v>10596.26</v>
      </c>
      <c r="C2335" s="2">
        <f t="shared" si="182"/>
        <v>3.458418483788468E-3</v>
      </c>
      <c r="D2335" s="21">
        <f t="shared" ca="1" si="180"/>
        <v>3.0744660686816009E-3</v>
      </c>
      <c r="E2335" s="21">
        <f t="shared" ca="1" si="183"/>
        <v>1.0225996113673443E-4</v>
      </c>
      <c r="F2335" s="11">
        <f t="shared" ca="1" si="184"/>
        <v>4.5477789572810607</v>
      </c>
      <c r="G2335" s="10">
        <f t="shared" ca="1" si="181"/>
        <v>1</v>
      </c>
    </row>
    <row r="2336" spans="1:7" x14ac:dyDescent="0.2">
      <c r="A2336" s="2">
        <v>19990602</v>
      </c>
      <c r="B2336" s="13">
        <v>10577.89</v>
      </c>
      <c r="C2336" s="2">
        <f t="shared" si="182"/>
        <v>-1.7336305451169374E-3</v>
      </c>
      <c r="D2336" s="21">
        <f t="shared" ca="1" si="180"/>
        <v>-2.1175829602238048E-3</v>
      </c>
      <c r="E2336" s="21">
        <f t="shared" ca="1" si="183"/>
        <v>9.8343178246126643E-5</v>
      </c>
      <c r="F2336" s="11">
        <f t="shared" ca="1" si="184"/>
        <v>4.5907251699874383</v>
      </c>
      <c r="G2336" s="10">
        <f t="shared" ca="1" si="181"/>
        <v>1</v>
      </c>
    </row>
    <row r="2337" spans="1:7" x14ac:dyDescent="0.2">
      <c r="A2337" s="2">
        <v>19990603</v>
      </c>
      <c r="B2337" s="13">
        <v>10663.69</v>
      </c>
      <c r="C2337" s="2">
        <f t="shared" si="182"/>
        <v>8.1112584834972853E-3</v>
      </c>
      <c r="D2337" s="21">
        <f t="shared" ca="1" si="180"/>
        <v>7.7273060683904181E-3</v>
      </c>
      <c r="E2337" s="21">
        <f t="shared" ca="1" si="183"/>
        <v>9.4441857890731909E-5</v>
      </c>
      <c r="F2337" s="11">
        <f t="shared" ca="1" si="184"/>
        <v>4.3176359984353923</v>
      </c>
      <c r="G2337" s="10">
        <f t="shared" ca="1" si="181"/>
        <v>1</v>
      </c>
    </row>
    <row r="2338" spans="1:7" x14ac:dyDescent="0.2">
      <c r="A2338" s="2">
        <v>19990604</v>
      </c>
      <c r="B2338" s="13">
        <v>10799.84</v>
      </c>
      <c r="C2338" s="2">
        <f t="shared" si="182"/>
        <v>1.2767625465481425E-2</v>
      </c>
      <c r="D2338" s="21">
        <f t="shared" ca="1" si="180"/>
        <v>1.2383673050374558E-2</v>
      </c>
      <c r="E2338" s="21">
        <f t="shared" ca="1" si="183"/>
        <v>9.2768703567262234E-5</v>
      </c>
      <c r="F2338" s="11">
        <f t="shared" ca="1" si="184"/>
        <v>3.8161537670454666</v>
      </c>
      <c r="G2338" s="10">
        <f t="shared" ca="1" si="181"/>
        <v>0</v>
      </c>
    </row>
    <row r="2339" spans="1:7" x14ac:dyDescent="0.2">
      <c r="A2339" s="2">
        <v>19990607</v>
      </c>
      <c r="B2339" s="13">
        <v>10909.38</v>
      </c>
      <c r="C2339" s="2">
        <f t="shared" si="182"/>
        <v>1.0142742855449622E-2</v>
      </c>
      <c r="D2339" s="21">
        <f t="shared" ca="1" si="180"/>
        <v>9.7587904403427551E-3</v>
      </c>
      <c r="E2339" s="21">
        <f t="shared" ca="1" si="183"/>
        <v>9.4623651704455367E-5</v>
      </c>
      <c r="F2339" s="11">
        <f t="shared" ca="1" si="184"/>
        <v>4.1295764598501625</v>
      </c>
      <c r="G2339" s="10">
        <f t="shared" ca="1" si="181"/>
        <v>0</v>
      </c>
    </row>
    <row r="2340" spans="1:7" x14ac:dyDescent="0.2">
      <c r="A2340" s="2">
        <v>19990608</v>
      </c>
      <c r="B2340" s="13">
        <v>10765.64</v>
      </c>
      <c r="C2340" s="2">
        <f t="shared" si="182"/>
        <v>-1.3175817507502699E-2</v>
      </c>
      <c r="D2340" s="21">
        <f t="shared" ca="1" si="180"/>
        <v>-1.3559769922609566E-2</v>
      </c>
      <c r="E2340" s="21">
        <f t="shared" ca="1" si="183"/>
        <v>9.4247533244148159E-5</v>
      </c>
      <c r="F2340" s="11">
        <f t="shared" ca="1" si="184"/>
        <v>3.6593437599508061</v>
      </c>
      <c r="G2340" s="10">
        <f t="shared" ca="1" si="181"/>
        <v>0</v>
      </c>
    </row>
    <row r="2341" spans="1:7" x14ac:dyDescent="0.2">
      <c r="A2341" s="2">
        <v>19990609</v>
      </c>
      <c r="B2341" s="13">
        <v>10690.29</v>
      </c>
      <c r="C2341" s="2">
        <f t="shared" si="182"/>
        <v>-6.9991194206752731E-3</v>
      </c>
      <c r="D2341" s="21">
        <f t="shared" ca="1" si="180"/>
        <v>-7.3830718357821403E-3</v>
      </c>
      <c r="E2341" s="21">
        <f t="shared" ca="1" si="183"/>
        <v>9.7149646494977047E-5</v>
      </c>
      <c r="F2341" s="11">
        <f t="shared" ca="1" si="184"/>
        <v>4.3390837295419242</v>
      </c>
      <c r="G2341" s="10">
        <f t="shared" ca="1" si="181"/>
        <v>1</v>
      </c>
    </row>
    <row r="2342" spans="1:7" x14ac:dyDescent="0.2">
      <c r="A2342" s="2">
        <v>19990610</v>
      </c>
      <c r="B2342" s="13">
        <v>10621.27</v>
      </c>
      <c r="C2342" s="2">
        <f t="shared" si="182"/>
        <v>-6.4563262549472865E-3</v>
      </c>
      <c r="D2342" s="21">
        <f t="shared" ca="1" si="180"/>
        <v>-6.8402786700541536E-3</v>
      </c>
      <c r="E2342" s="21">
        <f t="shared" ca="1" si="183"/>
        <v>9.5148235673845393E-5</v>
      </c>
      <c r="F2342" s="11">
        <f t="shared" ca="1" si="184"/>
        <v>4.3841608483547247</v>
      </c>
      <c r="G2342" s="10">
        <f t="shared" ca="1" si="181"/>
        <v>1</v>
      </c>
    </row>
    <row r="2343" spans="1:7" x14ac:dyDescent="0.2">
      <c r="A2343" s="2">
        <v>19990611</v>
      </c>
      <c r="B2343" s="13">
        <v>10490.51</v>
      </c>
      <c r="C2343" s="2">
        <f t="shared" si="182"/>
        <v>-1.2311145465655256E-2</v>
      </c>
      <c r="D2343" s="21">
        <f t="shared" ca="1" si="180"/>
        <v>-1.2695097880762124E-2</v>
      </c>
      <c r="E2343" s="21">
        <f t="shared" ca="1" si="183"/>
        <v>9.2964186597100604E-5</v>
      </c>
      <c r="F2343" s="11">
        <f t="shared" ca="1" si="184"/>
        <v>3.7748330749093864</v>
      </c>
      <c r="G2343" s="10">
        <f t="shared" ca="1" si="181"/>
        <v>0</v>
      </c>
    </row>
    <row r="2344" spans="1:7" x14ac:dyDescent="0.2">
      <c r="A2344" s="2">
        <v>19990614</v>
      </c>
      <c r="B2344" s="13">
        <v>10563.33</v>
      </c>
      <c r="C2344" s="2">
        <f t="shared" si="182"/>
        <v>6.9415118998027462E-3</v>
      </c>
      <c r="D2344" s="21">
        <f t="shared" ca="1" si="180"/>
        <v>6.557559484695879E-3</v>
      </c>
      <c r="E2344" s="21">
        <f t="shared" ca="1" si="183"/>
        <v>9.5096438108776971E-5</v>
      </c>
      <c r="F2344" s="11">
        <f t="shared" ca="1" si="184"/>
        <v>4.4042148999567621</v>
      </c>
      <c r="G2344" s="10">
        <f t="shared" ca="1" si="181"/>
        <v>1</v>
      </c>
    </row>
    <row r="2345" spans="1:7" x14ac:dyDescent="0.2">
      <c r="A2345" s="2">
        <v>19990615</v>
      </c>
      <c r="B2345" s="13">
        <v>10594.99</v>
      </c>
      <c r="C2345" s="2">
        <f t="shared" si="182"/>
        <v>2.9971609331526949E-3</v>
      </c>
      <c r="D2345" s="21">
        <f t="shared" ca="1" si="180"/>
        <v>2.6132085180458277E-3</v>
      </c>
      <c r="E2345" s="21">
        <f t="shared" ca="1" si="183"/>
        <v>9.2775724516255332E-5</v>
      </c>
      <c r="F2345" s="11">
        <f t="shared" ca="1" si="184"/>
        <v>4.6058597235098757</v>
      </c>
      <c r="G2345" s="10">
        <f t="shared" ca="1" si="181"/>
        <v>1</v>
      </c>
    </row>
    <row r="2346" spans="1:7" x14ac:dyDescent="0.2">
      <c r="A2346" s="2">
        <v>19990616</v>
      </c>
      <c r="B2346" s="13">
        <v>10784.95</v>
      </c>
      <c r="C2346" s="2">
        <f t="shared" si="182"/>
        <v>1.7929228814751213E-2</v>
      </c>
      <c r="D2346" s="21">
        <f t="shared" ca="1" si="180"/>
        <v>1.7545276399644344E-2</v>
      </c>
      <c r="E2346" s="21">
        <f t="shared" ca="1" si="183"/>
        <v>8.9242282234027229E-5</v>
      </c>
      <c r="F2346" s="11">
        <f t="shared" ca="1" si="184"/>
        <v>2.9373531799558137</v>
      </c>
      <c r="G2346" s="10">
        <f t="shared" ca="1" si="181"/>
        <v>0</v>
      </c>
    </row>
    <row r="2347" spans="1:7" x14ac:dyDescent="0.2">
      <c r="A2347" s="2">
        <v>19990617</v>
      </c>
      <c r="B2347" s="13">
        <v>10841.63</v>
      </c>
      <c r="C2347" s="2">
        <f t="shared" si="182"/>
        <v>5.2554717453487006E-3</v>
      </c>
      <c r="D2347" s="21">
        <f t="shared" ca="1" si="180"/>
        <v>4.8715193302418334E-3</v>
      </c>
      <c r="E2347" s="21">
        <f t="shared" ca="1" si="183"/>
        <v>9.6956182736901604E-5</v>
      </c>
      <c r="F2347" s="11">
        <f t="shared" ca="1" si="184"/>
        <v>4.4982420657395297</v>
      </c>
      <c r="G2347" s="10">
        <f t="shared" ca="1" si="181"/>
        <v>1</v>
      </c>
    </row>
    <row r="2348" spans="1:7" x14ac:dyDescent="0.2">
      <c r="A2348" s="2">
        <v>19990618</v>
      </c>
      <c r="B2348" s="13">
        <v>10855.56</v>
      </c>
      <c r="C2348" s="2">
        <f t="shared" si="182"/>
        <v>1.2848621471125922E-3</v>
      </c>
      <c r="D2348" s="21">
        <f t="shared" ca="1" si="180"/>
        <v>9.0090973200572489E-4</v>
      </c>
      <c r="E2348" s="21">
        <f t="shared" ca="1" si="183"/>
        <v>9.3832796703919585E-5</v>
      </c>
      <c r="F2348" s="11">
        <f t="shared" ca="1" si="184"/>
        <v>4.6326731407908079</v>
      </c>
      <c r="G2348" s="10">
        <f t="shared" ca="1" si="181"/>
        <v>1</v>
      </c>
    </row>
    <row r="2349" spans="1:7" x14ac:dyDescent="0.2">
      <c r="A2349" s="2">
        <v>19990621</v>
      </c>
      <c r="B2349" s="13">
        <v>10815.98</v>
      </c>
      <c r="C2349" s="2">
        <f t="shared" si="182"/>
        <v>-3.6460578726477426E-3</v>
      </c>
      <c r="D2349" s="21">
        <f t="shared" ca="1" si="180"/>
        <v>-4.0300102877546097E-3</v>
      </c>
      <c r="E2349" s="21">
        <f t="shared" ca="1" si="183"/>
        <v>9.0024613090704632E-5</v>
      </c>
      <c r="F2349" s="11">
        <f t="shared" ca="1" si="184"/>
        <v>4.5675107088436562</v>
      </c>
      <c r="G2349" s="10">
        <f t="shared" ca="1" si="181"/>
        <v>1</v>
      </c>
    </row>
    <row r="2350" spans="1:7" x14ac:dyDescent="0.2">
      <c r="A2350" s="2">
        <v>19990622</v>
      </c>
      <c r="B2350" s="13">
        <v>10721.63</v>
      </c>
      <c r="C2350" s="2">
        <f t="shared" si="182"/>
        <v>-8.7232040000074298E-3</v>
      </c>
      <c r="D2350" s="21">
        <f t="shared" ca="1" si="180"/>
        <v>-9.107156415114297E-3</v>
      </c>
      <c r="E2350" s="21">
        <f t="shared" ca="1" si="183"/>
        <v>8.6976450680735612E-5</v>
      </c>
      <c r="F2350" s="11">
        <f t="shared" ca="1" si="184"/>
        <v>4.1981391393526177</v>
      </c>
      <c r="G2350" s="10">
        <f t="shared" ca="1" si="181"/>
        <v>1</v>
      </c>
    </row>
    <row r="2351" spans="1:7" x14ac:dyDescent="0.2">
      <c r="A2351" s="2">
        <v>19990623</v>
      </c>
      <c r="B2351" s="13">
        <v>10666.86</v>
      </c>
      <c r="C2351" s="2">
        <f t="shared" si="182"/>
        <v>-5.1083650527017459E-3</v>
      </c>
      <c r="D2351" s="21">
        <f t="shared" ca="1" si="180"/>
        <v>-5.4923174678086131E-3</v>
      </c>
      <c r="E2351" s="21">
        <f t="shared" ca="1" si="183"/>
        <v>8.6535146085267551E-5</v>
      </c>
      <c r="F2351" s="11">
        <f t="shared" ca="1" si="184"/>
        <v>4.5031834278923455</v>
      </c>
      <c r="G2351" s="10">
        <f t="shared" ca="1" si="181"/>
        <v>1</v>
      </c>
    </row>
    <row r="2352" spans="1:7" x14ac:dyDescent="0.2">
      <c r="A2352" s="2">
        <v>19990624</v>
      </c>
      <c r="B2352" s="13">
        <v>10534.83</v>
      </c>
      <c r="C2352" s="2">
        <f t="shared" si="182"/>
        <v>-1.2377588156214729E-2</v>
      </c>
      <c r="D2352" s="21">
        <f t="shared" ca="1" si="180"/>
        <v>-1.2761540571321596E-2</v>
      </c>
      <c r="E2352" s="21">
        <f t="shared" ca="1" si="183"/>
        <v>8.4175547647483053E-5</v>
      </c>
      <c r="F2352" s="11">
        <f t="shared" ca="1" si="184"/>
        <v>3.7239382783449293</v>
      </c>
      <c r="G2352" s="10">
        <f t="shared" ca="1" si="181"/>
        <v>0</v>
      </c>
    </row>
    <row r="2353" spans="1:7" x14ac:dyDescent="0.2">
      <c r="A2353" s="2">
        <v>19990625</v>
      </c>
      <c r="B2353" s="13">
        <v>10552.56</v>
      </c>
      <c r="C2353" s="2">
        <f t="shared" si="182"/>
        <v>1.6829887145781721E-3</v>
      </c>
      <c r="D2353" s="21">
        <f t="shared" ca="1" si="180"/>
        <v>1.2990362994713049E-3</v>
      </c>
      <c r="E2353" s="21">
        <f t="shared" ca="1" si="183"/>
        <v>8.6814615306346035E-5</v>
      </c>
      <c r="F2353" s="11">
        <f t="shared" ca="1" si="184"/>
        <v>4.6661488270645552</v>
      </c>
      <c r="G2353" s="10">
        <f t="shared" ca="1" si="181"/>
        <v>1</v>
      </c>
    </row>
    <row r="2354" spans="1:7" x14ac:dyDescent="0.2">
      <c r="A2354" s="2">
        <v>19990628</v>
      </c>
      <c r="B2354" s="13">
        <v>10655.15</v>
      </c>
      <c r="C2354" s="2">
        <f t="shared" si="182"/>
        <v>9.7218115793703281E-3</v>
      </c>
      <c r="D2354" s="21">
        <f t="shared" ca="1" si="180"/>
        <v>9.3378591642634609E-3</v>
      </c>
      <c r="E2354" s="21">
        <f t="shared" ca="1" si="183"/>
        <v>8.3393690590655495E-5</v>
      </c>
      <c r="F2354" s="11">
        <f t="shared" ca="1" si="184"/>
        <v>4.1731739229851383</v>
      </c>
      <c r="G2354" s="10">
        <f t="shared" ca="1" si="181"/>
        <v>0</v>
      </c>
    </row>
    <row r="2355" spans="1:7" x14ac:dyDescent="0.2">
      <c r="A2355" s="2">
        <v>19990629</v>
      </c>
      <c r="B2355" s="13">
        <v>10815.35</v>
      </c>
      <c r="C2355" s="2">
        <f t="shared" si="182"/>
        <v>1.5034983083297817E-2</v>
      </c>
      <c r="D2355" s="21">
        <f t="shared" ca="1" si="180"/>
        <v>1.4651030668190949E-2</v>
      </c>
      <c r="E2355" s="21">
        <f t="shared" ca="1" si="183"/>
        <v>8.3290114399850321E-5</v>
      </c>
      <c r="F2355" s="11">
        <f t="shared" ca="1" si="184"/>
        <v>3.4080058524413541</v>
      </c>
      <c r="G2355" s="10">
        <f t="shared" ca="1" si="181"/>
        <v>0</v>
      </c>
    </row>
    <row r="2356" spans="1:7" x14ac:dyDescent="0.2">
      <c r="A2356" s="2">
        <v>19990630</v>
      </c>
      <c r="B2356" s="13">
        <v>10970.8</v>
      </c>
      <c r="C2356" s="2">
        <f t="shared" si="182"/>
        <v>1.4373090098794667E-2</v>
      </c>
      <c r="D2356" s="21">
        <f t="shared" ca="1" si="180"/>
        <v>1.39891376836878E-2</v>
      </c>
      <c r="E2356" s="21">
        <f t="shared" ca="1" si="183"/>
        <v>8.7878597756102349E-5</v>
      </c>
      <c r="F2356" s="11">
        <f t="shared" ca="1" si="184"/>
        <v>3.5563321188047055</v>
      </c>
      <c r="G2356" s="10">
        <f t="shared" ca="1" si="181"/>
        <v>0</v>
      </c>
    </row>
    <row r="2357" spans="1:7" x14ac:dyDescent="0.2">
      <c r="A2357" s="2">
        <v>19990701</v>
      </c>
      <c r="B2357" s="13">
        <v>11066.42</v>
      </c>
      <c r="C2357" s="2">
        <f t="shared" si="182"/>
        <v>8.7158639297043802E-3</v>
      </c>
      <c r="D2357" s="21">
        <f t="shared" ca="1" si="180"/>
        <v>8.331911514597513E-3</v>
      </c>
      <c r="E2357" s="21">
        <f t="shared" ca="1" si="183"/>
        <v>9.1537876295535336E-5</v>
      </c>
      <c r="F2357" s="11">
        <f t="shared" ca="1" si="184"/>
        <v>4.2701874692627273</v>
      </c>
      <c r="G2357" s="10">
        <f t="shared" ca="1" si="181"/>
        <v>1</v>
      </c>
    </row>
    <row r="2358" spans="1:7" x14ac:dyDescent="0.2">
      <c r="A2358" s="2">
        <v>19990702</v>
      </c>
      <c r="B2358" s="13">
        <v>11139.24</v>
      </c>
      <c r="C2358" s="2">
        <f t="shared" si="182"/>
        <v>6.5802671505328474E-3</v>
      </c>
      <c r="D2358" s="21">
        <f t="shared" ca="1" si="180"/>
        <v>6.1963147354259802E-3</v>
      </c>
      <c r="E2358" s="21">
        <f t="shared" ca="1" si="183"/>
        <v>9.0368670272838872E-5</v>
      </c>
      <c r="F2358" s="11">
        <f t="shared" ca="1" si="184"/>
        <v>4.4433748931308843</v>
      </c>
      <c r="G2358" s="10">
        <f t="shared" ca="1" si="181"/>
        <v>1</v>
      </c>
    </row>
    <row r="2359" spans="1:7" x14ac:dyDescent="0.2">
      <c r="A2359" s="2">
        <v>19990706</v>
      </c>
      <c r="B2359" s="13">
        <v>11135.12</v>
      </c>
      <c r="C2359" s="2">
        <f t="shared" si="182"/>
        <v>-3.6986365317552919E-4</v>
      </c>
      <c r="D2359" s="21">
        <f t="shared" ca="1" si="180"/>
        <v>-7.5381606828239648E-4</v>
      </c>
      <c r="E2359" s="21">
        <f t="shared" ca="1" si="183"/>
        <v>8.8117718645923745E-5</v>
      </c>
      <c r="F2359" s="11">
        <f t="shared" ca="1" si="184"/>
        <v>4.665194147197977</v>
      </c>
      <c r="G2359" s="10">
        <f t="shared" ca="1" si="181"/>
        <v>1</v>
      </c>
    </row>
    <row r="2360" spans="1:7" x14ac:dyDescent="0.2">
      <c r="A2360" s="2">
        <v>19990707</v>
      </c>
      <c r="B2360" s="13">
        <v>11187.36</v>
      </c>
      <c r="C2360" s="2">
        <f t="shared" si="182"/>
        <v>4.6914626874249923E-3</v>
      </c>
      <c r="D2360" s="21">
        <f t="shared" ca="1" si="180"/>
        <v>4.3075102723181252E-3</v>
      </c>
      <c r="E2360" s="21">
        <f t="shared" ca="1" si="183"/>
        <v>8.4589712482197494E-5</v>
      </c>
      <c r="F2360" s="11">
        <f t="shared" ca="1" si="184"/>
        <v>4.5791745927410945</v>
      </c>
      <c r="G2360" s="10">
        <f t="shared" ca="1" si="181"/>
        <v>1</v>
      </c>
    </row>
    <row r="2361" spans="1:7" x14ac:dyDescent="0.2">
      <c r="A2361" s="2">
        <v>19990708</v>
      </c>
      <c r="B2361" s="13">
        <v>11126.89</v>
      </c>
      <c r="C2361" s="2">
        <f t="shared" si="182"/>
        <v>-5.4052073053876123E-3</v>
      </c>
      <c r="D2361" s="21">
        <f t="shared" ca="1" si="180"/>
        <v>-5.7891597204944795E-3</v>
      </c>
      <c r="E2361" s="21">
        <f t="shared" ca="1" si="183"/>
        <v>8.1901580868662375E-5</v>
      </c>
      <c r="F2361" s="11">
        <f t="shared" ca="1" si="184"/>
        <v>4.5003946466378109</v>
      </c>
      <c r="G2361" s="10">
        <f t="shared" ca="1" si="181"/>
        <v>1</v>
      </c>
    </row>
    <row r="2362" spans="1:7" x14ac:dyDescent="0.2">
      <c r="A2362" s="2">
        <v>19990709</v>
      </c>
      <c r="B2362" s="13">
        <v>11193.7</v>
      </c>
      <c r="C2362" s="2">
        <f t="shared" si="182"/>
        <v>6.0043731896335193E-3</v>
      </c>
      <c r="D2362" s="21">
        <f t="shared" ca="1" si="180"/>
        <v>5.6204207745266521E-3</v>
      </c>
      <c r="E2362" s="21">
        <f t="shared" ca="1" si="183"/>
        <v>7.9899537946437113E-5</v>
      </c>
      <c r="F2362" s="11">
        <f t="shared" ca="1" si="184"/>
        <v>4.519689941422004</v>
      </c>
      <c r="G2362" s="10">
        <f t="shared" ca="1" si="181"/>
        <v>1</v>
      </c>
    </row>
    <row r="2363" spans="1:7" x14ac:dyDescent="0.2">
      <c r="A2363" s="2">
        <v>19990712</v>
      </c>
      <c r="B2363" s="13">
        <v>11200.98</v>
      </c>
      <c r="C2363" s="2">
        <f t="shared" si="182"/>
        <v>6.5036583077970965E-4</v>
      </c>
      <c r="D2363" s="21">
        <f t="shared" ca="1" si="180"/>
        <v>2.6641341567284235E-4</v>
      </c>
      <c r="E2363" s="21">
        <f t="shared" ca="1" si="183"/>
        <v>7.7927984576916132E-5</v>
      </c>
      <c r="F2363" s="11">
        <f t="shared" ca="1" si="184"/>
        <v>4.7294073206983525</v>
      </c>
      <c r="G2363" s="10">
        <f t="shared" ca="1" si="181"/>
        <v>1</v>
      </c>
    </row>
    <row r="2364" spans="1:7" x14ac:dyDescent="0.2">
      <c r="A2364" s="2">
        <v>19990713</v>
      </c>
      <c r="B2364" s="13">
        <v>11175.02</v>
      </c>
      <c r="C2364" s="2">
        <f t="shared" si="182"/>
        <v>-2.3176543481016063E-3</v>
      </c>
      <c r="D2364" s="21">
        <f t="shared" ca="1" si="180"/>
        <v>-2.7016067632084735E-3</v>
      </c>
      <c r="E2364" s="21">
        <f t="shared" ca="1" si="183"/>
        <v>7.489719520240094E-5</v>
      </c>
      <c r="F2364" s="11">
        <f t="shared" ca="1" si="184"/>
        <v>4.7009724086307321</v>
      </c>
      <c r="G2364" s="10">
        <f t="shared" ca="1" si="181"/>
        <v>1</v>
      </c>
    </row>
    <row r="2365" spans="1:7" x14ac:dyDescent="0.2">
      <c r="A2365" s="2">
        <v>19990714</v>
      </c>
      <c r="B2365" s="13">
        <v>11148.1</v>
      </c>
      <c r="C2365" s="2">
        <f t="shared" si="182"/>
        <v>-2.4089442345517119E-3</v>
      </c>
      <c r="D2365" s="21">
        <f t="shared" ca="1" si="180"/>
        <v>-2.7928966496585791E-3</v>
      </c>
      <c r="E2365" s="21">
        <f t="shared" ca="1" si="183"/>
        <v>7.2285509719307537E-5</v>
      </c>
      <c r="F2365" s="11">
        <f t="shared" ca="1" si="184"/>
        <v>4.7134888326753206</v>
      </c>
      <c r="G2365" s="10">
        <f t="shared" ca="1" si="181"/>
        <v>1</v>
      </c>
    </row>
    <row r="2366" spans="1:7" x14ac:dyDescent="0.2">
      <c r="A2366" s="2">
        <v>19990715</v>
      </c>
      <c r="B2366" s="13">
        <v>11186.41</v>
      </c>
      <c r="C2366" s="2">
        <f t="shared" si="182"/>
        <v>3.4364600245781335E-3</v>
      </c>
      <c r="D2366" s="21">
        <f t="shared" ca="1" si="180"/>
        <v>3.0525076094712663E-3</v>
      </c>
      <c r="E2366" s="21">
        <f t="shared" ca="1" si="183"/>
        <v>6.982439470017497E-5</v>
      </c>
      <c r="F2366" s="11">
        <f t="shared" ca="1" si="184"/>
        <v>4.7180404391179662</v>
      </c>
      <c r="G2366" s="10">
        <f t="shared" ca="1" si="181"/>
        <v>1</v>
      </c>
    </row>
    <row r="2367" spans="1:7" x14ac:dyDescent="0.2">
      <c r="A2367" s="2">
        <v>19990716</v>
      </c>
      <c r="B2367" s="13">
        <v>11209.84</v>
      </c>
      <c r="C2367" s="2">
        <f t="shared" si="182"/>
        <v>2.0945057440233542E-3</v>
      </c>
      <c r="D2367" s="21">
        <f t="shared" ca="1" si="180"/>
        <v>1.710553328916487E-3</v>
      </c>
      <c r="E2367" s="21">
        <f t="shared" ca="1" si="183"/>
        <v>6.7543590565143433E-5</v>
      </c>
      <c r="F2367" s="11">
        <f t="shared" ca="1" si="184"/>
        <v>4.7797086589977997</v>
      </c>
      <c r="G2367" s="10">
        <f t="shared" ca="1" si="181"/>
        <v>1</v>
      </c>
    </row>
    <row r="2368" spans="1:7" x14ac:dyDescent="0.2">
      <c r="A2368" s="2">
        <v>19990719</v>
      </c>
      <c r="B2368" s="13">
        <v>11187.68</v>
      </c>
      <c r="C2368" s="2">
        <f t="shared" si="182"/>
        <v>-1.9768346381393359E-3</v>
      </c>
      <c r="D2368" s="21">
        <f t="shared" ca="1" si="180"/>
        <v>-2.3607870532462031E-3</v>
      </c>
      <c r="E2368" s="21">
        <f t="shared" ca="1" si="183"/>
        <v>6.5143135047644735E-5</v>
      </c>
      <c r="F2368" s="11">
        <f t="shared" ca="1" si="184"/>
        <v>4.7766843572263502</v>
      </c>
      <c r="G2368" s="10">
        <f t="shared" ca="1" si="181"/>
        <v>1</v>
      </c>
    </row>
    <row r="2369" spans="1:7" x14ac:dyDescent="0.2">
      <c r="A2369" s="2">
        <v>19990720</v>
      </c>
      <c r="B2369" s="13">
        <v>10996.13</v>
      </c>
      <c r="C2369" s="2">
        <f t="shared" si="182"/>
        <v>-1.7121512234887046E-2</v>
      </c>
      <c r="D2369" s="21">
        <f t="shared" ca="1" si="180"/>
        <v>-1.7505464649993915E-2</v>
      </c>
      <c r="E2369" s="21">
        <f t="shared" ca="1" si="183"/>
        <v>6.2961466047591438E-5</v>
      </c>
      <c r="F2369" s="11">
        <f t="shared" ca="1" si="184"/>
        <v>2.4029315950454926</v>
      </c>
      <c r="G2369" s="10">
        <f t="shared" ca="1" si="181"/>
        <v>0</v>
      </c>
    </row>
    <row r="2370" spans="1:7" x14ac:dyDescent="0.2">
      <c r="A2370" s="2">
        <v>19990721</v>
      </c>
      <c r="B2370" s="13">
        <v>11002.78</v>
      </c>
      <c r="C2370" s="2">
        <f t="shared" si="182"/>
        <v>6.0475821948280492E-4</v>
      </c>
      <c r="D2370" s="21">
        <f t="shared" ca="1" si="180"/>
        <v>2.2080580437593763E-4</v>
      </c>
      <c r="E2370" s="21">
        <f t="shared" ca="1" si="183"/>
        <v>7.1953609248262334E-5</v>
      </c>
      <c r="F2370" s="11">
        <f t="shared" ca="1" si="184"/>
        <v>4.7694056852106037</v>
      </c>
      <c r="G2370" s="10">
        <f t="shared" ca="1" si="181"/>
        <v>1</v>
      </c>
    </row>
    <row r="2371" spans="1:7" x14ac:dyDescent="0.2">
      <c r="A2371" s="2">
        <v>19990722</v>
      </c>
      <c r="B2371" s="13">
        <v>10969.22</v>
      </c>
      <c r="C2371" s="2">
        <f t="shared" si="182"/>
        <v>-3.0501382377909319E-3</v>
      </c>
      <c r="D2371" s="21">
        <f t="shared" ca="1" si="180"/>
        <v>-3.4340906528977991E-3</v>
      </c>
      <c r="E2371" s="21">
        <f t="shared" ca="1" si="183"/>
        <v>6.9224248387303753E-5</v>
      </c>
      <c r="F2371" s="11">
        <f t="shared" ca="1" si="184"/>
        <v>4.7039001379922025</v>
      </c>
      <c r="G2371" s="10">
        <f t="shared" ca="1" si="181"/>
        <v>1</v>
      </c>
    </row>
    <row r="2372" spans="1:7" x14ac:dyDescent="0.2">
      <c r="A2372" s="2">
        <v>19990723</v>
      </c>
      <c r="B2372" s="13">
        <v>10910.96</v>
      </c>
      <c r="C2372" s="2">
        <f t="shared" si="182"/>
        <v>-5.3112254107402553E-3</v>
      </c>
      <c r="D2372" s="21">
        <f t="shared" ca="1" si="180"/>
        <v>-5.6951778258471225E-3</v>
      </c>
      <c r="E2372" s="21">
        <f t="shared" ca="1" si="183"/>
        <v>6.7064822391700536E-5</v>
      </c>
      <c r="F2372" s="11">
        <f t="shared" ca="1" si="184"/>
        <v>4.5631067976833872</v>
      </c>
      <c r="G2372" s="10">
        <f t="shared" ca="1" si="181"/>
        <v>1</v>
      </c>
    </row>
    <row r="2373" spans="1:7" x14ac:dyDescent="0.2">
      <c r="A2373" s="2">
        <v>19990726</v>
      </c>
      <c r="B2373" s="13">
        <v>10863.16</v>
      </c>
      <c r="C2373" s="2">
        <f t="shared" si="182"/>
        <v>-4.3809160697133231E-3</v>
      </c>
      <c r="D2373" s="21">
        <f t="shared" ca="1" si="180"/>
        <v>-4.7648684848201903E-3</v>
      </c>
      <c r="E2373" s="21">
        <f t="shared" ca="1" si="183"/>
        <v>6.5773687492399728E-5</v>
      </c>
      <c r="F2373" s="11">
        <f t="shared" ca="1" si="184"/>
        <v>4.6420537447473471</v>
      </c>
      <c r="G2373" s="10">
        <f t="shared" ca="1" si="181"/>
        <v>1</v>
      </c>
    </row>
    <row r="2374" spans="1:7" x14ac:dyDescent="0.2">
      <c r="A2374" s="2">
        <v>19990727</v>
      </c>
      <c r="B2374" s="13">
        <v>10979.04</v>
      </c>
      <c r="C2374" s="2">
        <f t="shared" si="182"/>
        <v>1.0667245994719863E-2</v>
      </c>
      <c r="D2374" s="21">
        <f t="shared" ca="1" si="180"/>
        <v>1.0283293579612995E-2</v>
      </c>
      <c r="E2374" s="21">
        <f t="shared" ca="1" si="183"/>
        <v>6.4190042774735082E-5</v>
      </c>
      <c r="F2374" s="11">
        <f t="shared" ca="1" si="184"/>
        <v>4.0031355093457002</v>
      </c>
      <c r="G2374" s="10">
        <f t="shared" ca="1" si="181"/>
        <v>0</v>
      </c>
    </row>
    <row r="2375" spans="1:7" x14ac:dyDescent="0.2">
      <c r="A2375" s="2">
        <v>19990728</v>
      </c>
      <c r="B2375" s="13">
        <v>10972.07</v>
      </c>
      <c r="C2375" s="2">
        <f t="shared" si="182"/>
        <v>-6.3484603389742306E-4</v>
      </c>
      <c r="D2375" s="21">
        <f t="shared" ca="1" si="180"/>
        <v>-1.0187984490042904E-3</v>
      </c>
      <c r="E2375" s="21">
        <f t="shared" ca="1" si="183"/>
        <v>6.5740120205771705E-5</v>
      </c>
      <c r="F2375" s="11">
        <f t="shared" ca="1" si="184"/>
        <v>4.8070062363649839</v>
      </c>
      <c r="G2375" s="10">
        <f t="shared" ca="1" si="181"/>
        <v>1</v>
      </c>
    </row>
    <row r="2376" spans="1:7" x14ac:dyDescent="0.2">
      <c r="A2376" s="2">
        <v>19990729</v>
      </c>
      <c r="B2376" s="13">
        <v>10791.29</v>
      </c>
      <c r="C2376" s="2">
        <f t="shared" si="182"/>
        <v>-1.6476380482443043E-2</v>
      </c>
      <c r="D2376" s="21">
        <f t="shared" ca="1" si="180"/>
        <v>-1.6860332897549912E-2</v>
      </c>
      <c r="E2376" s="21">
        <f t="shared" ca="1" si="183"/>
        <v>6.3361476231494878E-5</v>
      </c>
      <c r="F2376" s="11">
        <f t="shared" ca="1" si="184"/>
        <v>2.5900807097737379</v>
      </c>
      <c r="G2376" s="10">
        <f t="shared" ca="1" si="181"/>
        <v>0</v>
      </c>
    </row>
    <row r="2377" spans="1:7" x14ac:dyDescent="0.2">
      <c r="A2377" s="2">
        <v>19990730</v>
      </c>
      <c r="B2377" s="13">
        <v>10655.15</v>
      </c>
      <c r="C2377" s="2">
        <f t="shared" si="182"/>
        <v>-1.2615729908101926E-2</v>
      </c>
      <c r="D2377" s="21">
        <f t="shared" ca="1" si="180"/>
        <v>-1.2999682323208793E-2</v>
      </c>
      <c r="E2377" s="21">
        <f t="shared" ca="1" si="183"/>
        <v>7.1518135995777684E-5</v>
      </c>
      <c r="F2377" s="11">
        <f t="shared" ca="1" si="184"/>
        <v>3.5913189998227937</v>
      </c>
      <c r="G2377" s="10">
        <f t="shared" ca="1" si="181"/>
        <v>0</v>
      </c>
    </row>
    <row r="2378" spans="1:7" x14ac:dyDescent="0.2">
      <c r="A2378" s="2">
        <v>19990802</v>
      </c>
      <c r="B2378" s="13">
        <v>10645.96</v>
      </c>
      <c r="C2378" s="2">
        <f t="shared" si="182"/>
        <v>-8.6249372369234681E-4</v>
      </c>
      <c r="D2378" s="21">
        <f t="shared" ca="1" si="180"/>
        <v>-1.2464461387992141E-3</v>
      </c>
      <c r="E2378" s="21">
        <f t="shared" ca="1" si="183"/>
        <v>7.5023134421972403E-5</v>
      </c>
      <c r="F2378" s="11">
        <f t="shared" ca="1" si="184"/>
        <v>4.738502690554439</v>
      </c>
      <c r="G2378" s="10">
        <f t="shared" ca="1" si="181"/>
        <v>1</v>
      </c>
    </row>
    <row r="2379" spans="1:7" x14ac:dyDescent="0.2">
      <c r="A2379" s="2">
        <v>19990803</v>
      </c>
      <c r="B2379" s="13">
        <v>10677.31</v>
      </c>
      <c r="C2379" s="2">
        <f t="shared" si="182"/>
        <v>2.9447790523353806E-3</v>
      </c>
      <c r="D2379" s="21">
        <f t="shared" ca="1" si="180"/>
        <v>2.5608266372285134E-3</v>
      </c>
      <c r="E2379" s="21">
        <f t="shared" ca="1" si="183"/>
        <v>7.2193822071257778E-5</v>
      </c>
      <c r="F2379" s="11">
        <f t="shared" ca="1" si="184"/>
        <v>4.7226597985936687</v>
      </c>
      <c r="G2379" s="10">
        <f t="shared" ca="1" si="181"/>
        <v>1</v>
      </c>
    </row>
    <row r="2380" spans="1:7" x14ac:dyDescent="0.2">
      <c r="A2380" s="2">
        <v>19990804</v>
      </c>
      <c r="B2380" s="13">
        <v>10674.77</v>
      </c>
      <c r="C2380" s="2">
        <f t="shared" si="182"/>
        <v>-2.3788763274636159E-4</v>
      </c>
      <c r="D2380" s="21">
        <f t="shared" ca="1" si="180"/>
        <v>-6.2184004785322889E-4</v>
      </c>
      <c r="E2380" s="21">
        <f t="shared" ca="1" si="183"/>
        <v>6.9691658922657845E-5</v>
      </c>
      <c r="F2380" s="11">
        <f t="shared" ca="1" si="184"/>
        <v>4.7829407029596478</v>
      </c>
      <c r="G2380" s="10">
        <f t="shared" ca="1" si="181"/>
        <v>1</v>
      </c>
    </row>
    <row r="2381" spans="1:7" x14ac:dyDescent="0.2">
      <c r="A2381" s="2">
        <v>19990805</v>
      </c>
      <c r="B2381" s="13">
        <v>10793.82</v>
      </c>
      <c r="C2381" s="2">
        <f t="shared" si="182"/>
        <v>1.1152465111660417E-2</v>
      </c>
      <c r="D2381" s="21">
        <f t="shared" ca="1" si="180"/>
        <v>1.076851269655355E-2</v>
      </c>
      <c r="E2381" s="21">
        <f t="shared" ca="1" si="183"/>
        <v>6.7089157143777951E-5</v>
      </c>
      <c r="F2381" s="11">
        <f t="shared" ca="1" si="184"/>
        <v>3.9405144984448164</v>
      </c>
      <c r="G2381" s="10">
        <f t="shared" ca="1" si="181"/>
        <v>0</v>
      </c>
    </row>
    <row r="2382" spans="1:7" x14ac:dyDescent="0.2">
      <c r="A2382" s="2">
        <v>19990806</v>
      </c>
      <c r="B2382" s="13">
        <v>10714.03</v>
      </c>
      <c r="C2382" s="2">
        <f t="shared" si="182"/>
        <v>-7.3921929400341171E-3</v>
      </c>
      <c r="D2382" s="21">
        <f t="shared" ref="D2382:D2445" ca="1" si="185">(C2382-mu)</f>
        <v>-7.7761453551409843E-3</v>
      </c>
      <c r="E2382" s="21">
        <f t="shared" ca="1" si="183"/>
        <v>6.8868181207287841E-5</v>
      </c>
      <c r="F2382" s="11">
        <f t="shared" ca="1" si="184"/>
        <v>4.3526423688810931</v>
      </c>
      <c r="G2382" s="10">
        <f t="shared" ref="G2382:G2445" ca="1" si="186">IF(AND(C2382&lt;=mu+zvalue*SQRT(E2382),C2382&gt;=mu-zvalue*SQRT(E2382)),1,0)</f>
        <v>1</v>
      </c>
    </row>
    <row r="2383" spans="1:7" x14ac:dyDescent="0.2">
      <c r="A2383" s="2">
        <v>19990809</v>
      </c>
      <c r="B2383" s="13">
        <v>10707.7</v>
      </c>
      <c r="C2383" s="2">
        <f t="shared" ref="C2383:C2446" si="187">(B2383-B2382)/B2382</f>
        <v>-5.9081410076319808E-4</v>
      </c>
      <c r="D2383" s="21">
        <f t="shared" ca="1" si="185"/>
        <v>-9.7476651587006537E-4</v>
      </c>
      <c r="E2383" s="21">
        <f t="shared" ref="E2383:E2446" ca="1" si="188">(1-alpha-beta)*longvar+alpha*D2382^2+beta*E2382</f>
        <v>6.8516650346831109E-5</v>
      </c>
      <c r="F2383" s="11">
        <f t="shared" ref="F2383:F2446" ca="1" si="189">(-0.5)*(LN(E2383)+D2383^2/E2383)</f>
        <v>4.787283025460038</v>
      </c>
      <c r="G2383" s="10">
        <f t="shared" ca="1" si="186"/>
        <v>1</v>
      </c>
    </row>
    <row r="2384" spans="1:7" x14ac:dyDescent="0.2">
      <c r="A2384" s="2">
        <v>19990810</v>
      </c>
      <c r="B2384" s="13">
        <v>10655.15</v>
      </c>
      <c r="C2384" s="2">
        <f t="shared" si="187"/>
        <v>-4.9076832559747739E-3</v>
      </c>
      <c r="D2384" s="21">
        <f t="shared" ca="1" si="185"/>
        <v>-5.291635671081641E-3</v>
      </c>
      <c r="E2384" s="21">
        <f t="shared" ca="1" si="188"/>
        <v>6.5994312955544812E-5</v>
      </c>
      <c r="F2384" s="11">
        <f t="shared" ca="1" si="189"/>
        <v>4.6008208337207783</v>
      </c>
      <c r="G2384" s="10">
        <f t="shared" ca="1" si="186"/>
        <v>1</v>
      </c>
    </row>
    <row r="2385" spans="1:7" x14ac:dyDescent="0.2">
      <c r="A2385" s="2">
        <v>19990811</v>
      </c>
      <c r="B2385" s="13">
        <v>10787.8</v>
      </c>
      <c r="C2385" s="2">
        <f t="shared" si="187"/>
        <v>1.2449378938822976E-2</v>
      </c>
      <c r="D2385" s="21">
        <f t="shared" ca="1" si="185"/>
        <v>1.2065426523716109E-2</v>
      </c>
      <c r="E2385" s="21">
        <f t="shared" ca="1" si="188"/>
        <v>6.4594302708977051E-5</v>
      </c>
      <c r="F2385" s="11">
        <f t="shared" ca="1" si="189"/>
        <v>3.6968550434404985</v>
      </c>
      <c r="G2385" s="10">
        <f t="shared" ca="1" si="186"/>
        <v>0</v>
      </c>
    </row>
    <row r="2386" spans="1:7" x14ac:dyDescent="0.2">
      <c r="A2386" s="2">
        <v>19990812</v>
      </c>
      <c r="B2386" s="13">
        <v>10789.39</v>
      </c>
      <c r="C2386" s="2">
        <f t="shared" si="187"/>
        <v>1.4738871688390085E-4</v>
      </c>
      <c r="D2386" s="21">
        <f t="shared" ca="1" si="185"/>
        <v>-2.3656369822296644E-4</v>
      </c>
      <c r="E2386" s="21">
        <f t="shared" ca="1" si="188"/>
        <v>6.7588487952417571E-5</v>
      </c>
      <c r="F2386" s="11">
        <f t="shared" ca="1" si="189"/>
        <v>4.8006224495344769</v>
      </c>
      <c r="G2386" s="10">
        <f t="shared" ca="1" si="186"/>
        <v>1</v>
      </c>
    </row>
    <row r="2387" spans="1:7" x14ac:dyDescent="0.2">
      <c r="A2387" s="2">
        <v>19990813</v>
      </c>
      <c r="B2387" s="13">
        <v>10973.65</v>
      </c>
      <c r="C2387" s="2">
        <f t="shared" si="187"/>
        <v>1.7077888555330767E-2</v>
      </c>
      <c r="D2387" s="21">
        <f t="shared" ca="1" si="185"/>
        <v>1.6693936140223898E-2</v>
      </c>
      <c r="E2387" s="21">
        <f t="shared" ca="1" si="188"/>
        <v>6.5080225035689593E-5</v>
      </c>
      <c r="F2387" s="11">
        <f t="shared" ca="1" si="189"/>
        <v>2.6788375010672434</v>
      </c>
      <c r="G2387" s="10">
        <f t="shared" ca="1" si="186"/>
        <v>0</v>
      </c>
    </row>
    <row r="2388" spans="1:7" x14ac:dyDescent="0.2">
      <c r="A2388" s="2">
        <v>19990816</v>
      </c>
      <c r="B2388" s="13">
        <v>11046.79</v>
      </c>
      <c r="C2388" s="2">
        <f t="shared" si="187"/>
        <v>6.6650567495775094E-3</v>
      </c>
      <c r="D2388" s="21">
        <f t="shared" ca="1" si="185"/>
        <v>6.2811043344706422E-3</v>
      </c>
      <c r="E2388" s="21">
        <f t="shared" ca="1" si="188"/>
        <v>7.2944624249456514E-5</v>
      </c>
      <c r="F2388" s="11">
        <f t="shared" ca="1" si="189"/>
        <v>4.4924788118252854</v>
      </c>
      <c r="G2388" s="10">
        <f t="shared" ca="1" si="186"/>
        <v>1</v>
      </c>
    </row>
    <row r="2389" spans="1:7" x14ac:dyDescent="0.2">
      <c r="A2389" s="2">
        <v>19990817</v>
      </c>
      <c r="B2389" s="13">
        <v>11117.08</v>
      </c>
      <c r="C2389" s="2">
        <f t="shared" si="187"/>
        <v>6.3629343908953688E-3</v>
      </c>
      <c r="D2389" s="21">
        <f t="shared" ca="1" si="185"/>
        <v>5.9789819757885016E-3</v>
      </c>
      <c r="E2389" s="21">
        <f t="shared" ca="1" si="188"/>
        <v>7.1614063713809194E-5</v>
      </c>
      <c r="F2389" s="11">
        <f t="shared" ca="1" si="189"/>
        <v>4.5225201198535512</v>
      </c>
      <c r="G2389" s="10">
        <f t="shared" ca="1" si="186"/>
        <v>1</v>
      </c>
    </row>
    <row r="2390" spans="1:7" x14ac:dyDescent="0.2">
      <c r="A2390" s="2">
        <v>19990818</v>
      </c>
      <c r="B2390" s="13">
        <v>10991.38</v>
      </c>
      <c r="C2390" s="2">
        <f t="shared" si="187"/>
        <v>-1.1306925919396166E-2</v>
      </c>
      <c r="D2390" s="21">
        <f t="shared" ca="1" si="185"/>
        <v>-1.1690878334503033E-2</v>
      </c>
      <c r="E2390" s="21">
        <f t="shared" ca="1" si="188"/>
        <v>7.0214612427784933E-5</v>
      </c>
      <c r="F2390" s="11">
        <f t="shared" ca="1" si="189"/>
        <v>3.8086993340186743</v>
      </c>
      <c r="G2390" s="10">
        <f t="shared" ca="1" si="186"/>
        <v>0</v>
      </c>
    </row>
    <row r="2391" spans="1:7" x14ac:dyDescent="0.2">
      <c r="A2391" s="2">
        <v>19990819</v>
      </c>
      <c r="B2391" s="13">
        <v>10963.84</v>
      </c>
      <c r="C2391" s="2">
        <f t="shared" si="187"/>
        <v>-2.5055998427858063E-3</v>
      </c>
      <c r="D2391" s="21">
        <f t="shared" ca="1" si="185"/>
        <v>-2.8895522578926735E-3</v>
      </c>
      <c r="E2391" s="21">
        <f t="shared" ca="1" si="188"/>
        <v>7.2597273732706745E-5</v>
      </c>
      <c r="F2391" s="11">
        <f t="shared" ca="1" si="189"/>
        <v>4.707785907017457</v>
      </c>
      <c r="G2391" s="10">
        <f t="shared" ca="1" si="186"/>
        <v>1</v>
      </c>
    </row>
    <row r="2392" spans="1:7" x14ac:dyDescent="0.2">
      <c r="A2392" s="2">
        <v>19990820</v>
      </c>
      <c r="B2392" s="13">
        <v>11100.61</v>
      </c>
      <c r="C2392" s="2">
        <f t="shared" si="187"/>
        <v>1.2474643920378302E-2</v>
      </c>
      <c r="D2392" s="21">
        <f t="shared" ca="1" si="185"/>
        <v>1.2090691505271435E-2</v>
      </c>
      <c r="E2392" s="21">
        <f t="shared" ca="1" si="188"/>
        <v>7.014058300370616E-5</v>
      </c>
      <c r="F2392" s="11">
        <f t="shared" ca="1" si="189"/>
        <v>3.7404200552664233</v>
      </c>
      <c r="G2392" s="10">
        <f t="shared" ca="1" si="186"/>
        <v>0</v>
      </c>
    </row>
    <row r="2393" spans="1:7" x14ac:dyDescent="0.2">
      <c r="A2393" s="2">
        <v>19990823</v>
      </c>
      <c r="B2393" s="13">
        <v>11299.76</v>
      </c>
      <c r="C2393" s="2">
        <f t="shared" si="187"/>
        <v>1.7940455524516185E-2</v>
      </c>
      <c r="D2393" s="21">
        <f t="shared" ca="1" si="185"/>
        <v>1.7556503109409316E-2</v>
      </c>
      <c r="E2393" s="21">
        <f t="shared" ca="1" si="188"/>
        <v>7.2876622040000697E-5</v>
      </c>
      <c r="F2393" s="11">
        <f t="shared" ca="1" si="189"/>
        <v>2.6486273070491251</v>
      </c>
      <c r="G2393" s="10">
        <f t="shared" ca="1" si="186"/>
        <v>0</v>
      </c>
    </row>
    <row r="2394" spans="1:7" x14ac:dyDescent="0.2">
      <c r="A2394" s="2">
        <v>19990824</v>
      </c>
      <c r="B2394" s="13">
        <v>11283.3</v>
      </c>
      <c r="C2394" s="2">
        <f t="shared" si="187"/>
        <v>-1.4566681062253486E-3</v>
      </c>
      <c r="D2394" s="21">
        <f t="shared" ca="1" si="185"/>
        <v>-1.840620521332216E-3</v>
      </c>
      <c r="E2394" s="21">
        <f t="shared" ca="1" si="188"/>
        <v>8.143295759813218E-5</v>
      </c>
      <c r="F2394" s="11">
        <f t="shared" ca="1" si="189"/>
        <v>4.6870635657889821</v>
      </c>
      <c r="G2394" s="10">
        <f t="shared" ca="1" si="186"/>
        <v>1</v>
      </c>
    </row>
    <row r="2395" spans="1:7" x14ac:dyDescent="0.2">
      <c r="A2395" s="2">
        <v>19990825</v>
      </c>
      <c r="B2395" s="13">
        <v>11326.04</v>
      </c>
      <c r="C2395" s="2">
        <f t="shared" si="187"/>
        <v>3.7878989302776319E-3</v>
      </c>
      <c r="D2395" s="21">
        <f t="shared" ca="1" si="185"/>
        <v>3.4039465151707647E-3</v>
      </c>
      <c r="E2395" s="21">
        <f t="shared" ca="1" si="188"/>
        <v>7.8346818975528831E-5</v>
      </c>
      <c r="F2395" s="11">
        <f t="shared" ca="1" si="189"/>
        <v>4.6532366963901728</v>
      </c>
      <c r="G2395" s="10">
        <f t="shared" ca="1" si="186"/>
        <v>1</v>
      </c>
    </row>
    <row r="2396" spans="1:7" x14ac:dyDescent="0.2">
      <c r="A2396" s="2">
        <v>19990826</v>
      </c>
      <c r="B2396" s="13">
        <v>11198.45</v>
      </c>
      <c r="C2396" s="2">
        <f t="shared" si="187"/>
        <v>-1.1265190657988153E-2</v>
      </c>
      <c r="D2396" s="21">
        <f t="shared" ca="1" si="185"/>
        <v>-1.164914307309502E-2</v>
      </c>
      <c r="E2396" s="21">
        <f t="shared" ca="1" si="188"/>
        <v>7.5718299490207952E-5</v>
      </c>
      <c r="F2396" s="11">
        <f t="shared" ca="1" si="189"/>
        <v>3.8481440374528448</v>
      </c>
      <c r="G2396" s="10">
        <f t="shared" ca="1" si="186"/>
        <v>0</v>
      </c>
    </row>
    <row r="2397" spans="1:7" x14ac:dyDescent="0.2">
      <c r="A2397" s="2">
        <v>19990827</v>
      </c>
      <c r="B2397" s="13">
        <v>11090.17</v>
      </c>
      <c r="C2397" s="2">
        <f t="shared" si="187"/>
        <v>-9.6691952904197145E-3</v>
      </c>
      <c r="D2397" s="21">
        <f t="shared" ca="1" si="185"/>
        <v>-1.0053147705526582E-2</v>
      </c>
      <c r="E2397" s="21">
        <f t="shared" ca="1" si="188"/>
        <v>7.778670802697779E-5</v>
      </c>
      <c r="F2397" s="11">
        <f t="shared" ca="1" si="189"/>
        <v>4.0811360060928523</v>
      </c>
      <c r="G2397" s="10">
        <f t="shared" ca="1" si="186"/>
        <v>0</v>
      </c>
    </row>
    <row r="2398" spans="1:7" x14ac:dyDescent="0.2">
      <c r="A2398" s="2">
        <v>19990830</v>
      </c>
      <c r="B2398" s="13">
        <v>10914.13</v>
      </c>
      <c r="C2398" s="2">
        <f t="shared" si="187"/>
        <v>-1.5873516817145352E-2</v>
      </c>
      <c r="D2398" s="21">
        <f t="shared" ca="1" si="185"/>
        <v>-1.6257469232252221E-2</v>
      </c>
      <c r="E2398" s="21">
        <f t="shared" ca="1" si="188"/>
        <v>7.847682111590308E-5</v>
      </c>
      <c r="F2398" s="11">
        <f t="shared" ca="1" si="189"/>
        <v>3.0423831089725235</v>
      </c>
      <c r="G2398" s="10">
        <f t="shared" ca="1" si="186"/>
        <v>0</v>
      </c>
    </row>
    <row r="2399" spans="1:7" x14ac:dyDescent="0.2">
      <c r="A2399" s="2">
        <v>19990831</v>
      </c>
      <c r="B2399" s="13">
        <v>10829.28</v>
      </c>
      <c r="C2399" s="2">
        <f t="shared" si="187"/>
        <v>-7.7743255761108356E-3</v>
      </c>
      <c r="D2399" s="21">
        <f t="shared" ca="1" si="185"/>
        <v>-8.1582779912177036E-3</v>
      </c>
      <c r="E2399" s="21">
        <f t="shared" ca="1" si="188"/>
        <v>8.5134623589899433E-5</v>
      </c>
      <c r="F2399" s="11">
        <f t="shared" ca="1" si="189"/>
        <v>4.2947427722831639</v>
      </c>
      <c r="G2399" s="10">
        <f t="shared" ca="1" si="186"/>
        <v>1</v>
      </c>
    </row>
    <row r="2400" spans="1:7" x14ac:dyDescent="0.2">
      <c r="A2400" s="2">
        <v>19990901</v>
      </c>
      <c r="B2400" s="13">
        <v>10937.88</v>
      </c>
      <c r="C2400" s="2">
        <f t="shared" si="187"/>
        <v>1.0028367536899825E-2</v>
      </c>
      <c r="D2400" s="21">
        <f t="shared" ca="1" si="185"/>
        <v>9.6444151217929576E-3</v>
      </c>
      <c r="E2400" s="21">
        <f t="shared" ca="1" si="188"/>
        <v>8.4184073538918423E-5</v>
      </c>
      <c r="F2400" s="11">
        <f t="shared" ca="1" si="189"/>
        <v>4.1388038268174432</v>
      </c>
      <c r="G2400" s="10">
        <f t="shared" ca="1" si="186"/>
        <v>0</v>
      </c>
    </row>
    <row r="2401" spans="1:7" x14ac:dyDescent="0.2">
      <c r="A2401" s="2">
        <v>19990902</v>
      </c>
      <c r="B2401" s="13">
        <v>10843.21</v>
      </c>
      <c r="C2401" s="2">
        <f t="shared" si="187"/>
        <v>-8.6552421493013339E-3</v>
      </c>
      <c r="D2401" s="21">
        <f t="shared" ca="1" si="185"/>
        <v>-9.0391945644082011E-3</v>
      </c>
      <c r="E2401" s="21">
        <f t="shared" ca="1" si="188"/>
        <v>8.4254491158241665E-5</v>
      </c>
      <c r="F2401" s="11">
        <f t="shared" ca="1" si="189"/>
        <v>4.2059519495904318</v>
      </c>
      <c r="G2401" s="10">
        <f t="shared" ca="1" si="186"/>
        <v>1</v>
      </c>
    </row>
    <row r="2402" spans="1:7" x14ac:dyDescent="0.2">
      <c r="A2402" s="2">
        <v>19990903</v>
      </c>
      <c r="B2402" s="13">
        <v>11078.45</v>
      </c>
      <c r="C2402" s="2">
        <f t="shared" si="187"/>
        <v>2.169468266315986E-2</v>
      </c>
      <c r="D2402" s="21">
        <f t="shared" ca="1" si="185"/>
        <v>2.1310730248052991E-2</v>
      </c>
      <c r="E2402" s="21">
        <f t="shared" ca="1" si="188"/>
        <v>8.3905542282581595E-5</v>
      </c>
      <c r="F2402" s="11">
        <f t="shared" ca="1" si="189"/>
        <v>1.9866089344597286</v>
      </c>
      <c r="G2402" s="10">
        <f t="shared" ca="1" si="186"/>
        <v>0</v>
      </c>
    </row>
    <row r="2403" spans="1:7" x14ac:dyDescent="0.2">
      <c r="A2403" s="2">
        <v>19990907</v>
      </c>
      <c r="B2403" s="13">
        <v>11034.13</v>
      </c>
      <c r="C2403" s="2">
        <f t="shared" si="187"/>
        <v>-4.0005596450768408E-3</v>
      </c>
      <c r="D2403" s="21">
        <f t="shared" ca="1" si="185"/>
        <v>-4.384512060183708E-3</v>
      </c>
      <c r="E2403" s="21">
        <f t="shared" ca="1" si="188"/>
        <v>9.7269522758187873E-5</v>
      </c>
      <c r="F2403" s="11">
        <f t="shared" ca="1" si="189"/>
        <v>4.5201944925780078</v>
      </c>
      <c r="G2403" s="10">
        <f t="shared" ca="1" si="186"/>
        <v>1</v>
      </c>
    </row>
    <row r="2404" spans="1:7" x14ac:dyDescent="0.2">
      <c r="A2404" s="2">
        <v>19990908</v>
      </c>
      <c r="B2404" s="13">
        <v>11036.34</v>
      </c>
      <c r="C2404" s="2">
        <f t="shared" si="187"/>
        <v>2.0028765294599084E-4</v>
      </c>
      <c r="D2404" s="21">
        <f t="shared" ca="1" si="185"/>
        <v>-1.8366476216087645E-4</v>
      </c>
      <c r="E2404" s="21">
        <f t="shared" ca="1" si="188"/>
        <v>9.3964526743734985E-5</v>
      </c>
      <c r="F2404" s="11">
        <f t="shared" ca="1" si="189"/>
        <v>4.6361171137606911</v>
      </c>
      <c r="G2404" s="10">
        <f t="shared" ca="1" si="186"/>
        <v>1</v>
      </c>
    </row>
    <row r="2405" spans="1:7" x14ac:dyDescent="0.2">
      <c r="A2405" s="2">
        <v>19990909</v>
      </c>
      <c r="B2405" s="13">
        <v>11079.4</v>
      </c>
      <c r="C2405" s="2">
        <f t="shared" si="187"/>
        <v>3.9016558025576856E-3</v>
      </c>
      <c r="D2405" s="21">
        <f t="shared" ca="1" si="185"/>
        <v>3.5177033874508185E-3</v>
      </c>
      <c r="E2405" s="21">
        <f t="shared" ca="1" si="188"/>
        <v>9.0121073917246632E-5</v>
      </c>
      <c r="F2405" s="11">
        <f t="shared" ca="1" si="189"/>
        <v>4.5885248582574816</v>
      </c>
      <c r="G2405" s="10">
        <f t="shared" ca="1" si="186"/>
        <v>1</v>
      </c>
    </row>
    <row r="2406" spans="1:7" x14ac:dyDescent="0.2">
      <c r="A2406" s="2">
        <v>19990910</v>
      </c>
      <c r="B2406" s="13">
        <v>11028.43</v>
      </c>
      <c r="C2406" s="2">
        <f t="shared" si="187"/>
        <v>-4.6004296261529815E-3</v>
      </c>
      <c r="D2406" s="21">
        <f t="shared" ca="1" si="185"/>
        <v>-4.9843820412598487E-3</v>
      </c>
      <c r="E2406" s="21">
        <f t="shared" ca="1" si="188"/>
        <v>8.6925844527813972E-5</v>
      </c>
      <c r="F2406" s="11">
        <f t="shared" ca="1" si="189"/>
        <v>4.5323237976164021</v>
      </c>
      <c r="G2406" s="10">
        <f t="shared" ca="1" si="186"/>
        <v>1</v>
      </c>
    </row>
    <row r="2407" spans="1:7" x14ac:dyDescent="0.2">
      <c r="A2407" s="2">
        <v>19990913</v>
      </c>
      <c r="B2407" s="13">
        <v>11030.33</v>
      </c>
      <c r="C2407" s="2">
        <f t="shared" si="187"/>
        <v>1.7228200206191054E-4</v>
      </c>
      <c r="D2407" s="21">
        <f t="shared" ca="1" si="185"/>
        <v>-2.1167041304495676E-4</v>
      </c>
      <c r="E2407" s="21">
        <f t="shared" ca="1" si="188"/>
        <v>8.4350800164726785E-5</v>
      </c>
      <c r="F2407" s="11">
        <f t="shared" ca="1" si="189"/>
        <v>4.6899975478728164</v>
      </c>
      <c r="G2407" s="10">
        <f t="shared" ca="1" si="186"/>
        <v>1</v>
      </c>
    </row>
    <row r="2408" spans="1:7" x14ac:dyDescent="0.2">
      <c r="A2408" s="2">
        <v>19990914</v>
      </c>
      <c r="B2408" s="13">
        <v>10910.33</v>
      </c>
      <c r="C2408" s="2">
        <f t="shared" si="187"/>
        <v>-1.0879094279137615E-2</v>
      </c>
      <c r="D2408" s="21">
        <f t="shared" ca="1" si="185"/>
        <v>-1.1263046694244482E-2</v>
      </c>
      <c r="E2408" s="21">
        <f t="shared" ca="1" si="188"/>
        <v>8.0994116054085766E-5</v>
      </c>
      <c r="F2408" s="11">
        <f t="shared" ca="1" si="189"/>
        <v>3.9274470451749717</v>
      </c>
      <c r="G2408" s="10">
        <f t="shared" ca="1" si="186"/>
        <v>0</v>
      </c>
    </row>
    <row r="2409" spans="1:7" x14ac:dyDescent="0.2">
      <c r="A2409" s="2">
        <v>19990915</v>
      </c>
      <c r="B2409" s="13">
        <v>10801.42</v>
      </c>
      <c r="C2409" s="2">
        <f t="shared" si="187"/>
        <v>-9.9822828457067619E-3</v>
      </c>
      <c r="D2409" s="21">
        <f t="shared" ca="1" si="185"/>
        <v>-1.0366235260813629E-2</v>
      </c>
      <c r="E2409" s="21">
        <f t="shared" ca="1" si="188"/>
        <v>8.2470324900250409E-5</v>
      </c>
      <c r="F2409" s="11">
        <f t="shared" ca="1" si="189"/>
        <v>4.0500360129209731</v>
      </c>
      <c r="G2409" s="10">
        <f t="shared" ca="1" si="186"/>
        <v>0</v>
      </c>
    </row>
    <row r="2410" spans="1:7" x14ac:dyDescent="0.2">
      <c r="A2410" s="2">
        <v>19990916</v>
      </c>
      <c r="B2410" s="13">
        <v>10737.46</v>
      </c>
      <c r="C2410" s="2">
        <f t="shared" si="187"/>
        <v>-5.9214436620371163E-3</v>
      </c>
      <c r="D2410" s="21">
        <f t="shared" ca="1" si="185"/>
        <v>-6.3053960771439835E-3</v>
      </c>
      <c r="E2410" s="21">
        <f t="shared" ca="1" si="188"/>
        <v>8.3158576053059778E-5</v>
      </c>
      <c r="F2410" s="11">
        <f t="shared" ca="1" si="189"/>
        <v>4.4583311833823265</v>
      </c>
      <c r="G2410" s="10">
        <f t="shared" ca="1" si="186"/>
        <v>1</v>
      </c>
    </row>
    <row r="2411" spans="1:7" x14ac:dyDescent="0.2">
      <c r="A2411" s="2">
        <v>19990917</v>
      </c>
      <c r="B2411" s="13">
        <v>10803.63</v>
      </c>
      <c r="C2411" s="2">
        <f t="shared" si="187"/>
        <v>6.1625375088708205E-3</v>
      </c>
      <c r="D2411" s="21">
        <f t="shared" ca="1" si="185"/>
        <v>5.7785850937639533E-3</v>
      </c>
      <c r="E2411" s="21">
        <f t="shared" ca="1" si="188"/>
        <v>8.132253122146118E-5</v>
      </c>
      <c r="F2411" s="11">
        <f t="shared" ca="1" si="189"/>
        <v>4.5032374848182846</v>
      </c>
      <c r="G2411" s="10">
        <f t="shared" ca="1" si="186"/>
        <v>1</v>
      </c>
    </row>
    <row r="2412" spans="1:7" x14ac:dyDescent="0.2">
      <c r="A2412" s="2">
        <v>19990920</v>
      </c>
      <c r="B2412" s="13">
        <v>10823.9</v>
      </c>
      <c r="C2412" s="2">
        <f t="shared" si="187"/>
        <v>1.8762212330485622E-3</v>
      </c>
      <c r="D2412" s="21">
        <f t="shared" ca="1" si="185"/>
        <v>1.492268817941695E-3</v>
      </c>
      <c r="E2412" s="21">
        <f t="shared" ca="1" si="188"/>
        <v>7.9345284523027514E-5</v>
      </c>
      <c r="F2412" s="11">
        <f t="shared" ca="1" si="189"/>
        <v>4.7068180123314773</v>
      </c>
      <c r="G2412" s="10">
        <f t="shared" ca="1" si="186"/>
        <v>1</v>
      </c>
    </row>
    <row r="2413" spans="1:7" x14ac:dyDescent="0.2">
      <c r="A2413" s="2">
        <v>19990921</v>
      </c>
      <c r="B2413" s="13">
        <v>10598.47</v>
      </c>
      <c r="C2413" s="2">
        <f t="shared" si="187"/>
        <v>-2.0827058638753157E-2</v>
      </c>
      <c r="D2413" s="21">
        <f t="shared" ca="1" si="185"/>
        <v>-2.1211011053860026E-2</v>
      </c>
      <c r="E2413" s="21">
        <f t="shared" ca="1" si="188"/>
        <v>7.6322069321458179E-5</v>
      </c>
      <c r="F2413" s="11">
        <f t="shared" ca="1" si="189"/>
        <v>1.7928502596133211</v>
      </c>
      <c r="G2413" s="10">
        <f t="shared" ca="1" si="186"/>
        <v>0</v>
      </c>
    </row>
    <row r="2414" spans="1:7" x14ac:dyDescent="0.2">
      <c r="A2414" s="2">
        <v>19990922</v>
      </c>
      <c r="B2414" s="13">
        <v>10524.07</v>
      </c>
      <c r="C2414" s="2">
        <f t="shared" si="187"/>
        <v>-7.0198811715275547E-3</v>
      </c>
      <c r="D2414" s="21">
        <f t="shared" ca="1" si="185"/>
        <v>-7.4038335866344219E-3</v>
      </c>
      <c r="E2414" s="21">
        <f t="shared" ca="1" si="188"/>
        <v>8.9913779391458359E-5</v>
      </c>
      <c r="F2414" s="11">
        <f t="shared" ca="1" si="189"/>
        <v>4.3535001381485534</v>
      </c>
      <c r="G2414" s="10">
        <f t="shared" ca="1" si="186"/>
        <v>1</v>
      </c>
    </row>
    <row r="2415" spans="1:7" x14ac:dyDescent="0.2">
      <c r="A2415" s="2">
        <v>19990923</v>
      </c>
      <c r="B2415" s="13">
        <v>10318.59</v>
      </c>
      <c r="C2415" s="2">
        <f t="shared" si="187"/>
        <v>-1.9524765608742584E-2</v>
      </c>
      <c r="D2415" s="21">
        <f t="shared" ca="1" si="185"/>
        <v>-1.9908718023849453E-2</v>
      </c>
      <c r="E2415" s="21">
        <f t="shared" ca="1" si="188"/>
        <v>8.8289722470887201E-5</v>
      </c>
      <c r="F2415" s="11">
        <f t="shared" ca="1" si="189"/>
        <v>2.4228047387402207</v>
      </c>
      <c r="G2415" s="10">
        <f t="shared" ca="1" si="186"/>
        <v>0</v>
      </c>
    </row>
    <row r="2416" spans="1:7" x14ac:dyDescent="0.2">
      <c r="A2416" s="2">
        <v>19990924</v>
      </c>
      <c r="B2416" s="13">
        <v>10279.33</v>
      </c>
      <c r="C2416" s="2">
        <f t="shared" si="187"/>
        <v>-3.8047834054846853E-3</v>
      </c>
      <c r="D2416" s="21">
        <f t="shared" ca="1" si="185"/>
        <v>-4.1887358205915529E-3</v>
      </c>
      <c r="E2416" s="21">
        <f t="shared" ca="1" si="188"/>
        <v>9.9306860359008186E-5</v>
      </c>
      <c r="F2416" s="11">
        <f t="shared" ca="1" si="189"/>
        <v>4.5203080936052604</v>
      </c>
      <c r="G2416" s="10">
        <f t="shared" ca="1" si="186"/>
        <v>1</v>
      </c>
    </row>
    <row r="2417" spans="1:7" x14ac:dyDescent="0.2">
      <c r="A2417" s="2">
        <v>19990927</v>
      </c>
      <c r="B2417" s="13">
        <v>10303.39</v>
      </c>
      <c r="C2417" s="2">
        <f t="shared" si="187"/>
        <v>2.3406194761720358E-3</v>
      </c>
      <c r="D2417" s="21">
        <f t="shared" ca="1" si="185"/>
        <v>1.9566670610651686E-3</v>
      </c>
      <c r="E2417" s="21">
        <f t="shared" ca="1" si="188"/>
        <v>9.5837075660114293E-5</v>
      </c>
      <c r="F2417" s="11">
        <f t="shared" ca="1" si="189"/>
        <v>4.6064562258516544</v>
      </c>
      <c r="G2417" s="10">
        <f t="shared" ca="1" si="186"/>
        <v>1</v>
      </c>
    </row>
    <row r="2418" spans="1:7" x14ac:dyDescent="0.2">
      <c r="A2418" s="2">
        <v>19990928</v>
      </c>
      <c r="B2418" s="13">
        <v>10275.530000000001</v>
      </c>
      <c r="C2418" s="2">
        <f t="shared" si="187"/>
        <v>-2.7039644233595706E-3</v>
      </c>
      <c r="D2418" s="21">
        <f t="shared" ca="1" si="185"/>
        <v>-3.0879168384664378E-3</v>
      </c>
      <c r="E2418" s="21">
        <f t="shared" ca="1" si="188"/>
        <v>9.2038431876250381E-5</v>
      </c>
      <c r="F2418" s="11">
        <f t="shared" ca="1" si="189"/>
        <v>4.5948518997523715</v>
      </c>
      <c r="G2418" s="10">
        <f t="shared" ca="1" si="186"/>
        <v>1</v>
      </c>
    </row>
    <row r="2419" spans="1:7" x14ac:dyDescent="0.2">
      <c r="A2419" s="2">
        <v>19990929</v>
      </c>
      <c r="B2419" s="13">
        <v>10213.48</v>
      </c>
      <c r="C2419" s="2">
        <f t="shared" si="187"/>
        <v>-6.0386179593657054E-3</v>
      </c>
      <c r="D2419" s="21">
        <f t="shared" ca="1" si="185"/>
        <v>-6.4225703744725726E-3</v>
      </c>
      <c r="E2419" s="21">
        <f t="shared" ca="1" si="188"/>
        <v>8.8641807482191132E-5</v>
      </c>
      <c r="F2419" s="11">
        <f t="shared" ca="1" si="189"/>
        <v>4.4327787816066486</v>
      </c>
      <c r="G2419" s="10">
        <f t="shared" ca="1" si="186"/>
        <v>1</v>
      </c>
    </row>
    <row r="2420" spans="1:7" x14ac:dyDescent="0.2">
      <c r="A2420" s="2">
        <v>19990930</v>
      </c>
      <c r="B2420" s="13">
        <v>10336.950000000001</v>
      </c>
      <c r="C2420" s="2">
        <f t="shared" si="187"/>
        <v>1.2088925615950799E-2</v>
      </c>
      <c r="D2420" s="21">
        <f t="shared" ca="1" si="185"/>
        <v>1.1704973200843932E-2</v>
      </c>
      <c r="E2420" s="21">
        <f t="shared" ca="1" si="188"/>
        <v>8.6583205200817121E-5</v>
      </c>
      <c r="F2420" s="11">
        <f t="shared" ca="1" si="189"/>
        <v>3.8860189004197925</v>
      </c>
      <c r="G2420" s="10">
        <f t="shared" ca="1" si="186"/>
        <v>0</v>
      </c>
    </row>
    <row r="2421" spans="1:7" x14ac:dyDescent="0.2">
      <c r="A2421" s="2">
        <v>19991001</v>
      </c>
      <c r="B2421" s="13">
        <v>10273</v>
      </c>
      <c r="C2421" s="2">
        <f t="shared" si="187"/>
        <v>-6.1865443868840157E-3</v>
      </c>
      <c r="D2421" s="21">
        <f t="shared" ca="1" si="185"/>
        <v>-6.5704968019908829E-3</v>
      </c>
      <c r="E2421" s="21">
        <f t="shared" ca="1" si="188"/>
        <v>8.8149899910227011E-5</v>
      </c>
      <c r="F2421" s="11">
        <f t="shared" ca="1" si="189"/>
        <v>4.4233608086547775</v>
      </c>
      <c r="G2421" s="10">
        <f t="shared" ca="1" si="186"/>
        <v>1</v>
      </c>
    </row>
    <row r="2422" spans="1:7" x14ac:dyDescent="0.2">
      <c r="A2422" s="2">
        <v>19991004</v>
      </c>
      <c r="B2422" s="13">
        <v>10401.23</v>
      </c>
      <c r="C2422" s="2">
        <f t="shared" si="187"/>
        <v>1.2482234984911862E-2</v>
      </c>
      <c r="D2422" s="21">
        <f t="shared" ca="1" si="185"/>
        <v>1.2098282569804995E-2</v>
      </c>
      <c r="E2422" s="21">
        <f t="shared" ca="1" si="188"/>
        <v>8.6186859353044905E-5</v>
      </c>
      <c r="F2422" s="11">
        <f t="shared" ca="1" si="189"/>
        <v>3.8303620936338048</v>
      </c>
      <c r="G2422" s="10">
        <f t="shared" ca="1" si="186"/>
        <v>0</v>
      </c>
    </row>
    <row r="2423" spans="1:7" x14ac:dyDescent="0.2">
      <c r="A2423" s="2">
        <v>19991005</v>
      </c>
      <c r="B2423" s="13">
        <v>10400.59</v>
      </c>
      <c r="C2423" s="2">
        <f t="shared" si="187"/>
        <v>-6.1531184292570968E-5</v>
      </c>
      <c r="D2423" s="21">
        <f t="shared" ca="1" si="185"/>
        <v>-4.4548359939943828E-4</v>
      </c>
      <c r="E2423" s="21">
        <f t="shared" ca="1" si="188"/>
        <v>8.8117864015693989E-5</v>
      </c>
      <c r="F2423" s="11">
        <f t="shared" ca="1" si="189"/>
        <v>4.6672915572926366</v>
      </c>
      <c r="G2423" s="10">
        <f t="shared" ca="1" si="186"/>
        <v>1</v>
      </c>
    </row>
    <row r="2424" spans="1:7" x14ac:dyDescent="0.2">
      <c r="A2424" s="2">
        <v>19991006</v>
      </c>
      <c r="B2424" s="13">
        <v>10588.34</v>
      </c>
      <c r="C2424" s="2">
        <f t="shared" si="187"/>
        <v>1.8051860519451301E-2</v>
      </c>
      <c r="D2424" s="21">
        <f t="shared" ca="1" si="185"/>
        <v>1.7667908104344432E-2</v>
      </c>
      <c r="E2424" s="21">
        <f t="shared" ca="1" si="188"/>
        <v>8.4576252930084671E-5</v>
      </c>
      <c r="F2424" s="11">
        <f t="shared" ca="1" si="189"/>
        <v>2.8435229427776587</v>
      </c>
      <c r="G2424" s="10">
        <f t="shared" ca="1" si="186"/>
        <v>0</v>
      </c>
    </row>
    <row r="2425" spans="1:7" x14ac:dyDescent="0.2">
      <c r="A2425" s="2">
        <v>19991007</v>
      </c>
      <c r="B2425" s="13">
        <v>10537.05</v>
      </c>
      <c r="C2425" s="2">
        <f t="shared" si="187"/>
        <v>-4.844007653702174E-3</v>
      </c>
      <c r="D2425" s="21">
        <f t="shared" ca="1" si="185"/>
        <v>-5.2279600688090412E-3</v>
      </c>
      <c r="E2425" s="21">
        <f t="shared" ca="1" si="188"/>
        <v>9.2684999088735715E-5</v>
      </c>
      <c r="F2425" s="11">
        <f t="shared" ca="1" si="189"/>
        <v>4.4957086482841113</v>
      </c>
      <c r="G2425" s="10">
        <f t="shared" ca="1" si="186"/>
        <v>1</v>
      </c>
    </row>
    <row r="2426" spans="1:7" x14ac:dyDescent="0.2">
      <c r="A2426" s="2">
        <v>19991008</v>
      </c>
      <c r="B2426" s="13">
        <v>10649.76</v>
      </c>
      <c r="C2426" s="2">
        <f t="shared" si="187"/>
        <v>1.0696542201090528E-2</v>
      </c>
      <c r="D2426" s="21">
        <f t="shared" ca="1" si="185"/>
        <v>1.0312589785983661E-2</v>
      </c>
      <c r="E2426" s="21">
        <f t="shared" ca="1" si="188"/>
        <v>8.9910066997399041E-5</v>
      </c>
      <c r="F2426" s="11">
        <f t="shared" ca="1" si="189"/>
        <v>4.06692873956308</v>
      </c>
      <c r="G2426" s="10">
        <f t="shared" ca="1" si="186"/>
        <v>0</v>
      </c>
    </row>
    <row r="2427" spans="1:7" x14ac:dyDescent="0.2">
      <c r="A2427" s="2">
        <v>19991011</v>
      </c>
      <c r="B2427" s="13">
        <v>10648.18</v>
      </c>
      <c r="C2427" s="2">
        <f t="shared" si="187"/>
        <v>-1.4836015083907311E-4</v>
      </c>
      <c r="D2427" s="21">
        <f t="shared" ca="1" si="185"/>
        <v>-5.3231256594594035E-4</v>
      </c>
      <c r="E2427" s="21">
        <f t="shared" ca="1" si="188"/>
        <v>9.0181147316400584E-5</v>
      </c>
      <c r="F2427" s="11">
        <f t="shared" ca="1" si="189"/>
        <v>4.6552740396690639</v>
      </c>
      <c r="G2427" s="10">
        <f t="shared" ca="1" si="186"/>
        <v>1</v>
      </c>
    </row>
    <row r="2428" spans="1:7" x14ac:dyDescent="0.2">
      <c r="A2428" s="2">
        <v>19991012</v>
      </c>
      <c r="B2428" s="13">
        <v>10417.06</v>
      </c>
      <c r="C2428" s="2">
        <f t="shared" si="187"/>
        <v>-2.1705117682082834E-2</v>
      </c>
      <c r="D2428" s="21">
        <f t="shared" ca="1" si="185"/>
        <v>-2.2089070097189703E-2</v>
      </c>
      <c r="E2428" s="21">
        <f t="shared" ca="1" si="188"/>
        <v>8.6538276008376802E-5</v>
      </c>
      <c r="F2428" s="11">
        <f t="shared" ca="1" si="189"/>
        <v>1.8583219480004933</v>
      </c>
      <c r="G2428" s="10">
        <f t="shared" ca="1" si="186"/>
        <v>0</v>
      </c>
    </row>
    <row r="2429" spans="1:7" x14ac:dyDescent="0.2">
      <c r="A2429" s="2">
        <v>19991013</v>
      </c>
      <c r="B2429" s="13">
        <v>10232.16</v>
      </c>
      <c r="C2429" s="2">
        <f t="shared" si="187"/>
        <v>-1.7749729770203844E-2</v>
      </c>
      <c r="D2429" s="21">
        <f t="shared" ca="1" si="185"/>
        <v>-1.8133682185310713E-2</v>
      </c>
      <c r="E2429" s="21">
        <f t="shared" ca="1" si="188"/>
        <v>1.010112076263791E-4</v>
      </c>
      <c r="F2429" s="11">
        <f t="shared" ca="1" si="189"/>
        <v>2.9724467460216721</v>
      </c>
      <c r="G2429" s="10">
        <f t="shared" ca="1" si="186"/>
        <v>0</v>
      </c>
    </row>
    <row r="2430" spans="1:7" x14ac:dyDescent="0.2">
      <c r="A2430" s="2">
        <v>19991014</v>
      </c>
      <c r="B2430" s="13">
        <v>10286.61</v>
      </c>
      <c r="C2430" s="2">
        <f t="shared" si="187"/>
        <v>5.3214570530563171E-3</v>
      </c>
      <c r="D2430" s="21">
        <f t="shared" ca="1" si="185"/>
        <v>4.9375046379494499E-3</v>
      </c>
      <c r="E2430" s="21">
        <f t="shared" ca="1" si="188"/>
        <v>1.0890168953160802E-4</v>
      </c>
      <c r="F2430" s="11">
        <f t="shared" ca="1" si="189"/>
        <v>4.4506014975006591</v>
      </c>
      <c r="G2430" s="10">
        <f t="shared" ca="1" si="186"/>
        <v>1</v>
      </c>
    </row>
    <row r="2431" spans="1:7" x14ac:dyDescent="0.2">
      <c r="A2431" s="2">
        <v>19991015</v>
      </c>
      <c r="B2431" s="13">
        <v>10019.709999999999</v>
      </c>
      <c r="C2431" s="2">
        <f t="shared" si="187"/>
        <v>-2.5946351616324664E-2</v>
      </c>
      <c r="D2431" s="21">
        <f t="shared" ca="1" si="185"/>
        <v>-2.6330304031431533E-2</v>
      </c>
      <c r="E2431" s="21">
        <f t="shared" ca="1" si="188"/>
        <v>1.0519777694314719E-4</v>
      </c>
      <c r="F2431" s="11">
        <f t="shared" ca="1" si="189"/>
        <v>1.2846841900524035</v>
      </c>
      <c r="G2431" s="10">
        <f t="shared" ca="1" si="186"/>
        <v>0</v>
      </c>
    </row>
    <row r="2432" spans="1:7" x14ac:dyDescent="0.2">
      <c r="A2432" s="2">
        <v>19991018</v>
      </c>
      <c r="B2432" s="13">
        <v>10116.280000000001</v>
      </c>
      <c r="C2432" s="2">
        <f t="shared" si="187"/>
        <v>9.6380034951112897E-3</v>
      </c>
      <c r="D2432" s="21">
        <f t="shared" ca="1" si="185"/>
        <v>9.2540510800044225E-3</v>
      </c>
      <c r="E2432" s="21">
        <f t="shared" ca="1" si="188"/>
        <v>1.2627808654146745E-4</v>
      </c>
      <c r="F2432" s="11">
        <f t="shared" ca="1" si="189"/>
        <v>4.1494291954736271</v>
      </c>
      <c r="G2432" s="10">
        <f t="shared" ca="1" si="186"/>
        <v>1</v>
      </c>
    </row>
    <row r="2433" spans="1:7" x14ac:dyDescent="0.2">
      <c r="A2433" s="2">
        <v>19991019</v>
      </c>
      <c r="B2433" s="13">
        <v>10204.93</v>
      </c>
      <c r="C2433" s="2">
        <f t="shared" si="187"/>
        <v>8.763102642473283E-3</v>
      </c>
      <c r="D2433" s="21">
        <f t="shared" ca="1" si="185"/>
        <v>8.3791502273664158E-3</v>
      </c>
      <c r="E2433" s="21">
        <f t="shared" ca="1" si="188"/>
        <v>1.2394767865558015E-4</v>
      </c>
      <c r="F2433" s="11">
        <f t="shared" ca="1" si="189"/>
        <v>4.2146005301687728</v>
      </c>
      <c r="G2433" s="10">
        <f t="shared" ca="1" si="186"/>
        <v>1</v>
      </c>
    </row>
    <row r="2434" spans="1:7" x14ac:dyDescent="0.2">
      <c r="A2434" s="2">
        <v>19991020</v>
      </c>
      <c r="B2434" s="13">
        <v>10392.36</v>
      </c>
      <c r="C2434" s="2">
        <f t="shared" si="187"/>
        <v>1.8366612999795227E-2</v>
      </c>
      <c r="D2434" s="21">
        <f t="shared" ca="1" si="185"/>
        <v>1.7982660584688358E-2</v>
      </c>
      <c r="E2434" s="21">
        <f t="shared" ca="1" si="188"/>
        <v>1.2116787800905405E-4</v>
      </c>
      <c r="F2434" s="11">
        <f t="shared" ca="1" si="189"/>
        <v>3.1747533696957322</v>
      </c>
      <c r="G2434" s="10">
        <f t="shared" ca="1" si="186"/>
        <v>0</v>
      </c>
    </row>
    <row r="2435" spans="1:7" x14ac:dyDescent="0.2">
      <c r="A2435" s="2">
        <v>19991021</v>
      </c>
      <c r="B2435" s="13">
        <v>10297.69</v>
      </c>
      <c r="C2435" s="2">
        <f t="shared" si="187"/>
        <v>-9.1095766505394412E-3</v>
      </c>
      <c r="D2435" s="21">
        <f t="shared" ca="1" si="185"/>
        <v>-9.4935290656463084E-3</v>
      </c>
      <c r="E2435" s="21">
        <f t="shared" ca="1" si="188"/>
        <v>1.2783806142715047E-4</v>
      </c>
      <c r="F2435" s="11">
        <f t="shared" ca="1" si="189"/>
        <v>4.1298681887643713</v>
      </c>
      <c r="G2435" s="10">
        <f t="shared" ca="1" si="186"/>
        <v>1</v>
      </c>
    </row>
    <row r="2436" spans="1:7" x14ac:dyDescent="0.2">
      <c r="A2436" s="2">
        <v>19991022</v>
      </c>
      <c r="B2436" s="13">
        <v>10470.25</v>
      </c>
      <c r="C2436" s="2">
        <f t="shared" si="187"/>
        <v>1.6757156216588329E-2</v>
      </c>
      <c r="D2436" s="21">
        <f t="shared" ca="1" si="185"/>
        <v>1.637320380148146E-2</v>
      </c>
      <c r="E2436" s="21">
        <f t="shared" ca="1" si="188"/>
        <v>1.2559382553270561E-4</v>
      </c>
      <c r="F2436" s="11">
        <f t="shared" ca="1" si="189"/>
        <v>3.4239716376584282</v>
      </c>
      <c r="G2436" s="10">
        <f t="shared" ca="1" si="186"/>
        <v>0</v>
      </c>
    </row>
    <row r="2437" spans="1:7" x14ac:dyDescent="0.2">
      <c r="A2437" s="2">
        <v>19991025</v>
      </c>
      <c r="B2437" s="13">
        <v>10349.93</v>
      </c>
      <c r="C2437" s="2">
        <f t="shared" si="187"/>
        <v>-1.1491607172703585E-2</v>
      </c>
      <c r="D2437" s="21">
        <f t="shared" ca="1" si="185"/>
        <v>-1.1875559587810452E-2</v>
      </c>
      <c r="E2437" s="21">
        <f t="shared" ca="1" si="188"/>
        <v>1.3000683162379349E-4</v>
      </c>
      <c r="F2437" s="11">
        <f t="shared" ca="1" si="189"/>
        <v>3.931571376240611</v>
      </c>
      <c r="G2437" s="10">
        <f t="shared" ca="1" si="186"/>
        <v>0</v>
      </c>
    </row>
    <row r="2438" spans="1:7" x14ac:dyDescent="0.2">
      <c r="A2438" s="2">
        <v>19991026</v>
      </c>
      <c r="B2438" s="13">
        <v>10302.129999999999</v>
      </c>
      <c r="C2438" s="2">
        <f t="shared" si="187"/>
        <v>-4.6183887234020997E-3</v>
      </c>
      <c r="D2438" s="21">
        <f t="shared" ca="1" si="185"/>
        <v>-5.0023411385089669E-3</v>
      </c>
      <c r="E2438" s="21">
        <f t="shared" ca="1" si="188"/>
        <v>1.2952462578097926E-4</v>
      </c>
      <c r="F2438" s="11">
        <f t="shared" ca="1" si="189"/>
        <v>4.379222627038458</v>
      </c>
      <c r="G2438" s="10">
        <f t="shared" ca="1" si="186"/>
        <v>1</v>
      </c>
    </row>
    <row r="2439" spans="1:7" x14ac:dyDescent="0.2">
      <c r="A2439" s="2">
        <v>19991027</v>
      </c>
      <c r="B2439" s="13">
        <v>10394.89</v>
      </c>
      <c r="C2439" s="2">
        <f t="shared" si="187"/>
        <v>9.0039632580835444E-3</v>
      </c>
      <c r="D2439" s="21">
        <f t="shared" ca="1" si="185"/>
        <v>8.6200108429766772E-3</v>
      </c>
      <c r="E2439" s="21">
        <f t="shared" ca="1" si="188"/>
        <v>1.2480109015382566E-4</v>
      </c>
      <c r="F2439" s="11">
        <f t="shared" ca="1" si="189"/>
        <v>4.1967026246449768</v>
      </c>
      <c r="G2439" s="10">
        <f t="shared" ca="1" si="186"/>
        <v>1</v>
      </c>
    </row>
    <row r="2440" spans="1:7" x14ac:dyDescent="0.2">
      <c r="A2440" s="2">
        <v>19991028</v>
      </c>
      <c r="B2440" s="13">
        <v>10622.53</v>
      </c>
      <c r="C2440" s="2">
        <f t="shared" si="187"/>
        <v>2.1899221636785118E-2</v>
      </c>
      <c r="D2440" s="21">
        <f t="shared" ca="1" si="185"/>
        <v>2.1515269221678249E-2</v>
      </c>
      <c r="E2440" s="21">
        <f t="shared" ca="1" si="188"/>
        <v>1.2212867441994767E-4</v>
      </c>
      <c r="F2440" s="11">
        <f t="shared" ca="1" si="189"/>
        <v>2.6100574655940187</v>
      </c>
      <c r="G2440" s="10">
        <f t="shared" ca="1" si="186"/>
        <v>0</v>
      </c>
    </row>
    <row r="2441" spans="1:7" x14ac:dyDescent="0.2">
      <c r="A2441" s="2">
        <v>19991029</v>
      </c>
      <c r="B2441" s="13">
        <v>10729.86</v>
      </c>
      <c r="C2441" s="2">
        <f t="shared" si="187"/>
        <v>1.0103995940703384E-2</v>
      </c>
      <c r="D2441" s="21">
        <f t="shared" ca="1" si="185"/>
        <v>9.7200435255965171E-3</v>
      </c>
      <c r="E2441" s="21">
        <f t="shared" ca="1" si="188"/>
        <v>1.3388103932619971E-4</v>
      </c>
      <c r="F2441" s="11">
        <f t="shared" ca="1" si="189"/>
        <v>4.1064317124350111</v>
      </c>
      <c r="G2441" s="10">
        <f t="shared" ca="1" si="186"/>
        <v>1</v>
      </c>
    </row>
    <row r="2442" spans="1:7" x14ac:dyDescent="0.2">
      <c r="A2442" s="2">
        <v>19991101</v>
      </c>
      <c r="B2442" s="13">
        <v>10648.51</v>
      </c>
      <c r="C2442" s="2">
        <f t="shared" si="187"/>
        <v>-7.5816459860613616E-3</v>
      </c>
      <c r="D2442" s="21">
        <f t="shared" ca="1" si="185"/>
        <v>-7.9655984011682297E-3</v>
      </c>
      <c r="E2442" s="21">
        <f t="shared" ca="1" si="188"/>
        <v>1.3149112341891408E-4</v>
      </c>
      <c r="F2442" s="11">
        <f t="shared" ca="1" si="189"/>
        <v>4.2270116844163876</v>
      </c>
      <c r="G2442" s="10">
        <f t="shared" ca="1" si="186"/>
        <v>1</v>
      </c>
    </row>
    <row r="2443" spans="1:7" x14ac:dyDescent="0.2">
      <c r="A2443" s="2">
        <v>19991102</v>
      </c>
      <c r="B2443" s="13">
        <v>10581.84</v>
      </c>
      <c r="C2443" s="2">
        <f t="shared" si="187"/>
        <v>-6.2609698446073744E-3</v>
      </c>
      <c r="D2443" s="21">
        <f t="shared" ca="1" si="185"/>
        <v>-6.6449222597142416E-3</v>
      </c>
      <c r="E2443" s="21">
        <f t="shared" ca="1" si="188"/>
        <v>1.2808114245410951E-4</v>
      </c>
      <c r="F2443" s="11">
        <f t="shared" ca="1" si="189"/>
        <v>4.3090521183326089</v>
      </c>
      <c r="G2443" s="10">
        <f t="shared" ca="1" si="186"/>
        <v>1</v>
      </c>
    </row>
    <row r="2444" spans="1:7" x14ac:dyDescent="0.2">
      <c r="A2444" s="2">
        <v>19991103</v>
      </c>
      <c r="B2444" s="13">
        <v>10609.06</v>
      </c>
      <c r="C2444" s="2">
        <f t="shared" si="187"/>
        <v>2.5723314659831698E-3</v>
      </c>
      <c r="D2444" s="21">
        <f t="shared" ca="1" si="185"/>
        <v>2.1883790508763026E-3</v>
      </c>
      <c r="E2444" s="21">
        <f t="shared" ca="1" si="188"/>
        <v>1.241341345400867E-4</v>
      </c>
      <c r="F2444" s="11">
        <f t="shared" ca="1" si="189"/>
        <v>4.4777842941518484</v>
      </c>
      <c r="G2444" s="10">
        <f t="shared" ca="1" si="186"/>
        <v>1</v>
      </c>
    </row>
    <row r="2445" spans="1:7" x14ac:dyDescent="0.2">
      <c r="A2445" s="2">
        <v>19991104</v>
      </c>
      <c r="B2445" s="13">
        <v>10639.64</v>
      </c>
      <c r="C2445" s="2">
        <f t="shared" si="187"/>
        <v>2.8824419882628556E-3</v>
      </c>
      <c r="D2445" s="21">
        <f t="shared" ca="1" si="185"/>
        <v>2.4984895731559884E-3</v>
      </c>
      <c r="E2445" s="21">
        <f t="shared" ca="1" si="188"/>
        <v>1.1893925090684496E-4</v>
      </c>
      <c r="F2445" s="11">
        <f t="shared" ca="1" si="189"/>
        <v>4.4922066672173537</v>
      </c>
      <c r="G2445" s="10">
        <f t="shared" ca="1" si="186"/>
        <v>1</v>
      </c>
    </row>
    <row r="2446" spans="1:7" x14ac:dyDescent="0.2">
      <c r="A2446" s="2">
        <v>19991105</v>
      </c>
      <c r="B2446" s="13">
        <v>10704.48</v>
      </c>
      <c r="C2446" s="2">
        <f t="shared" si="187"/>
        <v>6.0941911568436662E-3</v>
      </c>
      <c r="D2446" s="21">
        <f t="shared" ref="D2446:D2509" ca="1" si="190">(C2446-mu)</f>
        <v>5.710238741736799E-3</v>
      </c>
      <c r="E2446" s="21">
        <f t="shared" ca="1" si="188"/>
        <v>1.1406062394125588E-4</v>
      </c>
      <c r="F2446" s="11">
        <f t="shared" ca="1" si="189"/>
        <v>4.3964538460961702</v>
      </c>
      <c r="G2446" s="10">
        <f t="shared" ref="G2446:G2509" ca="1" si="191">IF(AND(C2446&lt;=mu+zvalue*SQRT(E2446),C2446&gt;=mu-zvalue*SQRT(E2446)),1,0)</f>
        <v>1</v>
      </c>
    </row>
    <row r="2447" spans="1:7" x14ac:dyDescent="0.2">
      <c r="A2447" s="2">
        <v>19991108</v>
      </c>
      <c r="B2447" s="13">
        <v>10718.85</v>
      </c>
      <c r="C2447" s="2">
        <f t="shared" ref="C2447:C2510" si="192">(B2447-B2446)/B2446</f>
        <v>1.3424285906462343E-3</v>
      </c>
      <c r="D2447" s="21">
        <f t="shared" ca="1" si="190"/>
        <v>9.5847617553936699E-4</v>
      </c>
      <c r="E2447" s="21">
        <f t="shared" ref="E2447:E2510" ca="1" si="193">(1-alpha-beta)*longvar+alpha*D2446^2+beta*E2446</f>
        <v>1.1039827247169418E-4</v>
      </c>
      <c r="F2447" s="11">
        <f t="shared" ref="F2447:F2510" ca="1" si="194">(-0.5)*(LN(E2447)+D2447^2/E2447)</f>
        <v>4.5515472980532126</v>
      </c>
      <c r="G2447" s="10">
        <f t="shared" ca="1" si="191"/>
        <v>1</v>
      </c>
    </row>
    <row r="2448" spans="1:7" x14ac:dyDescent="0.2">
      <c r="A2448" s="2">
        <v>19991109</v>
      </c>
      <c r="B2448" s="13">
        <v>10617.32</v>
      </c>
      <c r="C2448" s="2">
        <f t="shared" si="192"/>
        <v>-9.4720982194918899E-3</v>
      </c>
      <c r="D2448" s="21">
        <f t="shared" ca="1" si="190"/>
        <v>-9.8560506345987571E-3</v>
      </c>
      <c r="E2448" s="21">
        <f t="shared" ca="1" si="193"/>
        <v>1.0575597196772058E-4</v>
      </c>
      <c r="F2448" s="11">
        <f t="shared" ca="1" si="194"/>
        <v>4.117915091610902</v>
      </c>
      <c r="G2448" s="10">
        <f t="shared" ca="1" si="191"/>
        <v>1</v>
      </c>
    </row>
    <row r="2449" spans="1:7" x14ac:dyDescent="0.2">
      <c r="A2449" s="2">
        <v>19991110</v>
      </c>
      <c r="B2449" s="13">
        <v>10597.74</v>
      </c>
      <c r="C2449" s="2">
        <f t="shared" si="192"/>
        <v>-1.8441565291429408E-3</v>
      </c>
      <c r="D2449" s="21">
        <f t="shared" ca="1" si="190"/>
        <v>-2.228108944249808E-3</v>
      </c>
      <c r="E2449" s="21">
        <f t="shared" ca="1" si="193"/>
        <v>1.0488681681025078E-4</v>
      </c>
      <c r="F2449" s="11">
        <f t="shared" ca="1" si="194"/>
        <v>4.5576485211295239</v>
      </c>
      <c r="G2449" s="10">
        <f t="shared" ca="1" si="191"/>
        <v>1</v>
      </c>
    </row>
    <row r="2450" spans="1:7" x14ac:dyDescent="0.2">
      <c r="A2450" s="2">
        <v>19991111</v>
      </c>
      <c r="B2450" s="13">
        <v>10595.3</v>
      </c>
      <c r="C2450" s="2">
        <f t="shared" si="192"/>
        <v>-2.3023776767504292E-4</v>
      </c>
      <c r="D2450" s="21">
        <f t="shared" ca="1" si="190"/>
        <v>-6.1419018278191019E-4</v>
      </c>
      <c r="E2450" s="21">
        <f t="shared" ca="1" si="193"/>
        <v>1.0067211353156523E-4</v>
      </c>
      <c r="F2450" s="11">
        <f t="shared" ca="1" si="194"/>
        <v>4.5999473059127158</v>
      </c>
      <c r="G2450" s="10">
        <f t="shared" ca="1" si="191"/>
        <v>1</v>
      </c>
    </row>
    <row r="2451" spans="1:7" x14ac:dyDescent="0.2">
      <c r="A2451" s="2">
        <v>19991112</v>
      </c>
      <c r="B2451" s="13">
        <v>10769.32</v>
      </c>
      <c r="C2451" s="2">
        <f t="shared" si="192"/>
        <v>1.6424263588572335E-2</v>
      </c>
      <c r="D2451" s="21">
        <f t="shared" ca="1" si="190"/>
        <v>1.6040311173465466E-2</v>
      </c>
      <c r="E2451" s="21">
        <f t="shared" ca="1" si="193"/>
        <v>9.6501952659324531E-5</v>
      </c>
      <c r="F2451" s="11">
        <f t="shared" ca="1" si="194"/>
        <v>3.2898836243443679</v>
      </c>
      <c r="G2451" s="10">
        <f t="shared" ca="1" si="191"/>
        <v>0</v>
      </c>
    </row>
    <row r="2452" spans="1:7" x14ac:dyDescent="0.2">
      <c r="A2452" s="2">
        <v>19991115</v>
      </c>
      <c r="B2452" s="13">
        <v>10760.75</v>
      </c>
      <c r="C2452" s="2">
        <f t="shared" si="192"/>
        <v>-7.9577912068725873E-4</v>
      </c>
      <c r="D2452" s="21">
        <f t="shared" ca="1" si="190"/>
        <v>-1.1797315357941259E-3</v>
      </c>
      <c r="E2452" s="21">
        <f t="shared" ca="1" si="193"/>
        <v>1.0198995094162129E-4</v>
      </c>
      <c r="F2452" s="11">
        <f t="shared" ca="1" si="194"/>
        <v>4.5884950778610083</v>
      </c>
      <c r="G2452" s="10">
        <f t="shared" ca="1" si="191"/>
        <v>1</v>
      </c>
    </row>
    <row r="2453" spans="1:7" x14ac:dyDescent="0.2">
      <c r="A2453" s="2">
        <v>19991116</v>
      </c>
      <c r="B2453" s="13">
        <v>10932.33</v>
      </c>
      <c r="C2453" s="2">
        <f t="shared" si="192"/>
        <v>1.5944985247310823E-2</v>
      </c>
      <c r="D2453" s="21">
        <f t="shared" ca="1" si="190"/>
        <v>1.5561032832203956E-2</v>
      </c>
      <c r="E2453" s="21">
        <f t="shared" ca="1" si="193"/>
        <v>9.779042653471671E-5</v>
      </c>
      <c r="F2453" s="11">
        <f t="shared" ca="1" si="194"/>
        <v>3.3782568227686642</v>
      </c>
      <c r="G2453" s="10">
        <f t="shared" ca="1" si="191"/>
        <v>0</v>
      </c>
    </row>
    <row r="2454" spans="1:7" x14ac:dyDescent="0.2">
      <c r="A2454" s="2">
        <v>19991117</v>
      </c>
      <c r="B2454" s="13">
        <v>10883.09</v>
      </c>
      <c r="C2454" s="2">
        <f t="shared" si="192"/>
        <v>-4.5040718675707541E-3</v>
      </c>
      <c r="D2454" s="21">
        <f t="shared" ca="1" si="190"/>
        <v>-4.8880242826776213E-3</v>
      </c>
      <c r="E2454" s="21">
        <f t="shared" ca="1" si="193"/>
        <v>1.026563015269426E-4</v>
      </c>
      <c r="F2454" s="11">
        <f t="shared" ca="1" si="194"/>
        <v>4.4756893167469753</v>
      </c>
      <c r="G2454" s="10">
        <f t="shared" ca="1" si="191"/>
        <v>1</v>
      </c>
    </row>
    <row r="2455" spans="1:7" x14ac:dyDescent="0.2">
      <c r="A2455" s="2">
        <v>19991118</v>
      </c>
      <c r="B2455" s="13">
        <v>11035.7</v>
      </c>
      <c r="C2455" s="2">
        <f t="shared" si="192"/>
        <v>1.4022671869845842E-2</v>
      </c>
      <c r="D2455" s="21">
        <f t="shared" ca="1" si="190"/>
        <v>1.3638719454738974E-2</v>
      </c>
      <c r="E2455" s="21">
        <f t="shared" ca="1" si="193"/>
        <v>9.9250467829912478E-5</v>
      </c>
      <c r="F2455" s="11">
        <f t="shared" ca="1" si="194"/>
        <v>3.6718347756735725</v>
      </c>
      <c r="G2455" s="10">
        <f t="shared" ca="1" si="191"/>
        <v>0</v>
      </c>
    </row>
    <row r="2456" spans="1:7" x14ac:dyDescent="0.2">
      <c r="A2456" s="2">
        <v>19991119</v>
      </c>
      <c r="B2456" s="13">
        <v>11003.89</v>
      </c>
      <c r="C2456" s="2">
        <f t="shared" si="192"/>
        <v>-2.8824632782697346E-3</v>
      </c>
      <c r="D2456" s="21">
        <f t="shared" ca="1" si="190"/>
        <v>-3.2664156933766017E-3</v>
      </c>
      <c r="E2456" s="21">
        <f t="shared" ca="1" si="193"/>
        <v>1.0197844123762401E-4</v>
      </c>
      <c r="F2456" s="11">
        <f t="shared" ca="1" si="194"/>
        <v>4.5430621761558303</v>
      </c>
      <c r="G2456" s="10">
        <f t="shared" ca="1" si="191"/>
        <v>1</v>
      </c>
    </row>
    <row r="2457" spans="1:7" x14ac:dyDescent="0.2">
      <c r="A2457" s="2">
        <v>19991122</v>
      </c>
      <c r="B2457" s="13">
        <v>11089.52</v>
      </c>
      <c r="C2457" s="2">
        <f t="shared" si="192"/>
        <v>7.7817935293792492E-3</v>
      </c>
      <c r="D2457" s="21">
        <f t="shared" ca="1" si="190"/>
        <v>7.397841114272382E-3</v>
      </c>
      <c r="E2457" s="21">
        <f t="shared" ca="1" si="193"/>
        <v>9.8120656522056692E-5</v>
      </c>
      <c r="F2457" s="11">
        <f t="shared" ca="1" si="194"/>
        <v>4.3357749185313281</v>
      </c>
      <c r="G2457" s="10">
        <f t="shared" ca="1" si="191"/>
        <v>1</v>
      </c>
    </row>
    <row r="2458" spans="1:7" x14ac:dyDescent="0.2">
      <c r="A2458" s="2">
        <v>19991123</v>
      </c>
      <c r="B2458" s="13">
        <v>10995.63</v>
      </c>
      <c r="C2458" s="2">
        <f t="shared" si="192"/>
        <v>-8.466552204243397E-3</v>
      </c>
      <c r="D2458" s="21">
        <f t="shared" ca="1" si="190"/>
        <v>-8.8505046193502641E-3</v>
      </c>
      <c r="E2458" s="21">
        <f t="shared" ca="1" si="193"/>
        <v>9.6078149381846544E-5</v>
      </c>
      <c r="F2458" s="11">
        <f t="shared" ca="1" si="194"/>
        <v>4.2175299577415641</v>
      </c>
      <c r="G2458" s="10">
        <f t="shared" ca="1" si="191"/>
        <v>1</v>
      </c>
    </row>
    <row r="2459" spans="1:7" x14ac:dyDescent="0.2">
      <c r="A2459" s="2">
        <v>19991124</v>
      </c>
      <c r="B2459" s="13">
        <v>11008.17</v>
      </c>
      <c r="C2459" s="2">
        <f t="shared" si="192"/>
        <v>1.1404530709018831E-3</v>
      </c>
      <c r="D2459" s="21">
        <f t="shared" ca="1" si="190"/>
        <v>7.5650065579501585E-4</v>
      </c>
      <c r="E2459" s="21">
        <f t="shared" ca="1" si="193"/>
        <v>9.5006910803865086E-5</v>
      </c>
      <c r="F2459" s="11">
        <f t="shared" ca="1" si="194"/>
        <v>4.6277686112549521</v>
      </c>
      <c r="G2459" s="10">
        <f t="shared" ca="1" si="191"/>
        <v>1</v>
      </c>
    </row>
    <row r="2460" spans="1:7" x14ac:dyDescent="0.2">
      <c r="A2460" s="2">
        <v>19991126</v>
      </c>
      <c r="B2460" s="13">
        <v>10988.91</v>
      </c>
      <c r="C2460" s="2">
        <f t="shared" si="192"/>
        <v>-1.7496096081365221E-3</v>
      </c>
      <c r="D2460" s="21">
        <f t="shared" ca="1" si="190"/>
        <v>-2.1335620232433893E-3</v>
      </c>
      <c r="E2460" s="21">
        <f t="shared" ca="1" si="193"/>
        <v>9.1130527234394764E-5</v>
      </c>
      <c r="F2460" s="11">
        <f t="shared" ca="1" si="194"/>
        <v>4.6266332146471321</v>
      </c>
      <c r="G2460" s="10">
        <f t="shared" ca="1" si="191"/>
        <v>1</v>
      </c>
    </row>
    <row r="2461" spans="1:7" x14ac:dyDescent="0.2">
      <c r="A2461" s="2">
        <v>19991129</v>
      </c>
      <c r="B2461" s="13">
        <v>10947.92</v>
      </c>
      <c r="C2461" s="2">
        <f t="shared" si="192"/>
        <v>-3.7301242798421117E-3</v>
      </c>
      <c r="D2461" s="21">
        <f t="shared" ca="1" si="190"/>
        <v>-4.1140766949489789E-3</v>
      </c>
      <c r="E2461" s="21">
        <f t="shared" ca="1" si="193"/>
        <v>8.7596595148020648E-5</v>
      </c>
      <c r="F2461" s="11">
        <f t="shared" ca="1" si="194"/>
        <v>4.5747729990318131</v>
      </c>
      <c r="G2461" s="10">
        <f t="shared" ca="1" si="191"/>
        <v>1</v>
      </c>
    </row>
    <row r="2462" spans="1:7" x14ac:dyDescent="0.2">
      <c r="A2462" s="2">
        <v>19991130</v>
      </c>
      <c r="B2462" s="13">
        <v>10877.81</v>
      </c>
      <c r="C2462" s="2">
        <f t="shared" si="192"/>
        <v>-6.4039561852845634E-3</v>
      </c>
      <c r="D2462" s="21">
        <f t="shared" ca="1" si="190"/>
        <v>-6.7879086003914306E-3</v>
      </c>
      <c r="E2462" s="21">
        <f t="shared" ca="1" si="193"/>
        <v>8.4696442525405036E-5</v>
      </c>
      <c r="F2462" s="11">
        <f t="shared" ca="1" si="194"/>
        <v>4.4162135293965896</v>
      </c>
      <c r="G2462" s="10">
        <f t="shared" ca="1" si="191"/>
        <v>1</v>
      </c>
    </row>
    <row r="2463" spans="1:7" x14ac:dyDescent="0.2">
      <c r="A2463" s="2">
        <v>19991201</v>
      </c>
      <c r="B2463" s="13">
        <v>10998.39</v>
      </c>
      <c r="C2463" s="2">
        <f t="shared" si="192"/>
        <v>1.1084951842328552E-2</v>
      </c>
      <c r="D2463" s="21">
        <f t="shared" ca="1" si="190"/>
        <v>1.0700999427221684E-2</v>
      </c>
      <c r="E2463" s="21">
        <f t="shared" ca="1" si="193"/>
        <v>8.3014908775050182E-5</v>
      </c>
      <c r="F2463" s="11">
        <f t="shared" ca="1" si="194"/>
        <v>4.0085414154372678</v>
      </c>
      <c r="G2463" s="10">
        <f t="shared" ca="1" si="191"/>
        <v>0</v>
      </c>
    </row>
    <row r="2464" spans="1:7" x14ac:dyDescent="0.2">
      <c r="A2464" s="2">
        <v>19991202</v>
      </c>
      <c r="B2464" s="13">
        <v>11039.06</v>
      </c>
      <c r="C2464" s="2">
        <f t="shared" si="192"/>
        <v>3.6978139527694578E-3</v>
      </c>
      <c r="D2464" s="21">
        <f t="shared" ca="1" si="190"/>
        <v>3.3138615376625906E-3</v>
      </c>
      <c r="E2464" s="21">
        <f t="shared" ca="1" si="193"/>
        <v>8.3934944021283196E-5</v>
      </c>
      <c r="F2464" s="11">
        <f t="shared" ca="1" si="194"/>
        <v>4.6273164703666314</v>
      </c>
      <c r="G2464" s="10">
        <f t="shared" ca="1" si="191"/>
        <v>1</v>
      </c>
    </row>
    <row r="2465" spans="1:7" x14ac:dyDescent="0.2">
      <c r="A2465" s="2">
        <v>19991203</v>
      </c>
      <c r="B2465" s="13">
        <v>11286.18</v>
      </c>
      <c r="C2465" s="2">
        <f t="shared" si="192"/>
        <v>2.2385964022299074E-2</v>
      </c>
      <c r="D2465" s="21">
        <f t="shared" ca="1" si="190"/>
        <v>2.2002011607192205E-2</v>
      </c>
      <c r="E2465" s="21">
        <f t="shared" ca="1" si="193"/>
        <v>8.1001466160459428E-5</v>
      </c>
      <c r="F2465" s="11">
        <f t="shared" ca="1" si="194"/>
        <v>1.7223750306251389</v>
      </c>
      <c r="G2465" s="10">
        <f t="shared" ca="1" si="191"/>
        <v>0</v>
      </c>
    </row>
    <row r="2466" spans="1:7" x14ac:dyDescent="0.2">
      <c r="A2466" s="2">
        <v>19991206</v>
      </c>
      <c r="B2466" s="13">
        <v>11225.01</v>
      </c>
      <c r="C2466" s="2">
        <f t="shared" si="192"/>
        <v>-5.4199029255248519E-3</v>
      </c>
      <c r="D2466" s="21">
        <f t="shared" ca="1" si="190"/>
        <v>-5.8038553406317191E-3</v>
      </c>
      <c r="E2466" s="21">
        <f t="shared" ca="1" si="193"/>
        <v>9.5613358354388733E-5</v>
      </c>
      <c r="F2466" s="11">
        <f t="shared" ca="1" si="194"/>
        <v>4.4514482200682046</v>
      </c>
      <c r="G2466" s="10">
        <f t="shared" ca="1" si="191"/>
        <v>1</v>
      </c>
    </row>
    <row r="2467" spans="1:7" x14ac:dyDescent="0.2">
      <c r="A2467" s="2">
        <v>19991207</v>
      </c>
      <c r="B2467" s="13">
        <v>11106.65</v>
      </c>
      <c r="C2467" s="2">
        <f t="shared" si="192"/>
        <v>-1.0544311319099098E-2</v>
      </c>
      <c r="D2467" s="21">
        <f t="shared" ca="1" si="190"/>
        <v>-1.0928263734205966E-2</v>
      </c>
      <c r="E2467" s="21">
        <f t="shared" ca="1" si="193"/>
        <v>9.2923896769711079E-5</v>
      </c>
      <c r="F2467" s="11">
        <f t="shared" ca="1" si="194"/>
        <v>3.9992586362909814</v>
      </c>
      <c r="G2467" s="10">
        <f t="shared" ca="1" si="191"/>
        <v>0</v>
      </c>
    </row>
    <row r="2468" spans="1:7" x14ac:dyDescent="0.2">
      <c r="A2468" s="2">
        <v>19991208</v>
      </c>
      <c r="B2468" s="13">
        <v>11068.12</v>
      </c>
      <c r="C2468" s="2">
        <f t="shared" si="192"/>
        <v>-3.4690928407754666E-3</v>
      </c>
      <c r="D2468" s="21">
        <f t="shared" ca="1" si="190"/>
        <v>-3.8530452558823338E-3</v>
      </c>
      <c r="E2468" s="21">
        <f t="shared" ca="1" si="193"/>
        <v>9.3523386756340487E-5</v>
      </c>
      <c r="F2468" s="11">
        <f t="shared" ca="1" si="194"/>
        <v>4.5592792177954946</v>
      </c>
      <c r="G2468" s="10">
        <f t="shared" ca="1" si="191"/>
        <v>1</v>
      </c>
    </row>
    <row r="2469" spans="1:7" x14ac:dyDescent="0.2">
      <c r="A2469" s="2">
        <v>19991209</v>
      </c>
      <c r="B2469" s="13">
        <v>11134.79</v>
      </c>
      <c r="C2469" s="2">
        <f t="shared" si="192"/>
        <v>6.0236065384184547E-3</v>
      </c>
      <c r="D2469" s="21">
        <f t="shared" ca="1" si="190"/>
        <v>5.6396541233115875E-3</v>
      </c>
      <c r="E2469" s="21">
        <f t="shared" ca="1" si="193"/>
        <v>9.0246922723121871E-5</v>
      </c>
      <c r="F2469" s="11">
        <f t="shared" ca="1" si="194"/>
        <v>4.4802656641700862</v>
      </c>
      <c r="G2469" s="10">
        <f t="shared" ca="1" si="191"/>
        <v>1</v>
      </c>
    </row>
    <row r="2470" spans="1:7" x14ac:dyDescent="0.2">
      <c r="A2470" s="2">
        <v>19991210</v>
      </c>
      <c r="B2470" s="13">
        <v>11224.7</v>
      </c>
      <c r="C2470" s="2">
        <f t="shared" si="192"/>
        <v>8.0746920238280069E-3</v>
      </c>
      <c r="D2470" s="21">
        <f t="shared" ca="1" si="190"/>
        <v>7.6907396087211397E-3</v>
      </c>
      <c r="E2470" s="21">
        <f t="shared" ca="1" si="193"/>
        <v>8.7759855369076335E-5</v>
      </c>
      <c r="F2470" s="11">
        <f t="shared" ca="1" si="194"/>
        <v>4.3334683886891865</v>
      </c>
      <c r="G2470" s="10">
        <f t="shared" ca="1" si="191"/>
        <v>1</v>
      </c>
    </row>
    <row r="2471" spans="1:7" x14ac:dyDescent="0.2">
      <c r="A2471" s="2">
        <v>19991213</v>
      </c>
      <c r="B2471" s="13">
        <v>11192.59</v>
      </c>
      <c r="C2471" s="2">
        <f t="shared" si="192"/>
        <v>-2.8606555186330663E-3</v>
      </c>
      <c r="D2471" s="21">
        <f t="shared" ca="1" si="190"/>
        <v>-3.2446079337399335E-3</v>
      </c>
      <c r="E2471" s="21">
        <f t="shared" ca="1" si="193"/>
        <v>8.6404014455318258E-5</v>
      </c>
      <c r="F2471" s="11">
        <f t="shared" ca="1" si="194"/>
        <v>4.6173181199903901</v>
      </c>
      <c r="G2471" s="10">
        <f t="shared" ca="1" si="191"/>
        <v>1</v>
      </c>
    </row>
    <row r="2472" spans="1:7" x14ac:dyDescent="0.2">
      <c r="A2472" s="2">
        <v>19991214</v>
      </c>
      <c r="B2472" s="13">
        <v>11160.17</v>
      </c>
      <c r="C2472" s="2">
        <f t="shared" si="192"/>
        <v>-2.8965592414267002E-3</v>
      </c>
      <c r="D2472" s="21">
        <f t="shared" ca="1" si="190"/>
        <v>-3.2805116565335674E-3</v>
      </c>
      <c r="E2472" s="21">
        <f t="shared" ca="1" si="193"/>
        <v>8.3328923867725187E-5</v>
      </c>
      <c r="F2472" s="11">
        <f t="shared" ca="1" si="194"/>
        <v>4.6317834646670661</v>
      </c>
      <c r="G2472" s="10">
        <f t="shared" ca="1" si="191"/>
        <v>1</v>
      </c>
    </row>
    <row r="2473" spans="1:7" x14ac:dyDescent="0.2">
      <c r="A2473" s="2">
        <v>19991215</v>
      </c>
      <c r="B2473" s="13">
        <v>11225.32</v>
      </c>
      <c r="C2473" s="2">
        <f t="shared" si="192"/>
        <v>5.8377246941578517E-3</v>
      </c>
      <c r="D2473" s="21">
        <f t="shared" ca="1" si="190"/>
        <v>5.4537722790509845E-3</v>
      </c>
      <c r="E2473" s="21">
        <f t="shared" ca="1" si="193"/>
        <v>8.0418017866177167E-5</v>
      </c>
      <c r="F2473" s="11">
        <f t="shared" ca="1" si="194"/>
        <v>4.5292047594150002</v>
      </c>
      <c r="G2473" s="10">
        <f t="shared" ca="1" si="191"/>
        <v>1</v>
      </c>
    </row>
    <row r="2474" spans="1:7" x14ac:dyDescent="0.2">
      <c r="A2474" s="2">
        <v>19991216</v>
      </c>
      <c r="B2474" s="13">
        <v>11244.89</v>
      </c>
      <c r="C2474" s="2">
        <f t="shared" si="192"/>
        <v>1.7433801441740378E-3</v>
      </c>
      <c r="D2474" s="21">
        <f t="shared" ca="1" si="190"/>
        <v>1.3594277290671706E-3</v>
      </c>
      <c r="E2474" s="21">
        <f t="shared" ca="1" si="193"/>
        <v>7.8352372257317986E-5</v>
      </c>
      <c r="F2474" s="11">
        <f t="shared" ca="1" si="194"/>
        <v>4.7153539983516826</v>
      </c>
      <c r="G2474" s="10">
        <f t="shared" ca="1" si="191"/>
        <v>1</v>
      </c>
    </row>
    <row r="2475" spans="1:7" x14ac:dyDescent="0.2">
      <c r="A2475" s="2">
        <v>19991217</v>
      </c>
      <c r="B2475" s="13">
        <v>11257.43</v>
      </c>
      <c r="C2475" s="2">
        <f t="shared" si="192"/>
        <v>1.1151732031172269E-3</v>
      </c>
      <c r="D2475" s="21">
        <f t="shared" ca="1" si="190"/>
        <v>7.3122078801035964E-4</v>
      </c>
      <c r="E2475" s="21">
        <f t="shared" ca="1" si="193"/>
        <v>7.5365458850374249E-5</v>
      </c>
      <c r="F2475" s="11">
        <f t="shared" ca="1" si="194"/>
        <v>4.7430334728354984</v>
      </c>
      <c r="G2475" s="10">
        <f t="shared" ca="1" si="191"/>
        <v>1</v>
      </c>
    </row>
    <row r="2476" spans="1:7" x14ac:dyDescent="0.2">
      <c r="A2476" s="2">
        <v>19991220</v>
      </c>
      <c r="B2476" s="13">
        <v>11144.27</v>
      </c>
      <c r="C2476" s="2">
        <f t="shared" si="192"/>
        <v>-1.0052027860710647E-2</v>
      </c>
      <c r="D2476" s="21">
        <f t="shared" ca="1" si="190"/>
        <v>-1.0435980275817514E-2</v>
      </c>
      <c r="E2476" s="21">
        <f t="shared" ca="1" si="193"/>
        <v>7.2481359839102416E-5</v>
      </c>
      <c r="F2476" s="11">
        <f t="shared" ca="1" si="194"/>
        <v>4.0147961342040208</v>
      </c>
      <c r="G2476" s="10">
        <f t="shared" ca="1" si="191"/>
        <v>0</v>
      </c>
    </row>
    <row r="2477" spans="1:7" x14ac:dyDescent="0.2">
      <c r="A2477" s="2">
        <v>19991221</v>
      </c>
      <c r="B2477" s="13">
        <v>11200.54</v>
      </c>
      <c r="C2477" s="2">
        <f t="shared" si="192"/>
        <v>5.049231578201213E-3</v>
      </c>
      <c r="D2477" s="21">
        <f t="shared" ca="1" si="190"/>
        <v>4.6652791630943458E-3</v>
      </c>
      <c r="E2477" s="21">
        <f t="shared" ca="1" si="193"/>
        <v>7.3728306341811072E-5</v>
      </c>
      <c r="F2477" s="11">
        <f t="shared" ca="1" si="194"/>
        <v>4.6099602942072835</v>
      </c>
      <c r="G2477" s="10">
        <f t="shared" ca="1" si="191"/>
        <v>1</v>
      </c>
    </row>
    <row r="2478" spans="1:7" x14ac:dyDescent="0.2">
      <c r="A2478" s="2">
        <v>19991222</v>
      </c>
      <c r="B2478" s="13">
        <v>11203.6</v>
      </c>
      <c r="C2478" s="2">
        <f t="shared" si="192"/>
        <v>2.7320111351769561E-4</v>
      </c>
      <c r="D2478" s="21">
        <f t="shared" ca="1" si="190"/>
        <v>-1.1075130158917168E-4</v>
      </c>
      <c r="E2478" s="21">
        <f t="shared" ca="1" si="193"/>
        <v>7.1707700945961399E-5</v>
      </c>
      <c r="F2478" s="11">
        <f t="shared" ca="1" si="194"/>
        <v>4.7713706787779495</v>
      </c>
      <c r="G2478" s="10">
        <f t="shared" ca="1" si="191"/>
        <v>1</v>
      </c>
    </row>
    <row r="2479" spans="1:7" x14ac:dyDescent="0.2">
      <c r="A2479" s="2">
        <v>19991223</v>
      </c>
      <c r="B2479" s="13">
        <v>11405.76</v>
      </c>
      <c r="C2479" s="2">
        <f t="shared" si="192"/>
        <v>1.8044200078546169E-2</v>
      </c>
      <c r="D2479" s="21">
        <f t="shared" ca="1" si="190"/>
        <v>1.76602476634393E-2</v>
      </c>
      <c r="E2479" s="21">
        <f t="shared" ca="1" si="193"/>
        <v>6.8989438889783619E-5</v>
      </c>
      <c r="F2479" s="11">
        <f t="shared" ca="1" si="194"/>
        <v>2.5304010860545949</v>
      </c>
      <c r="G2479" s="10">
        <f t="shared" ca="1" si="191"/>
        <v>0</v>
      </c>
    </row>
    <row r="2480" spans="1:7" x14ac:dyDescent="0.2">
      <c r="A2480" s="2">
        <v>19991227</v>
      </c>
      <c r="B2480" s="13">
        <v>11391.08</v>
      </c>
      <c r="C2480" s="2">
        <f t="shared" si="192"/>
        <v>-1.2870689897034736E-3</v>
      </c>
      <c r="D2480" s="21">
        <f t="shared" ca="1" si="190"/>
        <v>-1.671021404810341E-3</v>
      </c>
      <c r="E2480" s="21">
        <f t="shared" ca="1" si="193"/>
        <v>7.7876775592877463E-5</v>
      </c>
      <c r="F2480" s="11">
        <f t="shared" ca="1" si="194"/>
        <v>4.7122636286745037</v>
      </c>
      <c r="G2480" s="10">
        <f t="shared" ca="1" si="191"/>
        <v>1</v>
      </c>
    </row>
    <row r="2481" spans="1:7" x14ac:dyDescent="0.2">
      <c r="A2481" s="2">
        <v>19991228</v>
      </c>
      <c r="B2481" s="13">
        <v>11476.71</v>
      </c>
      <c r="C2481" s="2">
        <f t="shared" si="192"/>
        <v>7.5172854549348436E-3</v>
      </c>
      <c r="D2481" s="21">
        <f t="shared" ca="1" si="190"/>
        <v>7.1333330398279764E-3</v>
      </c>
      <c r="E2481" s="21">
        <f t="shared" ca="1" si="193"/>
        <v>7.4948645189738767E-5</v>
      </c>
      <c r="F2481" s="11">
        <f t="shared" ca="1" si="194"/>
        <v>4.4098916630526617</v>
      </c>
      <c r="G2481" s="10">
        <f t="shared" ca="1" si="191"/>
        <v>1</v>
      </c>
    </row>
    <row r="2482" spans="1:7" x14ac:dyDescent="0.2">
      <c r="A2482" s="2">
        <v>19991229</v>
      </c>
      <c r="B2482" s="13">
        <v>11484.66</v>
      </c>
      <c r="C2482" s="2">
        <f t="shared" si="192"/>
        <v>6.9270723055655571E-4</v>
      </c>
      <c r="D2482" s="21">
        <f t="shared" ca="1" si="190"/>
        <v>3.0875481544968841E-4</v>
      </c>
      <c r="E2482" s="21">
        <f t="shared" ca="1" si="193"/>
        <v>7.393708137527122E-5</v>
      </c>
      <c r="F2482" s="11">
        <f t="shared" ca="1" si="194"/>
        <v>4.7555033724415159</v>
      </c>
      <c r="G2482" s="10">
        <f t="shared" ca="1" si="191"/>
        <v>1</v>
      </c>
    </row>
    <row r="2483" spans="1:7" x14ac:dyDescent="0.2">
      <c r="A2483" s="2">
        <v>19991230</v>
      </c>
      <c r="B2483" s="13">
        <v>11452.86</v>
      </c>
      <c r="C2483" s="2">
        <f t="shared" si="192"/>
        <v>-2.7689108776401978E-3</v>
      </c>
      <c r="D2483" s="21">
        <f t="shared" ca="1" si="190"/>
        <v>-3.152863292747065E-3</v>
      </c>
      <c r="E2483" s="21">
        <f t="shared" ca="1" si="193"/>
        <v>7.1109088625859404E-5</v>
      </c>
      <c r="F2483" s="11">
        <f t="shared" ca="1" si="194"/>
        <v>4.7057512416447409</v>
      </c>
      <c r="G2483" s="10">
        <f t="shared" ca="1" si="191"/>
        <v>1</v>
      </c>
    </row>
    <row r="2484" spans="1:7" x14ac:dyDescent="0.2">
      <c r="A2484" s="2">
        <v>19991231</v>
      </c>
      <c r="B2484" s="13">
        <v>11497.12</v>
      </c>
      <c r="C2484" s="2">
        <f t="shared" si="192"/>
        <v>3.864536892968238E-3</v>
      </c>
      <c r="D2484" s="21">
        <f t="shared" ca="1" si="190"/>
        <v>3.4805844778613708E-3</v>
      </c>
      <c r="E2484" s="21">
        <f t="shared" ca="1" si="193"/>
        <v>6.8786190795054196E-5</v>
      </c>
      <c r="F2484" s="11">
        <f t="shared" ca="1" si="194"/>
        <v>4.7041949053317174</v>
      </c>
      <c r="G2484" s="10">
        <f t="shared" ca="1" si="191"/>
        <v>1</v>
      </c>
    </row>
    <row r="2485" spans="1:7" x14ac:dyDescent="0.2">
      <c r="A2485" s="2">
        <v>20000103</v>
      </c>
      <c r="B2485" s="13">
        <v>11357.51</v>
      </c>
      <c r="C2485" s="2">
        <f t="shared" si="192"/>
        <v>-1.2143041039843072E-2</v>
      </c>
      <c r="D2485" s="21">
        <f t="shared" ca="1" si="190"/>
        <v>-1.2526993454949939E-2</v>
      </c>
      <c r="E2485" s="21">
        <f t="shared" ca="1" si="193"/>
        <v>6.6660748014708593E-5</v>
      </c>
      <c r="F2485" s="11">
        <f t="shared" ca="1" si="194"/>
        <v>3.6309008963446461</v>
      </c>
      <c r="G2485" s="10">
        <f t="shared" ca="1" si="191"/>
        <v>0</v>
      </c>
    </row>
    <row r="2486" spans="1:7" x14ac:dyDescent="0.2">
      <c r="A2486" s="2">
        <v>20000104</v>
      </c>
      <c r="B2486" s="13">
        <v>10997.93</v>
      </c>
      <c r="C2486" s="2">
        <f t="shared" si="192"/>
        <v>-3.1660108597747212E-2</v>
      </c>
      <c r="D2486" s="21">
        <f t="shared" ca="1" si="190"/>
        <v>-3.2044061012854078E-2</v>
      </c>
      <c r="E2486" s="21">
        <f t="shared" ca="1" si="193"/>
        <v>6.9967788957573483E-5</v>
      </c>
      <c r="F2486" s="11">
        <f t="shared" ca="1" si="194"/>
        <v>-2.5540805227118097</v>
      </c>
      <c r="G2486" s="10">
        <f t="shared" ca="1" si="191"/>
        <v>0</v>
      </c>
    </row>
    <row r="2487" spans="1:7" x14ac:dyDescent="0.2">
      <c r="A2487" s="2">
        <v>20000105</v>
      </c>
      <c r="B2487" s="13">
        <v>11122.65</v>
      </c>
      <c r="C2487" s="2">
        <f t="shared" si="192"/>
        <v>1.1340315859438944E-2</v>
      </c>
      <c r="D2487" s="21">
        <f t="shared" ca="1" si="190"/>
        <v>1.0956363444332077E-2</v>
      </c>
      <c r="E2487" s="21">
        <f t="shared" ca="1" si="193"/>
        <v>1.0509513074890324E-4</v>
      </c>
      <c r="F2487" s="11">
        <f t="shared" ca="1" si="194"/>
        <v>4.0092116408834055</v>
      </c>
      <c r="G2487" s="10">
        <f t="shared" ca="1" si="191"/>
        <v>0</v>
      </c>
    </row>
    <row r="2488" spans="1:7" x14ac:dyDescent="0.2">
      <c r="A2488" s="2">
        <v>20000106</v>
      </c>
      <c r="B2488" s="13">
        <v>11253.26</v>
      </c>
      <c r="C2488" s="2">
        <f t="shared" si="192"/>
        <v>1.1742705200649179E-2</v>
      </c>
      <c r="D2488" s="21">
        <f t="shared" ca="1" si="190"/>
        <v>1.1358752785542311E-2</v>
      </c>
      <c r="E2488" s="21">
        <f t="shared" ca="1" si="193"/>
        <v>1.0510148684797843E-4</v>
      </c>
      <c r="F2488" s="11">
        <f t="shared" ca="1" si="194"/>
        <v>3.9664983482013518</v>
      </c>
      <c r="G2488" s="10">
        <f t="shared" ca="1" si="191"/>
        <v>0</v>
      </c>
    </row>
    <row r="2489" spans="1:7" x14ac:dyDescent="0.2">
      <c r="A2489" s="2">
        <v>20000107</v>
      </c>
      <c r="B2489" s="13">
        <v>11522.56</v>
      </c>
      <c r="C2489" s="2">
        <f t="shared" si="192"/>
        <v>2.3930843151229002E-2</v>
      </c>
      <c r="D2489" s="21">
        <f t="shared" ca="1" si="190"/>
        <v>2.3546890736122133E-2</v>
      </c>
      <c r="E2489" s="21">
        <f t="shared" ca="1" si="193"/>
        <v>1.0543770831636544E-4</v>
      </c>
      <c r="F2489" s="11">
        <f t="shared" ca="1" si="194"/>
        <v>1.9493888020894286</v>
      </c>
      <c r="G2489" s="10">
        <f t="shared" ca="1" si="191"/>
        <v>0</v>
      </c>
    </row>
    <row r="2490" spans="1:7" x14ac:dyDescent="0.2">
      <c r="A2490" s="2">
        <v>20000110</v>
      </c>
      <c r="B2490" s="13">
        <v>11572.2</v>
      </c>
      <c r="C2490" s="2">
        <f t="shared" si="192"/>
        <v>4.3080704287937087E-3</v>
      </c>
      <c r="D2490" s="21">
        <f t="shared" ca="1" si="190"/>
        <v>3.9241180136868415E-3</v>
      </c>
      <c r="E2490" s="21">
        <f t="shared" ca="1" si="193"/>
        <v>1.2140090059983113E-4</v>
      </c>
      <c r="F2490" s="11">
        <f t="shared" ca="1" si="194"/>
        <v>4.4447852575105529</v>
      </c>
      <c r="G2490" s="10">
        <f t="shared" ca="1" si="191"/>
        <v>1</v>
      </c>
    </row>
    <row r="2491" spans="1:7" x14ac:dyDescent="0.2">
      <c r="A2491" s="2">
        <v>20000111</v>
      </c>
      <c r="B2491" s="13">
        <v>11511.08</v>
      </c>
      <c r="C2491" s="2">
        <f t="shared" si="192"/>
        <v>-5.2816232004286824E-3</v>
      </c>
      <c r="D2491" s="21">
        <f t="shared" ca="1" si="190"/>
        <v>-5.6655756155355496E-3</v>
      </c>
      <c r="E2491" s="21">
        <f t="shared" ca="1" si="193"/>
        <v>1.167344293404311E-4</v>
      </c>
      <c r="F2491" s="11">
        <f t="shared" ca="1" si="194"/>
        <v>4.3903183152509948</v>
      </c>
      <c r="G2491" s="10">
        <f t="shared" ca="1" si="191"/>
        <v>1</v>
      </c>
    </row>
    <row r="2492" spans="1:7" x14ac:dyDescent="0.2">
      <c r="A2492" s="2">
        <v>20000112</v>
      </c>
      <c r="B2492" s="13">
        <v>11551.1</v>
      </c>
      <c r="C2492" s="2">
        <f t="shared" si="192"/>
        <v>3.476650322993189E-3</v>
      </c>
      <c r="D2492" s="21">
        <f t="shared" ca="1" si="190"/>
        <v>3.0926979078863218E-3</v>
      </c>
      <c r="E2492" s="21">
        <f t="shared" ca="1" si="193"/>
        <v>1.1291812620748093E-4</v>
      </c>
      <c r="F2492" s="11">
        <f t="shared" ca="1" si="194"/>
        <v>4.502071050873397</v>
      </c>
      <c r="G2492" s="10">
        <f t="shared" ca="1" si="191"/>
        <v>1</v>
      </c>
    </row>
    <row r="2493" spans="1:7" x14ac:dyDescent="0.2">
      <c r="A2493" s="2">
        <v>20000113</v>
      </c>
      <c r="B2493" s="13">
        <v>11582.43</v>
      </c>
      <c r="C2493" s="2">
        <f t="shared" si="192"/>
        <v>2.7122957986685189E-3</v>
      </c>
      <c r="D2493" s="21">
        <f t="shared" ca="1" si="190"/>
        <v>2.3283433835616517E-3</v>
      </c>
      <c r="E2493" s="21">
        <f t="shared" ca="1" si="193"/>
        <v>1.0846627780545654E-4</v>
      </c>
      <c r="F2493" s="11">
        <f t="shared" ca="1" si="194"/>
        <v>4.5395454416952861</v>
      </c>
      <c r="G2493" s="10">
        <f t="shared" ca="1" si="191"/>
        <v>1</v>
      </c>
    </row>
    <row r="2494" spans="1:7" x14ac:dyDescent="0.2">
      <c r="A2494" s="2">
        <v>20000114</v>
      </c>
      <c r="B2494" s="13">
        <v>11722.98</v>
      </c>
      <c r="C2494" s="2">
        <f t="shared" si="192"/>
        <v>1.21347592862637E-2</v>
      </c>
      <c r="D2494" s="21">
        <f t="shared" ca="1" si="190"/>
        <v>1.1750806871156833E-2</v>
      </c>
      <c r="E2494" s="21">
        <f t="shared" ca="1" si="193"/>
        <v>1.0408728256722601E-4</v>
      </c>
      <c r="F2494" s="11">
        <f t="shared" ca="1" si="194"/>
        <v>3.9218438696007123</v>
      </c>
      <c r="G2494" s="10">
        <f t="shared" ca="1" si="191"/>
        <v>0</v>
      </c>
    </row>
    <row r="2495" spans="1:7" x14ac:dyDescent="0.2">
      <c r="A2495" s="2">
        <v>20000118</v>
      </c>
      <c r="B2495" s="13">
        <v>11560.72</v>
      </c>
      <c r="C2495" s="2">
        <f t="shared" si="192"/>
        <v>-1.3841190550525568E-2</v>
      </c>
      <c r="D2495" s="21">
        <f t="shared" ca="1" si="190"/>
        <v>-1.4225142965632435E-2</v>
      </c>
      <c r="E2495" s="21">
        <f t="shared" ca="1" si="193"/>
        <v>1.048079722376399E-4</v>
      </c>
      <c r="F2495" s="11">
        <f t="shared" ca="1" si="194"/>
        <v>3.6163311021021132</v>
      </c>
      <c r="G2495" s="10">
        <f t="shared" ca="1" si="191"/>
        <v>0</v>
      </c>
    </row>
    <row r="2496" spans="1:7" x14ac:dyDescent="0.2">
      <c r="A2496" s="2">
        <v>20000119</v>
      </c>
      <c r="B2496" s="13">
        <v>11489.36</v>
      </c>
      <c r="C2496" s="2">
        <f t="shared" si="192"/>
        <v>-6.1726259264127809E-3</v>
      </c>
      <c r="D2496" s="21">
        <f t="shared" ca="1" si="190"/>
        <v>-6.556578341519648E-3</v>
      </c>
      <c r="E2496" s="21">
        <f t="shared" ca="1" si="193"/>
        <v>1.078556408814228E-4</v>
      </c>
      <c r="F2496" s="11">
        <f t="shared" ca="1" si="194"/>
        <v>4.3680702116658745</v>
      </c>
      <c r="G2496" s="10">
        <f t="shared" ca="1" si="191"/>
        <v>1</v>
      </c>
    </row>
    <row r="2497" spans="1:7" x14ac:dyDescent="0.2">
      <c r="A2497" s="2">
        <v>20000120</v>
      </c>
      <c r="B2497" s="13">
        <v>11351.3</v>
      </c>
      <c r="C2497" s="2">
        <f t="shared" si="192"/>
        <v>-1.2016335113531241E-2</v>
      </c>
      <c r="D2497" s="21">
        <f t="shared" ca="1" si="190"/>
        <v>-1.2400287528638108E-2</v>
      </c>
      <c r="E2497" s="21">
        <f t="shared" ca="1" si="193"/>
        <v>1.0488896188305877E-4</v>
      </c>
      <c r="F2497" s="11">
        <f t="shared" ca="1" si="194"/>
        <v>3.8483045529043771</v>
      </c>
      <c r="G2497" s="10">
        <f t="shared" ca="1" si="191"/>
        <v>0</v>
      </c>
    </row>
    <row r="2498" spans="1:7" x14ac:dyDescent="0.2">
      <c r="A2498" s="2">
        <v>20000121</v>
      </c>
      <c r="B2498" s="13">
        <v>11251.71</v>
      </c>
      <c r="C2498" s="2">
        <f t="shared" si="192"/>
        <v>-8.7734444512963406E-3</v>
      </c>
      <c r="D2498" s="21">
        <f t="shared" ca="1" si="190"/>
        <v>-9.1573968664032078E-3</v>
      </c>
      <c r="E2498" s="21">
        <f t="shared" ca="1" si="193"/>
        <v>1.0614588375781979E-4</v>
      </c>
      <c r="F2498" s="11">
        <f t="shared" ca="1" si="194"/>
        <v>4.1803355008205916</v>
      </c>
      <c r="G2498" s="10">
        <f t="shared" ca="1" si="191"/>
        <v>1</v>
      </c>
    </row>
    <row r="2499" spans="1:7" x14ac:dyDescent="0.2">
      <c r="A2499" s="2">
        <v>20000124</v>
      </c>
      <c r="B2499" s="13">
        <v>11008.17</v>
      </c>
      <c r="C2499" s="2">
        <f t="shared" si="192"/>
        <v>-2.1644710004079297E-2</v>
      </c>
      <c r="D2499" s="21">
        <f t="shared" ca="1" si="190"/>
        <v>-2.2028662419186166E-2</v>
      </c>
      <c r="E2499" s="21">
        <f t="shared" ca="1" si="193"/>
        <v>1.0476853369869693E-4</v>
      </c>
      <c r="F2499" s="11">
        <f t="shared" ca="1" si="194"/>
        <v>2.2660020519742812</v>
      </c>
      <c r="G2499" s="10">
        <f t="shared" ca="1" si="191"/>
        <v>0</v>
      </c>
    </row>
    <row r="2500" spans="1:7" x14ac:dyDescent="0.2">
      <c r="A2500" s="2">
        <v>20000125</v>
      </c>
      <c r="B2500" s="13">
        <v>11029.89</v>
      </c>
      <c r="C2500" s="2">
        <f t="shared" si="192"/>
        <v>1.9730799942224136E-3</v>
      </c>
      <c r="D2500" s="21">
        <f t="shared" ca="1" si="190"/>
        <v>1.5891275791155464E-3</v>
      </c>
      <c r="E2500" s="21">
        <f t="shared" ca="1" si="193"/>
        <v>1.1822119204385672E-4</v>
      </c>
      <c r="F2500" s="11">
        <f t="shared" ca="1" si="194"/>
        <v>4.5107960745369953</v>
      </c>
      <c r="G2500" s="10">
        <f t="shared" ca="1" si="191"/>
        <v>1</v>
      </c>
    </row>
    <row r="2501" spans="1:7" x14ac:dyDescent="0.2">
      <c r="A2501" s="2">
        <v>20000126</v>
      </c>
      <c r="B2501" s="13">
        <v>11032.99</v>
      </c>
      <c r="C2501" s="2">
        <f t="shared" si="192"/>
        <v>2.8105448014444063E-4</v>
      </c>
      <c r="D2501" s="21">
        <f t="shared" ca="1" si="190"/>
        <v>-1.0289793496242667E-4</v>
      </c>
      <c r="E2501" s="21">
        <f t="shared" ca="1" si="193"/>
        <v>1.1324220678442674E-4</v>
      </c>
      <c r="F2501" s="11">
        <f t="shared" ca="1" si="194"/>
        <v>4.5429440558295004</v>
      </c>
      <c r="G2501" s="10">
        <f t="shared" ca="1" si="191"/>
        <v>1</v>
      </c>
    </row>
    <row r="2502" spans="1:7" x14ac:dyDescent="0.2">
      <c r="A2502" s="2">
        <v>20000127</v>
      </c>
      <c r="B2502" s="13">
        <v>11028.02</v>
      </c>
      <c r="C2502" s="2">
        <f t="shared" si="192"/>
        <v>-4.5046718976445596E-4</v>
      </c>
      <c r="D2502" s="21">
        <f t="shared" ca="1" si="190"/>
        <v>-8.3441960487132326E-4</v>
      </c>
      <c r="E2502" s="21">
        <f t="shared" ca="1" si="193"/>
        <v>1.0842263870399711E-4</v>
      </c>
      <c r="F2502" s="11">
        <f t="shared" ca="1" si="194"/>
        <v>4.5615259806108011</v>
      </c>
      <c r="G2502" s="10">
        <f t="shared" ca="1" si="191"/>
        <v>1</v>
      </c>
    </row>
    <row r="2503" spans="1:7" x14ac:dyDescent="0.2">
      <c r="A2503" s="2">
        <v>20000128</v>
      </c>
      <c r="B2503" s="13">
        <v>10738.87</v>
      </c>
      <c r="C2503" s="2">
        <f t="shared" si="192"/>
        <v>-2.6219575227466003E-2</v>
      </c>
      <c r="D2503" s="21">
        <f t="shared" ca="1" si="190"/>
        <v>-2.6603527642572872E-2</v>
      </c>
      <c r="E2503" s="21">
        <f t="shared" ca="1" si="193"/>
        <v>1.0387210737261869E-4</v>
      </c>
      <c r="F2503" s="11">
        <f t="shared" ca="1" si="194"/>
        <v>1.1793524895877101</v>
      </c>
      <c r="G2503" s="10">
        <f t="shared" ca="1" si="191"/>
        <v>0</v>
      </c>
    </row>
    <row r="2504" spans="1:7" x14ac:dyDescent="0.2">
      <c r="A2504" s="2">
        <v>20000131</v>
      </c>
      <c r="B2504" s="13">
        <v>10940.53</v>
      </c>
      <c r="C2504" s="2">
        <f t="shared" si="192"/>
        <v>1.8778512078086413E-2</v>
      </c>
      <c r="D2504" s="21">
        <f t="shared" ca="1" si="190"/>
        <v>1.8394559662979544E-2</v>
      </c>
      <c r="E2504" s="21">
        <f t="shared" ca="1" si="193"/>
        <v>1.2555130443371793E-4</v>
      </c>
      <c r="F2504" s="11">
        <f t="shared" ca="1" si="194"/>
        <v>3.1439017858308587</v>
      </c>
      <c r="G2504" s="10">
        <f t="shared" ca="1" si="191"/>
        <v>0</v>
      </c>
    </row>
    <row r="2505" spans="1:7" x14ac:dyDescent="0.2">
      <c r="A2505" s="2">
        <v>20000201</v>
      </c>
      <c r="B2505" s="13">
        <v>11041.05</v>
      </c>
      <c r="C2505" s="2">
        <f t="shared" si="192"/>
        <v>9.187854701737358E-3</v>
      </c>
      <c r="D2505" s="21">
        <f t="shared" ca="1" si="190"/>
        <v>8.8039022866304908E-3</v>
      </c>
      <c r="E2505" s="21">
        <f t="shared" ca="1" si="193"/>
        <v>1.3255070727616317E-4</v>
      </c>
      <c r="F2505" s="11">
        <f t="shared" ca="1" si="194"/>
        <v>4.1718988917589375</v>
      </c>
      <c r="G2505" s="10">
        <f t="shared" ca="1" si="191"/>
        <v>1</v>
      </c>
    </row>
    <row r="2506" spans="1:7" x14ac:dyDescent="0.2">
      <c r="A2506" s="2">
        <v>20000202</v>
      </c>
      <c r="B2506" s="13">
        <v>11003.2</v>
      </c>
      <c r="C2506" s="2">
        <f t="shared" si="192"/>
        <v>-3.4281159853454652E-3</v>
      </c>
      <c r="D2506" s="21">
        <f t="shared" ca="1" si="190"/>
        <v>-3.8120684004523324E-3</v>
      </c>
      <c r="E2506" s="21">
        <f t="shared" ca="1" si="193"/>
        <v>1.2960405652591574E-4</v>
      </c>
      <c r="F2506" s="11">
        <f t="shared" ca="1" si="194"/>
        <v>4.4194506959973667</v>
      </c>
      <c r="G2506" s="10">
        <f t="shared" ca="1" si="191"/>
        <v>1</v>
      </c>
    </row>
    <row r="2507" spans="1:7" x14ac:dyDescent="0.2">
      <c r="A2507" s="2">
        <v>20000203</v>
      </c>
      <c r="B2507" s="13">
        <v>11013.44</v>
      </c>
      <c r="C2507" s="2">
        <f t="shared" si="192"/>
        <v>9.3063835974987108E-4</v>
      </c>
      <c r="D2507" s="21">
        <f t="shared" ca="1" si="190"/>
        <v>5.4668594464300378E-4</v>
      </c>
      <c r="E2507" s="21">
        <f t="shared" ca="1" si="193"/>
        <v>1.2449070980837342E-4</v>
      </c>
      <c r="F2507" s="11">
        <f t="shared" ca="1" si="194"/>
        <v>4.4944393797172149</v>
      </c>
      <c r="G2507" s="10">
        <f t="shared" ca="1" si="191"/>
        <v>1</v>
      </c>
    </row>
    <row r="2508" spans="1:7" x14ac:dyDescent="0.2">
      <c r="A2508" s="2">
        <v>20000204</v>
      </c>
      <c r="B2508" s="13">
        <v>10963.8</v>
      </c>
      <c r="C2508" s="2">
        <f t="shared" si="192"/>
        <v>-4.5072202690531965E-3</v>
      </c>
      <c r="D2508" s="21">
        <f t="shared" ca="1" si="190"/>
        <v>-4.8911726841600637E-3</v>
      </c>
      <c r="E2508" s="21">
        <f t="shared" ca="1" si="193"/>
        <v>1.1911267672461551E-4</v>
      </c>
      <c r="F2508" s="11">
        <f t="shared" ca="1" si="194"/>
        <v>4.4172962100768993</v>
      </c>
      <c r="G2508" s="10">
        <f t="shared" ca="1" si="191"/>
        <v>1</v>
      </c>
    </row>
    <row r="2509" spans="1:7" x14ac:dyDescent="0.2">
      <c r="A2509" s="2">
        <v>20000207</v>
      </c>
      <c r="B2509" s="13">
        <v>10905.79</v>
      </c>
      <c r="C2509" s="2">
        <f t="shared" si="192"/>
        <v>-5.2910487239824153E-3</v>
      </c>
      <c r="D2509" s="21">
        <f t="shared" ca="1" si="190"/>
        <v>-5.6750011390892825E-3</v>
      </c>
      <c r="E2509" s="21">
        <f t="shared" ca="1" si="193"/>
        <v>1.1487544174717888E-4</v>
      </c>
      <c r="F2509" s="11">
        <f t="shared" ca="1" si="194"/>
        <v>4.395654726054488</v>
      </c>
      <c r="G2509" s="10">
        <f t="shared" ca="1" si="191"/>
        <v>1</v>
      </c>
    </row>
    <row r="2510" spans="1:7" x14ac:dyDescent="0.2">
      <c r="A2510" s="2">
        <v>20000208</v>
      </c>
      <c r="B2510" s="13">
        <v>10957.6</v>
      </c>
      <c r="C2510" s="2">
        <f t="shared" si="192"/>
        <v>4.7506874788529295E-3</v>
      </c>
      <c r="D2510" s="21">
        <f t="shared" ref="D2510:D2573" ca="1" si="195">(C2510-mu)</f>
        <v>4.3667350637460623E-3</v>
      </c>
      <c r="E2510" s="21">
        <f t="shared" ca="1" si="193"/>
        <v>1.111571159727178E-4</v>
      </c>
      <c r="F2510" s="11">
        <f t="shared" ca="1" si="194"/>
        <v>4.466510774535104</v>
      </c>
      <c r="G2510" s="10">
        <f t="shared" ref="G2510:G2573" ca="1" si="196">IF(AND(C2510&lt;=mu+zvalue*SQRT(E2510),C2510&gt;=mu-zvalue*SQRT(E2510)),1,0)</f>
        <v>1</v>
      </c>
    </row>
    <row r="2511" spans="1:7" x14ac:dyDescent="0.2">
      <c r="A2511" s="2">
        <v>20000209</v>
      </c>
      <c r="B2511" s="13">
        <v>10699.16</v>
      </c>
      <c r="C2511" s="2">
        <f t="shared" ref="C2511:C2541" si="197">(B2511-B2510)/B2510</f>
        <v>-2.3585456669343696E-2</v>
      </c>
      <c r="D2511" s="21">
        <f t="shared" ca="1" si="195"/>
        <v>-2.3969409084450565E-2</v>
      </c>
      <c r="E2511" s="21">
        <f t="shared" ref="E2511:E2574" ca="1" si="198">(1-alpha-beta)*longvar+alpha*D2510^2+beta*E2510</f>
        <v>1.0714382143163272E-4</v>
      </c>
      <c r="F2511" s="11">
        <f t="shared" ref="F2511:F2574" ca="1" si="199">(-0.5)*(LN(E2511)+D2511^2/E2511)</f>
        <v>1.8895413784752386</v>
      </c>
      <c r="G2511" s="10">
        <f t="shared" ca="1" si="196"/>
        <v>0</v>
      </c>
    </row>
    <row r="2512" spans="1:7" x14ac:dyDescent="0.2">
      <c r="A2512" s="2">
        <v>20000210</v>
      </c>
      <c r="B2512" s="13">
        <v>10643.63</v>
      </c>
      <c r="C2512" s="2">
        <f t="shared" si="197"/>
        <v>-5.1901270753966344E-3</v>
      </c>
      <c r="D2512" s="21">
        <f t="shared" ca="1" si="195"/>
        <v>-5.5740794905035015E-3</v>
      </c>
      <c r="E2512" s="21">
        <f t="shared" ca="1" si="198"/>
        <v>1.2375894916360233E-4</v>
      </c>
      <c r="F2512" s="11">
        <f t="shared" ca="1" si="199"/>
        <v>4.3730596822175922</v>
      </c>
      <c r="G2512" s="10">
        <f t="shared" ca="1" si="196"/>
        <v>1</v>
      </c>
    </row>
    <row r="2513" spans="1:7" x14ac:dyDescent="0.2">
      <c r="A2513" s="2">
        <v>20000211</v>
      </c>
      <c r="B2513" s="13">
        <v>10425.209999999999</v>
      </c>
      <c r="C2513" s="2">
        <f t="shared" si="197"/>
        <v>-2.05211943669594E-2</v>
      </c>
      <c r="D2513" s="21">
        <f t="shared" ca="1" si="195"/>
        <v>-2.0905146782066269E-2</v>
      </c>
      <c r="E2513" s="21">
        <f t="shared" ca="1" si="198"/>
        <v>1.1954945775190121E-4</v>
      </c>
      <c r="F2513" s="11">
        <f t="shared" ca="1" si="199"/>
        <v>2.6880895130701128</v>
      </c>
      <c r="G2513" s="10">
        <f t="shared" ca="1" si="196"/>
        <v>0</v>
      </c>
    </row>
    <row r="2514" spans="1:7" x14ac:dyDescent="0.2">
      <c r="A2514" s="2">
        <v>20000214</v>
      </c>
      <c r="B2514" s="13">
        <v>10519.84</v>
      </c>
      <c r="C2514" s="2">
        <f t="shared" si="197"/>
        <v>9.0770353786639342E-3</v>
      </c>
      <c r="D2514" s="21">
        <f t="shared" ca="1" si="195"/>
        <v>8.693082963557067E-3</v>
      </c>
      <c r="E2514" s="21">
        <f t="shared" ca="1" si="198"/>
        <v>1.3048059270207244E-4</v>
      </c>
      <c r="F2514" s="11">
        <f t="shared" ca="1" si="199"/>
        <v>4.1825609158581933</v>
      </c>
      <c r="G2514" s="10">
        <f t="shared" ca="1" si="196"/>
        <v>1</v>
      </c>
    </row>
    <row r="2515" spans="1:7" x14ac:dyDescent="0.2">
      <c r="A2515" s="2">
        <v>20000215</v>
      </c>
      <c r="B2515" s="13">
        <v>10718.09</v>
      </c>
      <c r="C2515" s="2">
        <f t="shared" si="197"/>
        <v>1.8845343655416812E-2</v>
      </c>
      <c r="D2515" s="21">
        <f t="shared" ca="1" si="195"/>
        <v>1.8461391240309943E-2</v>
      </c>
      <c r="E2515" s="21">
        <f t="shared" ca="1" si="198"/>
        <v>1.2756736916481851E-4</v>
      </c>
      <c r="F2515" s="11">
        <f t="shared" ca="1" si="199"/>
        <v>3.1475781670548528</v>
      </c>
      <c r="G2515" s="10">
        <f t="shared" ca="1" si="196"/>
        <v>0</v>
      </c>
    </row>
    <row r="2516" spans="1:7" x14ac:dyDescent="0.2">
      <c r="A2516" s="2">
        <v>20000216</v>
      </c>
      <c r="B2516" s="13">
        <v>10561.41</v>
      </c>
      <c r="C2516" s="2">
        <f t="shared" si="197"/>
        <v>-1.4618276204062504E-2</v>
      </c>
      <c r="D2516" s="21">
        <f t="shared" ca="1" si="195"/>
        <v>-1.5002228619169371E-2</v>
      </c>
      <c r="E2516" s="21">
        <f t="shared" ca="1" si="198"/>
        <v>1.3455535263626989E-4</v>
      </c>
      <c r="F2516" s="11">
        <f t="shared" ca="1" si="199"/>
        <v>3.6204318484927409</v>
      </c>
      <c r="G2516" s="10">
        <f t="shared" ca="1" si="196"/>
        <v>0</v>
      </c>
    </row>
    <row r="2517" spans="1:7" x14ac:dyDescent="0.2">
      <c r="A2517" s="2">
        <v>20000217</v>
      </c>
      <c r="B2517" s="13">
        <v>10514.57</v>
      </c>
      <c r="C2517" s="2">
        <f t="shared" si="197"/>
        <v>-4.4350138854565959E-3</v>
      </c>
      <c r="D2517" s="21">
        <f t="shared" ca="1" si="195"/>
        <v>-4.8189663005634631E-3</v>
      </c>
      <c r="E2517" s="21">
        <f t="shared" ca="1" si="198"/>
        <v>1.3693325770060982E-4</v>
      </c>
      <c r="F2517" s="11">
        <f t="shared" ca="1" si="199"/>
        <v>4.3632137341925903</v>
      </c>
      <c r="G2517" s="10">
        <f t="shared" ca="1" si="196"/>
        <v>1</v>
      </c>
    </row>
    <row r="2518" spans="1:7" x14ac:dyDescent="0.2">
      <c r="A2518" s="2">
        <v>20000218</v>
      </c>
      <c r="B2518" s="13">
        <v>10219.52</v>
      </c>
      <c r="C2518" s="2">
        <f t="shared" si="197"/>
        <v>-2.8061061935961175E-2</v>
      </c>
      <c r="D2518" s="21">
        <f t="shared" ca="1" si="195"/>
        <v>-2.8445014351068044E-2</v>
      </c>
      <c r="E2518" s="21">
        <f t="shared" ca="1" si="198"/>
        <v>1.317686917417771E-4</v>
      </c>
      <c r="F2518" s="11">
        <f t="shared" ca="1" si="199"/>
        <v>1.397007095426587</v>
      </c>
      <c r="G2518" s="10">
        <f t="shared" ca="1" si="196"/>
        <v>0</v>
      </c>
    </row>
    <row r="2519" spans="1:7" x14ac:dyDescent="0.2">
      <c r="A2519" s="2">
        <v>20000222</v>
      </c>
      <c r="B2519" s="13">
        <v>10304.84</v>
      </c>
      <c r="C2519" s="2">
        <f t="shared" si="197"/>
        <v>8.3487287074148001E-3</v>
      </c>
      <c r="D2519" s="21">
        <f t="shared" ca="1" si="195"/>
        <v>7.9647762923079329E-3</v>
      </c>
      <c r="E2519" s="21">
        <f t="shared" ca="1" si="198"/>
        <v>1.5576418590759519E-4</v>
      </c>
      <c r="F2519" s="11">
        <f t="shared" ca="1" si="199"/>
        <v>4.179950005311607</v>
      </c>
      <c r="G2519" s="10">
        <f t="shared" ca="1" si="196"/>
        <v>1</v>
      </c>
    </row>
    <row r="2520" spans="1:7" x14ac:dyDescent="0.2">
      <c r="A2520" s="2">
        <v>20000223</v>
      </c>
      <c r="B2520" s="13">
        <v>10225.73</v>
      </c>
      <c r="C2520" s="2">
        <f t="shared" si="197"/>
        <v>-7.6769750913163702E-3</v>
      </c>
      <c r="D2520" s="21">
        <f t="shared" ca="1" si="195"/>
        <v>-8.0609275064232374E-3</v>
      </c>
      <c r="E2520" s="21">
        <f t="shared" ca="1" si="198"/>
        <v>1.5112574113798326E-4</v>
      </c>
      <c r="F2520" s="11">
        <f t="shared" ca="1" si="199"/>
        <v>4.1837174235628076</v>
      </c>
      <c r="G2520" s="10">
        <f t="shared" ca="1" si="196"/>
        <v>1</v>
      </c>
    </row>
    <row r="2521" spans="1:7" x14ac:dyDescent="0.2">
      <c r="A2521" s="2">
        <v>20000224</v>
      </c>
      <c r="B2521" s="13">
        <v>10092.629999999999</v>
      </c>
      <c r="C2521" s="2">
        <f t="shared" si="197"/>
        <v>-1.3016185641514138E-2</v>
      </c>
      <c r="D2521" s="21">
        <f t="shared" ca="1" si="195"/>
        <v>-1.3400138056621005E-2</v>
      </c>
      <c r="E2521" s="21">
        <f t="shared" ca="1" si="198"/>
        <v>1.4677861806456651E-4</v>
      </c>
      <c r="F2521" s="11">
        <f t="shared" ca="1" si="199"/>
        <v>3.8016104758745701</v>
      </c>
      <c r="G2521" s="10">
        <f t="shared" ca="1" si="196"/>
        <v>0</v>
      </c>
    </row>
    <row r="2522" spans="1:7" x14ac:dyDescent="0.2">
      <c r="A2522" s="2">
        <v>20000225</v>
      </c>
      <c r="B2522" s="13">
        <v>9862.1200000000008</v>
      </c>
      <c r="C2522" s="2">
        <f t="shared" si="197"/>
        <v>-2.283943828318272E-2</v>
      </c>
      <c r="D2522" s="21">
        <f t="shared" ca="1" si="195"/>
        <v>-2.3223390698289589E-2</v>
      </c>
      <c r="E2522" s="21">
        <f t="shared" ca="1" si="198"/>
        <v>1.468649133297714E-4</v>
      </c>
      <c r="F2522" s="11">
        <f t="shared" ca="1" si="199"/>
        <v>2.5768695982663674</v>
      </c>
      <c r="G2522" s="10">
        <f t="shared" ca="1" si="196"/>
        <v>0</v>
      </c>
    </row>
    <row r="2523" spans="1:7" x14ac:dyDescent="0.2">
      <c r="A2523" s="2">
        <v>20000228</v>
      </c>
      <c r="B2523" s="13">
        <v>10038.65</v>
      </c>
      <c r="C2523" s="2">
        <f t="shared" si="197"/>
        <v>1.7899802476546506E-2</v>
      </c>
      <c r="D2523" s="21">
        <f t="shared" ca="1" si="195"/>
        <v>1.7515850061439638E-2</v>
      </c>
      <c r="E2523" s="21">
        <f t="shared" ca="1" si="198"/>
        <v>1.6017592624718854E-4</v>
      </c>
      <c r="F2523" s="11">
        <f t="shared" ca="1" si="199"/>
        <v>3.4119063107115513</v>
      </c>
      <c r="G2523" s="10">
        <f t="shared" ca="1" si="196"/>
        <v>0</v>
      </c>
    </row>
    <row r="2524" spans="1:7" x14ac:dyDescent="0.2">
      <c r="A2524" s="2">
        <v>20000229</v>
      </c>
      <c r="B2524" s="13">
        <v>10128.31</v>
      </c>
      <c r="C2524" s="2">
        <f t="shared" si="197"/>
        <v>8.9314798304552766E-3</v>
      </c>
      <c r="D2524" s="21">
        <f t="shared" ca="1" si="195"/>
        <v>8.5475274153484094E-3</v>
      </c>
      <c r="E2524" s="21">
        <f t="shared" ca="1" si="198"/>
        <v>1.6426333217691076E-4</v>
      </c>
      <c r="F2524" s="11">
        <f t="shared" ca="1" si="199"/>
        <v>4.134632362832833</v>
      </c>
      <c r="G2524" s="10">
        <f t="shared" ca="1" si="196"/>
        <v>1</v>
      </c>
    </row>
    <row r="2525" spans="1:7" x14ac:dyDescent="0.2">
      <c r="A2525" s="2">
        <v>20000301</v>
      </c>
      <c r="B2525" s="13">
        <v>10137.93</v>
      </c>
      <c r="C2525" s="2">
        <f t="shared" si="197"/>
        <v>9.4981295003814068E-4</v>
      </c>
      <c r="D2525" s="21">
        <f t="shared" ca="1" si="195"/>
        <v>5.6586053493127338E-4</v>
      </c>
      <c r="E2525" s="21">
        <f t="shared" ca="1" si="198"/>
        <v>1.5954875126150179E-4</v>
      </c>
      <c r="F2525" s="11">
        <f t="shared" ca="1" si="199"/>
        <v>4.3705770667137145</v>
      </c>
      <c r="G2525" s="10">
        <f t="shared" ca="1" si="196"/>
        <v>1</v>
      </c>
    </row>
    <row r="2526" spans="1:7" x14ac:dyDescent="0.2">
      <c r="A2526" s="2">
        <v>20000302</v>
      </c>
      <c r="B2526" s="13">
        <v>10164.92</v>
      </c>
      <c r="C2526" s="2">
        <f t="shared" si="197"/>
        <v>2.6622791832257454E-3</v>
      </c>
      <c r="D2526" s="21">
        <f t="shared" ca="1" si="195"/>
        <v>2.2783267681188782E-3</v>
      </c>
      <c r="E2526" s="21">
        <f t="shared" ca="1" si="198"/>
        <v>1.523979047550618E-4</v>
      </c>
      <c r="F2526" s="11">
        <f t="shared" ca="1" si="199"/>
        <v>4.3774775027351094</v>
      </c>
      <c r="G2526" s="10">
        <f t="shared" ca="1" si="196"/>
        <v>1</v>
      </c>
    </row>
    <row r="2527" spans="1:7" x14ac:dyDescent="0.2">
      <c r="A2527" s="2">
        <v>20000303</v>
      </c>
      <c r="B2527" s="13">
        <v>10367.200000000001</v>
      </c>
      <c r="C2527" s="2">
        <f t="shared" si="197"/>
        <v>1.989981229562069E-2</v>
      </c>
      <c r="D2527" s="21">
        <f t="shared" ca="1" si="195"/>
        <v>1.9515859880513822E-2</v>
      </c>
      <c r="E2527" s="21">
        <f t="shared" ca="1" si="198"/>
        <v>1.4578792146451001E-4</v>
      </c>
      <c r="F2527" s="11">
        <f t="shared" ca="1" si="199"/>
        <v>3.1104361934911529</v>
      </c>
      <c r="G2527" s="10">
        <f t="shared" ca="1" si="196"/>
        <v>0</v>
      </c>
    </row>
    <row r="2528" spans="1:7" x14ac:dyDescent="0.2">
      <c r="A2528" s="2">
        <v>20000306</v>
      </c>
      <c r="B2528" s="13">
        <v>10170.5</v>
      </c>
      <c r="C2528" s="2">
        <f t="shared" si="197"/>
        <v>-1.8973300408982242E-2</v>
      </c>
      <c r="D2528" s="21">
        <f t="shared" ca="1" si="195"/>
        <v>-1.9357252824089111E-2</v>
      </c>
      <c r="E2528" s="21">
        <f t="shared" ca="1" si="198"/>
        <v>1.5332667593182778E-4</v>
      </c>
      <c r="F2528" s="11">
        <f t="shared" ca="1" si="199"/>
        <v>3.1695584540320851</v>
      </c>
      <c r="G2528" s="10">
        <f t="shared" ca="1" si="196"/>
        <v>0</v>
      </c>
    </row>
    <row r="2529" spans="1:7" x14ac:dyDescent="0.2">
      <c r="A2529" s="2">
        <v>20000307</v>
      </c>
      <c r="B2529" s="13">
        <v>9796.0300000000007</v>
      </c>
      <c r="C2529" s="2">
        <f t="shared" si="197"/>
        <v>-3.68192320928174E-2</v>
      </c>
      <c r="D2529" s="21">
        <f t="shared" ca="1" si="195"/>
        <v>-3.7203184507924265E-2</v>
      </c>
      <c r="E2529" s="21">
        <f t="shared" ca="1" si="198"/>
        <v>1.6025732429029107E-4</v>
      </c>
      <c r="F2529" s="11">
        <f t="shared" ca="1" si="199"/>
        <v>5.1069463514812341E-2</v>
      </c>
      <c r="G2529" s="10">
        <f t="shared" ca="1" si="196"/>
        <v>0</v>
      </c>
    </row>
    <row r="2530" spans="1:7" x14ac:dyDescent="0.2">
      <c r="A2530" s="2">
        <v>20000308</v>
      </c>
      <c r="B2530" s="13">
        <v>9856.5300000000007</v>
      </c>
      <c r="C2530" s="2">
        <f t="shared" si="197"/>
        <v>6.175971286327216E-3</v>
      </c>
      <c r="D2530" s="21">
        <f t="shared" ca="1" si="195"/>
        <v>5.7920188712203488E-3</v>
      </c>
      <c r="E2530" s="21">
        <f t="shared" ca="1" si="198"/>
        <v>2.039537822526144E-4</v>
      </c>
      <c r="F2530" s="11">
        <f t="shared" ca="1" si="199"/>
        <v>4.166565718874045</v>
      </c>
      <c r="G2530" s="10">
        <f t="shared" ca="1" si="196"/>
        <v>1</v>
      </c>
    </row>
    <row r="2531" spans="1:7" x14ac:dyDescent="0.2">
      <c r="A2531" s="2">
        <v>20000309</v>
      </c>
      <c r="B2531" s="13">
        <v>10010.73</v>
      </c>
      <c r="C2531" s="2">
        <f t="shared" si="197"/>
        <v>1.564445093760166E-2</v>
      </c>
      <c r="D2531" s="21">
        <f t="shared" ca="1" si="195"/>
        <v>1.5260498522494793E-2</v>
      </c>
      <c r="E2531" s="21">
        <f t="shared" ca="1" si="198"/>
        <v>1.9577829587332432E-4</v>
      </c>
      <c r="F2531" s="11">
        <f t="shared" ca="1" si="199"/>
        <v>3.6745022663688349</v>
      </c>
      <c r="G2531" s="10">
        <f t="shared" ca="1" si="196"/>
        <v>0</v>
      </c>
    </row>
    <row r="2532" spans="1:7" x14ac:dyDescent="0.2">
      <c r="A2532" s="2">
        <v>20000310</v>
      </c>
      <c r="B2532" s="13">
        <v>9928.82</v>
      </c>
      <c r="C2532" s="2">
        <f t="shared" si="197"/>
        <v>-8.1822204774277055E-3</v>
      </c>
      <c r="D2532" s="21">
        <f t="shared" ca="1" si="195"/>
        <v>-8.5661728925345727E-3</v>
      </c>
      <c r="E2532" s="21">
        <f t="shared" ca="1" si="198"/>
        <v>1.9534631826861122E-4</v>
      </c>
      <c r="F2532" s="11">
        <f t="shared" ca="1" si="199"/>
        <v>4.08254975829177</v>
      </c>
      <c r="G2532" s="10">
        <f t="shared" ca="1" si="196"/>
        <v>1</v>
      </c>
    </row>
    <row r="2533" spans="1:7" x14ac:dyDescent="0.2">
      <c r="A2533" s="2">
        <v>20000313</v>
      </c>
      <c r="B2533" s="13">
        <v>9947.1299999999992</v>
      </c>
      <c r="C2533" s="2">
        <f t="shared" si="197"/>
        <v>1.8441264923726578E-3</v>
      </c>
      <c r="D2533" s="21">
        <f t="shared" ca="1" si="195"/>
        <v>1.4601740772657904E-3</v>
      </c>
      <c r="E2533" s="21">
        <f t="shared" ca="1" si="198"/>
        <v>1.8907097246306302E-4</v>
      </c>
      <c r="F2533" s="11">
        <f t="shared" ca="1" si="199"/>
        <v>4.281055667914976</v>
      </c>
      <c r="G2533" s="10">
        <f t="shared" ca="1" si="196"/>
        <v>1</v>
      </c>
    </row>
    <row r="2534" spans="1:7" x14ac:dyDescent="0.2">
      <c r="A2534" s="2">
        <v>20000314</v>
      </c>
      <c r="B2534" s="13">
        <v>9811.24</v>
      </c>
      <c r="C2534" s="2">
        <f t="shared" si="197"/>
        <v>-1.366122690665543E-2</v>
      </c>
      <c r="D2534" s="21">
        <f t="shared" ca="1" si="195"/>
        <v>-1.4045179321762297E-2</v>
      </c>
      <c r="E2534" s="21">
        <f t="shared" ca="1" si="198"/>
        <v>1.8049321416682378E-4</v>
      </c>
      <c r="F2534" s="11">
        <f t="shared" ca="1" si="199"/>
        <v>3.763441987925455</v>
      </c>
      <c r="G2534" s="10">
        <f t="shared" ca="1" si="196"/>
        <v>0</v>
      </c>
    </row>
    <row r="2535" spans="1:7" x14ac:dyDescent="0.2">
      <c r="A2535" s="2">
        <v>20000315</v>
      </c>
      <c r="B2535" s="13">
        <v>10131.41</v>
      </c>
      <c r="C2535" s="2">
        <f t="shared" si="197"/>
        <v>3.2632980132990333E-2</v>
      </c>
      <c r="D2535" s="21">
        <f t="shared" ca="1" si="195"/>
        <v>3.2249027717883468E-2</v>
      </c>
      <c r="E2535" s="21">
        <f t="shared" ca="1" si="198"/>
        <v>1.7952486045481699E-4</v>
      </c>
      <c r="F2535" s="11">
        <f t="shared" ca="1" si="199"/>
        <v>1.4160642511515742</v>
      </c>
      <c r="G2535" s="10">
        <f t="shared" ca="1" si="196"/>
        <v>0</v>
      </c>
    </row>
    <row r="2536" spans="1:7" x14ac:dyDescent="0.2">
      <c r="A2536" s="2">
        <v>20000316</v>
      </c>
      <c r="B2536" s="13">
        <v>10630.6</v>
      </c>
      <c r="C2536" s="2">
        <f t="shared" si="197"/>
        <v>4.9271522917343241E-2</v>
      </c>
      <c r="D2536" s="21">
        <f t="shared" ca="1" si="195"/>
        <v>4.8887570502236376E-2</v>
      </c>
      <c r="E2536" s="21">
        <f t="shared" ca="1" si="198"/>
        <v>2.0959424988286309E-4</v>
      </c>
      <c r="F2536" s="11">
        <f t="shared" ca="1" si="199"/>
        <v>-1.4663107691941955</v>
      </c>
      <c r="G2536" s="10">
        <f t="shared" ca="1" si="196"/>
        <v>0</v>
      </c>
    </row>
    <row r="2537" spans="1:7" x14ac:dyDescent="0.2">
      <c r="A2537" s="2">
        <v>20000317</v>
      </c>
      <c r="B2537" s="13">
        <v>10595.23</v>
      </c>
      <c r="C2537" s="2">
        <f t="shared" si="197"/>
        <v>-3.3271875529133632E-3</v>
      </c>
      <c r="D2537" s="21">
        <f t="shared" ca="1" si="195"/>
        <v>-3.7111399680202304E-3</v>
      </c>
      <c r="E2537" s="21">
        <f t="shared" ca="1" si="198"/>
        <v>2.8778408351025911E-4</v>
      </c>
      <c r="F2537" s="11">
        <f t="shared" ca="1" si="199"/>
        <v>4.0527214007755443</v>
      </c>
      <c r="G2537" s="10">
        <f t="shared" ca="1" si="196"/>
        <v>1</v>
      </c>
    </row>
    <row r="2538" spans="1:7" x14ac:dyDescent="0.2">
      <c r="A2538" s="2">
        <v>20000320</v>
      </c>
      <c r="B2538" s="13">
        <v>10680.24</v>
      </c>
      <c r="C2538" s="2">
        <f t="shared" si="197"/>
        <v>8.023421860592005E-3</v>
      </c>
      <c r="D2538" s="21">
        <f t="shared" ca="1" si="195"/>
        <v>7.6394694454851378E-3</v>
      </c>
      <c r="E2538" s="21">
        <f t="shared" ca="1" si="198"/>
        <v>2.7464043615083917E-4</v>
      </c>
      <c r="F2538" s="11">
        <f t="shared" ca="1" si="199"/>
        <v>3.9937731808196233</v>
      </c>
      <c r="G2538" s="10">
        <f t="shared" ca="1" si="196"/>
        <v>1</v>
      </c>
    </row>
    <row r="2539" spans="1:7" x14ac:dyDescent="0.2">
      <c r="A2539" s="2">
        <v>20000321</v>
      </c>
      <c r="B2539" s="13">
        <v>10907.34</v>
      </c>
      <c r="C2539" s="2">
        <f t="shared" si="197"/>
        <v>2.1263567110851474E-2</v>
      </c>
      <c r="D2539" s="21">
        <f t="shared" ca="1" si="195"/>
        <v>2.0879614695744605E-2</v>
      </c>
      <c r="E2539" s="21">
        <f t="shared" ca="1" si="198"/>
        <v>2.6380134317993838E-4</v>
      </c>
      <c r="F2539" s="11">
        <f t="shared" ca="1" si="199"/>
        <v>3.2938567147938338</v>
      </c>
      <c r="G2539" s="10">
        <f t="shared" ca="1" si="196"/>
        <v>0</v>
      </c>
    </row>
    <row r="2540" spans="1:7" x14ac:dyDescent="0.2">
      <c r="A2540" s="2">
        <v>20000322</v>
      </c>
      <c r="B2540" s="13">
        <v>10866.7</v>
      </c>
      <c r="C2540" s="2">
        <f t="shared" si="197"/>
        <v>-3.725931345314203E-3</v>
      </c>
      <c r="D2540" s="21">
        <f t="shared" ca="1" si="195"/>
        <v>-4.1098837604210707E-3</v>
      </c>
      <c r="E2540" s="21">
        <f t="shared" ca="1" si="198"/>
        <v>2.6739549773346037E-4</v>
      </c>
      <c r="F2540" s="11">
        <f t="shared" ca="1" si="199"/>
        <v>4.081806293648869</v>
      </c>
      <c r="G2540" s="10">
        <f t="shared" ca="1" si="196"/>
        <v>1</v>
      </c>
    </row>
    <row r="2541" spans="1:7" x14ac:dyDescent="0.2">
      <c r="A2541" s="2">
        <v>20000323</v>
      </c>
      <c r="B2541" s="13">
        <v>11119.86</v>
      </c>
      <c r="C2541" s="2">
        <f t="shared" si="197"/>
        <v>2.3296861052573444E-2</v>
      </c>
      <c r="D2541" s="21">
        <f t="shared" ca="1" si="195"/>
        <v>2.2912908637466575E-2</v>
      </c>
      <c r="E2541" s="21">
        <f t="shared" ca="1" si="198"/>
        <v>2.5539799144493676E-4</v>
      </c>
      <c r="F2541" s="11">
        <f t="shared" ca="1" si="199"/>
        <v>3.108533420156351</v>
      </c>
      <c r="G2541" s="10">
        <f t="shared" ca="1" si="196"/>
        <v>0</v>
      </c>
    </row>
    <row r="2542" spans="1:7" x14ac:dyDescent="0.2">
      <c r="A2542" s="2">
        <v>20000324</v>
      </c>
      <c r="B2542" s="13">
        <v>11112.72</v>
      </c>
      <c r="C2542" s="2">
        <f t="shared" ref="C2542:C2605" si="200">(B2542-B2541)/B2541</f>
        <v>-6.4209441485785224E-4</v>
      </c>
      <c r="D2542" s="21">
        <f t="shared" ca="1" si="195"/>
        <v>-1.0260468299647194E-3</v>
      </c>
      <c r="E2542" s="21">
        <f t="shared" ca="1" si="198"/>
        <v>2.6269154357468912E-4</v>
      </c>
      <c r="F2542" s="11">
        <f t="shared" ca="1" si="199"/>
        <v>4.120261208089504</v>
      </c>
      <c r="G2542" s="10">
        <f t="shared" ca="1" si="196"/>
        <v>1</v>
      </c>
    </row>
    <row r="2543" spans="1:7" x14ac:dyDescent="0.2">
      <c r="A2543" s="2">
        <v>20000327</v>
      </c>
      <c r="B2543" s="13">
        <v>11025.85</v>
      </c>
      <c r="C2543" s="2">
        <f t="shared" si="200"/>
        <v>-7.8171680740627848E-3</v>
      </c>
      <c r="D2543" s="21">
        <f t="shared" ca="1" si="195"/>
        <v>-8.2011204891696519E-3</v>
      </c>
      <c r="E2543" s="21">
        <f t="shared" ca="1" si="198"/>
        <v>2.503496072672214E-4</v>
      </c>
      <c r="F2543" s="11">
        <f t="shared" ca="1" si="199"/>
        <v>4.0119971888521588</v>
      </c>
      <c r="G2543" s="10">
        <f t="shared" ca="1" si="196"/>
        <v>1</v>
      </c>
    </row>
    <row r="2544" spans="1:7" x14ac:dyDescent="0.2">
      <c r="A2544" s="2">
        <v>20000328</v>
      </c>
      <c r="B2544" s="13">
        <v>10936.11</v>
      </c>
      <c r="C2544" s="2">
        <f t="shared" si="200"/>
        <v>-8.139055038840522E-3</v>
      </c>
      <c r="D2544" s="21">
        <f t="shared" ca="1" si="195"/>
        <v>-8.5230074539473892E-3</v>
      </c>
      <c r="E2544" s="21">
        <f t="shared" ca="1" si="198"/>
        <v>2.4106654928190017E-4</v>
      </c>
      <c r="F2544" s="11">
        <f t="shared" ca="1" si="199"/>
        <v>4.0145515372078187</v>
      </c>
      <c r="G2544" s="10">
        <f t="shared" ca="1" si="196"/>
        <v>1</v>
      </c>
    </row>
    <row r="2545" spans="1:7" x14ac:dyDescent="0.2">
      <c r="A2545" s="2">
        <v>20000329</v>
      </c>
      <c r="B2545" s="13">
        <v>11018.72</v>
      </c>
      <c r="C2545" s="2">
        <f t="shared" si="200"/>
        <v>7.5538742752220634E-3</v>
      </c>
      <c r="D2545" s="21">
        <f t="shared" ca="1" si="195"/>
        <v>7.1699218601151962E-3</v>
      </c>
      <c r="E2545" s="21">
        <f t="shared" ca="1" si="198"/>
        <v>2.3245107681691408E-4</v>
      </c>
      <c r="F2545" s="11">
        <f t="shared" ca="1" si="199"/>
        <v>4.0728377562133717</v>
      </c>
      <c r="G2545" s="10">
        <f t="shared" ca="1" si="196"/>
        <v>1</v>
      </c>
    </row>
    <row r="2546" spans="1:7" x14ac:dyDescent="0.2">
      <c r="A2546" s="2">
        <v>20000330</v>
      </c>
      <c r="B2546" s="13">
        <v>10980.25</v>
      </c>
      <c r="C2546" s="2">
        <f t="shared" si="200"/>
        <v>-3.4913311164998608E-3</v>
      </c>
      <c r="D2546" s="21">
        <f t="shared" ca="1" si="195"/>
        <v>-3.875283531606728E-3</v>
      </c>
      <c r="E2546" s="21">
        <f t="shared" ca="1" si="198"/>
        <v>2.2349065722350887E-4</v>
      </c>
      <c r="F2546" s="11">
        <f t="shared" ca="1" si="199"/>
        <v>4.1694721507432204</v>
      </c>
      <c r="G2546" s="10">
        <f t="shared" ca="1" si="196"/>
        <v>1</v>
      </c>
    </row>
    <row r="2547" spans="1:7" x14ac:dyDescent="0.2">
      <c r="A2547" s="2">
        <v>20000331</v>
      </c>
      <c r="B2547" s="13">
        <v>10921.92</v>
      </c>
      <c r="C2547" s="2">
        <f t="shared" si="200"/>
        <v>-5.3122652034334307E-3</v>
      </c>
      <c r="D2547" s="21">
        <f t="shared" ca="1" si="195"/>
        <v>-5.6962176185402979E-3</v>
      </c>
      <c r="E2547" s="21">
        <f t="shared" ca="1" si="198"/>
        <v>2.1364542594911638E-4</v>
      </c>
      <c r="F2547" s="11">
        <f t="shared" ca="1" si="199"/>
        <v>4.1496600819036278</v>
      </c>
      <c r="G2547" s="10">
        <f t="shared" ca="1" si="196"/>
        <v>1</v>
      </c>
    </row>
    <row r="2548" spans="1:7" x14ac:dyDescent="0.2">
      <c r="A2548" s="2">
        <v>20000403</v>
      </c>
      <c r="B2548" s="13">
        <v>11221.93</v>
      </c>
      <c r="C2548" s="2">
        <f t="shared" si="200"/>
        <v>2.7468613577100016E-2</v>
      </c>
      <c r="D2548" s="21">
        <f t="shared" ca="1" si="195"/>
        <v>2.7084661161993148E-2</v>
      </c>
      <c r="E2548" s="21">
        <f t="shared" ca="1" si="198"/>
        <v>2.0493916560201166E-4</v>
      </c>
      <c r="F2548" s="11">
        <f t="shared" ca="1" si="199"/>
        <v>2.4566508179440092</v>
      </c>
      <c r="G2548" s="10">
        <f t="shared" ca="1" si="196"/>
        <v>0</v>
      </c>
    </row>
    <row r="2549" spans="1:7" x14ac:dyDescent="0.2">
      <c r="A2549" s="2">
        <v>20000404</v>
      </c>
      <c r="B2549" s="13">
        <v>11164.84</v>
      </c>
      <c r="C2549" s="2">
        <f t="shared" si="200"/>
        <v>-5.0873601956169879E-3</v>
      </c>
      <c r="D2549" s="21">
        <f t="shared" ca="1" si="195"/>
        <v>-5.471312610723855E-3</v>
      </c>
      <c r="E2549" s="21">
        <f t="shared" ca="1" si="198"/>
        <v>2.2245520476645979E-4</v>
      </c>
      <c r="F2549" s="11">
        <f t="shared" ca="1" si="199"/>
        <v>4.1381086047460025</v>
      </c>
      <c r="G2549" s="10">
        <f t="shared" ca="1" si="196"/>
        <v>1</v>
      </c>
    </row>
    <row r="2550" spans="1:7" x14ac:dyDescent="0.2">
      <c r="A2550" s="2">
        <v>20000405</v>
      </c>
      <c r="B2550" s="13">
        <v>11033.92</v>
      </c>
      <c r="C2550" s="2">
        <f t="shared" si="200"/>
        <v>-1.1726097283973624E-2</v>
      </c>
      <c r="D2550" s="21">
        <f t="shared" ca="1" si="195"/>
        <v>-1.2110049699080491E-2</v>
      </c>
      <c r="E2550" s="21">
        <f t="shared" ca="1" si="198"/>
        <v>2.1321089765998923E-4</v>
      </c>
      <c r="F2550" s="11">
        <f t="shared" ca="1" si="199"/>
        <v>3.8826983161967266</v>
      </c>
      <c r="G2550" s="10">
        <f t="shared" ca="1" si="196"/>
        <v>1</v>
      </c>
    </row>
    <row r="2551" spans="1:7" x14ac:dyDescent="0.2">
      <c r="A2551" s="2">
        <v>20000406</v>
      </c>
      <c r="B2551" s="13">
        <v>11114.27</v>
      </c>
      <c r="C2551" s="2">
        <f t="shared" si="200"/>
        <v>7.2820901365969991E-3</v>
      </c>
      <c r="D2551" s="21">
        <f t="shared" ca="1" si="195"/>
        <v>6.8981377214901319E-3</v>
      </c>
      <c r="E2551" s="21">
        <f t="shared" ca="1" si="198"/>
        <v>2.0872618929448997E-4</v>
      </c>
      <c r="F2551" s="11">
        <f t="shared" ca="1" si="199"/>
        <v>4.1232562493296614</v>
      </c>
      <c r="G2551" s="10">
        <f t="shared" ca="1" si="196"/>
        <v>1</v>
      </c>
    </row>
    <row r="2552" spans="1:7" x14ac:dyDescent="0.2">
      <c r="A2552" s="2">
        <v>20000407</v>
      </c>
      <c r="B2552" s="13">
        <v>11111.48</v>
      </c>
      <c r="C2552" s="2">
        <f t="shared" si="200"/>
        <v>-2.5102863255984178E-4</v>
      </c>
      <c r="D2552" s="21">
        <f t="shared" ca="1" si="195"/>
        <v>-6.3498104766670908E-4</v>
      </c>
      <c r="E2552" s="21">
        <f t="shared" ca="1" si="198"/>
        <v>2.0082542370413505E-4</v>
      </c>
      <c r="F2552" s="11">
        <f t="shared" ca="1" si="199"/>
        <v>4.2555334237634641</v>
      </c>
      <c r="G2552" s="10">
        <f t="shared" ca="1" si="196"/>
        <v>1</v>
      </c>
    </row>
    <row r="2553" spans="1:7" x14ac:dyDescent="0.2">
      <c r="A2553" s="2">
        <v>20000410</v>
      </c>
      <c r="B2553" s="13">
        <v>11186.56</v>
      </c>
      <c r="C2553" s="2">
        <f t="shared" si="200"/>
        <v>6.7569756684078023E-3</v>
      </c>
      <c r="D2553" s="21">
        <f t="shared" ca="1" si="195"/>
        <v>6.3730232533009351E-3</v>
      </c>
      <c r="E2553" s="21">
        <f t="shared" ca="1" si="198"/>
        <v>1.9158942890525261E-4</v>
      </c>
      <c r="F2553" s="11">
        <f t="shared" ca="1" si="199"/>
        <v>4.174081935492957</v>
      </c>
      <c r="G2553" s="10">
        <f t="shared" ca="1" si="196"/>
        <v>1</v>
      </c>
    </row>
    <row r="2554" spans="1:7" x14ac:dyDescent="0.2">
      <c r="A2554" s="2">
        <v>20000411</v>
      </c>
      <c r="B2554" s="13">
        <v>11287.08</v>
      </c>
      <c r="C2554" s="2">
        <f t="shared" si="200"/>
        <v>8.9857829395274726E-3</v>
      </c>
      <c r="D2554" s="21">
        <f t="shared" ca="1" si="195"/>
        <v>8.6018305244206054E-3</v>
      </c>
      <c r="E2554" s="21">
        <f t="shared" ca="1" si="198"/>
        <v>1.8429935983002029E-4</v>
      </c>
      <c r="F2554" s="11">
        <f t="shared" ca="1" si="199"/>
        <v>4.0987373468838904</v>
      </c>
      <c r="G2554" s="10">
        <f t="shared" ca="1" si="196"/>
        <v>1</v>
      </c>
    </row>
    <row r="2555" spans="1:7" x14ac:dyDescent="0.2">
      <c r="A2555" s="2">
        <v>20000412</v>
      </c>
      <c r="B2555" s="13">
        <v>11125.13</v>
      </c>
      <c r="C2555" s="2">
        <f t="shared" si="200"/>
        <v>-1.4348263678471378E-2</v>
      </c>
      <c r="D2555" s="21">
        <f t="shared" ca="1" si="195"/>
        <v>-1.4732216093578245E-2</v>
      </c>
      <c r="E2555" s="21">
        <f t="shared" ca="1" si="198"/>
        <v>1.7860539386175213E-4</v>
      </c>
      <c r="F2555" s="11">
        <f t="shared" ca="1" si="199"/>
        <v>3.7075744770103416</v>
      </c>
      <c r="G2555" s="10">
        <f t="shared" ca="1" si="196"/>
        <v>0</v>
      </c>
    </row>
    <row r="2556" spans="1:7" x14ac:dyDescent="0.2">
      <c r="A2556" s="2">
        <v>20000413</v>
      </c>
      <c r="B2556" s="13">
        <v>10923.55</v>
      </c>
      <c r="C2556" s="2">
        <f t="shared" si="200"/>
        <v>-1.8119338830197933E-2</v>
      </c>
      <c r="D2556" s="21">
        <f t="shared" ca="1" si="195"/>
        <v>-1.8503291245304802E-2</v>
      </c>
      <c r="E2556" s="21">
        <f t="shared" ca="1" si="198"/>
        <v>1.78459564529612E-4</v>
      </c>
      <c r="F2556" s="11">
        <f t="shared" ca="1" si="199"/>
        <v>3.3563323462903822</v>
      </c>
      <c r="G2556" s="10">
        <f t="shared" ca="1" si="196"/>
        <v>0</v>
      </c>
    </row>
    <row r="2557" spans="1:7" x14ac:dyDescent="0.2">
      <c r="A2557" s="2">
        <v>20000414</v>
      </c>
      <c r="B2557" s="13">
        <v>10305.77</v>
      </c>
      <c r="C2557" s="2">
        <f t="shared" si="200"/>
        <v>-5.6554874560010147E-2</v>
      </c>
      <c r="D2557" s="21">
        <f t="shared" ca="1" si="195"/>
        <v>-5.6938826975117013E-2</v>
      </c>
      <c r="E2557" s="21">
        <f t="shared" ca="1" si="198"/>
        <v>1.8292984791029072E-4</v>
      </c>
      <c r="F2557" s="11">
        <f t="shared" ca="1" si="199"/>
        <v>-4.5581985722116576</v>
      </c>
      <c r="G2557" s="10">
        <f t="shared" ca="1" si="196"/>
        <v>0</v>
      </c>
    </row>
    <row r="2558" spans="1:7" x14ac:dyDescent="0.2">
      <c r="A2558" s="2">
        <v>20000417</v>
      </c>
      <c r="B2558" s="13">
        <v>10582.51</v>
      </c>
      <c r="C2558" s="2">
        <f t="shared" si="200"/>
        <v>2.6852918316632311E-2</v>
      </c>
      <c r="D2558" s="21">
        <f t="shared" ca="1" si="195"/>
        <v>2.6468965901525442E-2</v>
      </c>
      <c r="E2558" s="21">
        <f t="shared" ca="1" si="198"/>
        <v>2.9379947425414265E-4</v>
      </c>
      <c r="F2558" s="11">
        <f t="shared" ca="1" si="199"/>
        <v>2.8739862395821127</v>
      </c>
      <c r="G2558" s="10">
        <f t="shared" ca="1" si="196"/>
        <v>0</v>
      </c>
    </row>
    <row r="2559" spans="1:7" x14ac:dyDescent="0.2">
      <c r="A2559" s="2">
        <v>20000418</v>
      </c>
      <c r="B2559" s="13">
        <v>10767.42</v>
      </c>
      <c r="C2559" s="2">
        <f t="shared" si="200"/>
        <v>1.7473170353725143E-2</v>
      </c>
      <c r="D2559" s="21">
        <f t="shared" ca="1" si="195"/>
        <v>1.7089217938618274E-2</v>
      </c>
      <c r="E2559" s="21">
        <f t="shared" ca="1" si="198"/>
        <v>3.0560757686628321E-4</v>
      </c>
      <c r="F2559" s="11">
        <f t="shared" ca="1" si="199"/>
        <v>3.5687998229736015</v>
      </c>
      <c r="G2559" s="10">
        <f t="shared" ca="1" si="196"/>
        <v>1</v>
      </c>
    </row>
    <row r="2560" spans="1:7" x14ac:dyDescent="0.2">
      <c r="A2560" s="2">
        <v>20000419</v>
      </c>
      <c r="B2560" s="13">
        <v>10674.96</v>
      </c>
      <c r="C2560" s="2">
        <f t="shared" si="200"/>
        <v>-8.5870152738539915E-3</v>
      </c>
      <c r="D2560" s="21">
        <f t="shared" ca="1" si="195"/>
        <v>-8.9709676889608587E-3</v>
      </c>
      <c r="E2560" s="21">
        <f t="shared" ca="1" si="198"/>
        <v>3.0179466311948476E-4</v>
      </c>
      <c r="F2560" s="11">
        <f t="shared" ca="1" si="199"/>
        <v>3.9195490371087791</v>
      </c>
      <c r="G2560" s="10">
        <f t="shared" ca="1" si="196"/>
        <v>1</v>
      </c>
    </row>
    <row r="2561" spans="1:7" x14ac:dyDescent="0.2">
      <c r="A2561" s="2">
        <v>20000420</v>
      </c>
      <c r="B2561" s="13">
        <v>10844.05</v>
      </c>
      <c r="C2561" s="2">
        <f t="shared" si="200"/>
        <v>1.5839871999520388E-2</v>
      </c>
      <c r="D2561" s="21">
        <f t="shared" ca="1" si="195"/>
        <v>1.5455919584413521E-2</v>
      </c>
      <c r="E2561" s="21">
        <f t="shared" ca="1" si="198"/>
        <v>2.9039510103674244E-4</v>
      </c>
      <c r="F2561" s="11">
        <f t="shared" ca="1" si="199"/>
        <v>3.6608229839408777</v>
      </c>
      <c r="G2561" s="10">
        <f t="shared" ca="1" si="196"/>
        <v>1</v>
      </c>
    </row>
    <row r="2562" spans="1:7" x14ac:dyDescent="0.2">
      <c r="A2562" s="2">
        <v>20000424</v>
      </c>
      <c r="B2562" s="13">
        <v>10906.1</v>
      </c>
      <c r="C2562" s="2">
        <f t="shared" si="200"/>
        <v>5.7220318976767071E-3</v>
      </c>
      <c r="D2562" s="21">
        <f t="shared" ca="1" si="195"/>
        <v>5.3380794825698399E-3</v>
      </c>
      <c r="E2562" s="21">
        <f t="shared" ca="1" si="198"/>
        <v>2.8539715547635754E-4</v>
      </c>
      <c r="F2562" s="11">
        <f t="shared" ca="1" si="199"/>
        <v>4.0308925868811842</v>
      </c>
      <c r="G2562" s="10">
        <f t="shared" ca="1" si="196"/>
        <v>1</v>
      </c>
    </row>
    <row r="2563" spans="1:7" x14ac:dyDescent="0.2">
      <c r="A2563" s="2">
        <v>20000425</v>
      </c>
      <c r="B2563" s="13">
        <v>11124.82</v>
      </c>
      <c r="C2563" s="2">
        <f t="shared" si="200"/>
        <v>2.0054831699690939E-2</v>
      </c>
      <c r="D2563" s="21">
        <f t="shared" ca="1" si="195"/>
        <v>1.967087928458407E-2</v>
      </c>
      <c r="E2563" s="21">
        <f t="shared" ca="1" si="198"/>
        <v>2.729156368257166E-4</v>
      </c>
      <c r="F2563" s="11">
        <f t="shared" ca="1" si="199"/>
        <v>3.3942671343759576</v>
      </c>
      <c r="G2563" s="10">
        <f t="shared" ca="1" si="196"/>
        <v>0</v>
      </c>
    </row>
    <row r="2564" spans="1:7" x14ac:dyDescent="0.2">
      <c r="A2564" s="2">
        <v>20000426</v>
      </c>
      <c r="B2564" s="13">
        <v>10945.5</v>
      </c>
      <c r="C2564" s="2">
        <f t="shared" si="200"/>
        <v>-1.6118912485775024E-2</v>
      </c>
      <c r="D2564" s="21">
        <f t="shared" ca="1" si="195"/>
        <v>-1.6502864900881892E-2</v>
      </c>
      <c r="E2564" s="21">
        <f t="shared" ca="1" si="198"/>
        <v>2.7424633582213086E-4</v>
      </c>
      <c r="F2564" s="11">
        <f t="shared" ca="1" si="199"/>
        <v>3.6042092047869465</v>
      </c>
      <c r="G2564" s="10">
        <f t="shared" ca="1" si="196"/>
        <v>1</v>
      </c>
    </row>
    <row r="2565" spans="1:7" x14ac:dyDescent="0.2">
      <c r="A2565" s="2">
        <v>20000427</v>
      </c>
      <c r="B2565" s="13">
        <v>10888.1</v>
      </c>
      <c r="C2565" s="2">
        <f t="shared" si="200"/>
        <v>-5.2441642684207786E-3</v>
      </c>
      <c r="D2565" s="21">
        <f t="shared" ca="1" si="195"/>
        <v>-5.6281166835276458E-3</v>
      </c>
      <c r="E2565" s="21">
        <f t="shared" ca="1" si="198"/>
        <v>2.7129571112965344E-4</v>
      </c>
      <c r="F2565" s="11">
        <f t="shared" ca="1" si="199"/>
        <v>4.0477720291659676</v>
      </c>
      <c r="G2565" s="10">
        <f t="shared" ca="1" si="196"/>
        <v>1</v>
      </c>
    </row>
    <row r="2566" spans="1:7" x14ac:dyDescent="0.2">
      <c r="A2566" s="2">
        <v>20000428</v>
      </c>
      <c r="B2566" s="13">
        <v>10733.91</v>
      </c>
      <c r="C2566" s="2">
        <f t="shared" si="200"/>
        <v>-1.4161332096509079E-2</v>
      </c>
      <c r="D2566" s="21">
        <f t="shared" ca="1" si="195"/>
        <v>-1.4545284511615946E-2</v>
      </c>
      <c r="E2566" s="21">
        <f t="shared" ca="1" si="198"/>
        <v>2.5964454558510976E-4</v>
      </c>
      <c r="F2566" s="11">
        <f t="shared" ca="1" si="199"/>
        <v>3.720685160302565</v>
      </c>
      <c r="G2566" s="10">
        <f t="shared" ca="1" si="196"/>
        <v>1</v>
      </c>
    </row>
    <row r="2567" spans="1:7" x14ac:dyDescent="0.2">
      <c r="A2567" s="2">
        <v>20000501</v>
      </c>
      <c r="B2567" s="13">
        <v>10811.78</v>
      </c>
      <c r="C2567" s="2">
        <f t="shared" si="200"/>
        <v>7.2545791794416765E-3</v>
      </c>
      <c r="D2567" s="21">
        <f t="shared" ca="1" si="195"/>
        <v>6.8706267643348093E-3</v>
      </c>
      <c r="E2567" s="21">
        <f t="shared" ca="1" si="198"/>
        <v>2.5519767118100073E-4</v>
      </c>
      <c r="F2567" s="11">
        <f t="shared" ca="1" si="199"/>
        <v>4.0442479333381014</v>
      </c>
      <c r="G2567" s="10">
        <f t="shared" ca="1" si="196"/>
        <v>1</v>
      </c>
    </row>
    <row r="2568" spans="1:7" x14ac:dyDescent="0.2">
      <c r="A2568" s="2">
        <v>20000502</v>
      </c>
      <c r="B2568" s="13">
        <v>10731.12</v>
      </c>
      <c r="C2568" s="2">
        <f t="shared" si="200"/>
        <v>-7.4603811768274835E-3</v>
      </c>
      <c r="D2568" s="21">
        <f t="shared" ca="1" si="195"/>
        <v>-7.8443335919343507E-3</v>
      </c>
      <c r="E2568" s="21">
        <f t="shared" ca="1" si="198"/>
        <v>2.4493196918142965E-4</v>
      </c>
      <c r="F2568" s="11">
        <f t="shared" ca="1" si="199"/>
        <v>4.0316514381442943</v>
      </c>
      <c r="G2568" s="10">
        <f t="shared" ca="1" si="196"/>
        <v>1</v>
      </c>
    </row>
    <row r="2569" spans="1:7" x14ac:dyDescent="0.2">
      <c r="A2569" s="2">
        <v>20000503</v>
      </c>
      <c r="B2569" s="13">
        <v>10480.129999999999</v>
      </c>
      <c r="C2569" s="2">
        <f t="shared" si="200"/>
        <v>-2.3388984560791564E-2</v>
      </c>
      <c r="D2569" s="21">
        <f t="shared" ca="1" si="195"/>
        <v>-2.3772936975898433E-2</v>
      </c>
      <c r="E2569" s="21">
        <f t="shared" ca="1" si="198"/>
        <v>2.3571248011298399E-4</v>
      </c>
      <c r="F2569" s="11">
        <f t="shared" ca="1" si="199"/>
        <v>2.9776313148579212</v>
      </c>
      <c r="G2569" s="10">
        <f t="shared" ca="1" si="196"/>
        <v>0</v>
      </c>
    </row>
    <row r="2570" spans="1:7" x14ac:dyDescent="0.2">
      <c r="A2570" s="2">
        <v>20000504</v>
      </c>
      <c r="B2570" s="13">
        <v>10412.49</v>
      </c>
      <c r="C2570" s="2">
        <f t="shared" si="200"/>
        <v>-6.4541184126532232E-3</v>
      </c>
      <c r="D2570" s="21">
        <f t="shared" ca="1" si="195"/>
        <v>-6.8380708277600904E-3</v>
      </c>
      <c r="E2570" s="21">
        <f t="shared" ca="1" si="198"/>
        <v>2.4547835664255282E-4</v>
      </c>
      <c r="F2570" s="11">
        <f t="shared" ca="1" si="199"/>
        <v>4.0609098786758233</v>
      </c>
      <c r="G2570" s="10">
        <f t="shared" ca="1" si="196"/>
        <v>1</v>
      </c>
    </row>
    <row r="2571" spans="1:7" x14ac:dyDescent="0.2">
      <c r="A2571" s="2">
        <v>20000505</v>
      </c>
      <c r="B2571" s="13">
        <v>10577.86</v>
      </c>
      <c r="C2571" s="2">
        <f t="shared" si="200"/>
        <v>1.5881888001813286E-2</v>
      </c>
      <c r="D2571" s="21">
        <f t="shared" ca="1" si="195"/>
        <v>1.5497935586706419E-2</v>
      </c>
      <c r="E2571" s="21">
        <f t="shared" ca="1" si="198"/>
        <v>2.356879467542224E-4</v>
      </c>
      <c r="F2571" s="11">
        <f t="shared" ca="1" si="199"/>
        <v>3.666958536557853</v>
      </c>
      <c r="G2571" s="10">
        <f t="shared" ca="1" si="196"/>
        <v>0</v>
      </c>
    </row>
    <row r="2572" spans="1:7" x14ac:dyDescent="0.2">
      <c r="A2572" s="2">
        <v>20000508</v>
      </c>
      <c r="B2572" s="13">
        <v>10603.63</v>
      </c>
      <c r="C2572" s="2">
        <f t="shared" si="200"/>
        <v>2.4362205587896433E-3</v>
      </c>
      <c r="D2572" s="21">
        <f t="shared" ca="1" si="195"/>
        <v>2.0522681436827761E-3</v>
      </c>
      <c r="E2572" s="21">
        <f t="shared" ca="1" si="198"/>
        <v>2.3350547790301318E-4</v>
      </c>
      <c r="F2572" s="11">
        <f t="shared" ca="1" si="199"/>
        <v>4.172133868766327</v>
      </c>
      <c r="G2572" s="10">
        <f t="shared" ca="1" si="196"/>
        <v>1</v>
      </c>
    </row>
    <row r="2573" spans="1:7" x14ac:dyDescent="0.2">
      <c r="A2573" s="2">
        <v>20000509</v>
      </c>
      <c r="B2573" s="13">
        <v>10536.75</v>
      </c>
      <c r="C2573" s="2">
        <f t="shared" si="200"/>
        <v>-6.3072740184256905E-3</v>
      </c>
      <c r="D2573" s="21">
        <f t="shared" ca="1" si="195"/>
        <v>-6.6912264335325577E-3</v>
      </c>
      <c r="E2573" s="21">
        <f t="shared" ca="1" si="198"/>
        <v>2.2275623740630645E-4</v>
      </c>
      <c r="F2573" s="11">
        <f t="shared" ca="1" si="199"/>
        <v>4.1042195952412266</v>
      </c>
      <c r="G2573" s="10">
        <f t="shared" ca="1" si="196"/>
        <v>1</v>
      </c>
    </row>
    <row r="2574" spans="1:7" x14ac:dyDescent="0.2">
      <c r="A2574" s="2">
        <v>20000510</v>
      </c>
      <c r="B2574" s="13">
        <v>10367.780000000001</v>
      </c>
      <c r="C2574" s="2">
        <f t="shared" si="200"/>
        <v>-1.6036254063159831E-2</v>
      </c>
      <c r="D2574" s="21">
        <f t="shared" ref="D2574:D2637" ca="1" si="201">(C2574-mu)</f>
        <v>-1.64202064782667E-2</v>
      </c>
      <c r="E2574" s="21">
        <f t="shared" ca="1" si="198"/>
        <v>2.1404229253013741E-4</v>
      </c>
      <c r="F2574" s="11">
        <f t="shared" ca="1" si="199"/>
        <v>3.5948322378144573</v>
      </c>
      <c r="G2574" s="10">
        <f t="shared" ref="G2574:G2637" ca="1" si="202">IF(AND(C2574&lt;=mu+zvalue*SQRT(E2574),C2574&gt;=mu-zvalue*SQRT(E2574)),1,0)</f>
        <v>0</v>
      </c>
    </row>
    <row r="2575" spans="1:7" x14ac:dyDescent="0.2">
      <c r="A2575" s="2">
        <v>20000511</v>
      </c>
      <c r="B2575" s="13">
        <v>10545.97</v>
      </c>
      <c r="C2575" s="2">
        <f t="shared" si="200"/>
        <v>1.7186900184996082E-2</v>
      </c>
      <c r="D2575" s="21">
        <f t="shared" ca="1" si="201"/>
        <v>1.6802947769889214E-2</v>
      </c>
      <c r="E2575" s="21">
        <f t="shared" ref="E2575:E2638" ca="1" si="203">(1-alpha-beta)*longvar+alpha*D2574^2+beta*E2574</f>
        <v>2.1403734071563825E-4</v>
      </c>
      <c r="F2575" s="11">
        <f t="shared" ref="F2575:F2638" ca="1" si="204">(-0.5)*(LN(E2575)+D2575^2/E2575)</f>
        <v>3.5651244334815395</v>
      </c>
      <c r="G2575" s="10">
        <f t="shared" ca="1" si="202"/>
        <v>0</v>
      </c>
    </row>
    <row r="2576" spans="1:7" x14ac:dyDescent="0.2">
      <c r="A2576" s="2">
        <v>20000512</v>
      </c>
      <c r="B2576" s="13">
        <v>10609.37</v>
      </c>
      <c r="C2576" s="2">
        <f t="shared" si="200"/>
        <v>6.0117751140958547E-3</v>
      </c>
      <c r="D2576" s="21">
        <f t="shared" ca="1" si="201"/>
        <v>5.6278226989889876E-3</v>
      </c>
      <c r="E2576" s="21">
        <f t="shared" ca="1" si="203"/>
        <v>2.1450022426663725E-4</v>
      </c>
      <c r="F2576" s="11">
        <f t="shared" ca="1" si="204"/>
        <v>4.1497715531936459</v>
      </c>
      <c r="G2576" s="10">
        <f t="shared" ca="1" si="202"/>
        <v>1</v>
      </c>
    </row>
    <row r="2577" spans="1:7" x14ac:dyDescent="0.2">
      <c r="A2577" s="2">
        <v>20000515</v>
      </c>
      <c r="B2577" s="13">
        <v>10807.78</v>
      </c>
      <c r="C2577" s="2">
        <f t="shared" si="200"/>
        <v>1.870139320242388E-2</v>
      </c>
      <c r="D2577" s="21">
        <f t="shared" ca="1" si="201"/>
        <v>1.8317440787317011E-2</v>
      </c>
      <c r="E2577" s="21">
        <f t="shared" ca="1" si="203"/>
        <v>2.0572223942285836E-4</v>
      </c>
      <c r="F2577" s="11">
        <f t="shared" ca="1" si="204"/>
        <v>3.429002362938542</v>
      </c>
      <c r="G2577" s="10">
        <f t="shared" ca="1" si="202"/>
        <v>0</v>
      </c>
    </row>
    <row r="2578" spans="1:7" x14ac:dyDescent="0.2">
      <c r="A2578" s="2">
        <v>20000516</v>
      </c>
      <c r="B2578" s="13">
        <v>10934.57</v>
      </c>
      <c r="C2578" s="2">
        <f t="shared" si="200"/>
        <v>1.1731363887865874E-2</v>
      </c>
      <c r="D2578" s="21">
        <f t="shared" ca="1" si="201"/>
        <v>1.1347411472759007E-2</v>
      </c>
      <c r="E2578" s="21">
        <f t="shared" ca="1" si="203"/>
        <v>2.0856166053334727E-4</v>
      </c>
      <c r="F2578" s="11">
        <f t="shared" ca="1" si="204"/>
        <v>3.92894324039304</v>
      </c>
      <c r="G2578" s="10">
        <f t="shared" ca="1" si="202"/>
        <v>1</v>
      </c>
    </row>
    <row r="2579" spans="1:7" x14ac:dyDescent="0.2">
      <c r="A2579" s="2">
        <v>20000517</v>
      </c>
      <c r="B2579" s="13">
        <v>10769.74</v>
      </c>
      <c r="C2579" s="2">
        <f t="shared" si="200"/>
        <v>-1.5074209593975797E-2</v>
      </c>
      <c r="D2579" s="21">
        <f t="shared" ca="1" si="201"/>
        <v>-1.5458162009082664E-2</v>
      </c>
      <c r="E2579" s="21">
        <f t="shared" ca="1" si="203"/>
        <v>2.0365432837338122E-4</v>
      </c>
      <c r="F2579" s="11">
        <f t="shared" ca="1" si="204"/>
        <v>3.6628756827205966</v>
      </c>
      <c r="G2579" s="10">
        <f t="shared" ca="1" si="202"/>
        <v>0</v>
      </c>
    </row>
    <row r="2580" spans="1:7" x14ac:dyDescent="0.2">
      <c r="A2580" s="2">
        <v>20000518</v>
      </c>
      <c r="B2580" s="13">
        <v>10777.28</v>
      </c>
      <c r="C2580" s="2">
        <f t="shared" si="200"/>
        <v>7.0010975195323869E-4</v>
      </c>
      <c r="D2580" s="21">
        <f t="shared" ca="1" si="201"/>
        <v>3.161573368463714E-4</v>
      </c>
      <c r="E2580" s="21">
        <f t="shared" ca="1" si="203"/>
        <v>2.0304717617200982E-4</v>
      </c>
      <c r="F2580" s="11">
        <f t="shared" ca="1" si="204"/>
        <v>4.250789966976015</v>
      </c>
      <c r="G2580" s="10">
        <f t="shared" ca="1" si="202"/>
        <v>1</v>
      </c>
    </row>
    <row r="2581" spans="1:7" x14ac:dyDescent="0.2">
      <c r="A2581" s="2">
        <v>20000519</v>
      </c>
      <c r="B2581" s="13">
        <v>10626.85</v>
      </c>
      <c r="C2581" s="2">
        <f t="shared" si="200"/>
        <v>-1.3958067341666941E-2</v>
      </c>
      <c r="D2581" s="21">
        <f t="shared" ca="1" si="201"/>
        <v>-1.4342019756773808E-2</v>
      </c>
      <c r="E2581" s="21">
        <f t="shared" ca="1" si="203"/>
        <v>1.9368763131884852E-4</v>
      </c>
      <c r="F2581" s="11">
        <f t="shared" ca="1" si="204"/>
        <v>3.7436389793398588</v>
      </c>
      <c r="G2581" s="10">
        <f t="shared" ca="1" si="202"/>
        <v>0</v>
      </c>
    </row>
    <row r="2582" spans="1:7" x14ac:dyDescent="0.2">
      <c r="A2582" s="2">
        <v>20000522</v>
      </c>
      <c r="B2582" s="13">
        <v>10542.55</v>
      </c>
      <c r="C2582" s="2">
        <f t="shared" si="200"/>
        <v>-7.9327364176591461E-3</v>
      </c>
      <c r="D2582" s="21">
        <f t="shared" ca="1" si="201"/>
        <v>-8.3166888327660133E-3</v>
      </c>
      <c r="E2582" s="21">
        <f t="shared" ca="1" si="203"/>
        <v>1.9236162365928025E-4</v>
      </c>
      <c r="F2582" s="11">
        <f t="shared" ca="1" si="204"/>
        <v>4.0982821555984934</v>
      </c>
      <c r="G2582" s="10">
        <f t="shared" ca="1" si="202"/>
        <v>1</v>
      </c>
    </row>
    <row r="2583" spans="1:7" x14ac:dyDescent="0.2">
      <c r="A2583" s="2">
        <v>20000523</v>
      </c>
      <c r="B2583" s="13">
        <v>10422.27</v>
      </c>
      <c r="C2583" s="2">
        <f t="shared" si="200"/>
        <v>-1.1409004462867033E-2</v>
      </c>
      <c r="D2583" s="21">
        <f t="shared" ca="1" si="201"/>
        <v>-1.17929568779739E-2</v>
      </c>
      <c r="E2583" s="21">
        <f t="shared" ca="1" si="203"/>
        <v>1.860823917628376E-4</v>
      </c>
      <c r="F2583" s="11">
        <f t="shared" ca="1" si="204"/>
        <v>3.9209716526671858</v>
      </c>
      <c r="G2583" s="10">
        <f t="shared" ca="1" si="202"/>
        <v>1</v>
      </c>
    </row>
    <row r="2584" spans="1:7" x14ac:dyDescent="0.2">
      <c r="A2584" s="2">
        <v>20000524</v>
      </c>
      <c r="B2584" s="13">
        <v>10535.35</v>
      </c>
      <c r="C2584" s="2">
        <f t="shared" si="200"/>
        <v>1.0849843652102653E-2</v>
      </c>
      <c r="D2584" s="21">
        <f t="shared" ca="1" si="201"/>
        <v>1.0465891236995786E-2</v>
      </c>
      <c r="E2584" s="21">
        <f t="shared" ca="1" si="203"/>
        <v>1.8269141303134769E-4</v>
      </c>
      <c r="F2584" s="11">
        <f t="shared" ca="1" si="204"/>
        <v>4.0040749100798685</v>
      </c>
      <c r="G2584" s="10">
        <f t="shared" ca="1" si="202"/>
        <v>1</v>
      </c>
    </row>
    <row r="2585" spans="1:7" x14ac:dyDescent="0.2">
      <c r="A2585" s="2">
        <v>20000525</v>
      </c>
      <c r="B2585" s="13">
        <v>10323.92</v>
      </c>
      <c r="C2585" s="2">
        <f t="shared" si="200"/>
        <v>-2.0068626101648286E-2</v>
      </c>
      <c r="D2585" s="21">
        <f t="shared" ca="1" si="201"/>
        <v>-2.0452578516755155E-2</v>
      </c>
      <c r="E2585" s="21">
        <f t="shared" ca="1" si="203"/>
        <v>1.7838578616907359E-4</v>
      </c>
      <c r="F2585" s="11">
        <f t="shared" ca="1" si="204"/>
        <v>3.1432997886220186</v>
      </c>
      <c r="G2585" s="10">
        <f t="shared" ca="1" si="202"/>
        <v>0</v>
      </c>
    </row>
    <row r="2586" spans="1:7" x14ac:dyDescent="0.2">
      <c r="A2586" s="2">
        <v>20000526</v>
      </c>
      <c r="B2586" s="13">
        <v>10299.24</v>
      </c>
      <c r="C2586" s="2">
        <f t="shared" si="200"/>
        <v>-2.3905648242140863E-3</v>
      </c>
      <c r="D2586" s="21">
        <f t="shared" ca="1" si="201"/>
        <v>-2.7745172393209535E-3</v>
      </c>
      <c r="E2586" s="21">
        <f t="shared" ca="1" si="203"/>
        <v>1.8565210798759496E-4</v>
      </c>
      <c r="F2586" s="11">
        <f t="shared" ca="1" si="204"/>
        <v>4.2750858311953461</v>
      </c>
      <c r="G2586" s="10">
        <f t="shared" ca="1" si="202"/>
        <v>1</v>
      </c>
    </row>
    <row r="2587" spans="1:7" x14ac:dyDescent="0.2">
      <c r="A2587" s="2">
        <v>20000530</v>
      </c>
      <c r="B2587" s="13">
        <v>10527.13</v>
      </c>
      <c r="C2587" s="2">
        <f t="shared" si="200"/>
        <v>2.2126875381096024E-2</v>
      </c>
      <c r="D2587" s="21">
        <f t="shared" ca="1" si="201"/>
        <v>2.1742922965989155E-2</v>
      </c>
      <c r="E2587" s="21">
        <f t="shared" ca="1" si="203"/>
        <v>1.7745197673674031E-4</v>
      </c>
      <c r="F2587" s="11">
        <f t="shared" ca="1" si="204"/>
        <v>2.9863414972215416</v>
      </c>
      <c r="G2587" s="10">
        <f t="shared" ca="1" si="202"/>
        <v>0</v>
      </c>
    </row>
    <row r="2588" spans="1:7" x14ac:dyDescent="0.2">
      <c r="A2588" s="2">
        <v>20000531</v>
      </c>
      <c r="B2588" s="13">
        <v>10522.33</v>
      </c>
      <c r="C2588" s="2">
        <f t="shared" si="200"/>
        <v>-4.5596473112797815E-4</v>
      </c>
      <c r="D2588" s="21">
        <f t="shared" ca="1" si="201"/>
        <v>-8.3991714623484544E-4</v>
      </c>
      <c r="E2588" s="21">
        <f t="shared" ca="1" si="203"/>
        <v>1.8676764165178396E-4</v>
      </c>
      <c r="F2588" s="11">
        <f t="shared" ca="1" si="204"/>
        <v>4.2909340303093861</v>
      </c>
      <c r="G2588" s="10">
        <f t="shared" ca="1" si="202"/>
        <v>1</v>
      </c>
    </row>
    <row r="2589" spans="1:7" x14ac:dyDescent="0.2">
      <c r="A2589" s="2">
        <v>20000601</v>
      </c>
      <c r="B2589" s="13">
        <v>10652.2</v>
      </c>
      <c r="C2589" s="2">
        <f t="shared" si="200"/>
        <v>1.2342323420763348E-2</v>
      </c>
      <c r="D2589" s="21">
        <f t="shared" ca="1" si="201"/>
        <v>1.1958371005656481E-2</v>
      </c>
      <c r="E2589" s="21">
        <f t="shared" ca="1" si="203"/>
        <v>1.7825394929926351E-4</v>
      </c>
      <c r="F2589" s="11">
        <f t="shared" ca="1" si="204"/>
        <v>3.9150301418330691</v>
      </c>
      <c r="G2589" s="10">
        <f t="shared" ca="1" si="202"/>
        <v>1</v>
      </c>
    </row>
    <row r="2590" spans="1:7" x14ac:dyDescent="0.2">
      <c r="A2590" s="2">
        <v>20000602</v>
      </c>
      <c r="B2590" s="13">
        <v>10794.76</v>
      </c>
      <c r="C2590" s="2">
        <f t="shared" si="200"/>
        <v>1.3383150898405914E-2</v>
      </c>
      <c r="D2590" s="21">
        <f t="shared" ca="1" si="201"/>
        <v>1.2999198483299047E-2</v>
      </c>
      <c r="E2590" s="21">
        <f t="shared" ca="1" si="203"/>
        <v>1.7540348307609638E-4</v>
      </c>
      <c r="F2590" s="11">
        <f t="shared" ca="1" si="204"/>
        <v>3.8425237927626816</v>
      </c>
      <c r="G2590" s="10">
        <f t="shared" ca="1" si="202"/>
        <v>1</v>
      </c>
    </row>
    <row r="2591" spans="1:7" x14ac:dyDescent="0.2">
      <c r="A2591" s="2">
        <v>20000605</v>
      </c>
      <c r="B2591" s="13">
        <v>10815.3</v>
      </c>
      <c r="C2591" s="2">
        <f t="shared" si="200"/>
        <v>1.9027750501168208E-3</v>
      </c>
      <c r="D2591" s="21">
        <f t="shared" ca="1" si="201"/>
        <v>1.5188226350099534E-3</v>
      </c>
      <c r="E2591" s="21">
        <f t="shared" ca="1" si="203"/>
        <v>1.7365242502508001E-4</v>
      </c>
      <c r="F2591" s="11">
        <f t="shared" ca="1" si="204"/>
        <v>4.3225853396018774</v>
      </c>
      <c r="G2591" s="10">
        <f t="shared" ca="1" si="202"/>
        <v>1</v>
      </c>
    </row>
    <row r="2592" spans="1:7" x14ac:dyDescent="0.2">
      <c r="A2592" s="2">
        <v>20000606</v>
      </c>
      <c r="B2592" s="13">
        <v>10735.57</v>
      </c>
      <c r="C2592" s="2">
        <f t="shared" si="200"/>
        <v>-7.3719637920353171E-3</v>
      </c>
      <c r="D2592" s="21">
        <f t="shared" ca="1" si="201"/>
        <v>-7.7559162071421843E-3</v>
      </c>
      <c r="E2592" s="21">
        <f t="shared" ca="1" si="203"/>
        <v>1.6586112065422189E-4</v>
      </c>
      <c r="F2592" s="11">
        <f t="shared" ca="1" si="204"/>
        <v>4.1708407002555123</v>
      </c>
      <c r="G2592" s="10">
        <f t="shared" ca="1" si="202"/>
        <v>1</v>
      </c>
    </row>
    <row r="2593" spans="1:7" x14ac:dyDescent="0.2">
      <c r="A2593" s="2">
        <v>20000607</v>
      </c>
      <c r="B2593" s="13">
        <v>10812.86</v>
      </c>
      <c r="C2593" s="2">
        <f t="shared" si="200"/>
        <v>7.1994314228309136E-3</v>
      </c>
      <c r="D2593" s="21">
        <f t="shared" ca="1" si="201"/>
        <v>6.8154790077240464E-3</v>
      </c>
      <c r="E2593" s="21">
        <f t="shared" ca="1" si="203"/>
        <v>1.6059113135454423E-4</v>
      </c>
      <c r="F2593" s="11">
        <f t="shared" ca="1" si="204"/>
        <v>4.2237002080597064</v>
      </c>
      <c r="G2593" s="10">
        <f t="shared" ca="1" si="202"/>
        <v>1</v>
      </c>
    </row>
    <row r="2594" spans="1:7" x14ac:dyDescent="0.2">
      <c r="A2594" s="2">
        <v>20000608</v>
      </c>
      <c r="B2594" s="13">
        <v>10668.72</v>
      </c>
      <c r="C2594" s="2">
        <f t="shared" si="200"/>
        <v>-1.3330423218279088E-2</v>
      </c>
      <c r="D2594" s="21">
        <f t="shared" ca="1" si="201"/>
        <v>-1.3714375633385956E-2</v>
      </c>
      <c r="E2594" s="21">
        <f t="shared" ca="1" si="203"/>
        <v>1.5508385158473974E-4</v>
      </c>
      <c r="F2594" s="11">
        <f t="shared" ca="1" si="204"/>
        <v>3.7793774508881257</v>
      </c>
      <c r="G2594" s="10">
        <f t="shared" ca="1" si="202"/>
        <v>0</v>
      </c>
    </row>
    <row r="2595" spans="1:7" x14ac:dyDescent="0.2">
      <c r="A2595" s="2">
        <v>20000609</v>
      </c>
      <c r="B2595" s="13">
        <v>10614.06</v>
      </c>
      <c r="C2595" s="2">
        <f t="shared" si="200"/>
        <v>-5.1233887476660606E-3</v>
      </c>
      <c r="D2595" s="21">
        <f t="shared" ca="1" si="201"/>
        <v>-5.5073411627729277E-3</v>
      </c>
      <c r="E2595" s="21">
        <f t="shared" ca="1" si="203"/>
        <v>1.5506329230262532E-4</v>
      </c>
      <c r="F2595" s="11">
        <f t="shared" ca="1" si="204"/>
        <v>4.2880372175597934</v>
      </c>
      <c r="G2595" s="10">
        <f t="shared" ca="1" si="202"/>
        <v>1</v>
      </c>
    </row>
    <row r="2596" spans="1:7" x14ac:dyDescent="0.2">
      <c r="A2596" s="2">
        <v>20000612</v>
      </c>
      <c r="B2596" s="13">
        <v>10564.21</v>
      </c>
      <c r="C2596" s="2">
        <f t="shared" si="200"/>
        <v>-4.6966005468218911E-3</v>
      </c>
      <c r="D2596" s="21">
        <f t="shared" ca="1" si="201"/>
        <v>-5.0805529619287583E-3</v>
      </c>
      <c r="E2596" s="21">
        <f t="shared" ca="1" si="203"/>
        <v>1.4924290911770002E-4</v>
      </c>
      <c r="F2596" s="11">
        <f t="shared" ca="1" si="204"/>
        <v>4.3184911265039618</v>
      </c>
      <c r="G2596" s="10">
        <f t="shared" ca="1" si="202"/>
        <v>1</v>
      </c>
    </row>
    <row r="2597" spans="1:7" x14ac:dyDescent="0.2">
      <c r="A2597" s="2">
        <v>20000613</v>
      </c>
      <c r="B2597" s="13">
        <v>10621.84</v>
      </c>
      <c r="C2597" s="2">
        <f t="shared" si="200"/>
        <v>5.455211511319921E-3</v>
      </c>
      <c r="D2597" s="21">
        <f t="shared" ca="1" si="201"/>
        <v>5.0712590962130539E-3</v>
      </c>
      <c r="E2597" s="21">
        <f t="shared" ca="1" si="203"/>
        <v>1.43550817299317E-4</v>
      </c>
      <c r="F2597" s="11">
        <f t="shared" ca="1" si="204"/>
        <v>4.3348338484409634</v>
      </c>
      <c r="G2597" s="10">
        <f t="shared" ca="1" si="202"/>
        <v>1</v>
      </c>
    </row>
    <row r="2598" spans="1:7" x14ac:dyDescent="0.2">
      <c r="A2598" s="2">
        <v>20000614</v>
      </c>
      <c r="B2598" s="13">
        <v>10687.95</v>
      </c>
      <c r="C2598" s="2">
        <f t="shared" si="200"/>
        <v>6.2239687285819204E-3</v>
      </c>
      <c r="D2598" s="21">
        <f t="shared" ca="1" si="201"/>
        <v>5.8400163134750532E-3</v>
      </c>
      <c r="E2598" s="21">
        <f t="shared" ca="1" si="203"/>
        <v>1.3814322088150519E-4</v>
      </c>
      <c r="F2598" s="11">
        <f t="shared" ca="1" si="204"/>
        <v>4.3201661981606545</v>
      </c>
      <c r="G2598" s="10">
        <f t="shared" ca="1" si="202"/>
        <v>1</v>
      </c>
    </row>
    <row r="2599" spans="1:7" x14ac:dyDescent="0.2">
      <c r="A2599" s="2">
        <v>20000615</v>
      </c>
      <c r="B2599" s="13">
        <v>10714.82</v>
      </c>
      <c r="C2599" s="2">
        <f t="shared" si="200"/>
        <v>2.5140461922070162E-3</v>
      </c>
      <c r="D2599" s="21">
        <f t="shared" ca="1" si="201"/>
        <v>2.130093777100149E-3</v>
      </c>
      <c r="E2599" s="21">
        <f t="shared" ca="1" si="203"/>
        <v>1.3331764242872541E-4</v>
      </c>
      <c r="F2599" s="11">
        <f t="shared" ca="1" si="204"/>
        <v>4.4443711184185508</v>
      </c>
      <c r="G2599" s="10">
        <f t="shared" ca="1" si="202"/>
        <v>1</v>
      </c>
    </row>
    <row r="2600" spans="1:7" x14ac:dyDescent="0.2">
      <c r="A2600" s="2">
        <v>20000616</v>
      </c>
      <c r="B2600" s="13">
        <v>10449.299999999999</v>
      </c>
      <c r="C2600" s="2">
        <f t="shared" si="200"/>
        <v>-2.4780630939203872E-2</v>
      </c>
      <c r="D2600" s="21">
        <f t="shared" ca="1" si="201"/>
        <v>-2.5164583354310741E-2</v>
      </c>
      <c r="E2600" s="21">
        <f t="shared" ca="1" si="203"/>
        <v>1.2764890653515598E-4</v>
      </c>
      <c r="F2600" s="11">
        <f t="shared" ca="1" si="204"/>
        <v>2.0026525423510315</v>
      </c>
      <c r="G2600" s="10">
        <f t="shared" ca="1" si="202"/>
        <v>0</v>
      </c>
    </row>
    <row r="2601" spans="1:7" x14ac:dyDescent="0.2">
      <c r="A2601" s="2">
        <v>20000619</v>
      </c>
      <c r="B2601" s="13">
        <v>10557.84</v>
      </c>
      <c r="C2601" s="2">
        <f t="shared" si="200"/>
        <v>1.0387298670724439E-2</v>
      </c>
      <c r="D2601" s="21">
        <f t="shared" ca="1" si="201"/>
        <v>1.0003346255617572E-2</v>
      </c>
      <c r="E2601" s="21">
        <f t="shared" ca="1" si="203"/>
        <v>1.453860476381649E-4</v>
      </c>
      <c r="F2601" s="11">
        <f t="shared" ca="1" si="204"/>
        <v>4.0739168201246745</v>
      </c>
      <c r="G2601" s="10">
        <f t="shared" ca="1" si="202"/>
        <v>1</v>
      </c>
    </row>
    <row r="2602" spans="1:7" x14ac:dyDescent="0.2">
      <c r="A2602" s="2">
        <v>20000620</v>
      </c>
      <c r="B2602" s="13">
        <v>10435.16</v>
      </c>
      <c r="C2602" s="2">
        <f t="shared" si="200"/>
        <v>-1.1619801019905614E-2</v>
      </c>
      <c r="D2602" s="21">
        <f t="shared" ca="1" si="201"/>
        <v>-1.2003753435012482E-2</v>
      </c>
      <c r="E2602" s="21">
        <f t="shared" ca="1" si="203"/>
        <v>1.4261955869612007E-4</v>
      </c>
      <c r="F2602" s="11">
        <f t="shared" ca="1" si="204"/>
        <v>3.9225094944192023</v>
      </c>
      <c r="G2602" s="10">
        <f t="shared" ca="1" si="202"/>
        <v>0</v>
      </c>
    </row>
    <row r="2603" spans="1:7" x14ac:dyDescent="0.2">
      <c r="A2603" s="2">
        <v>20000621</v>
      </c>
      <c r="B2603" s="13">
        <v>10497.74</v>
      </c>
      <c r="C2603" s="2">
        <f t="shared" si="200"/>
        <v>5.9970331073026127E-3</v>
      </c>
      <c r="D2603" s="21">
        <f t="shared" ca="1" si="201"/>
        <v>5.6130806921957455E-3</v>
      </c>
      <c r="E2603" s="21">
        <f t="shared" ca="1" si="203"/>
        <v>1.416118358083139E-4</v>
      </c>
      <c r="F2603" s="11">
        <f t="shared" ca="1" si="204"/>
        <v>4.3199673124090499</v>
      </c>
      <c r="G2603" s="10">
        <f t="shared" ca="1" si="202"/>
        <v>1</v>
      </c>
    </row>
    <row r="2604" spans="1:7" x14ac:dyDescent="0.2">
      <c r="A2604" s="2">
        <v>20000622</v>
      </c>
      <c r="B2604" s="13">
        <v>10376.120000000001</v>
      </c>
      <c r="C2604" s="2">
        <f t="shared" si="200"/>
        <v>-1.1585350751685505E-2</v>
      </c>
      <c r="D2604" s="21">
        <f t="shared" ca="1" si="201"/>
        <v>-1.1969303166792372E-2</v>
      </c>
      <c r="E2604" s="21">
        <f t="shared" ca="1" si="203"/>
        <v>1.365152049623965E-4</v>
      </c>
      <c r="F2604" s="11">
        <f t="shared" ca="1" si="204"/>
        <v>3.9248183718465888</v>
      </c>
      <c r="G2604" s="10">
        <f t="shared" ca="1" si="202"/>
        <v>0</v>
      </c>
    </row>
    <row r="2605" spans="1:7" x14ac:dyDescent="0.2">
      <c r="A2605" s="2">
        <v>20000623</v>
      </c>
      <c r="B2605" s="13">
        <v>10404.75</v>
      </c>
      <c r="C2605" s="2">
        <f t="shared" si="200"/>
        <v>2.7592202094809232E-3</v>
      </c>
      <c r="D2605" s="21">
        <f t="shared" ca="1" si="201"/>
        <v>2.375267794374056E-3</v>
      </c>
      <c r="E2605" s="21">
        <f t="shared" ca="1" si="203"/>
        <v>1.3578593435538614E-4</v>
      </c>
      <c r="F2605" s="11">
        <f t="shared" ca="1" si="204"/>
        <v>4.4314404934060354</v>
      </c>
      <c r="G2605" s="10">
        <f t="shared" ca="1" si="202"/>
        <v>1</v>
      </c>
    </row>
    <row r="2606" spans="1:7" x14ac:dyDescent="0.2">
      <c r="A2606" s="2">
        <v>20000626</v>
      </c>
      <c r="B2606" s="13">
        <v>10542.99</v>
      </c>
      <c r="C2606" s="2">
        <f t="shared" ref="C2606:C2669" si="205">(B2606-B2605)/B2605</f>
        <v>1.3286239457939861E-2</v>
      </c>
      <c r="D2606" s="21">
        <f t="shared" ca="1" si="201"/>
        <v>1.2902287042832994E-2</v>
      </c>
      <c r="E2606" s="21">
        <f t="shared" ca="1" si="203"/>
        <v>1.3003294474280165E-4</v>
      </c>
      <c r="F2606" s="11">
        <f t="shared" ca="1" si="204"/>
        <v>3.8337581482412317</v>
      </c>
      <c r="G2606" s="10">
        <f t="shared" ca="1" si="202"/>
        <v>0</v>
      </c>
    </row>
    <row r="2607" spans="1:7" x14ac:dyDescent="0.2">
      <c r="A2607" s="2">
        <v>20000627</v>
      </c>
      <c r="B2607" s="13">
        <v>10504.46</v>
      </c>
      <c r="C2607" s="2">
        <f t="shared" si="205"/>
        <v>-3.6545609926596397E-3</v>
      </c>
      <c r="D2607" s="21">
        <f t="shared" ca="1" si="201"/>
        <v>-4.0385134077665068E-3</v>
      </c>
      <c r="E2607" s="21">
        <f t="shared" ca="1" si="203"/>
        <v>1.3048489455660245E-4</v>
      </c>
      <c r="F2607" s="11">
        <f t="shared" ca="1" si="204"/>
        <v>4.4096304575961227</v>
      </c>
      <c r="G2607" s="10">
        <f t="shared" ca="1" si="202"/>
        <v>1</v>
      </c>
    </row>
    <row r="2608" spans="1:7" x14ac:dyDescent="0.2">
      <c r="A2608" s="2">
        <v>20000628</v>
      </c>
      <c r="B2608" s="13">
        <v>10527.79</v>
      </c>
      <c r="C2608" s="2">
        <f t="shared" si="205"/>
        <v>2.2209613821178574E-3</v>
      </c>
      <c r="D2608" s="21">
        <f t="shared" ca="1" si="201"/>
        <v>1.8370089670109902E-3</v>
      </c>
      <c r="E2608" s="21">
        <f t="shared" ca="1" si="203"/>
        <v>1.2539235600732252E-4</v>
      </c>
      <c r="F2608" s="11">
        <f t="shared" ca="1" si="204"/>
        <v>4.4785752733478041</v>
      </c>
      <c r="G2608" s="10">
        <f t="shared" ca="1" si="202"/>
        <v>1</v>
      </c>
    </row>
    <row r="2609" spans="1:7" x14ac:dyDescent="0.2">
      <c r="A2609" s="2">
        <v>20000629</v>
      </c>
      <c r="B2609" s="13">
        <v>10398.040000000001</v>
      </c>
      <c r="C2609" s="2">
        <f t="shared" si="205"/>
        <v>-1.2324523950420743E-2</v>
      </c>
      <c r="D2609" s="21">
        <f t="shared" ca="1" si="201"/>
        <v>-1.270847636552761E-2</v>
      </c>
      <c r="E2609" s="21">
        <f t="shared" ca="1" si="203"/>
        <v>1.200818085441271E-4</v>
      </c>
      <c r="F2609" s="11">
        <f t="shared" ca="1" si="204"/>
        <v>3.8411880622264745</v>
      </c>
      <c r="G2609" s="10">
        <f t="shared" ca="1" si="202"/>
        <v>0</v>
      </c>
    </row>
    <row r="2610" spans="1:7" x14ac:dyDescent="0.2">
      <c r="A2610" s="2">
        <v>20000630</v>
      </c>
      <c r="B2610" s="13">
        <v>10447.89</v>
      </c>
      <c r="C2610" s="2">
        <f t="shared" si="205"/>
        <v>4.794172747940818E-3</v>
      </c>
      <c r="D2610" s="21">
        <f t="shared" ca="1" si="201"/>
        <v>4.4102203328339508E-3</v>
      </c>
      <c r="E2610" s="21">
        <f t="shared" ca="1" si="203"/>
        <v>1.208546679271953E-4</v>
      </c>
      <c r="F2610" s="11">
        <f t="shared" ca="1" si="204"/>
        <v>4.4299921824746713</v>
      </c>
      <c r="G2610" s="10">
        <f t="shared" ca="1" si="202"/>
        <v>1</v>
      </c>
    </row>
    <row r="2611" spans="1:7" x14ac:dyDescent="0.2">
      <c r="A2611" s="2">
        <v>20000703</v>
      </c>
      <c r="B2611" s="13">
        <v>10560.67</v>
      </c>
      <c r="C2611" s="2">
        <f t="shared" si="205"/>
        <v>1.0794524061796273E-2</v>
      </c>
      <c r="D2611" s="21">
        <f t="shared" ca="1" si="201"/>
        <v>1.0410571646689406E-2</v>
      </c>
      <c r="E2611" s="21">
        <f t="shared" ca="1" si="203"/>
        <v>1.163648056482711E-4</v>
      </c>
      <c r="F2611" s="11">
        <f t="shared" ca="1" si="204"/>
        <v>4.0636995710503943</v>
      </c>
      <c r="G2611" s="10">
        <f t="shared" ca="1" si="202"/>
        <v>1</v>
      </c>
    </row>
    <row r="2612" spans="1:7" x14ac:dyDescent="0.2">
      <c r="A2612" s="2">
        <v>20000705</v>
      </c>
      <c r="B2612" s="13">
        <v>10483.6</v>
      </c>
      <c r="C2612" s="2">
        <f t="shared" si="205"/>
        <v>-7.2978324291924383E-3</v>
      </c>
      <c r="D2612" s="21">
        <f t="shared" ca="1" si="201"/>
        <v>-7.6817848442993055E-3</v>
      </c>
      <c r="E2612" s="21">
        <f t="shared" ca="1" si="203"/>
        <v>1.1537219683498598E-4</v>
      </c>
      <c r="F2612" s="11">
        <f t="shared" ca="1" si="204"/>
        <v>4.277936843449984</v>
      </c>
      <c r="G2612" s="10">
        <f t="shared" ca="1" si="202"/>
        <v>1</v>
      </c>
    </row>
    <row r="2613" spans="1:7" x14ac:dyDescent="0.2">
      <c r="A2613" s="2">
        <v>20000706</v>
      </c>
      <c r="B2613" s="13">
        <v>10481.469999999999</v>
      </c>
      <c r="C2613" s="2">
        <f t="shared" si="205"/>
        <v>-2.0317448204824854E-4</v>
      </c>
      <c r="D2613" s="21">
        <f t="shared" ca="1" si="201"/>
        <v>-5.8712689715511581E-4</v>
      </c>
      <c r="E2613" s="21">
        <f t="shared" ca="1" si="203"/>
        <v>1.1261437657414383E-4</v>
      </c>
      <c r="F2613" s="11">
        <f t="shared" ca="1" si="204"/>
        <v>4.5442400621488108</v>
      </c>
      <c r="G2613" s="10">
        <f t="shared" ca="1" si="202"/>
        <v>1</v>
      </c>
    </row>
    <row r="2614" spans="1:7" x14ac:dyDescent="0.2">
      <c r="A2614" s="2">
        <v>20000707</v>
      </c>
      <c r="B2614" s="13">
        <v>10635.98</v>
      </c>
      <c r="C2614" s="2">
        <f t="shared" si="205"/>
        <v>1.4741252896778812E-2</v>
      </c>
      <c r="D2614" s="21">
        <f t="shared" ca="1" si="201"/>
        <v>1.4357300481671945E-2</v>
      </c>
      <c r="E2614" s="21">
        <f t="shared" ca="1" si="203"/>
        <v>1.0783885717458798E-4</v>
      </c>
      <c r="F2614" s="11">
        <f t="shared" ca="1" si="204"/>
        <v>3.6116950560111971</v>
      </c>
      <c r="G2614" s="10">
        <f t="shared" ca="1" si="202"/>
        <v>0</v>
      </c>
    </row>
    <row r="2615" spans="1:7" x14ac:dyDescent="0.2">
      <c r="A2615" s="2">
        <v>20000710</v>
      </c>
      <c r="B2615" s="13">
        <v>10646.58</v>
      </c>
      <c r="C2615" s="2">
        <f t="shared" si="205"/>
        <v>9.9661714294313865E-4</v>
      </c>
      <c r="D2615" s="21">
        <f t="shared" ca="1" si="201"/>
        <v>6.1266472783627136E-4</v>
      </c>
      <c r="E2615" s="21">
        <f t="shared" ca="1" si="203"/>
        <v>1.1087209338340091E-4</v>
      </c>
      <c r="F2615" s="11">
        <f t="shared" ca="1" si="204"/>
        <v>4.5518739137770643</v>
      </c>
      <c r="G2615" s="10">
        <f t="shared" ca="1" si="202"/>
        <v>1</v>
      </c>
    </row>
    <row r="2616" spans="1:7" x14ac:dyDescent="0.2">
      <c r="A2616" s="2">
        <v>20000711</v>
      </c>
      <c r="B2616" s="13">
        <v>10727.19</v>
      </c>
      <c r="C2616" s="2">
        <f t="shared" si="205"/>
        <v>7.571445478266315E-3</v>
      </c>
      <c r="D2616" s="21">
        <f t="shared" ca="1" si="201"/>
        <v>7.1874930631594478E-3</v>
      </c>
      <c r="E2616" s="21">
        <f t="shared" ca="1" si="203"/>
        <v>1.0618584335320681E-4</v>
      </c>
      <c r="F2616" s="11">
        <f t="shared" ca="1" si="204"/>
        <v>4.3319068486976935</v>
      </c>
      <c r="G2616" s="10">
        <f t="shared" ca="1" si="202"/>
        <v>1</v>
      </c>
    </row>
    <row r="2617" spans="1:7" x14ac:dyDescent="0.2">
      <c r="A2617" s="2">
        <v>20000712</v>
      </c>
      <c r="B2617" s="13">
        <v>10783.76</v>
      </c>
      <c r="C2617" s="2">
        <f t="shared" si="205"/>
        <v>5.2735152449056751E-3</v>
      </c>
      <c r="D2617" s="21">
        <f t="shared" ca="1" si="201"/>
        <v>4.8895628297988079E-3</v>
      </c>
      <c r="E2617" s="21">
        <f t="shared" ca="1" si="203"/>
        <v>1.0362250016308172E-4</v>
      </c>
      <c r="F2617" s="11">
        <f t="shared" ca="1" si="204"/>
        <v>4.4720178344360635</v>
      </c>
      <c r="G2617" s="10">
        <f t="shared" ca="1" si="202"/>
        <v>1</v>
      </c>
    </row>
    <row r="2618" spans="1:7" x14ac:dyDescent="0.2">
      <c r="A2618" s="2">
        <v>20000713</v>
      </c>
      <c r="B2618" s="13">
        <v>10788.71</v>
      </c>
      <c r="C2618" s="2">
        <f t="shared" si="205"/>
        <v>4.5902356877368454E-4</v>
      </c>
      <c r="D2618" s="21">
        <f t="shared" ca="1" si="201"/>
        <v>7.507115366681724E-5</v>
      </c>
      <c r="E2618" s="21">
        <f t="shared" ca="1" si="203"/>
        <v>1.0016833932653148E-4</v>
      </c>
      <c r="F2618" s="11">
        <f t="shared" ca="1" si="204"/>
        <v>4.6043010659796177</v>
      </c>
      <c r="G2618" s="10">
        <f t="shared" ca="1" si="202"/>
        <v>1</v>
      </c>
    </row>
    <row r="2619" spans="1:7" x14ac:dyDescent="0.2">
      <c r="A2619" s="2">
        <v>20000714</v>
      </c>
      <c r="B2619" s="13">
        <v>10812.75</v>
      </c>
      <c r="C2619" s="2">
        <f t="shared" si="205"/>
        <v>2.2282552779712196E-3</v>
      </c>
      <c r="D2619" s="21">
        <f t="shared" ca="1" si="201"/>
        <v>1.8443028628643524E-3</v>
      </c>
      <c r="E2619" s="21">
        <f t="shared" ca="1" si="203"/>
        <v>9.6010000400582478E-5</v>
      </c>
      <c r="F2619" s="11">
        <f t="shared" ca="1" si="204"/>
        <v>4.6078150445273796</v>
      </c>
      <c r="G2619" s="10">
        <f t="shared" ca="1" si="202"/>
        <v>1</v>
      </c>
    </row>
    <row r="2620" spans="1:7" x14ac:dyDescent="0.2">
      <c r="A2620" s="2">
        <v>20000717</v>
      </c>
      <c r="B2620" s="13">
        <v>10804.27</v>
      </c>
      <c r="C2620" s="2">
        <f t="shared" si="205"/>
        <v>-7.8425932348380966E-4</v>
      </c>
      <c r="D2620" s="21">
        <f t="shared" ca="1" si="201"/>
        <v>-1.1682117385906771E-3</v>
      </c>
      <c r="E2620" s="21">
        <f t="shared" ca="1" si="203"/>
        <v>9.218690334410983E-5</v>
      </c>
      <c r="F2620" s="11">
        <f t="shared" ca="1" si="204"/>
        <v>4.6384443299664646</v>
      </c>
      <c r="G2620" s="10">
        <f t="shared" ca="1" si="202"/>
        <v>1</v>
      </c>
    </row>
    <row r="2621" spans="1:7" x14ac:dyDescent="0.2">
      <c r="A2621" s="2">
        <v>20000718</v>
      </c>
      <c r="B2621" s="13">
        <v>10739.92</v>
      </c>
      <c r="C2621" s="2">
        <f t="shared" si="205"/>
        <v>-5.9559785159016164E-3</v>
      </c>
      <c r="D2621" s="21">
        <f t="shared" ca="1" si="201"/>
        <v>-6.3399309310084835E-3</v>
      </c>
      <c r="E2621" s="21">
        <f t="shared" ca="1" si="203"/>
        <v>8.8482323747007471E-5</v>
      </c>
      <c r="F2621" s="11">
        <f t="shared" ca="1" si="204"/>
        <v>4.4392196755471947</v>
      </c>
      <c r="G2621" s="10">
        <f t="shared" ca="1" si="202"/>
        <v>1</v>
      </c>
    </row>
    <row r="2622" spans="1:7" x14ac:dyDescent="0.2">
      <c r="A2622" s="2">
        <v>20000719</v>
      </c>
      <c r="B2622" s="13">
        <v>10696.08</v>
      </c>
      <c r="C2622" s="2">
        <f t="shared" si="205"/>
        <v>-4.0819670910025533E-3</v>
      </c>
      <c r="D2622" s="21">
        <f t="shared" ca="1" si="201"/>
        <v>-4.4659195061094205E-3</v>
      </c>
      <c r="E2622" s="21">
        <f t="shared" ca="1" si="203"/>
        <v>8.6393007154369976E-5</v>
      </c>
      <c r="F2622" s="11">
        <f t="shared" ca="1" si="204"/>
        <v>4.5628733724757771</v>
      </c>
      <c r="G2622" s="10">
        <f t="shared" ca="1" si="202"/>
        <v>1</v>
      </c>
    </row>
    <row r="2623" spans="1:7" x14ac:dyDescent="0.2">
      <c r="A2623" s="2">
        <v>20000720</v>
      </c>
      <c r="B2623" s="13">
        <v>10843.87</v>
      </c>
      <c r="C2623" s="2">
        <f t="shared" si="205"/>
        <v>1.3817211539180791E-2</v>
      </c>
      <c r="D2623" s="21">
        <f t="shared" ca="1" si="201"/>
        <v>1.3433259124073924E-2</v>
      </c>
      <c r="E2623" s="21">
        <f t="shared" ca="1" si="203"/>
        <v>8.3664751358715538E-5</v>
      </c>
      <c r="F2623" s="11">
        <f t="shared" ca="1" si="204"/>
        <v>3.6159206127167676</v>
      </c>
      <c r="G2623" s="10">
        <f t="shared" ca="1" si="202"/>
        <v>0</v>
      </c>
    </row>
    <row r="2624" spans="1:7" x14ac:dyDescent="0.2">
      <c r="A2624" s="2">
        <v>20000721</v>
      </c>
      <c r="B2624" s="13">
        <v>10733.56</v>
      </c>
      <c r="C2624" s="2">
        <f t="shared" si="205"/>
        <v>-1.0172567542768523E-2</v>
      </c>
      <c r="D2624" s="21">
        <f t="shared" ca="1" si="201"/>
        <v>-1.055651995787539E-2</v>
      </c>
      <c r="E2624" s="21">
        <f t="shared" ca="1" si="203"/>
        <v>8.6976678838884426E-5</v>
      </c>
      <c r="F2624" s="11">
        <f t="shared" ca="1" si="204"/>
        <v>4.0343031167536019</v>
      </c>
      <c r="G2624" s="10">
        <f t="shared" ca="1" si="202"/>
        <v>0</v>
      </c>
    </row>
    <row r="2625" spans="1:7" x14ac:dyDescent="0.2">
      <c r="A2625" s="2">
        <v>20000724</v>
      </c>
      <c r="B2625" s="13">
        <v>10685.12</v>
      </c>
      <c r="C2625" s="2">
        <f t="shared" si="205"/>
        <v>-4.5129481737651526E-3</v>
      </c>
      <c r="D2625" s="21">
        <f t="shared" ca="1" si="201"/>
        <v>-4.8969005888720198E-3</v>
      </c>
      <c r="E2625" s="21">
        <f t="shared" ca="1" si="203"/>
        <v>8.758335068435149E-5</v>
      </c>
      <c r="F2625" s="11">
        <f t="shared" ca="1" si="204"/>
        <v>4.5345637358815898</v>
      </c>
      <c r="G2625" s="10">
        <f t="shared" ca="1" si="202"/>
        <v>1</v>
      </c>
    </row>
    <row r="2626" spans="1:7" x14ac:dyDescent="0.2">
      <c r="A2626" s="2">
        <v>20000725</v>
      </c>
      <c r="B2626" s="13">
        <v>10699.97</v>
      </c>
      <c r="C2626" s="2">
        <f t="shared" si="205"/>
        <v>1.3897831751069284E-3</v>
      </c>
      <c r="D2626" s="21">
        <f t="shared" ca="1" si="201"/>
        <v>1.0058307600000612E-3</v>
      </c>
      <c r="E2626" s="21">
        <f t="shared" ca="1" si="203"/>
        <v>8.4943256306268272E-5</v>
      </c>
      <c r="F2626" s="11">
        <f t="shared" ca="1" si="204"/>
        <v>4.6808084230489415</v>
      </c>
      <c r="G2626" s="10">
        <f t="shared" ca="1" si="202"/>
        <v>1</v>
      </c>
    </row>
    <row r="2627" spans="1:7" x14ac:dyDescent="0.2">
      <c r="A2627" s="2">
        <v>20000726</v>
      </c>
      <c r="B2627" s="13">
        <v>10516.48</v>
      </c>
      <c r="C2627" s="2">
        <f t="shared" si="205"/>
        <v>-1.7148646211157581E-2</v>
      </c>
      <c r="D2627" s="21">
        <f t="shared" ca="1" si="201"/>
        <v>-1.753259862626445E-2</v>
      </c>
      <c r="E2627" s="21">
        <f t="shared" ca="1" si="203"/>
        <v>8.1592153920322194E-5</v>
      </c>
      <c r="F2627" s="11">
        <f t="shared" ca="1" si="204"/>
        <v>2.8231781013053725</v>
      </c>
      <c r="G2627" s="10">
        <f t="shared" ca="1" si="202"/>
        <v>0</v>
      </c>
    </row>
    <row r="2628" spans="1:7" x14ac:dyDescent="0.2">
      <c r="A2628" s="2">
        <v>20000727</v>
      </c>
      <c r="B2628" s="13">
        <v>10586.13</v>
      </c>
      <c r="C2628" s="2">
        <f t="shared" si="205"/>
        <v>6.6229384737097998E-3</v>
      </c>
      <c r="D2628" s="21">
        <f t="shared" ca="1" si="201"/>
        <v>6.2389860586029326E-3</v>
      </c>
      <c r="E2628" s="21">
        <f t="shared" ca="1" si="203"/>
        <v>8.9676724194209632E-5</v>
      </c>
      <c r="F2628" s="11">
        <f t="shared" ca="1" si="204"/>
        <v>4.4426203890132889</v>
      </c>
      <c r="G2628" s="10">
        <f t="shared" ca="1" si="202"/>
        <v>1</v>
      </c>
    </row>
    <row r="2629" spans="1:7" x14ac:dyDescent="0.2">
      <c r="A2629" s="2">
        <v>20000728</v>
      </c>
      <c r="B2629" s="13">
        <v>10511.17</v>
      </c>
      <c r="C2629" s="2">
        <f t="shared" si="205"/>
        <v>-7.0809634871288312E-3</v>
      </c>
      <c r="D2629" s="21">
        <f t="shared" ca="1" si="201"/>
        <v>-7.4649159022356984E-3</v>
      </c>
      <c r="E2629" s="21">
        <f t="shared" ca="1" si="203"/>
        <v>8.7480290566024186E-5</v>
      </c>
      <c r="F2629" s="11">
        <f t="shared" ca="1" si="204"/>
        <v>4.3535483812244316</v>
      </c>
      <c r="G2629" s="10">
        <f t="shared" ca="1" si="202"/>
        <v>1</v>
      </c>
    </row>
    <row r="2630" spans="1:7" x14ac:dyDescent="0.2">
      <c r="A2630" s="2">
        <v>20000731</v>
      </c>
      <c r="B2630" s="13">
        <v>10521.98</v>
      </c>
      <c r="C2630" s="2">
        <f t="shared" si="205"/>
        <v>1.0284297561545946E-3</v>
      </c>
      <c r="D2630" s="21">
        <f t="shared" ca="1" si="201"/>
        <v>6.4447734104772735E-4</v>
      </c>
      <c r="E2630" s="21">
        <f t="shared" ca="1" si="203"/>
        <v>8.6012741395132599E-5</v>
      </c>
      <c r="F2630" s="11">
        <f t="shared" ca="1" si="204"/>
        <v>4.6780930845358393</v>
      </c>
      <c r="G2630" s="10">
        <f t="shared" ca="1" si="202"/>
        <v>1</v>
      </c>
    </row>
    <row r="2631" spans="1:7" x14ac:dyDescent="0.2">
      <c r="A2631" s="2">
        <v>20000801</v>
      </c>
      <c r="B2631" s="13">
        <v>10606.95</v>
      </c>
      <c r="C2631" s="2">
        <f t="shared" si="205"/>
        <v>8.075476288683419E-3</v>
      </c>
      <c r="D2631" s="21">
        <f t="shared" ca="1" si="201"/>
        <v>7.6915238735765518E-3</v>
      </c>
      <c r="E2631" s="21">
        <f t="shared" ca="1" si="203"/>
        <v>8.2585604778819658E-5</v>
      </c>
      <c r="F2631" s="11">
        <f t="shared" ca="1" si="204"/>
        <v>4.3426665711398984</v>
      </c>
      <c r="G2631" s="10">
        <f t="shared" ca="1" si="202"/>
        <v>1</v>
      </c>
    </row>
    <row r="2632" spans="1:7" x14ac:dyDescent="0.2">
      <c r="A2632" s="2">
        <v>20000802</v>
      </c>
      <c r="B2632" s="13">
        <v>10687.53</v>
      </c>
      <c r="C2632" s="2">
        <f t="shared" si="205"/>
        <v>7.5969058023277114E-3</v>
      </c>
      <c r="D2632" s="21">
        <f t="shared" ca="1" si="201"/>
        <v>7.2129533872208442E-3</v>
      </c>
      <c r="E2632" s="21">
        <f t="shared" ca="1" si="203"/>
        <v>8.1491974511955598E-5</v>
      </c>
      <c r="F2632" s="11">
        <f t="shared" ca="1" si="204"/>
        <v>4.3882893862010137</v>
      </c>
      <c r="G2632" s="10">
        <f t="shared" ca="1" si="202"/>
        <v>1</v>
      </c>
    </row>
    <row r="2633" spans="1:7" x14ac:dyDescent="0.2">
      <c r="A2633" s="2">
        <v>20000803</v>
      </c>
      <c r="B2633" s="13">
        <v>10706.58</v>
      </c>
      <c r="C2633" s="2">
        <f t="shared" si="205"/>
        <v>1.7824511369791964E-3</v>
      </c>
      <c r="D2633" s="21">
        <f t="shared" ca="1" si="201"/>
        <v>1.398498721872329E-3</v>
      </c>
      <c r="E2633" s="21">
        <f t="shared" ca="1" si="203"/>
        <v>8.0191384271512036E-5</v>
      </c>
      <c r="F2633" s="11">
        <f t="shared" ca="1" si="204"/>
        <v>4.7033526698379449</v>
      </c>
      <c r="G2633" s="10">
        <f t="shared" ca="1" si="202"/>
        <v>1</v>
      </c>
    </row>
    <row r="2634" spans="1:7" x14ac:dyDescent="0.2">
      <c r="A2634" s="2">
        <v>20000804</v>
      </c>
      <c r="B2634" s="13">
        <v>10767.75</v>
      </c>
      <c r="C2634" s="2">
        <f t="shared" si="205"/>
        <v>5.7133090118413228E-3</v>
      </c>
      <c r="D2634" s="21">
        <f t="shared" ca="1" si="201"/>
        <v>5.3293565967344556E-3</v>
      </c>
      <c r="E2634" s="21">
        <f t="shared" ca="1" si="203"/>
        <v>7.7115396977969089E-5</v>
      </c>
      <c r="F2634" s="11">
        <f t="shared" ca="1" si="204"/>
        <v>4.5509509384323241</v>
      </c>
      <c r="G2634" s="10">
        <f t="shared" ca="1" si="202"/>
        <v>1</v>
      </c>
    </row>
    <row r="2635" spans="1:7" x14ac:dyDescent="0.2">
      <c r="A2635" s="2">
        <v>20000807</v>
      </c>
      <c r="B2635" s="13">
        <v>10867.01</v>
      </c>
      <c r="C2635" s="2">
        <f t="shared" si="205"/>
        <v>9.2182675117828908E-3</v>
      </c>
      <c r="D2635" s="21">
        <f t="shared" ca="1" si="201"/>
        <v>8.8343150966760237E-3</v>
      </c>
      <c r="E2635" s="21">
        <f t="shared" ca="1" si="203"/>
        <v>7.5167499428123254E-5</v>
      </c>
      <c r="F2635" s="11">
        <f t="shared" ca="1" si="204"/>
        <v>4.2287543947830386</v>
      </c>
      <c r="G2635" s="10">
        <f t="shared" ca="1" si="202"/>
        <v>0</v>
      </c>
    </row>
    <row r="2636" spans="1:7" x14ac:dyDescent="0.2">
      <c r="A2636" s="2">
        <v>20000808</v>
      </c>
      <c r="B2636" s="13">
        <v>10976.89</v>
      </c>
      <c r="C2636" s="2">
        <f t="shared" si="205"/>
        <v>1.0111336973095561E-2</v>
      </c>
      <c r="D2636" s="21">
        <f t="shared" ca="1" si="201"/>
        <v>9.7273845579886938E-3</v>
      </c>
      <c r="E2636" s="21">
        <f t="shared" ca="1" si="203"/>
        <v>7.5143609442321948E-5</v>
      </c>
      <c r="F2636" s="11">
        <f t="shared" ca="1" si="204"/>
        <v>4.1184469075097976</v>
      </c>
      <c r="G2636" s="10">
        <f t="shared" ca="1" si="202"/>
        <v>0</v>
      </c>
    </row>
    <row r="2637" spans="1:7" x14ac:dyDescent="0.2">
      <c r="A2637" s="2">
        <v>20000809</v>
      </c>
      <c r="B2637" s="13">
        <v>10905.83</v>
      </c>
      <c r="C2637" s="2">
        <f t="shared" si="205"/>
        <v>-6.4736004460279276E-3</v>
      </c>
      <c r="D2637" s="21">
        <f t="shared" ca="1" si="201"/>
        <v>-6.8575528611347948E-3</v>
      </c>
      <c r="E2637" s="21">
        <f t="shared" ca="1" si="203"/>
        <v>7.573048914188842E-5</v>
      </c>
      <c r="F2637" s="11">
        <f t="shared" ca="1" si="204"/>
        <v>4.4336820406527089</v>
      </c>
      <c r="G2637" s="10">
        <f t="shared" ca="1" si="202"/>
        <v>1</v>
      </c>
    </row>
    <row r="2638" spans="1:7" x14ac:dyDescent="0.2">
      <c r="A2638" s="2">
        <v>20000810</v>
      </c>
      <c r="B2638" s="13">
        <v>10908.76</v>
      </c>
      <c r="C2638" s="2">
        <f t="shared" si="205"/>
        <v>2.6866364137349391E-4</v>
      </c>
      <c r="D2638" s="21">
        <f t="shared" ref="D2638:D2701" ca="1" si="206">(C2638-mu)</f>
        <v>-1.1528877373337339E-4</v>
      </c>
      <c r="E2638" s="21">
        <f t="shared" ca="1" si="203"/>
        <v>7.4537491148045595E-5</v>
      </c>
      <c r="F2638" s="11">
        <f t="shared" ca="1" si="204"/>
        <v>4.7520150012982096</v>
      </c>
      <c r="G2638" s="10">
        <f t="shared" ref="G2638:G2701" ca="1" si="207">IF(AND(C2638&lt;=mu+zvalue*SQRT(E2638),C2638&gt;=mu-zvalue*SQRT(E2638)),1,0)</f>
        <v>1</v>
      </c>
    </row>
    <row r="2639" spans="1:7" x14ac:dyDescent="0.2">
      <c r="A2639" s="2">
        <v>20000811</v>
      </c>
      <c r="B2639" s="13">
        <v>11027.8</v>
      </c>
      <c r="C2639" s="2">
        <f t="shared" si="205"/>
        <v>1.0912331007373804E-2</v>
      </c>
      <c r="D2639" s="21">
        <f t="shared" ca="1" si="206"/>
        <v>1.0528378592266937E-2</v>
      </c>
      <c r="E2639" s="21">
        <f t="shared" ref="E2639:E2702" ca="1" si="208">(1-alpha-beta)*longvar+alpha*D2638^2+beta*E2638</f>
        <v>7.1676106788756897E-5</v>
      </c>
      <c r="F2639" s="11">
        <f t="shared" ref="F2639:F2702" ca="1" si="209">(-0.5)*(LN(E2639)+D2639^2/E2639)</f>
        <v>3.9984289475389558</v>
      </c>
      <c r="G2639" s="10">
        <f t="shared" ca="1" si="207"/>
        <v>0</v>
      </c>
    </row>
    <row r="2640" spans="1:7" x14ac:dyDescent="0.2">
      <c r="A2640" s="2">
        <v>20000814</v>
      </c>
      <c r="B2640" s="13">
        <v>11176.14</v>
      </c>
      <c r="C2640" s="2">
        <f t="shared" si="205"/>
        <v>1.3451459039881042E-2</v>
      </c>
      <c r="D2640" s="21">
        <f t="shared" ca="1" si="206"/>
        <v>1.3067506624774175E-2</v>
      </c>
      <c r="E2640" s="21">
        <f t="shared" ca="1" si="208"/>
        <v>7.3035020808404161E-5</v>
      </c>
      <c r="F2640" s="11">
        <f t="shared" ca="1" si="209"/>
        <v>3.5932593851017014</v>
      </c>
      <c r="G2640" s="10">
        <f t="shared" ca="1" si="207"/>
        <v>0</v>
      </c>
    </row>
    <row r="2641" spans="1:7" x14ac:dyDescent="0.2">
      <c r="A2641" s="2">
        <v>20000815</v>
      </c>
      <c r="B2641" s="13">
        <v>11067</v>
      </c>
      <c r="C2641" s="2">
        <f t="shared" si="205"/>
        <v>-9.7654467463721313E-3</v>
      </c>
      <c r="D2641" s="21">
        <f t="shared" ca="1" si="206"/>
        <v>-1.0149399161478998E-2</v>
      </c>
      <c r="E2641" s="21">
        <f t="shared" ca="1" si="208"/>
        <v>7.6528291570734824E-5</v>
      </c>
      <c r="F2641" s="11">
        <f t="shared" ca="1" si="209"/>
        <v>4.0659039737036213</v>
      </c>
      <c r="G2641" s="10">
        <f t="shared" ca="1" si="207"/>
        <v>0</v>
      </c>
    </row>
    <row r="2642" spans="1:7" x14ac:dyDescent="0.2">
      <c r="A2642" s="2">
        <v>20000816</v>
      </c>
      <c r="B2642" s="13">
        <v>11008.39</v>
      </c>
      <c r="C2642" s="2">
        <f t="shared" si="205"/>
        <v>-5.2959248215415722E-3</v>
      </c>
      <c r="D2642" s="21">
        <f t="shared" ca="1" si="206"/>
        <v>-5.6798772366484394E-3</v>
      </c>
      <c r="E2642" s="21">
        <f t="shared" ca="1" si="208"/>
        <v>7.735357192546409E-5</v>
      </c>
      <c r="F2642" s="11">
        <f t="shared" ca="1" si="209"/>
        <v>4.5250323882577801</v>
      </c>
      <c r="G2642" s="10">
        <f t="shared" ca="1" si="207"/>
        <v>1</v>
      </c>
    </row>
    <row r="2643" spans="1:7" x14ac:dyDescent="0.2">
      <c r="A2643" s="2">
        <v>20000817</v>
      </c>
      <c r="B2643" s="13">
        <v>11055.64</v>
      </c>
      <c r="C2643" s="2">
        <f t="shared" si="205"/>
        <v>4.2921807821125523E-3</v>
      </c>
      <c r="D2643" s="21">
        <f t="shared" ca="1" si="206"/>
        <v>3.9082283670056851E-3</v>
      </c>
      <c r="E2643" s="21">
        <f t="shared" ca="1" si="208"/>
        <v>7.5535525859350775E-5</v>
      </c>
      <c r="F2643" s="11">
        <f t="shared" ca="1" si="209"/>
        <v>4.6443473436392209</v>
      </c>
      <c r="G2643" s="10">
        <f t="shared" ca="1" si="207"/>
        <v>1</v>
      </c>
    </row>
    <row r="2644" spans="1:7" x14ac:dyDescent="0.2">
      <c r="A2644" s="2">
        <v>20000818</v>
      </c>
      <c r="B2644" s="13">
        <v>11046.48</v>
      </c>
      <c r="C2644" s="2">
        <f t="shared" si="205"/>
        <v>-8.2853638504870413E-4</v>
      </c>
      <c r="D2644" s="21">
        <f t="shared" ca="1" si="206"/>
        <v>-1.2124888001555714E-3</v>
      </c>
      <c r="E2644" s="21">
        <f t="shared" ca="1" si="208"/>
        <v>7.3184822647823217E-5</v>
      </c>
      <c r="F2644" s="11">
        <f t="shared" ca="1" si="209"/>
        <v>4.7512173017926678</v>
      </c>
      <c r="G2644" s="10">
        <f t="shared" ca="1" si="207"/>
        <v>1</v>
      </c>
    </row>
    <row r="2645" spans="1:7" x14ac:dyDescent="0.2">
      <c r="A2645" s="2">
        <v>20000821</v>
      </c>
      <c r="B2645" s="13">
        <v>11079.81</v>
      </c>
      <c r="C2645" s="2">
        <f t="shared" si="205"/>
        <v>3.0172507441284398E-3</v>
      </c>
      <c r="D2645" s="21">
        <f t="shared" ca="1" si="206"/>
        <v>2.6332983290215726E-3</v>
      </c>
      <c r="E2645" s="21">
        <f t="shared" ca="1" si="208"/>
        <v>7.0445440695206368E-5</v>
      </c>
      <c r="F2645" s="11">
        <f t="shared" ca="1" si="209"/>
        <v>4.7311187809589965</v>
      </c>
      <c r="G2645" s="10">
        <f t="shared" ca="1" si="207"/>
        <v>1</v>
      </c>
    </row>
    <row r="2646" spans="1:7" x14ac:dyDescent="0.2">
      <c r="A2646" s="2">
        <v>20000822</v>
      </c>
      <c r="B2646" s="13">
        <v>11139.15</v>
      </c>
      <c r="C2646" s="2">
        <f t="shared" si="205"/>
        <v>5.3556875072767627E-3</v>
      </c>
      <c r="D2646" s="21">
        <f t="shared" ca="1" si="206"/>
        <v>4.9717350921698955E-3</v>
      </c>
      <c r="E2646" s="21">
        <f t="shared" ca="1" si="208"/>
        <v>6.8045570615020759E-5</v>
      </c>
      <c r="F2646" s="11">
        <f t="shared" ca="1" si="209"/>
        <v>4.6160370789412388</v>
      </c>
      <c r="G2646" s="10">
        <f t="shared" ca="1" si="207"/>
        <v>1</v>
      </c>
    </row>
    <row r="2647" spans="1:7" x14ac:dyDescent="0.2">
      <c r="A2647" s="2">
        <v>20000823</v>
      </c>
      <c r="B2647" s="13">
        <v>11144.65</v>
      </c>
      <c r="C2647" s="2">
        <f t="shared" si="205"/>
        <v>4.9375401175134545E-4</v>
      </c>
      <c r="D2647" s="21">
        <f t="shared" ca="1" si="206"/>
        <v>1.0980159664447816E-4</v>
      </c>
      <c r="E2647" s="21">
        <f t="shared" ca="1" si="208"/>
        <v>6.6421055429524286E-5</v>
      </c>
      <c r="F2647" s="11">
        <f t="shared" ca="1" si="209"/>
        <v>4.8096574686577265</v>
      </c>
      <c r="G2647" s="10">
        <f t="shared" ca="1" si="207"/>
        <v>1</v>
      </c>
    </row>
    <row r="2648" spans="1:7" x14ac:dyDescent="0.2">
      <c r="A2648" s="2">
        <v>20000824</v>
      </c>
      <c r="B2648" s="13">
        <v>11182.74</v>
      </c>
      <c r="C2648" s="2">
        <f t="shared" si="205"/>
        <v>3.4177834207444959E-3</v>
      </c>
      <c r="D2648" s="21">
        <f t="shared" ca="1" si="206"/>
        <v>3.0338310056376287E-3</v>
      </c>
      <c r="E2648" s="21">
        <f t="shared" ca="1" si="208"/>
        <v>6.397023880851013E-5</v>
      </c>
      <c r="F2648" s="11">
        <f t="shared" ca="1" si="209"/>
        <v>4.7566055768281155</v>
      </c>
      <c r="G2648" s="10">
        <f t="shared" ca="1" si="207"/>
        <v>1</v>
      </c>
    </row>
    <row r="2649" spans="1:7" x14ac:dyDescent="0.2">
      <c r="A2649" s="2">
        <v>20000825</v>
      </c>
      <c r="B2649" s="13">
        <v>11192.63</v>
      </c>
      <c r="C2649" s="2">
        <f t="shared" si="205"/>
        <v>8.843986357546914E-4</v>
      </c>
      <c r="D2649" s="21">
        <f t="shared" ca="1" si="206"/>
        <v>5.0044622064782411E-4</v>
      </c>
      <c r="E2649" s="21">
        <f t="shared" ca="1" si="208"/>
        <v>6.1981418424717416E-5</v>
      </c>
      <c r="F2649" s="11">
        <f t="shared" ca="1" si="209"/>
        <v>4.8423176256414573</v>
      </c>
      <c r="G2649" s="10">
        <f t="shared" ca="1" si="207"/>
        <v>1</v>
      </c>
    </row>
    <row r="2650" spans="1:7" x14ac:dyDescent="0.2">
      <c r="A2650" s="2">
        <v>20000828</v>
      </c>
      <c r="B2650" s="13">
        <v>11252.84</v>
      </c>
      <c r="C2650" s="2">
        <f t="shared" si="205"/>
        <v>5.3794327159926618E-3</v>
      </c>
      <c r="D2650" s="21">
        <f t="shared" ca="1" si="206"/>
        <v>4.9954803008857946E-3</v>
      </c>
      <c r="E2650" s="21">
        <f t="shared" ca="1" si="208"/>
        <v>5.9763970519201859E-5</v>
      </c>
      <c r="F2650" s="11">
        <f t="shared" ca="1" si="209"/>
        <v>4.6537756304869635</v>
      </c>
      <c r="G2650" s="10">
        <f t="shared" ca="1" si="207"/>
        <v>1</v>
      </c>
    </row>
    <row r="2651" spans="1:7" x14ac:dyDescent="0.2">
      <c r="A2651" s="2">
        <v>20000829</v>
      </c>
      <c r="B2651" s="13">
        <v>11215.1</v>
      </c>
      <c r="C2651" s="2">
        <f t="shared" si="205"/>
        <v>-3.3538200134365886E-3</v>
      </c>
      <c r="D2651" s="21">
        <f t="shared" ca="1" si="206"/>
        <v>-3.7377724285434558E-3</v>
      </c>
      <c r="E2651" s="21">
        <f t="shared" ca="1" si="208"/>
        <v>5.8567127111264497E-5</v>
      </c>
      <c r="F2651" s="11">
        <f t="shared" ca="1" si="209"/>
        <v>4.753395590205395</v>
      </c>
      <c r="G2651" s="10">
        <f t="shared" ca="1" si="207"/>
        <v>1</v>
      </c>
    </row>
    <row r="2652" spans="1:7" x14ac:dyDescent="0.2">
      <c r="A2652" s="2">
        <v>20000830</v>
      </c>
      <c r="B2652" s="13">
        <v>11103.01</v>
      </c>
      <c r="C2652" s="2">
        <f t="shared" si="205"/>
        <v>-9.9945609044948449E-3</v>
      </c>
      <c r="D2652" s="21">
        <f t="shared" ca="1" si="206"/>
        <v>-1.0378513319601712E-2</v>
      </c>
      <c r="E2652" s="21">
        <f t="shared" ca="1" si="208"/>
        <v>5.702693593337146E-5</v>
      </c>
      <c r="F2652" s="11">
        <f t="shared" ca="1" si="209"/>
        <v>3.9415841081923788</v>
      </c>
      <c r="G2652" s="10">
        <f t="shared" ca="1" si="207"/>
        <v>0</v>
      </c>
    </row>
    <row r="2653" spans="1:7" x14ac:dyDescent="0.2">
      <c r="A2653" s="2">
        <v>20000831</v>
      </c>
      <c r="B2653" s="13">
        <v>11215.1</v>
      </c>
      <c r="C2653" s="2">
        <f t="shared" si="205"/>
        <v>1.009546060032371E-2</v>
      </c>
      <c r="D2653" s="21">
        <f t="shared" ca="1" si="206"/>
        <v>9.7115081852168425E-3</v>
      </c>
      <c r="E2653" s="21">
        <f t="shared" ca="1" si="208"/>
        <v>5.901174246811279E-5</v>
      </c>
      <c r="F2653" s="11">
        <f t="shared" ca="1" si="209"/>
        <v>4.0697800692776269</v>
      </c>
      <c r="G2653" s="10">
        <f t="shared" ca="1" si="207"/>
        <v>0</v>
      </c>
    </row>
    <row r="2654" spans="1:7" x14ac:dyDescent="0.2">
      <c r="A2654" s="2">
        <v>20000901</v>
      </c>
      <c r="B2654" s="13">
        <v>11238.78</v>
      </c>
      <c r="C2654" s="2">
        <f t="shared" si="205"/>
        <v>2.1114390420058928E-3</v>
      </c>
      <c r="D2654" s="21">
        <f t="shared" ca="1" si="206"/>
        <v>1.7274866268990256E-3</v>
      </c>
      <c r="E2654" s="21">
        <f t="shared" ca="1" si="208"/>
        <v>6.0403390166107245E-5</v>
      </c>
      <c r="F2654" s="11">
        <f t="shared" ca="1" si="209"/>
        <v>4.8325303239702126</v>
      </c>
      <c r="G2654" s="10">
        <f t="shared" ca="1" si="207"/>
        <v>1</v>
      </c>
    </row>
    <row r="2655" spans="1:7" x14ac:dyDescent="0.2">
      <c r="A2655" s="2">
        <v>20000905</v>
      </c>
      <c r="B2655" s="13">
        <v>11260.61</v>
      </c>
      <c r="C2655" s="2">
        <f t="shared" si="205"/>
        <v>1.9423816464064539E-3</v>
      </c>
      <c r="D2655" s="21">
        <f t="shared" ca="1" si="206"/>
        <v>1.5584292312995868E-3</v>
      </c>
      <c r="E2655" s="21">
        <f t="shared" ca="1" si="208"/>
        <v>5.8366300491604116E-5</v>
      </c>
      <c r="F2655" s="11">
        <f t="shared" ca="1" si="209"/>
        <v>4.8535802560134913</v>
      </c>
      <c r="G2655" s="10">
        <f t="shared" ca="1" si="207"/>
        <v>1</v>
      </c>
    </row>
    <row r="2656" spans="1:7" x14ac:dyDescent="0.2">
      <c r="A2656" s="2">
        <v>20000906</v>
      </c>
      <c r="B2656" s="13">
        <v>11310.64</v>
      </c>
      <c r="C2656" s="2">
        <f t="shared" si="205"/>
        <v>4.4429209430038724E-3</v>
      </c>
      <c r="D2656" s="21">
        <f t="shared" ca="1" si="206"/>
        <v>4.0589685278970052E-3</v>
      </c>
      <c r="E2656" s="21">
        <f t="shared" ca="1" si="208"/>
        <v>5.6411840841503547E-5</v>
      </c>
      <c r="F2656" s="11">
        <f t="shared" ca="1" si="209"/>
        <v>4.7453894323499863</v>
      </c>
      <c r="G2656" s="10">
        <f t="shared" ca="1" si="207"/>
        <v>1</v>
      </c>
    </row>
    <row r="2657" spans="1:7" x14ac:dyDescent="0.2">
      <c r="A2657" s="2">
        <v>20000907</v>
      </c>
      <c r="B2657" s="13">
        <v>11259.87</v>
      </c>
      <c r="C2657" s="2">
        <f t="shared" si="205"/>
        <v>-4.4886938316486616E-3</v>
      </c>
      <c r="D2657" s="21">
        <f t="shared" ca="1" si="206"/>
        <v>-4.8726462467555288E-3</v>
      </c>
      <c r="E2657" s="21">
        <f t="shared" ca="1" si="208"/>
        <v>5.5072773156178542E-5</v>
      </c>
      <c r="F2657" s="11">
        <f t="shared" ca="1" si="209"/>
        <v>4.6878702052456536</v>
      </c>
      <c r="G2657" s="10">
        <f t="shared" ca="1" si="207"/>
        <v>1</v>
      </c>
    </row>
    <row r="2658" spans="1:7" x14ac:dyDescent="0.2">
      <c r="A2658" s="2">
        <v>20000908</v>
      </c>
      <c r="B2658" s="13">
        <v>11220.65</v>
      </c>
      <c r="C2658" s="2">
        <f t="shared" si="205"/>
        <v>-3.4831663243004725E-3</v>
      </c>
      <c r="D2658" s="21">
        <f t="shared" ca="1" si="206"/>
        <v>-3.8671187394073397E-3</v>
      </c>
      <c r="E2658" s="21">
        <f t="shared" ca="1" si="208"/>
        <v>5.4068686390031995E-5</v>
      </c>
      <c r="F2658" s="11">
        <f t="shared" ca="1" si="209"/>
        <v>4.774334992385584</v>
      </c>
      <c r="G2658" s="10">
        <f t="shared" ca="1" si="207"/>
        <v>1</v>
      </c>
    </row>
    <row r="2659" spans="1:7" x14ac:dyDescent="0.2">
      <c r="A2659" s="2">
        <v>20000911</v>
      </c>
      <c r="B2659" s="13">
        <v>11195.49</v>
      </c>
      <c r="C2659" s="2">
        <f t="shared" si="205"/>
        <v>-2.242294341236903E-3</v>
      </c>
      <c r="D2659" s="21">
        <f t="shared" ca="1" si="206"/>
        <v>-2.6262467563437702E-3</v>
      </c>
      <c r="E2659" s="21">
        <f t="shared" ca="1" si="208"/>
        <v>5.2792243874897299E-5</v>
      </c>
      <c r="F2659" s="11">
        <f t="shared" ca="1" si="209"/>
        <v>4.8592494123349423</v>
      </c>
      <c r="G2659" s="10">
        <f t="shared" ca="1" si="207"/>
        <v>1</v>
      </c>
    </row>
    <row r="2660" spans="1:7" x14ac:dyDescent="0.2">
      <c r="A2660" s="2">
        <v>20000912</v>
      </c>
      <c r="B2660" s="13">
        <v>11233.23</v>
      </c>
      <c r="C2660" s="2">
        <f t="shared" si="205"/>
        <v>3.3710002867225804E-3</v>
      </c>
      <c r="D2660" s="21">
        <f t="shared" ca="1" si="206"/>
        <v>2.9870478716157133E-3</v>
      </c>
      <c r="E2660" s="21">
        <f t="shared" ca="1" si="208"/>
        <v>5.1284091041532066E-5</v>
      </c>
      <c r="F2660" s="11">
        <f t="shared" ca="1" si="209"/>
        <v>4.8520745089632227</v>
      </c>
      <c r="G2660" s="10">
        <f t="shared" ca="1" si="207"/>
        <v>1</v>
      </c>
    </row>
    <row r="2661" spans="1:7" x14ac:dyDescent="0.2">
      <c r="A2661" s="2">
        <v>20000913</v>
      </c>
      <c r="B2661" s="13">
        <v>11182.18</v>
      </c>
      <c r="C2661" s="2">
        <f t="shared" si="205"/>
        <v>-4.5445521902426353E-3</v>
      </c>
      <c r="D2661" s="21">
        <f t="shared" ca="1" si="206"/>
        <v>-4.9285046053495025E-3</v>
      </c>
      <c r="E2661" s="21">
        <f t="shared" ca="1" si="208"/>
        <v>4.9926709347344077E-5</v>
      </c>
      <c r="F2661" s="11">
        <f t="shared" ca="1" si="209"/>
        <v>4.7092190730548129</v>
      </c>
      <c r="G2661" s="10">
        <f t="shared" ca="1" si="207"/>
        <v>1</v>
      </c>
    </row>
    <row r="2662" spans="1:7" x14ac:dyDescent="0.2">
      <c r="A2662" s="2">
        <v>20000914</v>
      </c>
      <c r="B2662" s="13">
        <v>11087.47</v>
      </c>
      <c r="C2662" s="2">
        <f t="shared" si="205"/>
        <v>-8.4697259389493774E-3</v>
      </c>
      <c r="D2662" s="21">
        <f t="shared" ca="1" si="206"/>
        <v>-8.8536783540562446E-3</v>
      </c>
      <c r="E2662" s="21">
        <f t="shared" ca="1" si="208"/>
        <v>4.9203095299455369E-5</v>
      </c>
      <c r="F2662" s="11">
        <f t="shared" ca="1" si="209"/>
        <v>4.1632049678310912</v>
      </c>
      <c r="G2662" s="10">
        <f t="shared" ca="1" si="207"/>
        <v>0</v>
      </c>
    </row>
    <row r="2663" spans="1:7" x14ac:dyDescent="0.2">
      <c r="A2663" s="2">
        <v>20000915</v>
      </c>
      <c r="B2663" s="13">
        <v>10927</v>
      </c>
      <c r="C2663" s="2">
        <f t="shared" si="205"/>
        <v>-1.4473094402961122E-2</v>
      </c>
      <c r="D2663" s="21">
        <f t="shared" ca="1" si="206"/>
        <v>-1.4857046818067989E-2</v>
      </c>
      <c r="E2663" s="21">
        <f t="shared" ca="1" si="208"/>
        <v>5.0505347286621341E-5</v>
      </c>
      <c r="F2663" s="11">
        <f t="shared" ca="1" si="209"/>
        <v>2.7614832937117861</v>
      </c>
      <c r="G2663" s="10">
        <f t="shared" ca="1" si="207"/>
        <v>0</v>
      </c>
    </row>
    <row r="2664" spans="1:7" x14ac:dyDescent="0.2">
      <c r="A2664" s="2">
        <v>20000918</v>
      </c>
      <c r="B2664" s="13">
        <v>10808.52</v>
      </c>
      <c r="C2664" s="2">
        <f t="shared" si="205"/>
        <v>-1.0842866294499823E-2</v>
      </c>
      <c r="D2664" s="21">
        <f t="shared" ca="1" si="206"/>
        <v>-1.1226818709606691E-2</v>
      </c>
      <c r="E2664" s="21">
        <f t="shared" ca="1" si="208"/>
        <v>5.6975963417149466E-5</v>
      </c>
      <c r="F2664" s="11">
        <f t="shared" ca="1" si="209"/>
        <v>3.7803472758485048</v>
      </c>
      <c r="G2664" s="10">
        <f t="shared" ca="1" si="207"/>
        <v>0</v>
      </c>
    </row>
    <row r="2665" spans="1:7" x14ac:dyDescent="0.2">
      <c r="A2665" s="2">
        <v>20000919</v>
      </c>
      <c r="B2665" s="13">
        <v>10789.29</v>
      </c>
      <c r="C2665" s="2">
        <f t="shared" si="205"/>
        <v>-1.7791520023092489E-3</v>
      </c>
      <c r="D2665" s="21">
        <f t="shared" ca="1" si="206"/>
        <v>-2.1631044174161163E-3</v>
      </c>
      <c r="E2665" s="21">
        <f t="shared" ca="1" si="208"/>
        <v>5.9637298273858329E-5</v>
      </c>
      <c r="F2665" s="11">
        <f t="shared" ca="1" si="209"/>
        <v>4.8243857051838814</v>
      </c>
      <c r="G2665" s="10">
        <f t="shared" ca="1" si="207"/>
        <v>1</v>
      </c>
    </row>
    <row r="2666" spans="1:7" x14ac:dyDescent="0.2">
      <c r="A2666" s="2">
        <v>20000920</v>
      </c>
      <c r="B2666" s="13">
        <v>10687.92</v>
      </c>
      <c r="C2666" s="2">
        <f t="shared" si="205"/>
        <v>-9.3954282441199369E-3</v>
      </c>
      <c r="D2666" s="21">
        <f t="shared" ca="1" si="206"/>
        <v>-9.7793806592268041E-3</v>
      </c>
      <c r="E2666" s="21">
        <f t="shared" ca="1" si="208"/>
        <v>5.7701286588152442E-5</v>
      </c>
      <c r="F2666" s="11">
        <f t="shared" ca="1" si="209"/>
        <v>4.0513967077173429</v>
      </c>
      <c r="G2666" s="10">
        <f t="shared" ca="1" si="207"/>
        <v>0</v>
      </c>
    </row>
    <row r="2667" spans="1:7" x14ac:dyDescent="0.2">
      <c r="A2667" s="2">
        <v>20000921</v>
      </c>
      <c r="B2667" s="13">
        <v>10765.52</v>
      </c>
      <c r="C2667" s="2">
        <f t="shared" si="205"/>
        <v>7.2605333872259861E-3</v>
      </c>
      <c r="D2667" s="21">
        <f t="shared" ca="1" si="206"/>
        <v>6.8765809721191189E-3</v>
      </c>
      <c r="E2667" s="21">
        <f t="shared" ca="1" si="208"/>
        <v>5.9207875833943813E-5</v>
      </c>
      <c r="F2667" s="11">
        <f t="shared" ca="1" si="209"/>
        <v>4.4678945839749549</v>
      </c>
      <c r="G2667" s="10">
        <f t="shared" ca="1" si="207"/>
        <v>1</v>
      </c>
    </row>
    <row r="2668" spans="1:7" x14ac:dyDescent="0.2">
      <c r="A2668" s="2">
        <v>20000922</v>
      </c>
      <c r="B2668" s="13">
        <v>10847.37</v>
      </c>
      <c r="C2668" s="2">
        <f t="shared" si="205"/>
        <v>7.6029769114729579E-3</v>
      </c>
      <c r="D2668" s="21">
        <f t="shared" ca="1" si="206"/>
        <v>7.2190244963660907E-3</v>
      </c>
      <c r="E2668" s="21">
        <f t="shared" ca="1" si="208"/>
        <v>5.8860372018041219E-5</v>
      </c>
      <c r="F2668" s="11">
        <f t="shared" ca="1" si="209"/>
        <v>4.427476842888777</v>
      </c>
      <c r="G2668" s="10">
        <f t="shared" ca="1" si="207"/>
        <v>1</v>
      </c>
    </row>
    <row r="2669" spans="1:7" x14ac:dyDescent="0.2">
      <c r="A2669" s="2">
        <v>20000925</v>
      </c>
      <c r="B2669" s="13">
        <v>10808.15</v>
      </c>
      <c r="C2669" s="2">
        <f t="shared" si="205"/>
        <v>-3.61562295745431E-3</v>
      </c>
      <c r="D2669" s="21">
        <f t="shared" ca="1" si="206"/>
        <v>-3.9995753725611772E-3</v>
      </c>
      <c r="E2669" s="21">
        <f t="shared" ca="1" si="208"/>
        <v>5.8707943870540373E-5</v>
      </c>
      <c r="F2669" s="11">
        <f t="shared" ca="1" si="209"/>
        <v>4.7352289252192028</v>
      </c>
      <c r="G2669" s="10">
        <f t="shared" ca="1" si="207"/>
        <v>1</v>
      </c>
    </row>
    <row r="2670" spans="1:7" x14ac:dyDescent="0.2">
      <c r="A2670" s="2">
        <v>20000926</v>
      </c>
      <c r="B2670" s="13">
        <v>10631.32</v>
      </c>
      <c r="C2670" s="2">
        <f t="shared" ref="C2670:C2733" si="210">(B2670-B2669)/B2669</f>
        <v>-1.6360801802343596E-2</v>
      </c>
      <c r="D2670" s="21">
        <f t="shared" ca="1" si="206"/>
        <v>-1.6744754217450464E-2</v>
      </c>
      <c r="E2670" s="21">
        <f t="shared" ca="1" si="208"/>
        <v>5.7235115797457516E-5</v>
      </c>
      <c r="F2670" s="11">
        <f t="shared" ca="1" si="209"/>
        <v>2.434741691101892</v>
      </c>
      <c r="G2670" s="10">
        <f t="shared" ca="1" si="207"/>
        <v>0</v>
      </c>
    </row>
    <row r="2671" spans="1:7" x14ac:dyDescent="0.2">
      <c r="A2671" s="2">
        <v>20000927</v>
      </c>
      <c r="B2671" s="13">
        <v>10628.36</v>
      </c>
      <c r="C2671" s="2">
        <f t="shared" si="210"/>
        <v>-2.7842262296677432E-4</v>
      </c>
      <c r="D2671" s="21">
        <f t="shared" ca="1" si="206"/>
        <v>-6.6237503807364166E-4</v>
      </c>
      <c r="E2671" s="21">
        <f t="shared" ca="1" si="208"/>
        <v>6.5558887529164052E-5</v>
      </c>
      <c r="F2671" s="11">
        <f t="shared" ca="1" si="209"/>
        <v>4.8129347292576155</v>
      </c>
      <c r="G2671" s="10">
        <f t="shared" ca="1" si="207"/>
        <v>1</v>
      </c>
    </row>
    <row r="2672" spans="1:7" x14ac:dyDescent="0.2">
      <c r="A2672" s="2">
        <v>20000928</v>
      </c>
      <c r="B2672" s="13">
        <v>10824.06</v>
      </c>
      <c r="C2672" s="2">
        <f t="shared" si="210"/>
        <v>1.8413000688723275E-2</v>
      </c>
      <c r="D2672" s="21">
        <f t="shared" ca="1" si="206"/>
        <v>1.8029048273616406E-2</v>
      </c>
      <c r="E2672" s="21">
        <f t="shared" ca="1" si="208"/>
        <v>6.3167378192848173E-5</v>
      </c>
      <c r="F2672" s="11">
        <f t="shared" ca="1" si="209"/>
        <v>2.2619621738168503</v>
      </c>
      <c r="G2672" s="10">
        <f t="shared" ca="1" si="207"/>
        <v>0</v>
      </c>
    </row>
    <row r="2673" spans="1:7" x14ac:dyDescent="0.2">
      <c r="A2673" s="2">
        <v>20000929</v>
      </c>
      <c r="B2673" s="13">
        <v>10650.92</v>
      </c>
      <c r="C2673" s="2">
        <f t="shared" si="210"/>
        <v>-1.5995846290578528E-2</v>
      </c>
      <c r="D2673" s="21">
        <f t="shared" ca="1" si="206"/>
        <v>-1.6379798705685397E-2</v>
      </c>
      <c r="E2673" s="21">
        <f t="shared" ca="1" si="208"/>
        <v>7.2833253194009553E-5</v>
      </c>
      <c r="F2673" s="11">
        <f t="shared" ca="1" si="209"/>
        <v>2.9218055736402775</v>
      </c>
      <c r="G2673" s="10">
        <f t="shared" ca="1" si="207"/>
        <v>0</v>
      </c>
    </row>
    <row r="2674" spans="1:7" x14ac:dyDescent="0.2">
      <c r="A2674" s="2">
        <v>20001002</v>
      </c>
      <c r="B2674" s="13">
        <v>10700.13</v>
      </c>
      <c r="C2674" s="2">
        <f t="shared" si="210"/>
        <v>4.6202581561028654E-3</v>
      </c>
      <c r="D2674" s="21">
        <f t="shared" ca="1" si="206"/>
        <v>4.2363057409959982E-3</v>
      </c>
      <c r="E2674" s="21">
        <f t="shared" ca="1" si="208"/>
        <v>7.9923376816180527E-5</v>
      </c>
      <c r="F2674" s="11">
        <f t="shared" ca="1" si="209"/>
        <v>4.6049492636549187</v>
      </c>
      <c r="G2674" s="10">
        <f t="shared" ca="1" si="207"/>
        <v>1</v>
      </c>
    </row>
    <row r="2675" spans="1:7" x14ac:dyDescent="0.2">
      <c r="A2675" s="2">
        <v>20001003</v>
      </c>
      <c r="B2675" s="13">
        <v>10719.74</v>
      </c>
      <c r="C2675" s="2">
        <f t="shared" si="210"/>
        <v>1.8326880140709116E-3</v>
      </c>
      <c r="D2675" s="21">
        <f t="shared" ca="1" si="206"/>
        <v>1.4487355989640442E-3</v>
      </c>
      <c r="E2675" s="21">
        <f t="shared" ca="1" si="208"/>
        <v>7.7448946259307464E-5</v>
      </c>
      <c r="F2675" s="11">
        <f t="shared" ca="1" si="209"/>
        <v>4.719396002369372</v>
      </c>
      <c r="G2675" s="10">
        <f t="shared" ca="1" si="207"/>
        <v>1</v>
      </c>
    </row>
    <row r="2676" spans="1:7" x14ac:dyDescent="0.2">
      <c r="A2676" s="2">
        <v>20001004</v>
      </c>
      <c r="B2676" s="13">
        <v>10784.48</v>
      </c>
      <c r="C2676" s="2">
        <f t="shared" si="210"/>
        <v>6.0393255806577197E-3</v>
      </c>
      <c r="D2676" s="21">
        <f t="shared" ca="1" si="206"/>
        <v>5.6553731655508525E-3</v>
      </c>
      <c r="E2676" s="21">
        <f t="shared" ca="1" si="208"/>
        <v>7.4516959497162959E-5</v>
      </c>
      <c r="F2676" s="11">
        <f t="shared" ca="1" si="209"/>
        <v>4.5376381051244108</v>
      </c>
      <c r="G2676" s="10">
        <f t="shared" ca="1" si="207"/>
        <v>1</v>
      </c>
    </row>
    <row r="2677" spans="1:7" x14ac:dyDescent="0.2">
      <c r="A2677" s="2">
        <v>20001005</v>
      </c>
      <c r="B2677" s="13">
        <v>10724.92</v>
      </c>
      <c r="C2677" s="2">
        <f t="shared" si="210"/>
        <v>-5.5227512128539803E-3</v>
      </c>
      <c r="D2677" s="21">
        <f t="shared" ca="1" si="206"/>
        <v>-5.9067036279608475E-3</v>
      </c>
      <c r="E2677" s="21">
        <f t="shared" ca="1" si="208"/>
        <v>7.2832204875635442E-5</v>
      </c>
      <c r="F2677" s="11">
        <f t="shared" ca="1" si="209"/>
        <v>4.5241588518440246</v>
      </c>
      <c r="G2677" s="10">
        <f t="shared" ca="1" si="207"/>
        <v>1</v>
      </c>
    </row>
    <row r="2678" spans="1:7" x14ac:dyDescent="0.2">
      <c r="A2678" s="2">
        <v>20001006</v>
      </c>
      <c r="B2678" s="13">
        <v>10596.54</v>
      </c>
      <c r="C2678" s="2">
        <f t="shared" si="210"/>
        <v>-1.1970252458759524E-2</v>
      </c>
      <c r="D2678" s="21">
        <f t="shared" ca="1" si="206"/>
        <v>-1.2354204873866391E-2</v>
      </c>
      <c r="E2678" s="21">
        <f t="shared" ca="1" si="208"/>
        <v>7.1339537639454281E-5</v>
      </c>
      <c r="F2678" s="11">
        <f t="shared" ca="1" si="209"/>
        <v>3.7043119084291831</v>
      </c>
      <c r="G2678" s="10">
        <f t="shared" ca="1" si="207"/>
        <v>0</v>
      </c>
    </row>
    <row r="2679" spans="1:7" x14ac:dyDescent="0.2">
      <c r="A2679" s="2">
        <v>20001009</v>
      </c>
      <c r="B2679" s="13">
        <v>10568.43</v>
      </c>
      <c r="C2679" s="2">
        <f t="shared" si="210"/>
        <v>-2.6527526909727686E-3</v>
      </c>
      <c r="D2679" s="21">
        <f t="shared" ca="1" si="206"/>
        <v>-3.0367051060796357E-3</v>
      </c>
      <c r="E2679" s="21">
        <f t="shared" ca="1" si="208"/>
        <v>7.4251788463730752E-5</v>
      </c>
      <c r="F2679" s="11">
        <f t="shared" ca="1" si="209"/>
        <v>4.6919276747993814</v>
      </c>
      <c r="G2679" s="10">
        <f t="shared" ca="1" si="207"/>
        <v>1</v>
      </c>
    </row>
    <row r="2680" spans="1:7" x14ac:dyDescent="0.2">
      <c r="A2680" s="2">
        <v>20001010</v>
      </c>
      <c r="B2680" s="13">
        <v>10524.4</v>
      </c>
      <c r="C2680" s="2">
        <f t="shared" si="210"/>
        <v>-4.1661817318183166E-3</v>
      </c>
      <c r="D2680" s="21">
        <f t="shared" ca="1" si="206"/>
        <v>-4.5501341469251838E-3</v>
      </c>
      <c r="E2680" s="21">
        <f t="shared" ca="1" si="208"/>
        <v>7.1743462666340482E-5</v>
      </c>
      <c r="F2680" s="11">
        <f t="shared" ca="1" si="209"/>
        <v>4.6269169637419534</v>
      </c>
      <c r="G2680" s="10">
        <f t="shared" ca="1" si="207"/>
        <v>1</v>
      </c>
    </row>
    <row r="2681" spans="1:7" x14ac:dyDescent="0.2">
      <c r="A2681" s="2">
        <v>20001011</v>
      </c>
      <c r="B2681" s="13">
        <v>10413.790000000001</v>
      </c>
      <c r="C2681" s="2">
        <f t="shared" si="210"/>
        <v>-1.0509862795028578E-2</v>
      </c>
      <c r="D2681" s="21">
        <f t="shared" ca="1" si="206"/>
        <v>-1.0893815210135445E-2</v>
      </c>
      <c r="E2681" s="21">
        <f t="shared" ca="1" si="208"/>
        <v>6.9784252338035498E-5</v>
      </c>
      <c r="F2681" s="11">
        <f t="shared" ca="1" si="209"/>
        <v>3.9347503020868637</v>
      </c>
      <c r="G2681" s="10">
        <f t="shared" ca="1" si="207"/>
        <v>0</v>
      </c>
    </row>
    <row r="2682" spans="1:7" x14ac:dyDescent="0.2">
      <c r="A2682" s="2">
        <v>20001012</v>
      </c>
      <c r="B2682" s="13">
        <v>10034.58</v>
      </c>
      <c r="C2682" s="2">
        <f t="shared" si="210"/>
        <v>-3.6414216149932052E-2</v>
      </c>
      <c r="D2682" s="21">
        <f t="shared" ca="1" si="206"/>
        <v>-3.6798168565038918E-2</v>
      </c>
      <c r="E2682" s="21">
        <f t="shared" ca="1" si="208"/>
        <v>7.1526741821549967E-5</v>
      </c>
      <c r="F2682" s="11">
        <f t="shared" ca="1" si="209"/>
        <v>-4.6930073270090009</v>
      </c>
      <c r="G2682" s="10">
        <f t="shared" ca="1" si="207"/>
        <v>0</v>
      </c>
    </row>
    <row r="2683" spans="1:7" x14ac:dyDescent="0.2">
      <c r="A2683" s="2">
        <v>20001013</v>
      </c>
      <c r="B2683" s="13">
        <v>10192.18</v>
      </c>
      <c r="C2683" s="2">
        <f t="shared" si="210"/>
        <v>1.5705689724931225E-2</v>
      </c>
      <c r="D2683" s="21">
        <f t="shared" ca="1" si="206"/>
        <v>1.5321737309824357E-2</v>
      </c>
      <c r="E2683" s="21">
        <f t="shared" ca="1" si="208"/>
        <v>1.1860999640390656E-4</v>
      </c>
      <c r="F2683" s="11">
        <f t="shared" ca="1" si="209"/>
        <v>3.530223388730362</v>
      </c>
      <c r="G2683" s="10">
        <f t="shared" ca="1" si="207"/>
        <v>0</v>
      </c>
    </row>
    <row r="2684" spans="1:7" x14ac:dyDescent="0.2">
      <c r="A2684" s="2">
        <v>20001016</v>
      </c>
      <c r="B2684" s="13">
        <v>10238.799999999999</v>
      </c>
      <c r="C2684" s="2">
        <f t="shared" si="210"/>
        <v>4.5740950414924954E-3</v>
      </c>
      <c r="D2684" s="21">
        <f t="shared" ca="1" si="206"/>
        <v>4.1901426263856283E-3</v>
      </c>
      <c r="E2684" s="21">
        <f t="shared" ca="1" si="208"/>
        <v>1.2215085530410742E-4</v>
      </c>
      <c r="F2684" s="11">
        <f t="shared" ca="1" si="209"/>
        <v>4.4332596163405089</v>
      </c>
      <c r="G2684" s="10">
        <f t="shared" ca="1" si="207"/>
        <v>1</v>
      </c>
    </row>
    <row r="2685" spans="1:7" x14ac:dyDescent="0.2">
      <c r="A2685" s="2">
        <v>20001017</v>
      </c>
      <c r="B2685" s="13">
        <v>10089.709999999999</v>
      </c>
      <c r="C2685" s="2">
        <f t="shared" si="210"/>
        <v>-1.4561276712114716E-2</v>
      </c>
      <c r="D2685" s="21">
        <f t="shared" ca="1" si="206"/>
        <v>-1.4945229127221583E-2</v>
      </c>
      <c r="E2685" s="21">
        <f t="shared" ca="1" si="208"/>
        <v>1.175258188245218E-4</v>
      </c>
      <c r="F2685" s="11">
        <f t="shared" ca="1" si="209"/>
        <v>3.5741675142071054</v>
      </c>
      <c r="G2685" s="10">
        <f t="shared" ca="1" si="207"/>
        <v>0</v>
      </c>
    </row>
    <row r="2686" spans="1:7" x14ac:dyDescent="0.2">
      <c r="A2686" s="2">
        <v>20001018</v>
      </c>
      <c r="B2686" s="13">
        <v>9975.02</v>
      </c>
      <c r="C2686" s="2">
        <f t="shared" si="210"/>
        <v>-1.1367026406110651E-2</v>
      </c>
      <c r="D2686" s="21">
        <f t="shared" ca="1" si="206"/>
        <v>-1.1750978821217518E-2</v>
      </c>
      <c r="E2686" s="21">
        <f t="shared" ca="1" si="208"/>
        <v>1.2070248461336544E-4</v>
      </c>
      <c r="F2686" s="11">
        <f t="shared" ca="1" si="209"/>
        <v>3.9390832140666814</v>
      </c>
      <c r="G2686" s="10">
        <f t="shared" ca="1" si="207"/>
        <v>0</v>
      </c>
    </row>
    <row r="2687" spans="1:7" x14ac:dyDescent="0.2">
      <c r="A2687" s="2">
        <v>20001019</v>
      </c>
      <c r="B2687" s="13">
        <v>10142.98</v>
      </c>
      <c r="C2687" s="2">
        <f t="shared" si="210"/>
        <v>1.6838061477570884E-2</v>
      </c>
      <c r="D2687" s="21">
        <f t="shared" ca="1" si="206"/>
        <v>1.6454109062464015E-2</v>
      </c>
      <c r="E2687" s="21">
        <f t="shared" ca="1" si="208"/>
        <v>1.2058275434100643E-4</v>
      </c>
      <c r="F2687" s="11">
        <f t="shared" ca="1" si="209"/>
        <v>3.3889651440512525</v>
      </c>
      <c r="G2687" s="10">
        <f t="shared" ca="1" si="207"/>
        <v>0</v>
      </c>
    </row>
    <row r="2688" spans="1:7" x14ac:dyDescent="0.2">
      <c r="A2688" s="2">
        <v>20001020</v>
      </c>
      <c r="B2688" s="13">
        <v>10226.59</v>
      </c>
      <c r="C2688" s="2">
        <f t="shared" si="210"/>
        <v>8.2431395901402336E-3</v>
      </c>
      <c r="D2688" s="21">
        <f t="shared" ca="1" si="206"/>
        <v>7.8591871750333664E-3</v>
      </c>
      <c r="E2688" s="21">
        <f t="shared" ca="1" si="208"/>
        <v>1.253469343390879E-4</v>
      </c>
      <c r="F2688" s="11">
        <f t="shared" ca="1" si="209"/>
        <v>4.2458291340908332</v>
      </c>
      <c r="G2688" s="10">
        <f t="shared" ca="1" si="207"/>
        <v>1</v>
      </c>
    </row>
    <row r="2689" spans="1:7" x14ac:dyDescent="0.2">
      <c r="A2689" s="2">
        <v>20001023</v>
      </c>
      <c r="B2689" s="13">
        <v>10271.719999999999</v>
      </c>
      <c r="C2689" s="2">
        <f t="shared" si="210"/>
        <v>4.4130057037584571E-3</v>
      </c>
      <c r="D2689" s="21">
        <f t="shared" ca="1" si="206"/>
        <v>4.0290532886515899E-3</v>
      </c>
      <c r="E2689" s="21">
        <f t="shared" ca="1" si="208"/>
        <v>1.2218586869872672E-4</v>
      </c>
      <c r="F2689" s="11">
        <f t="shared" ca="1" si="209"/>
        <v>4.4385549874903543</v>
      </c>
      <c r="G2689" s="10">
        <f t="shared" ca="1" si="207"/>
        <v>1</v>
      </c>
    </row>
    <row r="2690" spans="1:7" x14ac:dyDescent="0.2">
      <c r="A2690" s="2">
        <v>20001024</v>
      </c>
      <c r="B2690" s="13">
        <v>10393.07</v>
      </c>
      <c r="C2690" s="2">
        <f t="shared" si="210"/>
        <v>1.1813990256743795E-2</v>
      </c>
      <c r="D2690" s="21">
        <f t="shared" ca="1" si="206"/>
        <v>1.1430037841636927E-2</v>
      </c>
      <c r="E2690" s="21">
        <f t="shared" ca="1" si="208"/>
        <v>1.1751037417529272E-4</v>
      </c>
      <c r="F2690" s="11">
        <f t="shared" ca="1" si="209"/>
        <v>3.9686016229525043</v>
      </c>
      <c r="G2690" s="10">
        <f t="shared" ca="1" si="207"/>
        <v>0</v>
      </c>
    </row>
    <row r="2691" spans="1:7" x14ac:dyDescent="0.2">
      <c r="A2691" s="2">
        <v>20001025</v>
      </c>
      <c r="B2691" s="13">
        <v>10326.48</v>
      </c>
      <c r="C2691" s="2">
        <f t="shared" si="210"/>
        <v>-6.4071539978081691E-3</v>
      </c>
      <c r="D2691" s="21">
        <f t="shared" ca="1" si="206"/>
        <v>-6.7911064129150362E-3</v>
      </c>
      <c r="E2691" s="21">
        <f t="shared" ca="1" si="208"/>
        <v>1.1727856165746405E-4</v>
      </c>
      <c r="F2691" s="11">
        <f t="shared" ca="1" si="209"/>
        <v>4.3288571402157086</v>
      </c>
      <c r="G2691" s="10">
        <f t="shared" ca="1" si="207"/>
        <v>1</v>
      </c>
    </row>
    <row r="2692" spans="1:7" x14ac:dyDescent="0.2">
      <c r="A2692" s="2">
        <v>20001026</v>
      </c>
      <c r="B2692" s="13">
        <v>10380.120000000001</v>
      </c>
      <c r="C2692" s="2">
        <f t="shared" si="210"/>
        <v>5.1944128105609307E-3</v>
      </c>
      <c r="D2692" s="21">
        <f t="shared" ca="1" si="206"/>
        <v>4.8104603954540635E-3</v>
      </c>
      <c r="E2692" s="21">
        <f t="shared" ca="1" si="208"/>
        <v>1.1395028451692375E-4</v>
      </c>
      <c r="F2692" s="11">
        <f t="shared" ca="1" si="209"/>
        <v>4.4383363227934272</v>
      </c>
      <c r="G2692" s="10">
        <f t="shared" ca="1" si="207"/>
        <v>1</v>
      </c>
    </row>
    <row r="2693" spans="1:7" x14ac:dyDescent="0.2">
      <c r="A2693" s="2">
        <v>20001027</v>
      </c>
      <c r="B2693" s="13">
        <v>10590.62</v>
      </c>
      <c r="C2693" s="2">
        <f t="shared" si="210"/>
        <v>2.0279148988643674E-2</v>
      </c>
      <c r="D2693" s="21">
        <f t="shared" ca="1" si="206"/>
        <v>1.9895196573536805E-2</v>
      </c>
      <c r="E2693" s="21">
        <f t="shared" ca="1" si="208"/>
        <v>1.0994542287589997E-4</v>
      </c>
      <c r="F2693" s="11">
        <f t="shared" ca="1" si="209"/>
        <v>2.7576935447881499</v>
      </c>
      <c r="G2693" s="10">
        <f t="shared" ca="1" si="207"/>
        <v>0</v>
      </c>
    </row>
    <row r="2694" spans="1:7" x14ac:dyDescent="0.2">
      <c r="A2694" s="2">
        <v>20001030</v>
      </c>
      <c r="B2694" s="13">
        <v>10835.77</v>
      </c>
      <c r="C2694" s="2">
        <f t="shared" si="210"/>
        <v>2.3147842147107498E-2</v>
      </c>
      <c r="D2694" s="21">
        <f t="shared" ca="1" si="206"/>
        <v>2.2763889732000629E-2</v>
      </c>
      <c r="E2694" s="21">
        <f t="shared" ca="1" si="208"/>
        <v>1.1984720095170012E-4</v>
      </c>
      <c r="F2694" s="11">
        <f t="shared" ca="1" si="209"/>
        <v>2.352749195039582</v>
      </c>
      <c r="G2694" s="10">
        <f t="shared" ca="1" si="207"/>
        <v>0</v>
      </c>
    </row>
    <row r="2695" spans="1:7" x14ac:dyDescent="0.2">
      <c r="A2695" s="2">
        <v>20001031</v>
      </c>
      <c r="B2695" s="13">
        <v>10971.14</v>
      </c>
      <c r="C2695" s="2">
        <f t="shared" si="210"/>
        <v>1.2492882370149882E-2</v>
      </c>
      <c r="D2695" s="21">
        <f t="shared" ca="1" si="206"/>
        <v>1.2108929955043014E-2</v>
      </c>
      <c r="E2695" s="21">
        <f t="shared" ca="1" si="208"/>
        <v>1.3374801772177052E-4</v>
      </c>
      <c r="F2695" s="11">
        <f t="shared" ca="1" si="209"/>
        <v>3.9116331028841702</v>
      </c>
      <c r="G2695" s="10">
        <f t="shared" ca="1" si="207"/>
        <v>0</v>
      </c>
    </row>
    <row r="2696" spans="1:7" x14ac:dyDescent="0.2">
      <c r="A2696" s="2">
        <v>20001101</v>
      </c>
      <c r="B2696" s="13">
        <v>10899.47</v>
      </c>
      <c r="C2696" s="2">
        <f t="shared" si="210"/>
        <v>-6.5325936958237777E-3</v>
      </c>
      <c r="D2696" s="21">
        <f t="shared" ca="1" si="206"/>
        <v>-6.9165461109306449E-3</v>
      </c>
      <c r="E2696" s="21">
        <f t="shared" ca="1" si="208"/>
        <v>1.3328236540151805E-4</v>
      </c>
      <c r="F2696" s="11">
        <f t="shared" ca="1" si="209"/>
        <v>4.2820569265705517</v>
      </c>
      <c r="G2696" s="10">
        <f t="shared" ca="1" si="207"/>
        <v>1</v>
      </c>
    </row>
    <row r="2697" spans="1:7" x14ac:dyDescent="0.2">
      <c r="A2697" s="2">
        <v>20001102</v>
      </c>
      <c r="B2697" s="13">
        <v>10880.51</v>
      </c>
      <c r="C2697" s="2">
        <f t="shared" si="210"/>
        <v>-1.7395341241362313E-3</v>
      </c>
      <c r="D2697" s="21">
        <f t="shared" ca="1" si="206"/>
        <v>-2.1234865392430985E-3</v>
      </c>
      <c r="E2697" s="21">
        <f t="shared" ca="1" si="208"/>
        <v>1.2920767898145672E-4</v>
      </c>
      <c r="F2697" s="11">
        <f t="shared" ca="1" si="209"/>
        <v>4.4595953585081656</v>
      </c>
      <c r="G2697" s="10">
        <f t="shared" ca="1" si="207"/>
        <v>1</v>
      </c>
    </row>
    <row r="2698" spans="1:7" x14ac:dyDescent="0.2">
      <c r="A2698" s="2">
        <v>20001103</v>
      </c>
      <c r="B2698" s="13">
        <v>10817.95</v>
      </c>
      <c r="C2698" s="2">
        <f t="shared" si="210"/>
        <v>-5.7497304813836385E-3</v>
      </c>
      <c r="D2698" s="21">
        <f t="shared" ca="1" si="206"/>
        <v>-6.1336828964905056E-3</v>
      </c>
      <c r="E2698" s="21">
        <f t="shared" ca="1" si="208"/>
        <v>1.2374583404346795E-4</v>
      </c>
      <c r="F2698" s="11">
        <f t="shared" ca="1" si="209"/>
        <v>4.3466269462940419</v>
      </c>
      <c r="G2698" s="10">
        <f t="shared" ca="1" si="207"/>
        <v>1</v>
      </c>
    </row>
    <row r="2699" spans="1:7" x14ac:dyDescent="0.2">
      <c r="A2699" s="2">
        <v>20001106</v>
      </c>
      <c r="B2699" s="13">
        <v>10977.21</v>
      </c>
      <c r="C2699" s="2">
        <f t="shared" si="210"/>
        <v>1.4721828072786285E-2</v>
      </c>
      <c r="D2699" s="21">
        <f t="shared" ca="1" si="206"/>
        <v>1.4337875657679418E-2</v>
      </c>
      <c r="E2699" s="21">
        <f t="shared" ca="1" si="208"/>
        <v>1.1977792371494805E-4</v>
      </c>
      <c r="F2699" s="11">
        <f t="shared" ca="1" si="209"/>
        <v>3.6567863011163246</v>
      </c>
      <c r="G2699" s="10">
        <f t="shared" ca="1" si="207"/>
        <v>0</v>
      </c>
    </row>
    <row r="2700" spans="1:7" x14ac:dyDescent="0.2">
      <c r="A2700" s="2">
        <v>20001107</v>
      </c>
      <c r="B2700" s="13">
        <v>10952.18</v>
      </c>
      <c r="C2700" s="2">
        <f t="shared" si="210"/>
        <v>-2.2801786610622222E-3</v>
      </c>
      <c r="D2700" s="21">
        <f t="shared" ca="1" si="206"/>
        <v>-2.6641310761690894E-3</v>
      </c>
      <c r="E2700" s="21">
        <f t="shared" ca="1" si="208"/>
        <v>1.2218666209124325E-4</v>
      </c>
      <c r="F2700" s="11">
        <f t="shared" ca="1" si="209"/>
        <v>4.4759362689994839</v>
      </c>
      <c r="G2700" s="10">
        <f t="shared" ca="1" si="207"/>
        <v>1</v>
      </c>
    </row>
    <row r="2701" spans="1:7" x14ac:dyDescent="0.2">
      <c r="A2701" s="2">
        <v>20001108</v>
      </c>
      <c r="B2701" s="13">
        <v>10907.06</v>
      </c>
      <c r="C2701" s="2">
        <f t="shared" si="210"/>
        <v>-4.1197277619616189E-3</v>
      </c>
      <c r="D2701" s="21">
        <f t="shared" ca="1" si="206"/>
        <v>-4.5036801770684861E-3</v>
      </c>
      <c r="E2701" s="21">
        <f t="shared" ca="1" si="208"/>
        <v>1.1717519267154705E-4</v>
      </c>
      <c r="F2701" s="11">
        <f t="shared" ca="1" si="209"/>
        <v>4.4393697185900898</v>
      </c>
      <c r="G2701" s="10">
        <f t="shared" ca="1" si="207"/>
        <v>1</v>
      </c>
    </row>
    <row r="2702" spans="1:7" x14ac:dyDescent="0.2">
      <c r="A2702" s="2">
        <v>20001109</v>
      </c>
      <c r="B2702" s="13">
        <v>10834.25</v>
      </c>
      <c r="C2702" s="2">
        <f t="shared" si="210"/>
        <v>-6.6754927542343667E-3</v>
      </c>
      <c r="D2702" s="21">
        <f t="shared" ref="D2702:D2765" ca="1" si="211">(C2702-mu)</f>
        <v>-7.0594451693412339E-3</v>
      </c>
      <c r="E2702" s="21">
        <f t="shared" ca="1" si="208"/>
        <v>1.1290211049570765E-4</v>
      </c>
      <c r="F2702" s="11">
        <f t="shared" ca="1" si="209"/>
        <v>4.3237912666654754</v>
      </c>
      <c r="G2702" s="10">
        <f t="shared" ref="G2702:G2765" ca="1" si="212">IF(AND(C2702&lt;=mu+zvalue*SQRT(E2702),C2702&gt;=mu-zvalue*SQRT(E2702)),1,0)</f>
        <v>1</v>
      </c>
    </row>
    <row r="2703" spans="1:7" x14ac:dyDescent="0.2">
      <c r="A2703" s="2">
        <v>20001110</v>
      </c>
      <c r="B2703" s="13">
        <v>10602.95</v>
      </c>
      <c r="C2703" s="2">
        <f t="shared" si="210"/>
        <v>-2.1348962780072388E-2</v>
      </c>
      <c r="D2703" s="21">
        <f t="shared" ca="1" si="211"/>
        <v>-2.1732915195179257E-2</v>
      </c>
      <c r="E2703" s="21">
        <f t="shared" ref="E2703:E2766" ca="1" si="213">(1-alpha-beta)*longvar+alpha*D2702^2+beta*E2702</f>
        <v>1.0993190679486033E-4</v>
      </c>
      <c r="F2703" s="11">
        <f t="shared" ref="F2703:F2766" ca="1" si="214">(-0.5)*(LN(E2703)+D2703^2/E2703)</f>
        <v>2.4095875993076135</v>
      </c>
      <c r="G2703" s="10">
        <f t="shared" ca="1" si="212"/>
        <v>0</v>
      </c>
    </row>
    <row r="2704" spans="1:7" x14ac:dyDescent="0.2">
      <c r="A2704" s="2">
        <v>20001113</v>
      </c>
      <c r="B2704" s="13">
        <v>10517.25</v>
      </c>
      <c r="C2704" s="2">
        <f t="shared" si="210"/>
        <v>-8.0826562418950133E-3</v>
      </c>
      <c r="D2704" s="21">
        <f t="shared" ca="1" si="211"/>
        <v>-8.4666086570018805E-3</v>
      </c>
      <c r="E2704" s="21">
        <f t="shared" ca="1" si="213"/>
        <v>1.2264743503235317E-4</v>
      </c>
      <c r="F2704" s="11">
        <f t="shared" ca="1" si="214"/>
        <v>4.210864508807024</v>
      </c>
      <c r="G2704" s="10">
        <f t="shared" ca="1" si="212"/>
        <v>1</v>
      </c>
    </row>
    <row r="2705" spans="1:7" x14ac:dyDescent="0.2">
      <c r="A2705" s="2">
        <v>20001114</v>
      </c>
      <c r="B2705" s="13">
        <v>10681.06</v>
      </c>
      <c r="C2705" s="2">
        <f t="shared" si="210"/>
        <v>1.5575364282488244E-2</v>
      </c>
      <c r="D2705" s="21">
        <f t="shared" ca="1" si="211"/>
        <v>1.5191411867381377E-2</v>
      </c>
      <c r="E2705" s="21">
        <f t="shared" ca="1" si="213"/>
        <v>1.1998759008534285E-4</v>
      </c>
      <c r="F2705" s="11">
        <f t="shared" ca="1" si="214"/>
        <v>3.5523825214800739</v>
      </c>
      <c r="G2705" s="10">
        <f t="shared" ca="1" si="212"/>
        <v>0</v>
      </c>
    </row>
    <row r="2706" spans="1:7" x14ac:dyDescent="0.2">
      <c r="A2706" s="2">
        <v>20001115</v>
      </c>
      <c r="B2706" s="13">
        <v>10707.6</v>
      </c>
      <c r="C2706" s="2">
        <f t="shared" si="210"/>
        <v>2.484772110633296E-3</v>
      </c>
      <c r="D2706" s="21">
        <f t="shared" ca="1" si="211"/>
        <v>2.1008196955264288E-3</v>
      </c>
      <c r="E2706" s="21">
        <f t="shared" ca="1" si="213"/>
        <v>1.2331252808365747E-4</v>
      </c>
      <c r="F2706" s="11">
        <f t="shared" ca="1" si="214"/>
        <v>4.482498916349182</v>
      </c>
      <c r="G2706" s="10">
        <f t="shared" ca="1" si="212"/>
        <v>1</v>
      </c>
    </row>
    <row r="2707" spans="1:7" x14ac:dyDescent="0.2">
      <c r="A2707" s="2">
        <v>20001116</v>
      </c>
      <c r="B2707" s="13">
        <v>10656.03</v>
      </c>
      <c r="C2707" s="2">
        <f t="shared" si="210"/>
        <v>-4.8162053121147321E-3</v>
      </c>
      <c r="D2707" s="21">
        <f t="shared" ca="1" si="211"/>
        <v>-5.2001577272215993E-3</v>
      </c>
      <c r="E2707" s="21">
        <f t="shared" ca="1" si="213"/>
        <v>1.1814539981385091E-4</v>
      </c>
      <c r="F2707" s="11">
        <f t="shared" ca="1" si="214"/>
        <v>4.4073550390227281</v>
      </c>
      <c r="G2707" s="10">
        <f t="shared" ca="1" si="212"/>
        <v>1</v>
      </c>
    </row>
    <row r="2708" spans="1:7" x14ac:dyDescent="0.2">
      <c r="A2708" s="2">
        <v>20001117</v>
      </c>
      <c r="B2708" s="13">
        <v>10629.87</v>
      </c>
      <c r="C2708" s="2">
        <f t="shared" si="210"/>
        <v>-2.4549480435021162E-3</v>
      </c>
      <c r="D2708" s="21">
        <f t="shared" ca="1" si="211"/>
        <v>-2.8389004586089834E-3</v>
      </c>
      <c r="E2708" s="21">
        <f t="shared" ca="1" si="213"/>
        <v>1.1407175657796288E-4</v>
      </c>
      <c r="F2708" s="11">
        <f t="shared" ca="1" si="214"/>
        <v>4.5040156157559661</v>
      </c>
      <c r="G2708" s="10">
        <f t="shared" ca="1" si="212"/>
        <v>1</v>
      </c>
    </row>
    <row r="2709" spans="1:7" x14ac:dyDescent="0.2">
      <c r="A2709" s="2">
        <v>20001120</v>
      </c>
      <c r="B2709" s="13">
        <v>10462.65</v>
      </c>
      <c r="C2709" s="2">
        <f t="shared" si="210"/>
        <v>-1.5731142525731844E-2</v>
      </c>
      <c r="D2709" s="21">
        <f t="shared" ca="1" si="211"/>
        <v>-1.6115094940838712E-2</v>
      </c>
      <c r="E2709" s="21">
        <f t="shared" ca="1" si="213"/>
        <v>1.095061885469321E-4</v>
      </c>
      <c r="F2709" s="11">
        <f t="shared" ca="1" si="214"/>
        <v>3.3740039767193695</v>
      </c>
      <c r="G2709" s="10">
        <f t="shared" ca="1" si="212"/>
        <v>0</v>
      </c>
    </row>
    <row r="2710" spans="1:7" x14ac:dyDescent="0.2">
      <c r="A2710" s="2">
        <v>20001121</v>
      </c>
      <c r="B2710" s="13">
        <v>10494.5</v>
      </c>
      <c r="C2710" s="2">
        <f t="shared" si="210"/>
        <v>3.0441618519209154E-3</v>
      </c>
      <c r="D2710" s="21">
        <f t="shared" ca="1" si="211"/>
        <v>2.6602094368140482E-3</v>
      </c>
      <c r="E2710" s="21">
        <f t="shared" ca="1" si="213"/>
        <v>1.1442472336020733E-4</v>
      </c>
      <c r="F2710" s="11">
        <f t="shared" ca="1" si="214"/>
        <v>4.5068736822748408</v>
      </c>
      <c r="G2710" s="10">
        <f t="shared" ca="1" si="212"/>
        <v>1</v>
      </c>
    </row>
    <row r="2711" spans="1:7" x14ac:dyDescent="0.2">
      <c r="A2711" s="2">
        <v>20001122</v>
      </c>
      <c r="B2711" s="13">
        <v>10399.32</v>
      </c>
      <c r="C2711" s="2">
        <f t="shared" si="210"/>
        <v>-9.0695126018390856E-3</v>
      </c>
      <c r="D2711" s="21">
        <f t="shared" ca="1" si="211"/>
        <v>-9.4534650169459528E-3</v>
      </c>
      <c r="E2711" s="21">
        <f t="shared" ca="1" si="213"/>
        <v>1.0980516517731677E-4</v>
      </c>
      <c r="F2711" s="11">
        <f t="shared" ca="1" si="214"/>
        <v>4.151462527838703</v>
      </c>
      <c r="G2711" s="10">
        <f t="shared" ca="1" si="212"/>
        <v>1</v>
      </c>
    </row>
    <row r="2712" spans="1:7" x14ac:dyDescent="0.2">
      <c r="A2712" s="2">
        <v>20001124</v>
      </c>
      <c r="B2712" s="13">
        <v>10470.23</v>
      </c>
      <c r="C2712" s="2">
        <f t="shared" si="210"/>
        <v>6.8187150698314752E-3</v>
      </c>
      <c r="D2712" s="21">
        <f t="shared" ca="1" si="211"/>
        <v>6.434762654724608E-3</v>
      </c>
      <c r="E2712" s="21">
        <f t="shared" ca="1" si="213"/>
        <v>1.0844530625591955E-4</v>
      </c>
      <c r="F2712" s="11">
        <f t="shared" ca="1" si="214"/>
        <v>4.3737242208605718</v>
      </c>
      <c r="G2712" s="10">
        <f t="shared" ca="1" si="212"/>
        <v>1</v>
      </c>
    </row>
    <row r="2713" spans="1:7" x14ac:dyDescent="0.2">
      <c r="A2713" s="2">
        <v>20001127</v>
      </c>
      <c r="B2713" s="13">
        <v>10546.07</v>
      </c>
      <c r="C2713" s="2">
        <f t="shared" si="210"/>
        <v>7.243393889150491E-3</v>
      </c>
      <c r="D2713" s="21">
        <f t="shared" ca="1" si="211"/>
        <v>6.8594414740436238E-3</v>
      </c>
      <c r="E2713" s="21">
        <f t="shared" ca="1" si="213"/>
        <v>1.0539060279754138E-4</v>
      </c>
      <c r="F2713" s="11">
        <f t="shared" ca="1" si="214"/>
        <v>4.3556921055088651</v>
      </c>
      <c r="G2713" s="10">
        <f t="shared" ca="1" si="212"/>
        <v>1</v>
      </c>
    </row>
    <row r="2714" spans="1:7" x14ac:dyDescent="0.2">
      <c r="A2714" s="2">
        <v>20001128</v>
      </c>
      <c r="B2714" s="13">
        <v>10507.58</v>
      </c>
      <c r="C2714" s="2">
        <f t="shared" si="210"/>
        <v>-3.6497007890142759E-3</v>
      </c>
      <c r="D2714" s="21">
        <f t="shared" ca="1" si="211"/>
        <v>-4.0336532041211435E-3</v>
      </c>
      <c r="E2714" s="21">
        <f t="shared" ca="1" si="213"/>
        <v>1.0269804250010008E-4</v>
      </c>
      <c r="F2714" s="11">
        <f t="shared" ca="1" si="214"/>
        <v>4.5126442021239193</v>
      </c>
      <c r="G2714" s="10">
        <f t="shared" ca="1" si="212"/>
        <v>1</v>
      </c>
    </row>
    <row r="2715" spans="1:7" x14ac:dyDescent="0.2">
      <c r="A2715" s="2">
        <v>20001129</v>
      </c>
      <c r="B2715" s="13">
        <v>10629.11</v>
      </c>
      <c r="C2715" s="2">
        <f t="shared" si="210"/>
        <v>1.1565936209859993E-2</v>
      </c>
      <c r="D2715" s="21">
        <f t="shared" ca="1" si="211"/>
        <v>1.1181983794753126E-2</v>
      </c>
      <c r="E2715" s="21">
        <f t="shared" ca="1" si="213"/>
        <v>9.9009807302697972E-5</v>
      </c>
      <c r="F2715" s="11">
        <f t="shared" ca="1" si="214"/>
        <v>3.9787095810343924</v>
      </c>
      <c r="G2715" s="10">
        <f t="shared" ca="1" si="212"/>
        <v>0</v>
      </c>
    </row>
    <row r="2716" spans="1:7" x14ac:dyDescent="0.2">
      <c r="A2716" s="2">
        <v>20001130</v>
      </c>
      <c r="B2716" s="13">
        <v>10414.49</v>
      </c>
      <c r="C2716" s="2">
        <f t="shared" si="210"/>
        <v>-2.0191718779841474E-2</v>
      </c>
      <c r="D2716" s="21">
        <f t="shared" ca="1" si="211"/>
        <v>-2.0575671194948342E-2</v>
      </c>
      <c r="E2716" s="21">
        <f t="shared" ca="1" si="213"/>
        <v>9.9507691703165212E-5</v>
      </c>
      <c r="F2716" s="11">
        <f t="shared" ca="1" si="214"/>
        <v>2.48037388422037</v>
      </c>
      <c r="G2716" s="10">
        <f t="shared" ca="1" si="212"/>
        <v>0</v>
      </c>
    </row>
    <row r="2717" spans="1:7" x14ac:dyDescent="0.2">
      <c r="A2717" s="2">
        <v>20001201</v>
      </c>
      <c r="B2717" s="13">
        <v>10373.540000000001</v>
      </c>
      <c r="C2717" s="2">
        <f t="shared" si="210"/>
        <v>-3.9320216352407948E-3</v>
      </c>
      <c r="D2717" s="21">
        <f t="shared" ca="1" si="211"/>
        <v>-4.315974050347662E-3</v>
      </c>
      <c r="E2717" s="21">
        <f t="shared" ca="1" si="213"/>
        <v>1.1095018980086387E-4</v>
      </c>
      <c r="F2717" s="11">
        <f t="shared" ca="1" si="214"/>
        <v>4.4692686767445764</v>
      </c>
      <c r="G2717" s="10">
        <f t="shared" ca="1" si="212"/>
        <v>1</v>
      </c>
    </row>
    <row r="2718" spans="1:7" x14ac:dyDescent="0.2">
      <c r="A2718" s="2">
        <v>20001204</v>
      </c>
      <c r="B2718" s="13">
        <v>10560.95</v>
      </c>
      <c r="C2718" s="2">
        <f t="shared" si="210"/>
        <v>1.8066156779652832E-2</v>
      </c>
      <c r="D2718" s="21">
        <f t="shared" ca="1" si="211"/>
        <v>1.7682204364545963E-2</v>
      </c>
      <c r="E2718" s="21">
        <f t="shared" ca="1" si="213"/>
        <v>1.0693115682909822E-4</v>
      </c>
      <c r="F2718" s="11">
        <f t="shared" ca="1" si="214"/>
        <v>3.1096923607924776</v>
      </c>
      <c r="G2718" s="10">
        <f t="shared" ca="1" si="212"/>
        <v>0</v>
      </c>
    </row>
    <row r="2719" spans="1:7" x14ac:dyDescent="0.2">
      <c r="A2719" s="2">
        <v>20001205</v>
      </c>
      <c r="B2719" s="13">
        <v>10898.72</v>
      </c>
      <c r="C2719" s="2">
        <f t="shared" si="210"/>
        <v>3.1982918203381193E-2</v>
      </c>
      <c r="D2719" s="21">
        <f t="shared" ca="1" si="211"/>
        <v>3.1598965788274327E-2</v>
      </c>
      <c r="E2719" s="21">
        <f t="shared" ca="1" si="213"/>
        <v>1.1392754453814316E-4</v>
      </c>
      <c r="F2719" s="11">
        <f t="shared" ca="1" si="214"/>
        <v>0.15782631157168137</v>
      </c>
      <c r="G2719" s="10">
        <f t="shared" ca="1" si="212"/>
        <v>0</v>
      </c>
    </row>
    <row r="2720" spans="1:7" x14ac:dyDescent="0.2">
      <c r="A2720" s="2">
        <v>20001206</v>
      </c>
      <c r="B2720" s="13">
        <v>10664.38</v>
      </c>
      <c r="C2720" s="2">
        <f t="shared" si="210"/>
        <v>-2.1501607528223513E-2</v>
      </c>
      <c r="D2720" s="21">
        <f t="shared" ca="1" si="211"/>
        <v>-2.1885559943330381E-2</v>
      </c>
      <c r="E2720" s="21">
        <f t="shared" ca="1" si="213"/>
        <v>1.4578930694695956E-4</v>
      </c>
      <c r="F2720" s="11">
        <f t="shared" ca="1" si="214"/>
        <v>2.773968742110811</v>
      </c>
      <c r="G2720" s="10">
        <f t="shared" ca="1" si="212"/>
        <v>0</v>
      </c>
    </row>
    <row r="2721" spans="1:7" x14ac:dyDescent="0.2">
      <c r="A2721" s="2">
        <v>20001207</v>
      </c>
      <c r="B2721" s="13">
        <v>10617.36</v>
      </c>
      <c r="C2721" s="2">
        <f t="shared" si="210"/>
        <v>-4.4090701944228001E-3</v>
      </c>
      <c r="D2721" s="21">
        <f t="shared" ca="1" si="211"/>
        <v>-4.7930226095296673E-3</v>
      </c>
      <c r="E2721" s="21">
        <f t="shared" ca="1" si="213"/>
        <v>1.5693562861207515E-4</v>
      </c>
      <c r="F2721" s="11">
        <f t="shared" ca="1" si="214"/>
        <v>4.3066447834064752</v>
      </c>
      <c r="G2721" s="10">
        <f t="shared" ca="1" si="212"/>
        <v>1</v>
      </c>
    </row>
    <row r="2722" spans="1:7" x14ac:dyDescent="0.2">
      <c r="A2722" s="2">
        <v>20001208</v>
      </c>
      <c r="B2722" s="13">
        <v>10712.91</v>
      </c>
      <c r="C2722" s="2">
        <f t="shared" si="210"/>
        <v>8.9994122832793896E-3</v>
      </c>
      <c r="D2722" s="21">
        <f t="shared" ca="1" si="211"/>
        <v>8.6154598681725224E-3</v>
      </c>
      <c r="E2722" s="21">
        <f t="shared" ca="1" si="213"/>
        <v>1.5074996633515205E-4</v>
      </c>
      <c r="F2722" s="11">
        <f t="shared" ca="1" si="214"/>
        <v>4.1537543697983548</v>
      </c>
      <c r="G2722" s="10">
        <f t="shared" ca="1" si="212"/>
        <v>1</v>
      </c>
    </row>
    <row r="2723" spans="1:7" x14ac:dyDescent="0.2">
      <c r="A2723" s="2">
        <v>20001211</v>
      </c>
      <c r="B2723" s="13">
        <v>10725.8</v>
      </c>
      <c r="C2723" s="2">
        <f t="shared" si="210"/>
        <v>1.2032211602635901E-3</v>
      </c>
      <c r="D2723" s="21">
        <f t="shared" ca="1" si="211"/>
        <v>8.1926874515672284E-4</v>
      </c>
      <c r="E2723" s="21">
        <f t="shared" ca="1" si="213"/>
        <v>1.4676190410191126E-4</v>
      </c>
      <c r="F2723" s="11">
        <f t="shared" ca="1" si="214"/>
        <v>4.4110627908421494</v>
      </c>
      <c r="G2723" s="10">
        <f t="shared" ca="1" si="212"/>
        <v>1</v>
      </c>
    </row>
    <row r="2724" spans="1:7" x14ac:dyDescent="0.2">
      <c r="A2724" s="2">
        <v>20001212</v>
      </c>
      <c r="B2724" s="13">
        <v>10768.27</v>
      </c>
      <c r="C2724" s="2">
        <f t="shared" si="210"/>
        <v>3.9596114042776452E-3</v>
      </c>
      <c r="D2724" s="21">
        <f t="shared" ca="1" si="211"/>
        <v>3.5756589891707781E-3</v>
      </c>
      <c r="E2724" s="21">
        <f t="shared" ca="1" si="213"/>
        <v>1.4027085540155122E-4</v>
      </c>
      <c r="F2724" s="11">
        <f t="shared" ca="1" si="214"/>
        <v>4.3903939135889303</v>
      </c>
      <c r="G2724" s="10">
        <f t="shared" ca="1" si="212"/>
        <v>1</v>
      </c>
    </row>
    <row r="2725" spans="1:7" x14ac:dyDescent="0.2">
      <c r="A2725" s="2">
        <v>20001213</v>
      </c>
      <c r="B2725" s="13">
        <v>10794.44</v>
      </c>
      <c r="C2725" s="2">
        <f t="shared" si="210"/>
        <v>2.4302882450012928E-3</v>
      </c>
      <c r="D2725" s="21">
        <f t="shared" ca="1" si="211"/>
        <v>2.0463358298944256E-3</v>
      </c>
      <c r="E2725" s="21">
        <f t="shared" ca="1" si="213"/>
        <v>1.3455364892221217E-4</v>
      </c>
      <c r="F2725" s="11">
        <f t="shared" ca="1" si="214"/>
        <v>4.4412131090984559</v>
      </c>
      <c r="G2725" s="10">
        <f t="shared" ca="1" si="212"/>
        <v>1</v>
      </c>
    </row>
    <row r="2726" spans="1:7" x14ac:dyDescent="0.2">
      <c r="A2726" s="2">
        <v>20001214</v>
      </c>
      <c r="B2726" s="13">
        <v>10674.99</v>
      </c>
      <c r="C2726" s="2">
        <f t="shared" si="210"/>
        <v>-1.1065882065211417E-2</v>
      </c>
      <c r="D2726" s="21">
        <f t="shared" ca="1" si="211"/>
        <v>-1.1449834480318284E-2</v>
      </c>
      <c r="E2726" s="21">
        <f t="shared" ca="1" si="213"/>
        <v>1.2880951995918077E-4</v>
      </c>
      <c r="F2726" s="11">
        <f t="shared" ca="1" si="214"/>
        <v>3.9697019680820453</v>
      </c>
      <c r="G2726" s="10">
        <f t="shared" ca="1" si="212"/>
        <v>0</v>
      </c>
    </row>
    <row r="2727" spans="1:7" x14ac:dyDescent="0.2">
      <c r="A2727" s="2">
        <v>20001215</v>
      </c>
      <c r="B2727" s="13">
        <v>10434.959999999999</v>
      </c>
      <c r="C2727" s="2">
        <f t="shared" si="210"/>
        <v>-2.2485266965121341E-2</v>
      </c>
      <c r="D2727" s="21">
        <f t="shared" ca="1" si="211"/>
        <v>-2.286921938022821E-2</v>
      </c>
      <c r="E2727" s="21">
        <f t="shared" ca="1" si="213"/>
        <v>1.2802273549827355E-4</v>
      </c>
      <c r="F2727" s="11">
        <f t="shared" ca="1" si="214"/>
        <v>2.4390407368641824</v>
      </c>
      <c r="G2727" s="10">
        <f t="shared" ca="1" si="212"/>
        <v>0</v>
      </c>
    </row>
    <row r="2728" spans="1:7" x14ac:dyDescent="0.2">
      <c r="A2728" s="2">
        <v>20001218</v>
      </c>
      <c r="B2728" s="13">
        <v>10645.42</v>
      </c>
      <c r="C2728" s="2">
        <f t="shared" si="210"/>
        <v>2.0168740464745524E-2</v>
      </c>
      <c r="D2728" s="21">
        <f t="shared" ca="1" si="211"/>
        <v>1.9784788049638655E-2</v>
      </c>
      <c r="E2728" s="21">
        <f t="shared" ca="1" si="213"/>
        <v>1.4168669339190615E-4</v>
      </c>
      <c r="F2728" s="11">
        <f t="shared" ca="1" si="214"/>
        <v>3.0495961248174757</v>
      </c>
      <c r="G2728" s="10">
        <f t="shared" ca="1" si="212"/>
        <v>0</v>
      </c>
    </row>
    <row r="2729" spans="1:7" x14ac:dyDescent="0.2">
      <c r="A2729" s="2">
        <v>20001219</v>
      </c>
      <c r="B2729" s="13">
        <v>10584.37</v>
      </c>
      <c r="C2729" s="2">
        <f t="shared" si="210"/>
        <v>-5.7348606255083661E-3</v>
      </c>
      <c r="D2729" s="21">
        <f t="shared" ca="1" si="211"/>
        <v>-6.1188130406152333E-3</v>
      </c>
      <c r="E2729" s="21">
        <f t="shared" ca="1" si="213"/>
        <v>1.4982157280791955E-4</v>
      </c>
      <c r="F2729" s="11">
        <f t="shared" ca="1" si="214"/>
        <v>4.2780845387894297</v>
      </c>
      <c r="G2729" s="10">
        <f t="shared" ca="1" si="212"/>
        <v>1</v>
      </c>
    </row>
    <row r="2730" spans="1:7" x14ac:dyDescent="0.2">
      <c r="A2730" s="2">
        <v>20001220</v>
      </c>
      <c r="B2730" s="13">
        <v>10318.93</v>
      </c>
      <c r="C2730" s="2">
        <f t="shared" si="210"/>
        <v>-2.5078488374839551E-2</v>
      </c>
      <c r="D2730" s="21">
        <f t="shared" ca="1" si="211"/>
        <v>-2.546244078994642E-2</v>
      </c>
      <c r="E2730" s="21">
        <f t="shared" ca="1" si="213"/>
        <v>1.4452778272033267E-4</v>
      </c>
      <c r="F2730" s="11">
        <f t="shared" ca="1" si="214"/>
        <v>2.1780738616277455</v>
      </c>
      <c r="G2730" s="10">
        <f t="shared" ca="1" si="212"/>
        <v>0</v>
      </c>
    </row>
    <row r="2731" spans="1:7" x14ac:dyDescent="0.2">
      <c r="A2731" s="2">
        <v>20001221</v>
      </c>
      <c r="B2731" s="13">
        <v>10487.29</v>
      </c>
      <c r="C2731" s="2">
        <f t="shared" si="210"/>
        <v>1.6315645129873019E-2</v>
      </c>
      <c r="D2731" s="21">
        <f t="shared" ca="1" si="211"/>
        <v>1.593169271476615E-2</v>
      </c>
      <c r="E2731" s="21">
        <f t="shared" ca="1" si="213"/>
        <v>1.6196552044975366E-4</v>
      </c>
      <c r="F2731" s="11">
        <f t="shared" ca="1" si="214"/>
        <v>3.5805053119573929</v>
      </c>
      <c r="G2731" s="10">
        <f t="shared" ca="1" si="212"/>
        <v>0</v>
      </c>
    </row>
    <row r="2732" spans="1:7" x14ac:dyDescent="0.2">
      <c r="A2732" s="2">
        <v>20001222</v>
      </c>
      <c r="B2732" s="13">
        <v>10635.56</v>
      </c>
      <c r="C2732" s="2">
        <f t="shared" si="210"/>
        <v>1.4138066173434568E-2</v>
      </c>
      <c r="D2732" s="21">
        <f t="shared" ca="1" si="211"/>
        <v>1.3754113758327701E-2</v>
      </c>
      <c r="E2732" s="21">
        <f t="shared" ca="1" si="213"/>
        <v>1.6401399620958037E-4</v>
      </c>
      <c r="F2732" s="11">
        <f t="shared" ca="1" si="214"/>
        <v>3.7810735970854217</v>
      </c>
      <c r="G2732" s="10">
        <f t="shared" ca="1" si="212"/>
        <v>0</v>
      </c>
    </row>
    <row r="2733" spans="1:7" x14ac:dyDescent="0.2">
      <c r="A2733" s="2">
        <v>20001226</v>
      </c>
      <c r="B2733" s="13">
        <v>10692.44</v>
      </c>
      <c r="C2733" s="2">
        <f t="shared" si="210"/>
        <v>5.3480963860860192E-3</v>
      </c>
      <c r="D2733" s="21">
        <f t="shared" ca="1" si="211"/>
        <v>4.964143970979152E-3</v>
      </c>
      <c r="E2733" s="21">
        <f t="shared" ca="1" si="213"/>
        <v>1.6358179603251426E-4</v>
      </c>
      <c r="F2733" s="11">
        <f t="shared" ca="1" si="214"/>
        <v>4.2837763715588819</v>
      </c>
      <c r="G2733" s="10">
        <f t="shared" ca="1" si="212"/>
        <v>1</v>
      </c>
    </row>
    <row r="2734" spans="1:7" x14ac:dyDescent="0.2">
      <c r="A2734" s="2">
        <v>20001227</v>
      </c>
      <c r="B2734" s="13">
        <v>10803.16</v>
      </c>
      <c r="C2734" s="2">
        <f t="shared" ref="C2734:C2797" si="215">(B2734-B2733)/B2733</f>
        <v>1.0354979780106256E-2</v>
      </c>
      <c r="D2734" s="21">
        <f t="shared" ca="1" si="211"/>
        <v>9.9710273649993887E-3</v>
      </c>
      <c r="E2734" s="21">
        <f t="shared" ca="1" si="213"/>
        <v>1.5712129825731357E-4</v>
      </c>
      <c r="F2734" s="11">
        <f t="shared" ca="1" si="214"/>
        <v>4.062862043703749</v>
      </c>
      <c r="G2734" s="10">
        <f t="shared" ca="1" si="212"/>
        <v>1</v>
      </c>
    </row>
    <row r="2735" spans="1:7" x14ac:dyDescent="0.2">
      <c r="A2735" s="2">
        <v>20001228</v>
      </c>
      <c r="B2735" s="13">
        <v>10868.76</v>
      </c>
      <c r="C2735" s="2">
        <f t="shared" si="215"/>
        <v>6.0722973648451349E-3</v>
      </c>
      <c r="D2735" s="21">
        <f t="shared" ca="1" si="211"/>
        <v>5.6883449497382678E-3</v>
      </c>
      <c r="E2735" s="21">
        <f t="shared" ca="1" si="213"/>
        <v>1.5373738113663444E-4</v>
      </c>
      <c r="F2735" s="11">
        <f t="shared" ca="1" si="214"/>
        <v>4.2848968385122514</v>
      </c>
      <c r="G2735" s="10">
        <f t="shared" ca="1" si="212"/>
        <v>1</v>
      </c>
    </row>
    <row r="2736" spans="1:7" x14ac:dyDescent="0.2">
      <c r="A2736" s="2">
        <v>20001229</v>
      </c>
      <c r="B2736" s="13">
        <v>10787.99</v>
      </c>
      <c r="C2736" s="2">
        <f t="shared" si="215"/>
        <v>-7.4313905174095696E-3</v>
      </c>
      <c r="D2736" s="21">
        <f t="shared" ca="1" si="211"/>
        <v>-7.8153429325164368E-3</v>
      </c>
      <c r="E2736" s="21">
        <f t="shared" ca="1" si="213"/>
        <v>1.4805859276491423E-4</v>
      </c>
      <c r="F2736" s="11">
        <f t="shared" ca="1" si="214"/>
        <v>4.2026829439117561</v>
      </c>
      <c r="G2736" s="10">
        <f t="shared" ca="1" si="212"/>
        <v>1</v>
      </c>
    </row>
    <row r="2737" spans="1:7" x14ac:dyDescent="0.2">
      <c r="A2737" s="2">
        <v>20010102</v>
      </c>
      <c r="B2737" s="13">
        <v>10646.15</v>
      </c>
      <c r="C2737" s="2">
        <f t="shared" si="215"/>
        <v>-1.3147954345526845E-2</v>
      </c>
      <c r="D2737" s="21">
        <f t="shared" ca="1" si="211"/>
        <v>-1.3531906760633712E-2</v>
      </c>
      <c r="E2737" s="21">
        <f t="shared" ca="1" si="213"/>
        <v>1.437232659091428E-4</v>
      </c>
      <c r="F2737" s="11">
        <f t="shared" ca="1" si="214"/>
        <v>3.7867789176883084</v>
      </c>
      <c r="G2737" s="10">
        <f t="shared" ca="1" si="212"/>
        <v>0</v>
      </c>
    </row>
    <row r="2738" spans="1:7" x14ac:dyDescent="0.2">
      <c r="A2738" s="2">
        <v>20010103</v>
      </c>
      <c r="B2738" s="13">
        <v>10945.75</v>
      </c>
      <c r="C2738" s="2">
        <f t="shared" si="215"/>
        <v>2.8141628663883225E-2</v>
      </c>
      <c r="D2738" s="21">
        <f t="shared" ca="1" si="211"/>
        <v>2.7757676248776356E-2</v>
      </c>
      <c r="E2738" s="21">
        <f t="shared" ca="1" si="213"/>
        <v>1.4409462804188753E-4</v>
      </c>
      <c r="F2738" s="11">
        <f t="shared" ca="1" si="214"/>
        <v>1.748969455728854</v>
      </c>
      <c r="G2738" s="10">
        <f t="shared" ca="1" si="212"/>
        <v>0</v>
      </c>
    </row>
    <row r="2739" spans="1:7" x14ac:dyDescent="0.2">
      <c r="A2739" s="2">
        <v>20010104</v>
      </c>
      <c r="B2739" s="13">
        <v>10912.41</v>
      </c>
      <c r="C2739" s="2">
        <f t="shared" si="215"/>
        <v>-3.0459310691364361E-3</v>
      </c>
      <c r="D2739" s="21">
        <f t="shared" ca="1" si="211"/>
        <v>-3.4298834842433033E-3</v>
      </c>
      <c r="E2739" s="21">
        <f t="shared" ca="1" si="213"/>
        <v>1.6604604726329629E-4</v>
      </c>
      <c r="F2739" s="11">
        <f t="shared" ca="1" si="214"/>
        <v>4.3161984955950015</v>
      </c>
      <c r="G2739" s="10">
        <f t="shared" ca="1" si="212"/>
        <v>1</v>
      </c>
    </row>
    <row r="2740" spans="1:7" x14ac:dyDescent="0.2">
      <c r="A2740" s="2">
        <v>20010105</v>
      </c>
      <c r="B2740" s="13">
        <v>10662.01</v>
      </c>
      <c r="C2740" s="2">
        <f t="shared" si="215"/>
        <v>-2.2946351905765969E-2</v>
      </c>
      <c r="D2740" s="21">
        <f t="shared" ca="1" si="211"/>
        <v>-2.3330304320872838E-2</v>
      </c>
      <c r="E2740" s="21">
        <f t="shared" ca="1" si="213"/>
        <v>1.5898731269190742E-4</v>
      </c>
      <c r="F2740" s="11">
        <f t="shared" ca="1" si="214"/>
        <v>2.6615615184686812</v>
      </c>
      <c r="G2740" s="10">
        <f t="shared" ca="1" si="212"/>
        <v>0</v>
      </c>
    </row>
    <row r="2741" spans="1:7" x14ac:dyDescent="0.2">
      <c r="A2741" s="2">
        <v>20010108</v>
      </c>
      <c r="B2741" s="13">
        <v>10621.35</v>
      </c>
      <c r="C2741" s="2">
        <f t="shared" si="215"/>
        <v>-3.8135398484900928E-3</v>
      </c>
      <c r="D2741" s="21">
        <f t="shared" ca="1" si="211"/>
        <v>-4.1974922635969599E-3</v>
      </c>
      <c r="E2741" s="21">
        <f t="shared" ca="1" si="213"/>
        <v>1.7186807065765539E-4</v>
      </c>
      <c r="F2741" s="11">
        <f t="shared" ca="1" si="214"/>
        <v>4.2831345347997578</v>
      </c>
      <c r="G2741" s="10">
        <f t="shared" ca="1" si="212"/>
        <v>1</v>
      </c>
    </row>
    <row r="2742" spans="1:7" x14ac:dyDescent="0.2">
      <c r="A2742" s="2">
        <v>20010109</v>
      </c>
      <c r="B2742" s="13">
        <v>10572.55</v>
      </c>
      <c r="C2742" s="2">
        <f t="shared" si="215"/>
        <v>-4.5945195290618508E-3</v>
      </c>
      <c r="D2742" s="21">
        <f t="shared" ca="1" si="211"/>
        <v>-4.978471944168718E-3</v>
      </c>
      <c r="E2742" s="21">
        <f t="shared" ca="1" si="213"/>
        <v>1.6473009071699002E-4</v>
      </c>
      <c r="F2742" s="11">
        <f t="shared" ca="1" si="214"/>
        <v>4.2803714420612708</v>
      </c>
      <c r="G2742" s="10">
        <f t="shared" ca="1" si="212"/>
        <v>1</v>
      </c>
    </row>
    <row r="2743" spans="1:7" x14ac:dyDescent="0.2">
      <c r="A2743" s="2">
        <v>20010110</v>
      </c>
      <c r="B2743" s="13">
        <v>10604.27</v>
      </c>
      <c r="C2743" s="2">
        <f t="shared" si="215"/>
        <v>3.0002222737183712E-3</v>
      </c>
      <c r="D2743" s="21">
        <f t="shared" ca="1" si="211"/>
        <v>2.616269858611504E-3</v>
      </c>
      <c r="E2743" s="21">
        <f t="shared" ca="1" si="213"/>
        <v>1.582167387478818E-4</v>
      </c>
      <c r="F2743" s="11">
        <f t="shared" ca="1" si="214"/>
        <v>4.3541410488069072</v>
      </c>
      <c r="G2743" s="10">
        <f t="shared" ca="1" si="212"/>
        <v>1</v>
      </c>
    </row>
    <row r="2744" spans="1:7" x14ac:dyDescent="0.2">
      <c r="A2744" s="2">
        <v>20010111</v>
      </c>
      <c r="B2744" s="13">
        <v>10609.55</v>
      </c>
      <c r="C2744" s="2">
        <f t="shared" si="215"/>
        <v>4.9791263330703907E-4</v>
      </c>
      <c r="D2744" s="21">
        <f t="shared" ca="1" si="211"/>
        <v>1.1396021820017177E-4</v>
      </c>
      <c r="E2744" s="21">
        <f t="shared" ca="1" si="213"/>
        <v>1.5137320269504931E-4</v>
      </c>
      <c r="F2744" s="11">
        <f t="shared" ca="1" si="214"/>
        <v>4.3978382176164095</v>
      </c>
      <c r="G2744" s="10">
        <f t="shared" ca="1" si="212"/>
        <v>1</v>
      </c>
    </row>
    <row r="2745" spans="1:7" x14ac:dyDescent="0.2">
      <c r="A2745" s="2">
        <v>20010112</v>
      </c>
      <c r="B2745" s="13">
        <v>10525.38</v>
      </c>
      <c r="C2745" s="2">
        <f t="shared" si="215"/>
        <v>-7.9334184767497276E-3</v>
      </c>
      <c r="D2745" s="21">
        <f t="shared" ca="1" si="211"/>
        <v>-8.3173708918565948E-3</v>
      </c>
      <c r="E2745" s="21">
        <f t="shared" ca="1" si="213"/>
        <v>1.4462466318977075E-4</v>
      </c>
      <c r="F2745" s="11">
        <f t="shared" ca="1" si="214"/>
        <v>4.1815181634099403</v>
      </c>
      <c r="G2745" s="10">
        <f t="shared" ca="1" si="212"/>
        <v>1</v>
      </c>
    </row>
    <row r="2746" spans="1:7" x14ac:dyDescent="0.2">
      <c r="A2746" s="2">
        <v>20010116</v>
      </c>
      <c r="B2746" s="13">
        <v>10652.66</v>
      </c>
      <c r="C2746" s="2">
        <f t="shared" si="215"/>
        <v>1.2092675038811014E-2</v>
      </c>
      <c r="D2746" s="21">
        <f t="shared" ca="1" si="211"/>
        <v>1.1708722623704147E-2</v>
      </c>
      <c r="E2746" s="21">
        <f t="shared" ca="1" si="213"/>
        <v>1.4076087703215269E-4</v>
      </c>
      <c r="F2746" s="11">
        <f t="shared" ca="1" si="214"/>
        <v>3.947248548153317</v>
      </c>
      <c r="G2746" s="10">
        <f t="shared" ca="1" si="212"/>
        <v>1</v>
      </c>
    </row>
    <row r="2747" spans="1:7" x14ac:dyDescent="0.2">
      <c r="A2747" s="2">
        <v>20010117</v>
      </c>
      <c r="B2747" s="13">
        <v>10584.34</v>
      </c>
      <c r="C2747" s="2">
        <f t="shared" si="215"/>
        <v>-6.4134216242703428E-3</v>
      </c>
      <c r="D2747" s="21">
        <f t="shared" ca="1" si="211"/>
        <v>-6.79737403937721E-3</v>
      </c>
      <c r="E2747" s="21">
        <f t="shared" ca="1" si="213"/>
        <v>1.3958993359723554E-4</v>
      </c>
      <c r="F2747" s="11">
        <f t="shared" ca="1" si="214"/>
        <v>4.2729006471179467</v>
      </c>
      <c r="G2747" s="10">
        <f t="shared" ca="1" si="212"/>
        <v>1</v>
      </c>
    </row>
    <row r="2748" spans="1:7" x14ac:dyDescent="0.2">
      <c r="A2748" s="2">
        <v>20010118</v>
      </c>
      <c r="B2748" s="13">
        <v>10678.28</v>
      </c>
      <c r="C2748" s="2">
        <f t="shared" si="215"/>
        <v>8.8753762634231799E-3</v>
      </c>
      <c r="D2748" s="21">
        <f t="shared" ca="1" si="211"/>
        <v>8.4914238483163127E-3</v>
      </c>
      <c r="E2748" s="21">
        <f t="shared" ca="1" si="213"/>
        <v>1.351360485623288E-4</v>
      </c>
      <c r="F2748" s="11">
        <f t="shared" ca="1" si="214"/>
        <v>4.1878302310210653</v>
      </c>
      <c r="G2748" s="10">
        <f t="shared" ca="1" si="212"/>
        <v>1</v>
      </c>
    </row>
    <row r="2749" spans="1:7" x14ac:dyDescent="0.2">
      <c r="A2749" s="2">
        <v>20010119</v>
      </c>
      <c r="B2749" s="13">
        <v>10587.59</v>
      </c>
      <c r="C2749" s="2">
        <f t="shared" si="215"/>
        <v>-8.4929408106924065E-3</v>
      </c>
      <c r="D2749" s="21">
        <f t="shared" ca="1" si="211"/>
        <v>-8.8768932257992737E-3</v>
      </c>
      <c r="E2749" s="21">
        <f t="shared" ca="1" si="213"/>
        <v>1.318598747140544E-4</v>
      </c>
      <c r="F2749" s="11">
        <f t="shared" ca="1" si="214"/>
        <v>4.1680862409576225</v>
      </c>
      <c r="G2749" s="10">
        <f t="shared" ca="1" si="212"/>
        <v>1</v>
      </c>
    </row>
    <row r="2750" spans="1:7" x14ac:dyDescent="0.2">
      <c r="A2750" s="2">
        <v>20010122</v>
      </c>
      <c r="B2750" s="13">
        <v>10578.24</v>
      </c>
      <c r="C2750" s="2">
        <f t="shared" si="215"/>
        <v>-8.8310937616590407E-4</v>
      </c>
      <c r="D2750" s="21">
        <f t="shared" ca="1" si="211"/>
        <v>-1.2670617912727714E-3</v>
      </c>
      <c r="E2750" s="21">
        <f t="shared" ca="1" si="213"/>
        <v>1.2899562874139941E-4</v>
      </c>
      <c r="F2750" s="11">
        <f t="shared" ca="1" si="214"/>
        <v>4.471643151786683</v>
      </c>
      <c r="G2750" s="10">
        <f t="shared" ca="1" si="212"/>
        <v>1</v>
      </c>
    </row>
    <row r="2751" spans="1:7" x14ac:dyDescent="0.2">
      <c r="A2751" s="2">
        <v>20010123</v>
      </c>
      <c r="B2751" s="13">
        <v>10649.81</v>
      </c>
      <c r="C2751" s="2">
        <f t="shared" si="215"/>
        <v>6.7657757812263396E-3</v>
      </c>
      <c r="D2751" s="21">
        <f t="shared" ca="1" si="211"/>
        <v>6.3818233661194724E-3</v>
      </c>
      <c r="E2751" s="21">
        <f t="shared" ca="1" si="213"/>
        <v>1.234377355556979E-4</v>
      </c>
      <c r="F2751" s="11">
        <f t="shared" ca="1" si="214"/>
        <v>4.3349143237174115</v>
      </c>
      <c r="G2751" s="10">
        <f t="shared" ca="1" si="212"/>
        <v>1</v>
      </c>
    </row>
    <row r="2752" spans="1:7" x14ac:dyDescent="0.2">
      <c r="A2752" s="2">
        <v>20010124</v>
      </c>
      <c r="B2752" s="13">
        <v>10646.97</v>
      </c>
      <c r="C2752" s="2">
        <f t="shared" si="215"/>
        <v>-2.6667142418504609E-4</v>
      </c>
      <c r="D2752" s="21">
        <f t="shared" ca="1" si="211"/>
        <v>-6.5062383929191344E-4</v>
      </c>
      <c r="E2752" s="21">
        <f t="shared" ca="1" si="213"/>
        <v>1.1959961049808277E-4</v>
      </c>
      <c r="F2752" s="11">
        <f t="shared" ca="1" si="214"/>
        <v>4.5139107844098731</v>
      </c>
      <c r="G2752" s="10">
        <f t="shared" ca="1" si="212"/>
        <v>1</v>
      </c>
    </row>
    <row r="2753" spans="1:7" x14ac:dyDescent="0.2">
      <c r="A2753" s="2">
        <v>20010125</v>
      </c>
      <c r="B2753" s="13">
        <v>10729.52</v>
      </c>
      <c r="C2753" s="2">
        <f t="shared" si="215"/>
        <v>7.7533796000177607E-3</v>
      </c>
      <c r="D2753" s="21">
        <f t="shared" ca="1" si="211"/>
        <v>7.3694271849108935E-3</v>
      </c>
      <c r="E2753" s="21">
        <f t="shared" ca="1" si="213"/>
        <v>1.1447359583039057E-4</v>
      </c>
      <c r="F2753" s="11">
        <f t="shared" ca="1" si="214"/>
        <v>4.3003736471321581</v>
      </c>
      <c r="G2753" s="10">
        <f t="shared" ca="1" si="212"/>
        <v>1</v>
      </c>
    </row>
    <row r="2754" spans="1:7" x14ac:dyDescent="0.2">
      <c r="A2754" s="2">
        <v>20010126</v>
      </c>
      <c r="B2754" s="13">
        <v>10659.98</v>
      </c>
      <c r="C2754" s="2">
        <f t="shared" si="215"/>
        <v>-6.4811846196289186E-3</v>
      </c>
      <c r="D2754" s="21">
        <f t="shared" ca="1" si="211"/>
        <v>-6.8651370347357858E-3</v>
      </c>
      <c r="E2754" s="21">
        <f t="shared" ca="1" si="213"/>
        <v>1.1158835882422794E-4</v>
      </c>
      <c r="F2754" s="11">
        <f t="shared" ca="1" si="214"/>
        <v>4.3391684930186862</v>
      </c>
      <c r="G2754" s="10">
        <f t="shared" ca="1" si="212"/>
        <v>1</v>
      </c>
    </row>
    <row r="2755" spans="1:7" x14ac:dyDescent="0.2">
      <c r="A2755" s="2">
        <v>20010129</v>
      </c>
      <c r="B2755" s="13">
        <v>10702.19</v>
      </c>
      <c r="C2755" s="2">
        <f t="shared" si="215"/>
        <v>3.9596697179545316E-3</v>
      </c>
      <c r="D2755" s="21">
        <f t="shared" ca="1" si="211"/>
        <v>3.5757173028476644E-3</v>
      </c>
      <c r="E2755" s="21">
        <f t="shared" ca="1" si="213"/>
        <v>1.0858512642556006E-4</v>
      </c>
      <c r="F2755" s="11">
        <f t="shared" ca="1" si="214"/>
        <v>4.5051137235727436</v>
      </c>
      <c r="G2755" s="10">
        <f t="shared" ca="1" si="212"/>
        <v>1</v>
      </c>
    </row>
    <row r="2756" spans="1:7" x14ac:dyDescent="0.2">
      <c r="A2756" s="2">
        <v>20010130</v>
      </c>
      <c r="B2756" s="13">
        <v>10881.2</v>
      </c>
      <c r="C2756" s="2">
        <f t="shared" si="215"/>
        <v>1.6726483084303325E-2</v>
      </c>
      <c r="D2756" s="21">
        <f t="shared" ca="1" si="211"/>
        <v>1.6342530669196456E-2</v>
      </c>
      <c r="E2756" s="21">
        <f t="shared" ca="1" si="213"/>
        <v>1.0447092674276085E-4</v>
      </c>
      <c r="F2756" s="11">
        <f t="shared" ca="1" si="214"/>
        <v>3.305058601155781</v>
      </c>
      <c r="G2756" s="10">
        <f t="shared" ca="1" si="212"/>
        <v>0</v>
      </c>
    </row>
    <row r="2757" spans="1:7" x14ac:dyDescent="0.2">
      <c r="A2757" s="2">
        <v>20010131</v>
      </c>
      <c r="B2757" s="13">
        <v>10887.36</v>
      </c>
      <c r="C2757" s="2">
        <f t="shared" si="215"/>
        <v>5.6611403154062552E-4</v>
      </c>
      <c r="D2757" s="21">
        <f t="shared" ca="1" si="211"/>
        <v>1.8216161643375822E-4</v>
      </c>
      <c r="E2757" s="21">
        <f t="shared" ca="1" si="213"/>
        <v>1.0991564701023699E-4</v>
      </c>
      <c r="F2757" s="11">
        <f t="shared" ca="1" si="214"/>
        <v>4.557747718945059</v>
      </c>
      <c r="G2757" s="10">
        <f t="shared" ca="1" si="212"/>
        <v>1</v>
      </c>
    </row>
    <row r="2758" spans="1:7" x14ac:dyDescent="0.2">
      <c r="A2758" s="2">
        <v>20010201</v>
      </c>
      <c r="B2758" s="13">
        <v>10983.63</v>
      </c>
      <c r="C2758" s="2">
        <f t="shared" si="215"/>
        <v>8.8423639890660918E-3</v>
      </c>
      <c r="D2758" s="21">
        <f t="shared" ca="1" si="211"/>
        <v>8.4584115739592246E-3</v>
      </c>
      <c r="E2758" s="21">
        <f t="shared" ca="1" si="213"/>
        <v>1.052652015369035E-4</v>
      </c>
      <c r="F2758" s="11">
        <f t="shared" ca="1" si="214"/>
        <v>4.2396829790847068</v>
      </c>
      <c r="G2758" s="10">
        <f t="shared" ca="1" si="212"/>
        <v>1</v>
      </c>
    </row>
    <row r="2759" spans="1:7" x14ac:dyDescent="0.2">
      <c r="A2759" s="2">
        <v>20010202</v>
      </c>
      <c r="B2759" s="13">
        <v>10864.1</v>
      </c>
      <c r="C2759" s="2">
        <f t="shared" si="215"/>
        <v>-1.0882558862598143E-2</v>
      </c>
      <c r="D2759" s="21">
        <f t="shared" ca="1" si="211"/>
        <v>-1.126651127770501E-2</v>
      </c>
      <c r="E2759" s="21">
        <f t="shared" ca="1" si="213"/>
        <v>1.0347962794830633E-4</v>
      </c>
      <c r="F2759" s="11">
        <f t="shared" ca="1" si="214"/>
        <v>3.9747381108611828</v>
      </c>
      <c r="G2759" s="10">
        <f t="shared" ca="1" si="212"/>
        <v>0</v>
      </c>
    </row>
    <row r="2760" spans="1:7" x14ac:dyDescent="0.2">
      <c r="A2760" s="2">
        <v>20010205</v>
      </c>
      <c r="B2760" s="13">
        <v>10965.85</v>
      </c>
      <c r="C2760" s="2">
        <f t="shared" si="215"/>
        <v>9.3657090785246814E-3</v>
      </c>
      <c r="D2760" s="21">
        <f t="shared" ca="1" si="211"/>
        <v>8.9817566634178142E-3</v>
      </c>
      <c r="E2760" s="21">
        <f t="shared" ca="1" si="213"/>
        <v>1.0382115758233732E-4</v>
      </c>
      <c r="F2760" s="11">
        <f t="shared" ca="1" si="214"/>
        <v>4.1979063583945422</v>
      </c>
      <c r="G2760" s="10">
        <f t="shared" ca="1" si="212"/>
        <v>1</v>
      </c>
    </row>
    <row r="2761" spans="1:7" x14ac:dyDescent="0.2">
      <c r="A2761" s="2">
        <v>20010206</v>
      </c>
      <c r="B2761" s="13">
        <v>10957.42</v>
      </c>
      <c r="C2761" s="2">
        <f t="shared" si="215"/>
        <v>-7.6875025647809246E-4</v>
      </c>
      <c r="D2761" s="21">
        <f t="shared" ca="1" si="211"/>
        <v>-1.1527026715849598E-3</v>
      </c>
      <c r="E2761" s="21">
        <f t="shared" ca="1" si="213"/>
        <v>1.0244426270440255E-4</v>
      </c>
      <c r="F2761" s="11">
        <f t="shared" ca="1" si="214"/>
        <v>4.586610738629683</v>
      </c>
      <c r="G2761" s="10">
        <f t="shared" ca="1" si="212"/>
        <v>1</v>
      </c>
    </row>
    <row r="2762" spans="1:7" x14ac:dyDescent="0.2">
      <c r="A2762" s="2">
        <v>20010207</v>
      </c>
      <c r="B2762" s="13">
        <v>10946.72</v>
      </c>
      <c r="C2762" s="2">
        <f t="shared" si="215"/>
        <v>-9.7650724349351652E-4</v>
      </c>
      <c r="D2762" s="21">
        <f t="shared" ca="1" si="211"/>
        <v>-1.3604596586003839E-3</v>
      </c>
      <c r="E2762" s="21">
        <f t="shared" ca="1" si="213"/>
        <v>9.8219436312898709E-5</v>
      </c>
      <c r="F2762" s="11">
        <f t="shared" ca="1" si="214"/>
        <v>4.6047312007632319</v>
      </c>
      <c r="G2762" s="10">
        <f t="shared" ca="1" si="212"/>
        <v>1</v>
      </c>
    </row>
    <row r="2763" spans="1:7" x14ac:dyDescent="0.2">
      <c r="A2763" s="2">
        <v>20010208</v>
      </c>
      <c r="B2763" s="13">
        <v>10880.55</v>
      </c>
      <c r="C2763" s="2">
        <f t="shared" si="215"/>
        <v>-6.0447330341874168E-3</v>
      </c>
      <c r="D2763" s="21">
        <f t="shared" ca="1" si="211"/>
        <v>-6.428685449294284E-3</v>
      </c>
      <c r="E2763" s="21">
        <f t="shared" ca="1" si="213"/>
        <v>9.4227544802309322E-5</v>
      </c>
      <c r="F2763" s="11">
        <f t="shared" ca="1" si="214"/>
        <v>4.4156000911028341</v>
      </c>
      <c r="G2763" s="10">
        <f t="shared" ca="1" si="212"/>
        <v>1</v>
      </c>
    </row>
    <row r="2764" spans="1:7" x14ac:dyDescent="0.2">
      <c r="A2764" s="2">
        <v>20010209</v>
      </c>
      <c r="B2764" s="13">
        <v>10781.45</v>
      </c>
      <c r="C2764" s="2">
        <f t="shared" si="215"/>
        <v>-9.1079954597882047E-3</v>
      </c>
      <c r="D2764" s="21">
        <f t="shared" ca="1" si="211"/>
        <v>-9.4919478748950719E-3</v>
      </c>
      <c r="E2764" s="21">
        <f t="shared" ca="1" si="213"/>
        <v>9.1889247989536228E-5</v>
      </c>
      <c r="F2764" s="11">
        <f t="shared" ca="1" si="214"/>
        <v>4.1572150791679698</v>
      </c>
      <c r="G2764" s="10">
        <f t="shared" ca="1" si="212"/>
        <v>1</v>
      </c>
    </row>
    <row r="2765" spans="1:7" x14ac:dyDescent="0.2">
      <c r="A2765" s="2">
        <v>20010212</v>
      </c>
      <c r="B2765" s="13">
        <v>10946.77</v>
      </c>
      <c r="C2765" s="2">
        <f t="shared" si="215"/>
        <v>1.5333744533434715E-2</v>
      </c>
      <c r="D2765" s="21">
        <f t="shared" ca="1" si="211"/>
        <v>1.4949792118327847E-2</v>
      </c>
      <c r="E2765" s="21">
        <f t="shared" ca="1" si="213"/>
        <v>9.1462570528226617E-5</v>
      </c>
      <c r="F2765" s="11">
        <f t="shared" ca="1" si="214"/>
        <v>3.4279994035922909</v>
      </c>
      <c r="G2765" s="10">
        <f t="shared" ca="1" si="212"/>
        <v>0</v>
      </c>
    </row>
    <row r="2766" spans="1:7" x14ac:dyDescent="0.2">
      <c r="A2766" s="2">
        <v>20010213</v>
      </c>
      <c r="B2766" s="13">
        <v>10903.32</v>
      </c>
      <c r="C2766" s="2">
        <f t="shared" si="215"/>
        <v>-3.9692073552290517E-3</v>
      </c>
      <c r="D2766" s="21">
        <f t="shared" ref="D2766:D2829" ca="1" si="216">(C2766-mu)</f>
        <v>-4.3531597703359189E-3</v>
      </c>
      <c r="E2766" s="21">
        <f t="shared" ca="1" si="213"/>
        <v>9.596280069028587E-5</v>
      </c>
      <c r="F2766" s="11">
        <f t="shared" ca="1" si="214"/>
        <v>4.5270387910479304</v>
      </c>
      <c r="G2766" s="10">
        <f t="shared" ref="G2766:G2829" ca="1" si="217">IF(AND(C2766&lt;=mu+zvalue*SQRT(E2766),C2766&gt;=mu-zvalue*SQRT(E2766)),1,0)</f>
        <v>1</v>
      </c>
    </row>
    <row r="2767" spans="1:7" x14ac:dyDescent="0.2">
      <c r="A2767" s="2">
        <v>20010214</v>
      </c>
      <c r="B2767" s="13">
        <v>10795.41</v>
      </c>
      <c r="C2767" s="2">
        <f t="shared" si="215"/>
        <v>-9.8969855053323078E-3</v>
      </c>
      <c r="D2767" s="21">
        <f t="shared" ca="1" si="216"/>
        <v>-1.0280937920439175E-2</v>
      </c>
      <c r="E2767" s="21">
        <f t="shared" ref="E2767:E2830" ca="1" si="218">(1-alpha-beta)*longvar+alpha*D2766^2+beta*E2766</f>
        <v>9.2713838702033433E-5</v>
      </c>
      <c r="F2767" s="11">
        <f t="shared" ref="F2767:F2830" ca="1" si="219">(-0.5)*(LN(E2767)+D2767^2/E2767)</f>
        <v>4.0729753280823697</v>
      </c>
      <c r="G2767" s="10">
        <f t="shared" ca="1" si="217"/>
        <v>0</v>
      </c>
    </row>
    <row r="2768" spans="1:7" x14ac:dyDescent="0.2">
      <c r="A2768" s="2">
        <v>20010215</v>
      </c>
      <c r="B2768" s="13">
        <v>10891.02</v>
      </c>
      <c r="C2768" s="2">
        <f t="shared" si="215"/>
        <v>8.8565418080462522E-3</v>
      </c>
      <c r="D2768" s="21">
        <f t="shared" ca="1" si="216"/>
        <v>8.472589392939385E-3</v>
      </c>
      <c r="E2768" s="21">
        <f t="shared" ca="1" si="218"/>
        <v>9.2819106596530248E-5</v>
      </c>
      <c r="F2768" s="11">
        <f t="shared" ca="1" si="219"/>
        <v>4.2557372450580893</v>
      </c>
      <c r="G2768" s="10">
        <f t="shared" ca="1" si="217"/>
        <v>1</v>
      </c>
    </row>
    <row r="2769" spans="1:7" x14ac:dyDescent="0.2">
      <c r="A2769" s="2">
        <v>20010216</v>
      </c>
      <c r="B2769" s="13">
        <v>10799.82</v>
      </c>
      <c r="C2769" s="2">
        <f t="shared" si="215"/>
        <v>-8.3738713178380646E-3</v>
      </c>
      <c r="D2769" s="21">
        <f t="shared" ca="1" si="216"/>
        <v>-8.7578237329449318E-3</v>
      </c>
      <c r="E2769" s="21">
        <f t="shared" ca="1" si="218"/>
        <v>9.16720119105509E-5</v>
      </c>
      <c r="F2769" s="11">
        <f t="shared" ca="1" si="219"/>
        <v>4.230310332271916</v>
      </c>
      <c r="G2769" s="10">
        <f t="shared" ca="1" si="217"/>
        <v>1</v>
      </c>
    </row>
    <row r="2770" spans="1:7" x14ac:dyDescent="0.2">
      <c r="A2770" s="2">
        <v>20010220</v>
      </c>
      <c r="B2770" s="13">
        <v>10730.88</v>
      </c>
      <c r="C2770" s="2">
        <f t="shared" si="215"/>
        <v>-6.3834397239954472E-3</v>
      </c>
      <c r="D2770" s="21">
        <f t="shared" ca="1" si="216"/>
        <v>-6.7673921391023144E-3</v>
      </c>
      <c r="E2770" s="21">
        <f t="shared" ca="1" si="218"/>
        <v>9.0763671425562418E-5</v>
      </c>
      <c r="F2770" s="11">
        <f t="shared" ca="1" si="219"/>
        <v>4.4013353761680651</v>
      </c>
      <c r="G2770" s="10">
        <f t="shared" ca="1" si="217"/>
        <v>1</v>
      </c>
    </row>
    <row r="2771" spans="1:7" x14ac:dyDescent="0.2">
      <c r="A2771" s="2">
        <v>20010221</v>
      </c>
      <c r="B2771" s="13">
        <v>10526.58</v>
      </c>
      <c r="C2771" s="2">
        <f t="shared" si="215"/>
        <v>-1.9038513150831923E-2</v>
      </c>
      <c r="D2771" s="21">
        <f t="shared" ca="1" si="216"/>
        <v>-1.9422465565938792E-2</v>
      </c>
      <c r="E2771" s="21">
        <f t="shared" ca="1" si="218"/>
        <v>8.87649680946972E-5</v>
      </c>
      <c r="F2771" s="11">
        <f t="shared" ca="1" si="219"/>
        <v>2.5398659631988374</v>
      </c>
      <c r="G2771" s="10">
        <f t="shared" ca="1" si="217"/>
        <v>0</v>
      </c>
    </row>
    <row r="2772" spans="1:7" x14ac:dyDescent="0.2">
      <c r="A2772" s="2">
        <v>20010222</v>
      </c>
      <c r="B2772" s="13">
        <v>10526.81</v>
      </c>
      <c r="C2772" s="2">
        <f t="shared" si="215"/>
        <v>2.1849451578723902E-5</v>
      </c>
      <c r="D2772" s="21">
        <f t="shared" ca="1" si="216"/>
        <v>-3.6210296352814339E-4</v>
      </c>
      <c r="E2772" s="21">
        <f t="shared" ca="1" si="218"/>
        <v>9.9054807747115347E-5</v>
      </c>
      <c r="F2772" s="11">
        <f t="shared" ca="1" si="219"/>
        <v>4.6092567751830336</v>
      </c>
      <c r="G2772" s="10">
        <f t="shared" ca="1" si="217"/>
        <v>1</v>
      </c>
    </row>
    <row r="2773" spans="1:7" x14ac:dyDescent="0.2">
      <c r="A2773" s="2">
        <v>20010223</v>
      </c>
      <c r="B2773" s="13">
        <v>10441.9</v>
      </c>
      <c r="C2773" s="2">
        <f t="shared" si="215"/>
        <v>-8.0660712979525474E-3</v>
      </c>
      <c r="D2773" s="21">
        <f t="shared" ca="1" si="216"/>
        <v>-8.4500237130594145E-3</v>
      </c>
      <c r="E2773" s="21">
        <f t="shared" ca="1" si="218"/>
        <v>9.4957416974941302E-5</v>
      </c>
      <c r="F2773" s="11">
        <f t="shared" ca="1" si="219"/>
        <v>4.2550677366672485</v>
      </c>
      <c r="G2773" s="10">
        <f t="shared" ca="1" si="217"/>
        <v>1</v>
      </c>
    </row>
    <row r="2774" spans="1:7" x14ac:dyDescent="0.2">
      <c r="A2774" s="2">
        <v>20010226</v>
      </c>
      <c r="B2774" s="13">
        <v>10642.53</v>
      </c>
      <c r="C2774" s="2">
        <f t="shared" si="215"/>
        <v>1.9213936161043586E-2</v>
      </c>
      <c r="D2774" s="21">
        <f t="shared" ca="1" si="216"/>
        <v>1.8829983745936717E-2</v>
      </c>
      <c r="E2774" s="21">
        <f t="shared" ca="1" si="218"/>
        <v>9.3688102426254505E-5</v>
      </c>
      <c r="F2774" s="11">
        <f t="shared" ca="1" si="219"/>
        <v>2.7454894467386457</v>
      </c>
      <c r="G2774" s="10">
        <f t="shared" ca="1" si="217"/>
        <v>0</v>
      </c>
    </row>
    <row r="2775" spans="1:7" x14ac:dyDescent="0.2">
      <c r="A2775" s="2">
        <v>20010227</v>
      </c>
      <c r="B2775" s="13">
        <v>10636.88</v>
      </c>
      <c r="C2775" s="2">
        <f t="shared" si="215"/>
        <v>-5.3088880181699786E-4</v>
      </c>
      <c r="D2775" s="21">
        <f t="shared" ca="1" si="216"/>
        <v>-9.1484121692386516E-4</v>
      </c>
      <c r="E2775" s="21">
        <f t="shared" ca="1" si="218"/>
        <v>1.0289548862305567E-4</v>
      </c>
      <c r="F2775" s="11">
        <f t="shared" ca="1" si="219"/>
        <v>4.5868314640192986</v>
      </c>
      <c r="G2775" s="10">
        <f t="shared" ca="1" si="217"/>
        <v>1</v>
      </c>
    </row>
    <row r="2776" spans="1:7" x14ac:dyDescent="0.2">
      <c r="A2776" s="2">
        <v>20010228</v>
      </c>
      <c r="B2776" s="13">
        <v>10495.28</v>
      </c>
      <c r="C2776" s="2">
        <f t="shared" si="215"/>
        <v>-1.3312174246583449E-2</v>
      </c>
      <c r="D2776" s="21">
        <f t="shared" ca="1" si="216"/>
        <v>-1.3696126661690317E-2</v>
      </c>
      <c r="E2776" s="21">
        <f t="shared" ca="1" si="218"/>
        <v>9.862975062365196E-5</v>
      </c>
      <c r="F2776" s="11">
        <f t="shared" ca="1" si="219"/>
        <v>3.6611189941749265</v>
      </c>
      <c r="G2776" s="10">
        <f t="shared" ca="1" si="217"/>
        <v>0</v>
      </c>
    </row>
    <row r="2777" spans="1:7" x14ac:dyDescent="0.2">
      <c r="A2777" s="2">
        <v>20010301</v>
      </c>
      <c r="B2777" s="13">
        <v>10450.14</v>
      </c>
      <c r="C2777" s="2">
        <f t="shared" si="215"/>
        <v>-4.3009810124171278E-3</v>
      </c>
      <c r="D2777" s="21">
        <f t="shared" ca="1" si="216"/>
        <v>-4.684933427523995E-3</v>
      </c>
      <c r="E2777" s="21">
        <f t="shared" ca="1" si="218"/>
        <v>1.0144682917440221E-4</v>
      </c>
      <c r="F2777" s="11">
        <f t="shared" ca="1" si="219"/>
        <v>4.4898100163173007</v>
      </c>
      <c r="G2777" s="10">
        <f t="shared" ca="1" si="217"/>
        <v>1</v>
      </c>
    </row>
    <row r="2778" spans="1:7" x14ac:dyDescent="0.2">
      <c r="A2778" s="2">
        <v>20010302</v>
      </c>
      <c r="B2778" s="13">
        <v>10466.31</v>
      </c>
      <c r="C2778" s="2">
        <f t="shared" si="215"/>
        <v>1.5473476910357253E-3</v>
      </c>
      <c r="D2778" s="21">
        <f t="shared" ca="1" si="216"/>
        <v>1.1633952759288581E-3</v>
      </c>
      <c r="E2778" s="21">
        <f t="shared" ca="1" si="218"/>
        <v>9.8030692182526243E-5</v>
      </c>
      <c r="F2778" s="11">
        <f t="shared" ca="1" si="219"/>
        <v>4.6082115795188807</v>
      </c>
      <c r="G2778" s="10">
        <f t="shared" ca="1" si="217"/>
        <v>1</v>
      </c>
    </row>
    <row r="2779" spans="1:7" x14ac:dyDescent="0.2">
      <c r="A2779" s="2">
        <v>20010305</v>
      </c>
      <c r="B2779" s="13">
        <v>10562.3</v>
      </c>
      <c r="C2779" s="2">
        <f t="shared" si="215"/>
        <v>9.1713316345493102E-3</v>
      </c>
      <c r="D2779" s="21">
        <f t="shared" ca="1" si="216"/>
        <v>8.7873792194424431E-3</v>
      </c>
      <c r="E2779" s="21">
        <f t="shared" ca="1" si="218"/>
        <v>9.4030060433621018E-5</v>
      </c>
      <c r="F2779" s="11">
        <f t="shared" ca="1" si="219"/>
        <v>4.2253451039580909</v>
      </c>
      <c r="G2779" s="10">
        <f t="shared" ca="1" si="217"/>
        <v>1</v>
      </c>
    </row>
    <row r="2780" spans="1:7" x14ac:dyDescent="0.2">
      <c r="A2780" s="2">
        <v>20010306</v>
      </c>
      <c r="B2780" s="13">
        <v>10591.22</v>
      </c>
      <c r="C2780" s="2">
        <f t="shared" si="215"/>
        <v>2.7380400102250528E-3</v>
      </c>
      <c r="D2780" s="21">
        <f t="shared" ca="1" si="216"/>
        <v>2.3540875951181856E-3</v>
      </c>
      <c r="E2780" s="21">
        <f t="shared" ca="1" si="218"/>
        <v>9.3021493744073488E-5</v>
      </c>
      <c r="F2780" s="11">
        <f t="shared" ca="1" si="219"/>
        <v>4.6115526335741572</v>
      </c>
      <c r="G2780" s="10">
        <f t="shared" ca="1" si="217"/>
        <v>1</v>
      </c>
    </row>
    <row r="2781" spans="1:7" x14ac:dyDescent="0.2">
      <c r="A2781" s="2">
        <v>20010307</v>
      </c>
      <c r="B2781" s="13">
        <v>10729.6</v>
      </c>
      <c r="C2781" s="2">
        <f t="shared" si="215"/>
        <v>1.3065539191896781E-2</v>
      </c>
      <c r="D2781" s="21">
        <f t="shared" ca="1" si="216"/>
        <v>1.2681586776789914E-2</v>
      </c>
      <c r="E2781" s="21">
        <f t="shared" ca="1" si="218"/>
        <v>8.9428287885206096E-5</v>
      </c>
      <c r="F2781" s="11">
        <f t="shared" ca="1" si="219"/>
        <v>3.7618657695654951</v>
      </c>
      <c r="G2781" s="10">
        <f t="shared" ca="1" si="217"/>
        <v>0</v>
      </c>
    </row>
    <row r="2782" spans="1:7" x14ac:dyDescent="0.2">
      <c r="A2782" s="2">
        <v>20010308</v>
      </c>
      <c r="B2782" s="13">
        <v>10858.25</v>
      </c>
      <c r="C2782" s="2">
        <f t="shared" si="215"/>
        <v>1.199019534745001E-2</v>
      </c>
      <c r="D2782" s="21">
        <f t="shared" ca="1" si="216"/>
        <v>1.1606242932343143E-2</v>
      </c>
      <c r="E2782" s="21">
        <f t="shared" ca="1" si="218"/>
        <v>9.1726813857795632E-5</v>
      </c>
      <c r="F2782" s="11">
        <f t="shared" ca="1" si="219"/>
        <v>3.9140758363025139</v>
      </c>
      <c r="G2782" s="10">
        <f t="shared" ca="1" si="217"/>
        <v>0</v>
      </c>
    </row>
    <row r="2783" spans="1:7" x14ac:dyDescent="0.2">
      <c r="A2783" s="2">
        <v>20010309</v>
      </c>
      <c r="B2783" s="13">
        <v>10644.62</v>
      </c>
      <c r="C2783" s="2">
        <f t="shared" si="215"/>
        <v>-1.9674441093177925E-2</v>
      </c>
      <c r="D2783" s="21">
        <f t="shared" ca="1" si="216"/>
        <v>-2.0058393508284793E-2</v>
      </c>
      <c r="E2783" s="21">
        <f t="shared" ca="1" si="218"/>
        <v>9.2948660706047305E-5</v>
      </c>
      <c r="F2783" s="11">
        <f t="shared" ca="1" si="219"/>
        <v>2.4774231409939871</v>
      </c>
      <c r="G2783" s="10">
        <f t="shared" ca="1" si="217"/>
        <v>0</v>
      </c>
    </row>
    <row r="2784" spans="1:7" x14ac:dyDescent="0.2">
      <c r="A2784" s="2">
        <v>20010312</v>
      </c>
      <c r="B2784" s="13">
        <v>10208.25</v>
      </c>
      <c r="C2784" s="2">
        <f t="shared" si="215"/>
        <v>-4.099441783736768E-2</v>
      </c>
      <c r="D2784" s="21">
        <f t="shared" ca="1" si="216"/>
        <v>-4.1378370252474546E-2</v>
      </c>
      <c r="E2784" s="21">
        <f t="shared" ca="1" si="218"/>
        <v>1.0395007351845462E-4</v>
      </c>
      <c r="F2784" s="11">
        <f t="shared" ca="1" si="219"/>
        <v>-3.6497379068195679</v>
      </c>
      <c r="G2784" s="10">
        <f t="shared" ca="1" si="217"/>
        <v>0</v>
      </c>
    </row>
    <row r="2785" spans="1:7" x14ac:dyDescent="0.2">
      <c r="A2785" s="2">
        <v>20010313</v>
      </c>
      <c r="B2785" s="13">
        <v>10290.799999999999</v>
      </c>
      <c r="C2785" s="2">
        <f t="shared" si="215"/>
        <v>8.0865966252785023E-3</v>
      </c>
      <c r="D2785" s="21">
        <f t="shared" ca="1" si="216"/>
        <v>7.7026442101716351E-3</v>
      </c>
      <c r="E2785" s="21">
        <f t="shared" ca="1" si="218"/>
        <v>1.625596711344765E-4</v>
      </c>
      <c r="F2785" s="11">
        <f t="shared" ca="1" si="219"/>
        <v>4.1797436339445451</v>
      </c>
      <c r="G2785" s="10">
        <f t="shared" ca="1" si="217"/>
        <v>1</v>
      </c>
    </row>
    <row r="2786" spans="1:7" x14ac:dyDescent="0.2">
      <c r="A2786" s="2">
        <v>20010314</v>
      </c>
      <c r="B2786" s="13">
        <v>9973.4599999999991</v>
      </c>
      <c r="C2786" s="2">
        <f t="shared" si="215"/>
        <v>-3.0837252691724663E-2</v>
      </c>
      <c r="D2786" s="21">
        <f t="shared" ca="1" si="216"/>
        <v>-3.1221205106831532E-2</v>
      </c>
      <c r="E2786" s="21">
        <f t="shared" ca="1" si="218"/>
        <v>1.5742642141189841E-4</v>
      </c>
      <c r="F2786" s="11">
        <f t="shared" ca="1" si="219"/>
        <v>1.2823421007681173</v>
      </c>
      <c r="G2786" s="10">
        <f t="shared" ca="1" si="217"/>
        <v>0</v>
      </c>
    </row>
    <row r="2787" spans="1:7" x14ac:dyDescent="0.2">
      <c r="A2787" s="2">
        <v>20010315</v>
      </c>
      <c r="B2787" s="13">
        <v>10031.280000000001</v>
      </c>
      <c r="C2787" s="2">
        <f t="shared" si="215"/>
        <v>5.7973862631425337E-3</v>
      </c>
      <c r="D2787" s="21">
        <f t="shared" ca="1" si="216"/>
        <v>5.4134338480356665E-3</v>
      </c>
      <c r="E2787" s="21">
        <f t="shared" ca="1" si="218"/>
        <v>1.8621493135851828E-4</v>
      </c>
      <c r="F2787" s="11">
        <f t="shared" ca="1" si="219"/>
        <v>4.2156178323577809</v>
      </c>
      <c r="G2787" s="10">
        <f t="shared" ca="1" si="217"/>
        <v>1</v>
      </c>
    </row>
    <row r="2788" spans="1:7" x14ac:dyDescent="0.2">
      <c r="A2788" s="2">
        <v>20010316</v>
      </c>
      <c r="B2788" s="13">
        <v>9823.41</v>
      </c>
      <c r="C2788" s="2">
        <f t="shared" si="215"/>
        <v>-2.0722181017776474E-2</v>
      </c>
      <c r="D2788" s="21">
        <f t="shared" ca="1" si="216"/>
        <v>-2.1106133432883343E-2</v>
      </c>
      <c r="E2788" s="21">
        <f t="shared" ca="1" si="218"/>
        <v>1.787808655760656E-4</v>
      </c>
      <c r="F2788" s="11">
        <f t="shared" ca="1" si="219"/>
        <v>3.0688232202476868</v>
      </c>
      <c r="G2788" s="10">
        <f t="shared" ca="1" si="217"/>
        <v>0</v>
      </c>
    </row>
    <row r="2789" spans="1:7" x14ac:dyDescent="0.2">
      <c r="A2789" s="2">
        <v>20010319</v>
      </c>
      <c r="B2789" s="13">
        <v>9959.11</v>
      </c>
      <c r="C2789" s="2">
        <f t="shared" si="215"/>
        <v>1.3813940373047723E-2</v>
      </c>
      <c r="D2789" s="21">
        <f t="shared" ca="1" si="216"/>
        <v>1.3429987957940856E-2</v>
      </c>
      <c r="E2789" s="21">
        <f t="shared" ca="1" si="218"/>
        <v>1.8702595393299432E-4</v>
      </c>
      <c r="F2789" s="11">
        <f t="shared" ca="1" si="219"/>
        <v>3.8099402776109565</v>
      </c>
      <c r="G2789" s="10">
        <f t="shared" ca="1" si="217"/>
        <v>1</v>
      </c>
    </row>
    <row r="2790" spans="1:7" x14ac:dyDescent="0.2">
      <c r="A2790" s="2">
        <v>20010320</v>
      </c>
      <c r="B2790" s="13">
        <v>9720.76</v>
      </c>
      <c r="C2790" s="2">
        <f t="shared" si="215"/>
        <v>-2.3932861470553127E-2</v>
      </c>
      <c r="D2790" s="21">
        <f t="shared" ca="1" si="216"/>
        <v>-2.4316813885659996E-2</v>
      </c>
      <c r="E2790" s="21">
        <f t="shared" ca="1" si="218"/>
        <v>1.8510557285606778E-4</v>
      </c>
      <c r="F2790" s="11">
        <f t="shared" ca="1" si="219"/>
        <v>2.7000753804186299</v>
      </c>
      <c r="G2790" s="10">
        <f t="shared" ca="1" si="217"/>
        <v>0</v>
      </c>
    </row>
    <row r="2791" spans="1:7" x14ac:dyDescent="0.2">
      <c r="A2791" s="2">
        <v>20010321</v>
      </c>
      <c r="B2791" s="13">
        <v>9487</v>
      </c>
      <c r="C2791" s="2">
        <f t="shared" si="215"/>
        <v>-2.4047502458655518E-2</v>
      </c>
      <c r="D2791" s="21">
        <f t="shared" ca="1" si="216"/>
        <v>-2.4431454873762387E-2</v>
      </c>
      <c r="E2791" s="21">
        <f t="shared" ca="1" si="218"/>
        <v>1.9839343101465777E-4</v>
      </c>
      <c r="F2791" s="11">
        <f t="shared" ca="1" si="219"/>
        <v>2.7583052674468647</v>
      </c>
      <c r="G2791" s="10">
        <f t="shared" ca="1" si="217"/>
        <v>0</v>
      </c>
    </row>
    <row r="2792" spans="1:7" x14ac:dyDescent="0.2">
      <c r="A2792" s="2">
        <v>20010322</v>
      </c>
      <c r="B2792" s="13">
        <v>9389.48</v>
      </c>
      <c r="C2792" s="2">
        <f t="shared" si="215"/>
        <v>-1.0279329608938594E-2</v>
      </c>
      <c r="D2792" s="21">
        <f t="shared" ca="1" si="216"/>
        <v>-1.0663282024045461E-2</v>
      </c>
      <c r="E2792" s="21">
        <f t="shared" ca="1" si="218"/>
        <v>2.112145527840855E-4</v>
      </c>
      <c r="F2792" s="11">
        <f t="shared" ca="1" si="219"/>
        <v>3.9621472439804628</v>
      </c>
      <c r="G2792" s="10">
        <f t="shared" ca="1" si="217"/>
        <v>1</v>
      </c>
    </row>
    <row r="2793" spans="1:7" x14ac:dyDescent="0.2">
      <c r="A2793" s="2">
        <v>20010323</v>
      </c>
      <c r="B2793" s="13">
        <v>9504.7800000000007</v>
      </c>
      <c r="C2793" s="2">
        <f t="shared" si="215"/>
        <v>1.2279700260291421E-2</v>
      </c>
      <c r="D2793" s="21">
        <f t="shared" ca="1" si="216"/>
        <v>1.1895747845184554E-2</v>
      </c>
      <c r="E2793" s="21">
        <f t="shared" ca="1" si="218"/>
        <v>2.0561929496353185E-4</v>
      </c>
      <c r="F2793" s="11">
        <f t="shared" ca="1" si="219"/>
        <v>3.9006381563825854</v>
      </c>
      <c r="G2793" s="10">
        <f t="shared" ca="1" si="217"/>
        <v>1</v>
      </c>
    </row>
    <row r="2794" spans="1:7" x14ac:dyDescent="0.2">
      <c r="A2794" s="2">
        <v>20010326</v>
      </c>
      <c r="B2794" s="13">
        <v>9687.5300000000007</v>
      </c>
      <c r="C2794" s="2">
        <f t="shared" si="215"/>
        <v>1.9227167803989149E-2</v>
      </c>
      <c r="D2794" s="21">
        <f t="shared" ca="1" si="216"/>
        <v>1.8843215388882281E-2</v>
      </c>
      <c r="E2794" s="21">
        <f t="shared" ca="1" si="218"/>
        <v>2.0132947651159939E-4</v>
      </c>
      <c r="F2794" s="11">
        <f t="shared" ca="1" si="219"/>
        <v>3.373478683791995</v>
      </c>
      <c r="G2794" s="10">
        <f t="shared" ca="1" si="217"/>
        <v>0</v>
      </c>
    </row>
    <row r="2795" spans="1:7" x14ac:dyDescent="0.2">
      <c r="A2795" s="2">
        <v>20010327</v>
      </c>
      <c r="B2795" s="13">
        <v>9947.5400000000009</v>
      </c>
      <c r="C2795" s="2">
        <f t="shared" si="215"/>
        <v>2.6839658819121096E-2</v>
      </c>
      <c r="D2795" s="21">
        <f t="shared" ca="1" si="216"/>
        <v>2.6455706404014227E-2</v>
      </c>
      <c r="E2795" s="21">
        <f t="shared" ca="1" si="218"/>
        <v>2.0510958006914002E-4</v>
      </c>
      <c r="F2795" s="11">
        <f t="shared" ca="1" si="219"/>
        <v>2.5398111985361136</v>
      </c>
      <c r="G2795" s="10">
        <f t="shared" ca="1" si="217"/>
        <v>0</v>
      </c>
    </row>
    <row r="2796" spans="1:7" x14ac:dyDescent="0.2">
      <c r="A2796" s="2">
        <v>20010328</v>
      </c>
      <c r="B2796" s="13">
        <v>9785.35</v>
      </c>
      <c r="C2796" s="2">
        <f t="shared" si="215"/>
        <v>-1.6304533583177398E-2</v>
      </c>
      <c r="D2796" s="21">
        <f t="shared" ca="1" si="216"/>
        <v>-1.6688485998284267E-2</v>
      </c>
      <c r="E2796" s="21">
        <f t="shared" ca="1" si="218"/>
        <v>2.2137872889002044E-4</v>
      </c>
      <c r="F2796" s="11">
        <f t="shared" ca="1" si="219"/>
        <v>3.5787926845895237</v>
      </c>
      <c r="G2796" s="10">
        <f t="shared" ca="1" si="217"/>
        <v>0</v>
      </c>
    </row>
    <row r="2797" spans="1:7" x14ac:dyDescent="0.2">
      <c r="A2797" s="2">
        <v>20010329</v>
      </c>
      <c r="B2797" s="13">
        <v>9799.06</v>
      </c>
      <c r="C2797" s="2">
        <f t="shared" si="215"/>
        <v>1.4010740545815047E-3</v>
      </c>
      <c r="D2797" s="21">
        <f t="shared" ca="1" si="216"/>
        <v>1.0171216394746375E-3</v>
      </c>
      <c r="E2797" s="21">
        <f t="shared" ca="1" si="218"/>
        <v>2.2132924511782272E-4</v>
      </c>
      <c r="F2797" s="11">
        <f t="shared" ca="1" si="219"/>
        <v>4.2055924857345781</v>
      </c>
      <c r="G2797" s="10">
        <f t="shared" ca="1" si="217"/>
        <v>1</v>
      </c>
    </row>
    <row r="2798" spans="1:7" x14ac:dyDescent="0.2">
      <c r="A2798" s="2">
        <v>20010330</v>
      </c>
      <c r="B2798" s="13">
        <v>9878.7800000000007</v>
      </c>
      <c r="C2798" s="2">
        <f t="shared" ref="C2798:C2861" si="220">(B2798-B2797)/B2797</f>
        <v>8.1354742189558155E-3</v>
      </c>
      <c r="D2798" s="21">
        <f t="shared" ca="1" si="216"/>
        <v>7.7515218038489483E-3</v>
      </c>
      <c r="E2798" s="21">
        <f t="shared" ca="1" si="218"/>
        <v>2.1107917055107045E-4</v>
      </c>
      <c r="F2798" s="11">
        <f t="shared" ca="1" si="219"/>
        <v>4.0893079440495024</v>
      </c>
      <c r="G2798" s="10">
        <f t="shared" ca="1" si="217"/>
        <v>1</v>
      </c>
    </row>
    <row r="2799" spans="1:7" x14ac:dyDescent="0.2">
      <c r="A2799" s="2">
        <v>20010402</v>
      </c>
      <c r="B2799" s="13">
        <v>9777.93</v>
      </c>
      <c r="C2799" s="2">
        <f t="shared" si="220"/>
        <v>-1.020875047323661E-2</v>
      </c>
      <c r="D2799" s="21">
        <f t="shared" ca="1" si="216"/>
        <v>-1.0592702888343478E-2</v>
      </c>
      <c r="E2799" s="21">
        <f t="shared" ca="1" si="218"/>
        <v>2.0351907937334518E-4</v>
      </c>
      <c r="F2799" s="11">
        <f t="shared" ca="1" si="219"/>
        <v>3.9742124141190884</v>
      </c>
      <c r="G2799" s="10">
        <f t="shared" ca="1" si="217"/>
        <v>1</v>
      </c>
    </row>
    <row r="2800" spans="1:7" x14ac:dyDescent="0.2">
      <c r="A2800" s="2">
        <v>20010403</v>
      </c>
      <c r="B2800" s="13">
        <v>9485.7099999999991</v>
      </c>
      <c r="C2800" s="2">
        <f t="shared" si="220"/>
        <v>-2.9885671098075068E-2</v>
      </c>
      <c r="D2800" s="21">
        <f t="shared" ca="1" si="216"/>
        <v>-3.0269623513181937E-2</v>
      </c>
      <c r="E2800" s="21">
        <f t="shared" ca="1" si="218"/>
        <v>1.9825797204508136E-4</v>
      </c>
      <c r="F2800" s="11">
        <f t="shared" ca="1" si="219"/>
        <v>1.95221849898329</v>
      </c>
      <c r="G2800" s="10">
        <f t="shared" ca="1" si="217"/>
        <v>0</v>
      </c>
    </row>
    <row r="2801" spans="1:7" x14ac:dyDescent="0.2">
      <c r="A2801" s="2">
        <v>20010404</v>
      </c>
      <c r="B2801" s="13">
        <v>9515.42</v>
      </c>
      <c r="C2801" s="2">
        <f t="shared" si="220"/>
        <v>3.132079728349375E-3</v>
      </c>
      <c r="D2801" s="21">
        <f t="shared" ca="1" si="216"/>
        <v>2.7481273132425078E-3</v>
      </c>
      <c r="E2801" s="21">
        <f t="shared" ca="1" si="218"/>
        <v>2.2282915534211739E-4</v>
      </c>
      <c r="F2801" s="11">
        <f t="shared" ca="1" si="219"/>
        <v>4.1876064248177896</v>
      </c>
      <c r="G2801" s="10">
        <f t="shared" ca="1" si="217"/>
        <v>1</v>
      </c>
    </row>
    <row r="2802" spans="1:7" x14ac:dyDescent="0.2">
      <c r="A2802" s="2">
        <v>20010405</v>
      </c>
      <c r="B2802" s="13">
        <v>9918.0499999999993</v>
      </c>
      <c r="C2802" s="2">
        <f t="shared" si="220"/>
        <v>4.2313423895109115E-2</v>
      </c>
      <c r="D2802" s="21">
        <f t="shared" ca="1" si="216"/>
        <v>4.1929471480002249E-2</v>
      </c>
      <c r="E2802" s="21">
        <f t="shared" ca="1" si="218"/>
        <v>2.1274286583003709E-4</v>
      </c>
      <c r="F2802" s="11">
        <f t="shared" ca="1" si="219"/>
        <v>9.5775360717572866E-2</v>
      </c>
      <c r="G2802" s="10">
        <f t="shared" ca="1" si="217"/>
        <v>0</v>
      </c>
    </row>
    <row r="2803" spans="1:7" x14ac:dyDescent="0.2">
      <c r="A2803" s="2">
        <v>20010406</v>
      </c>
      <c r="B2803" s="13">
        <v>9791.09</v>
      </c>
      <c r="C2803" s="2">
        <f t="shared" si="220"/>
        <v>-1.28009034033907E-2</v>
      </c>
      <c r="D2803" s="21">
        <f t="shared" ca="1" si="216"/>
        <v>-1.3184855818497567E-2</v>
      </c>
      <c r="E2803" s="21">
        <f t="shared" ca="1" si="218"/>
        <v>2.6753682987404575E-4</v>
      </c>
      <c r="F2803" s="11">
        <f t="shared" ca="1" si="219"/>
        <v>3.788236021176989</v>
      </c>
      <c r="G2803" s="10">
        <f t="shared" ca="1" si="217"/>
        <v>1</v>
      </c>
    </row>
    <row r="2804" spans="1:7" x14ac:dyDescent="0.2">
      <c r="A2804" s="2">
        <v>20010409</v>
      </c>
      <c r="B2804" s="13">
        <v>9845.15</v>
      </c>
      <c r="C2804" s="2">
        <f t="shared" si="220"/>
        <v>5.5213464486588816E-3</v>
      </c>
      <c r="D2804" s="21">
        <f t="shared" ca="1" si="216"/>
        <v>5.1373940335520145E-3</v>
      </c>
      <c r="E2804" s="21">
        <f t="shared" ca="1" si="218"/>
        <v>2.613034725547062E-4</v>
      </c>
      <c r="F2804" s="11">
        <f t="shared" ca="1" si="219"/>
        <v>4.0744118154818132</v>
      </c>
      <c r="G2804" s="10">
        <f t="shared" ca="1" si="217"/>
        <v>1</v>
      </c>
    </row>
    <row r="2805" spans="1:7" x14ac:dyDescent="0.2">
      <c r="A2805" s="2">
        <v>20010410</v>
      </c>
      <c r="B2805" s="13">
        <v>10102.74</v>
      </c>
      <c r="C2805" s="2">
        <f t="shared" si="220"/>
        <v>2.6164151892048383E-2</v>
      </c>
      <c r="D2805" s="21">
        <f t="shared" ca="1" si="216"/>
        <v>2.5780199476941514E-2</v>
      </c>
      <c r="E2805" s="21">
        <f t="shared" ca="1" si="218"/>
        <v>2.4996355692993258E-4</v>
      </c>
      <c r="F2805" s="11">
        <f t="shared" ca="1" si="219"/>
        <v>2.8176665471499742</v>
      </c>
      <c r="G2805" s="10">
        <f t="shared" ca="1" si="217"/>
        <v>0</v>
      </c>
    </row>
    <row r="2806" spans="1:7" x14ac:dyDescent="0.2">
      <c r="A2806" s="2">
        <v>20010411</v>
      </c>
      <c r="B2806" s="13">
        <v>10013.469999999999</v>
      </c>
      <c r="C2806" s="2">
        <f t="shared" si="220"/>
        <v>-8.8362167095263691E-3</v>
      </c>
      <c r="D2806" s="21">
        <f t="shared" ca="1" si="216"/>
        <v>-9.2201691246332363E-3</v>
      </c>
      <c r="E2806" s="21">
        <f t="shared" ca="1" si="218"/>
        <v>2.6266601089504593E-4</v>
      </c>
      <c r="F2806" s="11">
        <f t="shared" ca="1" si="219"/>
        <v>3.9604892657843696</v>
      </c>
      <c r="G2806" s="10">
        <f t="shared" ca="1" si="217"/>
        <v>1</v>
      </c>
    </row>
    <row r="2807" spans="1:7" x14ac:dyDescent="0.2">
      <c r="A2807" s="2">
        <v>20010412</v>
      </c>
      <c r="B2807" s="13">
        <v>10126.94</v>
      </c>
      <c r="C2807" s="2">
        <f t="shared" si="220"/>
        <v>1.1331736151404176E-2</v>
      </c>
      <c r="D2807" s="21">
        <f t="shared" ca="1" si="216"/>
        <v>1.0947783736297309E-2</v>
      </c>
      <c r="E2807" s="21">
        <f t="shared" ca="1" si="218"/>
        <v>2.5341267600226909E-4</v>
      </c>
      <c r="F2807" s="11">
        <f t="shared" ca="1" si="219"/>
        <v>3.9037658123936705</v>
      </c>
      <c r="G2807" s="10">
        <f t="shared" ca="1" si="217"/>
        <v>1</v>
      </c>
    </row>
    <row r="2808" spans="1:7" x14ac:dyDescent="0.2">
      <c r="A2808" s="2">
        <v>20010416</v>
      </c>
      <c r="B2808" s="13">
        <v>10158.56</v>
      </c>
      <c r="C2808" s="2">
        <f t="shared" si="220"/>
        <v>3.1223647024667847E-3</v>
      </c>
      <c r="D2808" s="21">
        <f t="shared" ca="1" si="216"/>
        <v>2.7384122873599175E-3</v>
      </c>
      <c r="E2808" s="21">
        <f t="shared" ca="1" si="218"/>
        <v>2.4590868809340271E-4</v>
      </c>
      <c r="F2808" s="11">
        <f t="shared" ca="1" si="219"/>
        <v>4.140027808732528</v>
      </c>
      <c r="G2808" s="10">
        <f t="shared" ca="1" si="217"/>
        <v>1</v>
      </c>
    </row>
    <row r="2809" spans="1:7" x14ac:dyDescent="0.2">
      <c r="A2809" s="2">
        <v>20010417</v>
      </c>
      <c r="B2809" s="13">
        <v>10216.73</v>
      </c>
      <c r="C2809" s="2">
        <f t="shared" si="220"/>
        <v>5.7262052889385968E-3</v>
      </c>
      <c r="D2809" s="21">
        <f t="shared" ca="1" si="216"/>
        <v>5.3422528738317297E-3</v>
      </c>
      <c r="E2809" s="21">
        <f t="shared" ca="1" si="218"/>
        <v>2.3465283741718617E-4</v>
      </c>
      <c r="F2809" s="11">
        <f t="shared" ca="1" si="219"/>
        <v>4.1178891811158023</v>
      </c>
      <c r="G2809" s="10">
        <f t="shared" ca="1" si="217"/>
        <v>1</v>
      </c>
    </row>
    <row r="2810" spans="1:7" x14ac:dyDescent="0.2">
      <c r="A2810" s="2">
        <v>20010418</v>
      </c>
      <c r="B2810" s="13">
        <v>10615.83</v>
      </c>
      <c r="C2810" s="2">
        <f t="shared" si="220"/>
        <v>3.9063379378724936E-2</v>
      </c>
      <c r="D2810" s="21">
        <f t="shared" ca="1" si="216"/>
        <v>3.867942696361807E-2</v>
      </c>
      <c r="E2810" s="21">
        <f t="shared" ca="1" si="218"/>
        <v>2.2474012956005194E-4</v>
      </c>
      <c r="F2810" s="11">
        <f t="shared" ca="1" si="219"/>
        <v>0.87177616537884317</v>
      </c>
      <c r="G2810" s="10">
        <f t="shared" ca="1" si="217"/>
        <v>0</v>
      </c>
    </row>
    <row r="2811" spans="1:7" x14ac:dyDescent="0.2">
      <c r="A2811" s="2">
        <v>20010419</v>
      </c>
      <c r="B2811" s="13">
        <v>10693.71</v>
      </c>
      <c r="C2811" s="2">
        <f t="shared" si="220"/>
        <v>7.3362139371108241E-3</v>
      </c>
      <c r="D2811" s="21">
        <f t="shared" ca="1" si="216"/>
        <v>6.9522615220039569E-3</v>
      </c>
      <c r="E2811" s="21">
        <f t="shared" ca="1" si="218"/>
        <v>2.692935938155597E-4</v>
      </c>
      <c r="F2811" s="11">
        <f t="shared" ca="1" si="219"/>
        <v>4.0201120826038652</v>
      </c>
      <c r="G2811" s="10">
        <f t="shared" ca="1" si="217"/>
        <v>1</v>
      </c>
    </row>
    <row r="2812" spans="1:7" x14ac:dyDescent="0.2">
      <c r="A2812" s="2">
        <v>20010420</v>
      </c>
      <c r="B2812" s="13">
        <v>10579.85</v>
      </c>
      <c r="C2812" s="2">
        <f t="shared" si="220"/>
        <v>-1.064738056296634E-2</v>
      </c>
      <c r="D2812" s="21">
        <f t="shared" ca="1" si="216"/>
        <v>-1.1031332978073207E-2</v>
      </c>
      <c r="E2812" s="21">
        <f t="shared" ca="1" si="218"/>
        <v>2.5835626872145492E-4</v>
      </c>
      <c r="F2812" s="11">
        <f t="shared" ca="1" si="219"/>
        <v>3.8950768015256987</v>
      </c>
      <c r="G2812" s="10">
        <f t="shared" ca="1" si="217"/>
        <v>1</v>
      </c>
    </row>
    <row r="2813" spans="1:7" x14ac:dyDescent="0.2">
      <c r="A2813" s="2">
        <v>20010423</v>
      </c>
      <c r="B2813" s="13">
        <v>10532.23</v>
      </c>
      <c r="C2813" s="2">
        <f t="shared" si="220"/>
        <v>-4.5010089935113261E-3</v>
      </c>
      <c r="D2813" s="21">
        <f t="shared" ca="1" si="216"/>
        <v>-4.8849614086181933E-3</v>
      </c>
      <c r="E2813" s="21">
        <f t="shared" ca="1" si="218"/>
        <v>2.5066970820349294E-4</v>
      </c>
      <c r="F2813" s="11">
        <f t="shared" ca="1" si="219"/>
        <v>4.0980890061442423</v>
      </c>
      <c r="G2813" s="10">
        <f t="shared" ca="1" si="217"/>
        <v>1</v>
      </c>
    </row>
    <row r="2814" spans="1:7" x14ac:dyDescent="0.2">
      <c r="A2814" s="2">
        <v>20010424</v>
      </c>
      <c r="B2814" s="13">
        <v>10454.34</v>
      </c>
      <c r="C2814" s="2">
        <f t="shared" si="220"/>
        <v>-7.3953948973768538E-3</v>
      </c>
      <c r="D2814" s="21">
        <f t="shared" ca="1" si="216"/>
        <v>-7.779347312483721E-3</v>
      </c>
      <c r="E2814" s="21">
        <f t="shared" ca="1" si="218"/>
        <v>2.3977472682288882E-4</v>
      </c>
      <c r="F2814" s="11">
        <f t="shared" ca="1" si="219"/>
        <v>4.0417072261703071</v>
      </c>
      <c r="G2814" s="10">
        <f t="shared" ca="1" si="217"/>
        <v>1</v>
      </c>
    </row>
    <row r="2815" spans="1:7" x14ac:dyDescent="0.2">
      <c r="A2815" s="2">
        <v>20010425</v>
      </c>
      <c r="B2815" s="13">
        <v>10625.2</v>
      </c>
      <c r="C2815" s="2">
        <f t="shared" si="220"/>
        <v>1.6343451619136223E-2</v>
      </c>
      <c r="D2815" s="21">
        <f t="shared" ca="1" si="216"/>
        <v>1.5959499204029354E-2</v>
      </c>
      <c r="E2815" s="21">
        <f t="shared" ca="1" si="218"/>
        <v>2.3077880907432569E-4</v>
      </c>
      <c r="F2815" s="11">
        <f t="shared" ca="1" si="219"/>
        <v>3.6351861604641718</v>
      </c>
      <c r="G2815" s="10">
        <f t="shared" ca="1" si="217"/>
        <v>0</v>
      </c>
    </row>
    <row r="2816" spans="1:7" x14ac:dyDescent="0.2">
      <c r="A2816" s="2">
        <v>20010426</v>
      </c>
      <c r="B2816" s="13">
        <v>10692.35</v>
      </c>
      <c r="C2816" s="2">
        <f t="shared" si="220"/>
        <v>6.3198810375333769E-3</v>
      </c>
      <c r="D2816" s="21">
        <f t="shared" ca="1" si="216"/>
        <v>5.9359286224265097E-3</v>
      </c>
      <c r="E2816" s="21">
        <f t="shared" ca="1" si="218"/>
        <v>2.2937860643053076E-4</v>
      </c>
      <c r="F2816" s="11">
        <f t="shared" ca="1" si="219"/>
        <v>4.1132624343785373</v>
      </c>
      <c r="G2816" s="10">
        <f t="shared" ca="1" si="217"/>
        <v>1</v>
      </c>
    </row>
    <row r="2817" spans="1:7" x14ac:dyDescent="0.2">
      <c r="A2817" s="2">
        <v>20010427</v>
      </c>
      <c r="B2817" s="13">
        <v>10810.05</v>
      </c>
      <c r="C2817" s="2">
        <f t="shared" si="220"/>
        <v>1.1007870112744057E-2</v>
      </c>
      <c r="D2817" s="21">
        <f t="shared" ca="1" si="216"/>
        <v>1.0623917697637189E-2</v>
      </c>
      <c r="E2817" s="21">
        <f t="shared" ca="1" si="218"/>
        <v>2.1997893192755169E-4</v>
      </c>
      <c r="F2817" s="11">
        <f t="shared" ca="1" si="219"/>
        <v>3.9544474879613323</v>
      </c>
      <c r="G2817" s="10">
        <f t="shared" ca="1" si="217"/>
        <v>1</v>
      </c>
    </row>
    <row r="2818" spans="1:7" x14ac:dyDescent="0.2">
      <c r="A2818" s="2">
        <v>20010430</v>
      </c>
      <c r="B2818" s="13">
        <v>10734.97</v>
      </c>
      <c r="C2818" s="2">
        <f t="shared" si="220"/>
        <v>-6.9453887817355082E-3</v>
      </c>
      <c r="D2818" s="21">
        <f t="shared" ca="1" si="216"/>
        <v>-7.3293411968423754E-3</v>
      </c>
      <c r="E2818" s="21">
        <f t="shared" ca="1" si="218"/>
        <v>2.1390946816487392E-4</v>
      </c>
      <c r="F2818" s="11">
        <f t="shared" ca="1" si="219"/>
        <v>4.0994134707326335</v>
      </c>
      <c r="G2818" s="10">
        <f t="shared" ca="1" si="217"/>
        <v>1</v>
      </c>
    </row>
    <row r="2819" spans="1:7" x14ac:dyDescent="0.2">
      <c r="A2819" s="2">
        <v>20010501</v>
      </c>
      <c r="B2819" s="13">
        <v>10898.34</v>
      </c>
      <c r="C2819" s="2">
        <f t="shared" si="220"/>
        <v>1.5218486870480384E-2</v>
      </c>
      <c r="D2819" s="21">
        <f t="shared" ca="1" si="216"/>
        <v>1.4834534455373517E-2</v>
      </c>
      <c r="E2819" s="21">
        <f t="shared" ca="1" si="218"/>
        <v>2.0597207118500522E-4</v>
      </c>
      <c r="F2819" s="11">
        <f t="shared" ca="1" si="219"/>
        <v>3.7096780651410848</v>
      </c>
      <c r="G2819" s="10">
        <f t="shared" ca="1" si="217"/>
        <v>0</v>
      </c>
    </row>
    <row r="2820" spans="1:7" x14ac:dyDescent="0.2">
      <c r="A2820" s="2">
        <v>20010502</v>
      </c>
      <c r="B2820" s="13">
        <v>10876.68</v>
      </c>
      <c r="C2820" s="2">
        <f t="shared" si="220"/>
        <v>-1.9874586404901896E-3</v>
      </c>
      <c r="D2820" s="21">
        <f t="shared" ca="1" si="216"/>
        <v>-2.3714110555970568E-3</v>
      </c>
      <c r="E2820" s="21">
        <f t="shared" ca="1" si="218"/>
        <v>2.0455299531220276E-4</v>
      </c>
      <c r="F2820" s="11">
        <f t="shared" ca="1" si="219"/>
        <v>4.2335956875999274</v>
      </c>
      <c r="G2820" s="10">
        <f t="shared" ca="1" si="217"/>
        <v>1</v>
      </c>
    </row>
    <row r="2821" spans="1:7" x14ac:dyDescent="0.2">
      <c r="A2821" s="2">
        <v>20010503</v>
      </c>
      <c r="B2821" s="13">
        <v>10796.65</v>
      </c>
      <c r="C2821" s="2">
        <f t="shared" si="220"/>
        <v>-7.3579437843165974E-3</v>
      </c>
      <c r="D2821" s="21">
        <f t="shared" ca="1" si="216"/>
        <v>-7.7418961994234646E-3</v>
      </c>
      <c r="E2821" s="21">
        <f t="shared" ca="1" si="218"/>
        <v>1.9532038427393835E-4</v>
      </c>
      <c r="F2821" s="11">
        <f t="shared" ca="1" si="219"/>
        <v>4.1170022600508522</v>
      </c>
      <c r="G2821" s="10">
        <f t="shared" ca="1" si="217"/>
        <v>1</v>
      </c>
    </row>
    <row r="2822" spans="1:7" x14ac:dyDescent="0.2">
      <c r="A2822" s="2">
        <v>20010504</v>
      </c>
      <c r="B2822" s="13">
        <v>10951.24</v>
      </c>
      <c r="C2822" s="2">
        <f t="shared" si="220"/>
        <v>1.4318330222800605E-2</v>
      </c>
      <c r="D2822" s="21">
        <f t="shared" ca="1" si="216"/>
        <v>1.3934377807693738E-2</v>
      </c>
      <c r="E2822" s="21">
        <f t="shared" ca="1" si="218"/>
        <v>1.885520513831153E-4</v>
      </c>
      <c r="F2822" s="11">
        <f t="shared" ca="1" si="219"/>
        <v>3.7731788811610283</v>
      </c>
      <c r="G2822" s="10">
        <f t="shared" ca="1" si="217"/>
        <v>0</v>
      </c>
    </row>
    <row r="2823" spans="1:7" x14ac:dyDescent="0.2">
      <c r="A2823" s="2">
        <v>20010507</v>
      </c>
      <c r="B2823" s="13">
        <v>10935.17</v>
      </c>
      <c r="C2823" s="2">
        <f t="shared" si="220"/>
        <v>-1.4674137357961025E-3</v>
      </c>
      <c r="D2823" s="21">
        <f t="shared" ca="1" si="216"/>
        <v>-1.8513661509029699E-3</v>
      </c>
      <c r="E2823" s="21">
        <f t="shared" ca="1" si="218"/>
        <v>1.8706199951073322E-4</v>
      </c>
      <c r="F2823" s="11">
        <f t="shared" ca="1" si="219"/>
        <v>4.2828736715273914</v>
      </c>
      <c r="G2823" s="10">
        <f t="shared" ca="1" si="217"/>
        <v>1</v>
      </c>
    </row>
    <row r="2824" spans="1:7" x14ac:dyDescent="0.2">
      <c r="A2824" s="2">
        <v>20010508</v>
      </c>
      <c r="B2824" s="13">
        <v>10883.51</v>
      </c>
      <c r="C2824" s="2">
        <f t="shared" si="220"/>
        <v>-4.7242063909385817E-3</v>
      </c>
      <c r="D2824" s="21">
        <f t="shared" ca="1" si="216"/>
        <v>-5.1081588060454489E-3</v>
      </c>
      <c r="E2824" s="21">
        <f t="shared" ca="1" si="218"/>
        <v>1.7863351171312791E-4</v>
      </c>
      <c r="F2824" s="11">
        <f t="shared" ca="1" si="219"/>
        <v>4.242051325928097</v>
      </c>
      <c r="G2824" s="10">
        <f t="shared" ca="1" si="217"/>
        <v>1</v>
      </c>
    </row>
    <row r="2825" spans="1:7" x14ac:dyDescent="0.2">
      <c r="A2825" s="2">
        <v>20010509</v>
      </c>
      <c r="B2825" s="13">
        <v>10866.98</v>
      </c>
      <c r="C2825" s="2">
        <f t="shared" si="220"/>
        <v>-1.518811486367969E-3</v>
      </c>
      <c r="D2825" s="21">
        <f t="shared" ca="1" si="216"/>
        <v>-1.9027639014748362E-3</v>
      </c>
      <c r="E2825" s="21">
        <f t="shared" ca="1" si="218"/>
        <v>1.7146488234722236E-4</v>
      </c>
      <c r="F2825" s="11">
        <f t="shared" ca="1" si="219"/>
        <v>4.3250084540427478</v>
      </c>
      <c r="G2825" s="10">
        <f t="shared" ca="1" si="217"/>
        <v>1</v>
      </c>
    </row>
    <row r="2826" spans="1:7" x14ac:dyDescent="0.2">
      <c r="A2826" s="2">
        <v>20010510</v>
      </c>
      <c r="B2826" s="13">
        <v>10910.44</v>
      </c>
      <c r="C2826" s="2">
        <f t="shared" si="220"/>
        <v>3.9992711866591226E-3</v>
      </c>
      <c r="D2826" s="21">
        <f t="shared" ca="1" si="216"/>
        <v>3.6153187715522554E-3</v>
      </c>
      <c r="E2826" s="21">
        <f t="shared" ca="1" si="218"/>
        <v>1.6383255309209769E-4</v>
      </c>
      <c r="F2826" s="11">
        <f t="shared" ca="1" si="219"/>
        <v>4.318442930152262</v>
      </c>
      <c r="G2826" s="10">
        <f t="shared" ca="1" si="217"/>
        <v>1</v>
      </c>
    </row>
    <row r="2827" spans="1:7" x14ac:dyDescent="0.2">
      <c r="A2827" s="2">
        <v>20010511</v>
      </c>
      <c r="B2827" s="13">
        <v>10821.31</v>
      </c>
      <c r="C2827" s="2">
        <f t="shared" si="220"/>
        <v>-8.1692397373525731E-3</v>
      </c>
      <c r="D2827" s="21">
        <f t="shared" ca="1" si="216"/>
        <v>-8.5531921524594403E-3</v>
      </c>
      <c r="E2827" s="21">
        <f t="shared" ca="1" si="218"/>
        <v>1.5693383959891177E-4</v>
      </c>
      <c r="F2827" s="11">
        <f t="shared" ca="1" si="219"/>
        <v>4.1467605185726102</v>
      </c>
      <c r="G2827" s="10">
        <f t="shared" ca="1" si="217"/>
        <v>1</v>
      </c>
    </row>
    <row r="2828" spans="1:7" x14ac:dyDescent="0.2">
      <c r="A2828" s="2">
        <v>20010514</v>
      </c>
      <c r="B2828" s="13">
        <v>10877.33</v>
      </c>
      <c r="C2828" s="2">
        <f t="shared" si="220"/>
        <v>5.1768223995062E-3</v>
      </c>
      <c r="D2828" s="21">
        <f t="shared" ca="1" si="216"/>
        <v>4.7928699843993328E-3</v>
      </c>
      <c r="E2828" s="21">
        <f t="shared" ca="1" si="218"/>
        <v>1.5259362224514497E-4</v>
      </c>
      <c r="F2828" s="11">
        <f t="shared" ca="1" si="219"/>
        <v>4.3185955966438705</v>
      </c>
      <c r="G2828" s="10">
        <f t="shared" ca="1" si="217"/>
        <v>1</v>
      </c>
    </row>
    <row r="2829" spans="1:7" x14ac:dyDescent="0.2">
      <c r="A2829" s="2">
        <v>20010515</v>
      </c>
      <c r="B2829" s="13">
        <v>10872.97</v>
      </c>
      <c r="C2829" s="2">
        <f t="shared" si="220"/>
        <v>-4.0083366046636282E-4</v>
      </c>
      <c r="D2829" s="21">
        <f t="shared" ca="1" si="216"/>
        <v>-7.8478607557323017E-4</v>
      </c>
      <c r="E2829" s="21">
        <f t="shared" ca="1" si="218"/>
        <v>1.4662756970115905E-4</v>
      </c>
      <c r="F2829" s="11">
        <f t="shared" ca="1" si="219"/>
        <v>4.4117071806722157</v>
      </c>
      <c r="G2829" s="10">
        <f t="shared" ca="1" si="217"/>
        <v>1</v>
      </c>
    </row>
    <row r="2830" spans="1:7" x14ac:dyDescent="0.2">
      <c r="A2830" s="2">
        <v>20010516</v>
      </c>
      <c r="B2830" s="13">
        <v>11215.92</v>
      </c>
      <c r="C2830" s="2">
        <f t="shared" si="220"/>
        <v>3.1541519934295853E-2</v>
      </c>
      <c r="D2830" s="21">
        <f t="shared" ref="D2830:D2893" ca="1" si="221">(C2830-mu)</f>
        <v>3.1157567519188984E-2</v>
      </c>
      <c r="E2830" s="21">
        <f t="shared" ca="1" si="218"/>
        <v>1.4014128310015038E-4</v>
      </c>
      <c r="F2830" s="11">
        <f t="shared" ca="1" si="219"/>
        <v>0.97280363230779443</v>
      </c>
      <c r="G2830" s="10">
        <f t="shared" ref="G2830:G2893" ca="1" si="222">IF(AND(C2830&lt;=mu+zvalue*SQRT(E2830),C2830&gt;=mu-zvalue*SQRT(E2830)),1,0)</f>
        <v>0</v>
      </c>
    </row>
    <row r="2831" spans="1:7" x14ac:dyDescent="0.2">
      <c r="A2831" s="2">
        <v>20010517</v>
      </c>
      <c r="B2831" s="13">
        <v>11248.58</v>
      </c>
      <c r="C2831" s="2">
        <f t="shared" si="220"/>
        <v>2.9119323247669255E-3</v>
      </c>
      <c r="D2831" s="21">
        <f t="shared" ca="1" si="221"/>
        <v>2.5279799096600583E-3</v>
      </c>
      <c r="E2831" s="21">
        <f t="shared" ref="E2831:E2894" ca="1" si="223">(1-alpha-beta)*longvar+alpha*D2830^2+beta*E2830</f>
        <v>1.6965828348956092E-4</v>
      </c>
      <c r="F2831" s="11">
        <f t="shared" ref="F2831:F2894" ca="1" si="224">(-0.5)*(LN(E2831)+D2831^2/E2831)</f>
        <v>4.3220281375851659</v>
      </c>
      <c r="G2831" s="10">
        <f t="shared" ca="1" si="222"/>
        <v>1</v>
      </c>
    </row>
    <row r="2832" spans="1:7" x14ac:dyDescent="0.2">
      <c r="A2832" s="2">
        <v>20010518</v>
      </c>
      <c r="B2832" s="13">
        <v>11301.74</v>
      </c>
      <c r="C2832" s="2">
        <f t="shared" si="220"/>
        <v>4.7259298507011426E-3</v>
      </c>
      <c r="D2832" s="21">
        <f t="shared" ca="1" si="221"/>
        <v>4.3419774355942754E-3</v>
      </c>
      <c r="E2832" s="21">
        <f t="shared" ca="1" si="223"/>
        <v>1.6221921472527279E-4</v>
      </c>
      <c r="F2832" s="11">
        <f t="shared" ca="1" si="224"/>
        <v>4.3051720560316422</v>
      </c>
      <c r="G2832" s="10">
        <f t="shared" ca="1" si="222"/>
        <v>1</v>
      </c>
    </row>
    <row r="2833" spans="1:7" x14ac:dyDescent="0.2">
      <c r="A2833" s="2">
        <v>20010521</v>
      </c>
      <c r="B2833" s="13">
        <v>11337.92</v>
      </c>
      <c r="C2833" s="2">
        <f t="shared" si="220"/>
        <v>3.2012769715106075E-3</v>
      </c>
      <c r="D2833" s="21">
        <f t="shared" ca="1" si="221"/>
        <v>2.8173245564037403E-3</v>
      </c>
      <c r="E2833" s="21">
        <f t="shared" ca="1" si="223"/>
        <v>1.5561474354710317E-4</v>
      </c>
      <c r="F2833" s="11">
        <f t="shared" ca="1" si="224"/>
        <v>4.3585604959494315</v>
      </c>
      <c r="G2833" s="10">
        <f t="shared" ca="1" si="222"/>
        <v>1</v>
      </c>
    </row>
    <row r="2834" spans="1:7" x14ac:dyDescent="0.2">
      <c r="A2834" s="2">
        <v>20010522</v>
      </c>
      <c r="B2834" s="13">
        <v>11257.24</v>
      </c>
      <c r="C2834" s="2">
        <f t="shared" si="220"/>
        <v>-7.1159436651520112E-3</v>
      </c>
      <c r="D2834" s="21">
        <f t="shared" ca="1" si="221"/>
        <v>-7.4998960802588784E-3</v>
      </c>
      <c r="E2834" s="21">
        <f t="shared" ca="1" si="223"/>
        <v>1.4894301457053595E-4</v>
      </c>
      <c r="F2834" s="11">
        <f t="shared" ca="1" si="224"/>
        <v>4.2171480136754305</v>
      </c>
      <c r="G2834" s="10">
        <f t="shared" ca="1" si="222"/>
        <v>1</v>
      </c>
    </row>
    <row r="2835" spans="1:7" x14ac:dyDescent="0.2">
      <c r="A2835" s="2">
        <v>20010523</v>
      </c>
      <c r="B2835" s="13">
        <v>11105.51</v>
      </c>
      <c r="C2835" s="2">
        <f t="shared" si="220"/>
        <v>-1.3478436988107171E-2</v>
      </c>
      <c r="D2835" s="21">
        <f t="shared" ca="1" si="221"/>
        <v>-1.3862389403214038E-2</v>
      </c>
      <c r="E2835" s="21">
        <f t="shared" ca="1" si="223"/>
        <v>1.4438529492639911E-4</v>
      </c>
      <c r="F2835" s="11">
        <f t="shared" ca="1" si="224"/>
        <v>3.756050635704784</v>
      </c>
      <c r="G2835" s="10">
        <f t="shared" ca="1" si="222"/>
        <v>0</v>
      </c>
    </row>
    <row r="2836" spans="1:7" x14ac:dyDescent="0.2">
      <c r="A2836" s="2">
        <v>20010524</v>
      </c>
      <c r="B2836" s="13">
        <v>11122.42</v>
      </c>
      <c r="C2836" s="2">
        <f t="shared" si="220"/>
        <v>1.5226675767254141E-3</v>
      </c>
      <c r="D2836" s="21">
        <f t="shared" ca="1" si="221"/>
        <v>1.1387151616185469E-3</v>
      </c>
      <c r="E2836" s="21">
        <f t="shared" ca="1" si="223"/>
        <v>1.4505607189002642E-4</v>
      </c>
      <c r="F2836" s="11">
        <f t="shared" ca="1" si="224"/>
        <v>4.4147255386762003</v>
      </c>
      <c r="G2836" s="10">
        <f t="shared" ca="1" si="222"/>
        <v>1</v>
      </c>
    </row>
    <row r="2837" spans="1:7" x14ac:dyDescent="0.2">
      <c r="A2837" s="2">
        <v>20010525</v>
      </c>
      <c r="B2837" s="13">
        <v>11005.37</v>
      </c>
      <c r="C2837" s="2">
        <f t="shared" si="220"/>
        <v>-1.0523788887670063E-2</v>
      </c>
      <c r="D2837" s="21">
        <f t="shared" ca="1" si="221"/>
        <v>-1.0907741302776931E-2</v>
      </c>
      <c r="E2837" s="21">
        <f t="shared" ca="1" si="223"/>
        <v>1.3867432146159303E-4</v>
      </c>
      <c r="F2837" s="11">
        <f t="shared" ca="1" si="224"/>
        <v>4.0127047043462447</v>
      </c>
      <c r="G2837" s="10">
        <f t="shared" ca="1" si="222"/>
        <v>1</v>
      </c>
    </row>
    <row r="2838" spans="1:7" x14ac:dyDescent="0.2">
      <c r="A2838" s="2">
        <v>20010529</v>
      </c>
      <c r="B2838" s="13">
        <v>11039.14</v>
      </c>
      <c r="C2838" s="2">
        <f t="shared" si="220"/>
        <v>3.0685020131080206E-3</v>
      </c>
      <c r="D2838" s="21">
        <f t="shared" ca="1" si="221"/>
        <v>2.6845495980011534E-3</v>
      </c>
      <c r="E2838" s="21">
        <f t="shared" ca="1" si="223"/>
        <v>1.3694280395315346E-4</v>
      </c>
      <c r="F2838" s="11">
        <f t="shared" ca="1" si="224"/>
        <v>4.4216604052048334</v>
      </c>
      <c r="G2838" s="10">
        <f t="shared" ca="1" si="222"/>
        <v>1</v>
      </c>
    </row>
    <row r="2839" spans="1:7" x14ac:dyDescent="0.2">
      <c r="A2839" s="2">
        <v>20010530</v>
      </c>
      <c r="B2839" s="13">
        <v>10872.64</v>
      </c>
      <c r="C2839" s="2">
        <f t="shared" si="220"/>
        <v>-1.5082696659341218E-2</v>
      </c>
      <c r="D2839" s="21">
        <f t="shared" ca="1" si="221"/>
        <v>-1.5466649074448086E-2</v>
      </c>
      <c r="E2839" s="21">
        <f t="shared" ca="1" si="223"/>
        <v>1.3118883237955243E-4</v>
      </c>
      <c r="F2839" s="11">
        <f t="shared" ca="1" si="224"/>
        <v>3.5577077539308402</v>
      </c>
      <c r="G2839" s="10">
        <f t="shared" ca="1" si="222"/>
        <v>0</v>
      </c>
    </row>
    <row r="2840" spans="1:7" x14ac:dyDescent="0.2">
      <c r="A2840" s="2">
        <v>20010531</v>
      </c>
      <c r="B2840" s="13">
        <v>10911.94</v>
      </c>
      <c r="C2840" s="2">
        <f t="shared" si="220"/>
        <v>3.6145775083145488E-3</v>
      </c>
      <c r="D2840" s="21">
        <f t="shared" ca="1" si="221"/>
        <v>3.2306250932076816E-3</v>
      </c>
      <c r="E2840" s="21">
        <f t="shared" ca="1" si="223"/>
        <v>1.3425738462611615E-4</v>
      </c>
      <c r="F2840" s="11">
        <f t="shared" ca="1" si="224"/>
        <v>4.4190067685344498</v>
      </c>
      <c r="G2840" s="10">
        <f t="shared" ca="1" si="222"/>
        <v>1</v>
      </c>
    </row>
    <row r="2841" spans="1:7" x14ac:dyDescent="0.2">
      <c r="A2841" s="2">
        <v>20010601</v>
      </c>
      <c r="B2841" s="13">
        <v>10990.41</v>
      </c>
      <c r="C2841" s="2">
        <f t="shared" si="220"/>
        <v>7.1912052302339768E-3</v>
      </c>
      <c r="D2841" s="21">
        <f t="shared" ca="1" si="221"/>
        <v>6.8072528151271097E-3</v>
      </c>
      <c r="E2841" s="21">
        <f t="shared" ca="1" si="223"/>
        <v>1.2875804689220001E-4</v>
      </c>
      <c r="F2841" s="11">
        <f t="shared" ca="1" si="224"/>
        <v>4.2988429255735952</v>
      </c>
      <c r="G2841" s="10">
        <f t="shared" ca="1" si="222"/>
        <v>1</v>
      </c>
    </row>
    <row r="2842" spans="1:7" x14ac:dyDescent="0.2">
      <c r="A2842" s="2">
        <v>20010604</v>
      </c>
      <c r="B2842" s="13">
        <v>11061.52</v>
      </c>
      <c r="C2842" s="2">
        <f t="shared" si="220"/>
        <v>6.470186280584672E-3</v>
      </c>
      <c r="D2842" s="21">
        <f t="shared" ca="1" si="221"/>
        <v>6.0862338654778048E-3</v>
      </c>
      <c r="E2842" s="21">
        <f t="shared" ca="1" si="223"/>
        <v>1.248570925867354E-4</v>
      </c>
      <c r="F2842" s="11">
        <f t="shared" ca="1" si="224"/>
        <v>4.3458318068933197</v>
      </c>
      <c r="G2842" s="10">
        <f t="shared" ca="1" si="222"/>
        <v>1</v>
      </c>
    </row>
    <row r="2843" spans="1:7" x14ac:dyDescent="0.2">
      <c r="A2843" s="2">
        <v>20010605</v>
      </c>
      <c r="B2843" s="13">
        <v>11175.84</v>
      </c>
      <c r="C2843" s="2">
        <f t="shared" si="220"/>
        <v>1.0334926845496795E-2</v>
      </c>
      <c r="D2843" s="21">
        <f t="shared" ca="1" si="221"/>
        <v>9.9509744303899281E-3</v>
      </c>
      <c r="E2843" s="21">
        <f t="shared" ca="1" si="223"/>
        <v>1.208116422108052E-4</v>
      </c>
      <c r="F2843" s="11">
        <f t="shared" ca="1" si="224"/>
        <v>4.1008196223324518</v>
      </c>
      <c r="G2843" s="10">
        <f t="shared" ca="1" si="222"/>
        <v>1</v>
      </c>
    </row>
    <row r="2844" spans="1:7" x14ac:dyDescent="0.2">
      <c r="A2844" s="2">
        <v>20010606</v>
      </c>
      <c r="B2844" s="13">
        <v>11070.24</v>
      </c>
      <c r="C2844" s="2">
        <f t="shared" si="220"/>
        <v>-9.4489541725722957E-3</v>
      </c>
      <c r="D2844" s="21">
        <f t="shared" ca="1" si="221"/>
        <v>-9.8329065876791629E-3</v>
      </c>
      <c r="E2844" s="21">
        <f t="shared" ca="1" si="223"/>
        <v>1.1924995243103951E-4</v>
      </c>
      <c r="F2844" s="11">
        <f t="shared" ca="1" si="224"/>
        <v>4.1117520004239259</v>
      </c>
      <c r="G2844" s="10">
        <f t="shared" ca="1" si="222"/>
        <v>1</v>
      </c>
    </row>
    <row r="2845" spans="1:7" x14ac:dyDescent="0.2">
      <c r="A2845" s="2">
        <v>20010607</v>
      </c>
      <c r="B2845" s="13">
        <v>11090.74</v>
      </c>
      <c r="C2845" s="2">
        <f t="shared" si="220"/>
        <v>1.8518117041726287E-3</v>
      </c>
      <c r="D2845" s="21">
        <f t="shared" ca="1" si="221"/>
        <v>1.4678592890657615E-3</v>
      </c>
      <c r="E2845" s="21">
        <f t="shared" ca="1" si="223"/>
        <v>1.1768137613055578E-4</v>
      </c>
      <c r="F2845" s="11">
        <f t="shared" ca="1" si="224"/>
        <v>4.5146104679784944</v>
      </c>
      <c r="G2845" s="10">
        <f t="shared" ca="1" si="222"/>
        <v>1</v>
      </c>
    </row>
    <row r="2846" spans="1:7" x14ac:dyDescent="0.2">
      <c r="A2846" s="2">
        <v>20010608</v>
      </c>
      <c r="B2846" s="13">
        <v>10977</v>
      </c>
      <c r="C2846" s="2">
        <f t="shared" si="220"/>
        <v>-1.0255402254493369E-2</v>
      </c>
      <c r="D2846" s="21">
        <f t="shared" ca="1" si="221"/>
        <v>-1.0639354669600237E-2</v>
      </c>
      <c r="E2846" s="21">
        <f t="shared" ca="1" si="223"/>
        <v>1.1271606847711838E-4</v>
      </c>
      <c r="F2846" s="11">
        <f t="shared" ca="1" si="224"/>
        <v>4.0431909311862073</v>
      </c>
      <c r="G2846" s="10">
        <f t="shared" ca="1" si="222"/>
        <v>0</v>
      </c>
    </row>
    <row r="2847" spans="1:7" x14ac:dyDescent="0.2">
      <c r="A2847" s="2">
        <v>20010611</v>
      </c>
      <c r="B2847" s="13">
        <v>10922.09</v>
      </c>
      <c r="C2847" s="2">
        <f t="shared" si="220"/>
        <v>-5.0022774892957873E-3</v>
      </c>
      <c r="D2847" s="21">
        <f t="shared" ca="1" si="221"/>
        <v>-5.3862299044026545E-3</v>
      </c>
      <c r="E2847" s="21">
        <f t="shared" ca="1" si="223"/>
        <v>1.1208513827198438E-4</v>
      </c>
      <c r="F2847" s="11">
        <f t="shared" ca="1" si="224"/>
        <v>4.4187087816770836</v>
      </c>
      <c r="G2847" s="10">
        <f t="shared" ca="1" si="222"/>
        <v>1</v>
      </c>
    </row>
    <row r="2848" spans="1:7" x14ac:dyDescent="0.2">
      <c r="A2848" s="2">
        <v>20010612</v>
      </c>
      <c r="B2848" s="13">
        <v>10948.38</v>
      </c>
      <c r="C2848" s="2">
        <f t="shared" si="220"/>
        <v>2.4070484678297885E-3</v>
      </c>
      <c r="D2848" s="21">
        <f t="shared" ca="1" si="221"/>
        <v>2.0230960527229214E-3</v>
      </c>
      <c r="E2848" s="21">
        <f t="shared" ca="1" si="223"/>
        <v>1.0839051983216056E-4</v>
      </c>
      <c r="F2848" s="11">
        <f t="shared" ca="1" si="224"/>
        <v>4.5460045415121897</v>
      </c>
      <c r="G2848" s="10">
        <f t="shared" ca="1" si="222"/>
        <v>1</v>
      </c>
    </row>
    <row r="2849" spans="1:7" x14ac:dyDescent="0.2">
      <c r="A2849" s="2">
        <v>20010613</v>
      </c>
      <c r="B2849" s="13">
        <v>10871.62</v>
      </c>
      <c r="C2849" s="2">
        <f t="shared" si="220"/>
        <v>-7.0110829182032782E-3</v>
      </c>
      <c r="D2849" s="21">
        <f t="shared" ca="1" si="221"/>
        <v>-7.3950353333101454E-3</v>
      </c>
      <c r="E2849" s="21">
        <f t="shared" ca="1" si="223"/>
        <v>1.0396651458143306E-4</v>
      </c>
      <c r="F2849" s="11">
        <f t="shared" ca="1" si="224"/>
        <v>4.3227200690631982</v>
      </c>
      <c r="G2849" s="10">
        <f t="shared" ca="1" si="222"/>
        <v>1</v>
      </c>
    </row>
    <row r="2850" spans="1:7" x14ac:dyDescent="0.2">
      <c r="A2850" s="2">
        <v>20010614</v>
      </c>
      <c r="B2850" s="13">
        <v>10690.13</v>
      </c>
      <c r="C2850" s="2">
        <f t="shared" si="220"/>
        <v>-1.6693924180573052E-2</v>
      </c>
      <c r="D2850" s="21">
        <f t="shared" ca="1" si="221"/>
        <v>-1.7077876595679921E-2</v>
      </c>
      <c r="E2850" s="21">
        <f t="shared" ca="1" si="223"/>
        <v>1.0162673732484627E-4</v>
      </c>
      <c r="F2850" s="11">
        <f t="shared" ca="1" si="224"/>
        <v>3.1621750930352839</v>
      </c>
      <c r="G2850" s="10">
        <f t="shared" ca="1" si="222"/>
        <v>0</v>
      </c>
    </row>
    <row r="2851" spans="1:7" x14ac:dyDescent="0.2">
      <c r="A2851" s="2">
        <v>20010615</v>
      </c>
      <c r="B2851" s="13">
        <v>10623.64</v>
      </c>
      <c r="C2851" s="2">
        <f t="shared" si="220"/>
        <v>-6.2197559805165876E-3</v>
      </c>
      <c r="D2851" s="21">
        <f t="shared" ca="1" si="221"/>
        <v>-6.6037083956234548E-3</v>
      </c>
      <c r="E2851" s="21">
        <f t="shared" ca="1" si="223"/>
        <v>1.0811903233538544E-4</v>
      </c>
      <c r="F2851" s="11">
        <f t="shared" ca="1" si="224"/>
        <v>4.3644678107797548</v>
      </c>
      <c r="G2851" s="10">
        <f t="shared" ca="1" si="222"/>
        <v>1</v>
      </c>
    </row>
    <row r="2852" spans="1:7" x14ac:dyDescent="0.2">
      <c r="A2852" s="2">
        <v>20010618</v>
      </c>
      <c r="B2852" s="13">
        <v>10645.38</v>
      </c>
      <c r="C2852" s="2">
        <f t="shared" si="220"/>
        <v>2.0463795836455096E-3</v>
      </c>
      <c r="D2852" s="21">
        <f t="shared" ca="1" si="221"/>
        <v>1.6624271685386424E-3</v>
      </c>
      <c r="E2852" s="21">
        <f t="shared" ca="1" si="223"/>
        <v>1.0516183576922098E-4</v>
      </c>
      <c r="F2852" s="11">
        <f t="shared" ca="1" si="224"/>
        <v>4.5668649981475067</v>
      </c>
      <c r="G2852" s="10">
        <f t="shared" ca="1" si="222"/>
        <v>1</v>
      </c>
    </row>
    <row r="2853" spans="1:7" x14ac:dyDescent="0.2">
      <c r="A2853" s="2">
        <v>20010619</v>
      </c>
      <c r="B2853" s="13">
        <v>10596.67</v>
      </c>
      <c r="C2853" s="2">
        <f t="shared" si="220"/>
        <v>-4.5756938690773965E-3</v>
      </c>
      <c r="D2853" s="21">
        <f t="shared" ca="1" si="221"/>
        <v>-4.9596462841842636E-3</v>
      </c>
      <c r="E2853" s="21">
        <f t="shared" ca="1" si="223"/>
        <v>1.0085229173443433E-4</v>
      </c>
      <c r="F2853" s="11">
        <f t="shared" ca="1" si="224"/>
        <v>4.4789757074481047</v>
      </c>
      <c r="G2853" s="10">
        <f t="shared" ca="1" si="222"/>
        <v>1</v>
      </c>
    </row>
    <row r="2854" spans="1:7" x14ac:dyDescent="0.2">
      <c r="A2854" s="2">
        <v>20010620</v>
      </c>
      <c r="B2854" s="13">
        <v>10647.33</v>
      </c>
      <c r="C2854" s="2">
        <f t="shared" si="220"/>
        <v>4.7807471592490715E-3</v>
      </c>
      <c r="D2854" s="21">
        <f t="shared" ca="1" si="221"/>
        <v>4.3967947441422043E-3</v>
      </c>
      <c r="E2854" s="21">
        <f t="shared" ca="1" si="223"/>
        <v>9.7563658962454455E-5</v>
      </c>
      <c r="F2854" s="11">
        <f t="shared" ca="1" si="224"/>
        <v>4.518429969610132</v>
      </c>
      <c r="G2854" s="10">
        <f t="shared" ca="1" si="222"/>
        <v>1</v>
      </c>
    </row>
    <row r="2855" spans="1:7" x14ac:dyDescent="0.2">
      <c r="A2855" s="2">
        <v>20010621</v>
      </c>
      <c r="B2855" s="13">
        <v>10715.43</v>
      </c>
      <c r="C2855" s="2">
        <f t="shared" si="220"/>
        <v>6.3959696938105954E-3</v>
      </c>
      <c r="D2855" s="21">
        <f t="shared" ca="1" si="221"/>
        <v>6.0120172787037282E-3</v>
      </c>
      <c r="E2855" s="21">
        <f t="shared" ca="1" si="223"/>
        <v>9.4247748628160759E-5</v>
      </c>
      <c r="F2855" s="11">
        <f t="shared" ca="1" si="224"/>
        <v>4.4430400049696477</v>
      </c>
      <c r="G2855" s="10">
        <f t="shared" ca="1" si="222"/>
        <v>1</v>
      </c>
    </row>
    <row r="2856" spans="1:7" x14ac:dyDescent="0.2">
      <c r="A2856" s="2">
        <v>20010622</v>
      </c>
      <c r="B2856" s="13">
        <v>10604.59</v>
      </c>
      <c r="C2856" s="2">
        <f t="shared" si="220"/>
        <v>-1.0343961931532392E-2</v>
      </c>
      <c r="D2856" s="21">
        <f t="shared" ca="1" si="221"/>
        <v>-1.0727914346639259E-2</v>
      </c>
      <c r="E2856" s="21">
        <f t="shared" ca="1" si="223"/>
        <v>9.1717818025290466E-5</v>
      </c>
      <c r="F2856" s="11">
        <f t="shared" ca="1" si="224"/>
        <v>4.0209935204137235</v>
      </c>
      <c r="G2856" s="10">
        <f t="shared" ca="1" si="222"/>
        <v>0</v>
      </c>
    </row>
    <row r="2857" spans="1:7" x14ac:dyDescent="0.2">
      <c r="A2857" s="2">
        <v>20010625</v>
      </c>
      <c r="B2857" s="13">
        <v>10504.22</v>
      </c>
      <c r="C2857" s="2">
        <f t="shared" si="220"/>
        <v>-9.4647695007539934E-3</v>
      </c>
      <c r="D2857" s="21">
        <f t="shared" ca="1" si="221"/>
        <v>-9.8487219158608606E-3</v>
      </c>
      <c r="E2857" s="21">
        <f t="shared" ca="1" si="223"/>
        <v>9.2218778606855127E-5</v>
      </c>
      <c r="F2857" s="11">
        <f t="shared" ca="1" si="224"/>
        <v>4.1197646475198511</v>
      </c>
      <c r="G2857" s="10">
        <f t="shared" ca="1" si="222"/>
        <v>0</v>
      </c>
    </row>
    <row r="2858" spans="1:7" x14ac:dyDescent="0.2">
      <c r="A2858" s="2">
        <v>20010626</v>
      </c>
      <c r="B2858" s="13">
        <v>10472.48</v>
      </c>
      <c r="C2858" s="2">
        <f t="shared" si="220"/>
        <v>-3.021642730255058E-3</v>
      </c>
      <c r="D2858" s="21">
        <f t="shared" ca="1" si="221"/>
        <v>-3.4055951453619252E-3</v>
      </c>
      <c r="E2858" s="21">
        <f t="shared" ca="1" si="223"/>
        <v>9.2029164283921898E-5</v>
      </c>
      <c r="F2858" s="11">
        <f t="shared" ca="1" si="224"/>
        <v>4.5836894551589875</v>
      </c>
      <c r="G2858" s="10">
        <f t="shared" ca="1" si="222"/>
        <v>1</v>
      </c>
    </row>
    <row r="2859" spans="1:7" x14ac:dyDescent="0.2">
      <c r="A2859" s="2">
        <v>20010627</v>
      </c>
      <c r="B2859" s="13">
        <v>10434.84</v>
      </c>
      <c r="C2859" s="2">
        <f t="shared" si="220"/>
        <v>-3.5941820848547257E-3</v>
      </c>
      <c r="D2859" s="21">
        <f t="shared" ca="1" si="221"/>
        <v>-3.9781344999615933E-3</v>
      </c>
      <c r="E2859" s="21">
        <f t="shared" ca="1" si="223"/>
        <v>8.8708863259258827E-5</v>
      </c>
      <c r="F2859" s="11">
        <f t="shared" ca="1" si="224"/>
        <v>4.5758759785098473</v>
      </c>
      <c r="G2859" s="10">
        <f t="shared" ca="1" si="222"/>
        <v>1</v>
      </c>
    </row>
    <row r="2860" spans="1:7" x14ac:dyDescent="0.2">
      <c r="A2860" s="2">
        <v>20010628</v>
      </c>
      <c r="B2860" s="13">
        <v>10566.21</v>
      </c>
      <c r="C2860" s="2">
        <f t="shared" si="220"/>
        <v>1.2589555757443235E-2</v>
      </c>
      <c r="D2860" s="21">
        <f t="shared" ca="1" si="221"/>
        <v>1.2205603342336368E-2</v>
      </c>
      <c r="E2860" s="21">
        <f t="shared" ca="1" si="223"/>
        <v>8.5711989023436262E-5</v>
      </c>
      <c r="F2860" s="11">
        <f t="shared" ca="1" si="224"/>
        <v>3.8132045784933073</v>
      </c>
      <c r="G2860" s="10">
        <f t="shared" ca="1" si="222"/>
        <v>0</v>
      </c>
    </row>
    <row r="2861" spans="1:7" x14ac:dyDescent="0.2">
      <c r="A2861" s="2">
        <v>20010629</v>
      </c>
      <c r="B2861" s="13">
        <v>10502.4</v>
      </c>
      <c r="C2861" s="2">
        <f t="shared" si="220"/>
        <v>-6.039062256002814E-3</v>
      </c>
      <c r="D2861" s="21">
        <f t="shared" ca="1" si="221"/>
        <v>-6.4230146711096812E-3</v>
      </c>
      <c r="E2861" s="21">
        <f t="shared" ca="1" si="223"/>
        <v>8.7762929711965987E-5</v>
      </c>
      <c r="F2861" s="11">
        <f t="shared" ca="1" si="224"/>
        <v>4.4353984173443886</v>
      </c>
      <c r="G2861" s="10">
        <f t="shared" ca="1" si="222"/>
        <v>1</v>
      </c>
    </row>
    <row r="2862" spans="1:7" x14ac:dyDescent="0.2">
      <c r="A2862" s="2">
        <v>20010702</v>
      </c>
      <c r="B2862" s="13">
        <v>10593.72</v>
      </c>
      <c r="C2862" s="2">
        <f t="shared" ref="C2862:C2925" si="225">(B2862-B2861)/B2861</f>
        <v>8.695155393052989E-3</v>
      </c>
      <c r="D2862" s="21">
        <f t="shared" ca="1" si="221"/>
        <v>8.3112029779461218E-3</v>
      </c>
      <c r="E2862" s="21">
        <f t="shared" ca="1" si="223"/>
        <v>8.5749000011927086E-5</v>
      </c>
      <c r="F2862" s="11">
        <f t="shared" ca="1" si="224"/>
        <v>4.2792623059379427</v>
      </c>
      <c r="G2862" s="10">
        <f t="shared" ca="1" si="222"/>
        <v>1</v>
      </c>
    </row>
    <row r="2863" spans="1:7" x14ac:dyDescent="0.2">
      <c r="A2863" s="2">
        <v>20010703</v>
      </c>
      <c r="B2863" s="13">
        <v>10571.11</v>
      </c>
      <c r="C2863" s="2">
        <f t="shared" si="225"/>
        <v>-2.134283330123768E-3</v>
      </c>
      <c r="D2863" s="21">
        <f t="shared" ca="1" si="221"/>
        <v>-2.5182357452306352E-3</v>
      </c>
      <c r="E2863" s="21">
        <f t="shared" ca="1" si="223"/>
        <v>8.4859981597032113E-5</v>
      </c>
      <c r="F2863" s="11">
        <f t="shared" ca="1" si="224"/>
        <v>4.6498894103510882</v>
      </c>
      <c r="G2863" s="10">
        <f t="shared" ca="1" si="222"/>
        <v>1</v>
      </c>
    </row>
    <row r="2864" spans="1:7" x14ac:dyDescent="0.2">
      <c r="A2864" s="2">
        <v>20010705</v>
      </c>
      <c r="B2864" s="13">
        <v>10479.86</v>
      </c>
      <c r="C2864" s="2">
        <f t="shared" si="225"/>
        <v>-8.6320168837520361E-3</v>
      </c>
      <c r="D2864" s="21">
        <f t="shared" ca="1" si="221"/>
        <v>-9.0159692988589033E-3</v>
      </c>
      <c r="E2864" s="21">
        <f t="shared" ca="1" si="223"/>
        <v>8.1709078737311525E-5</v>
      </c>
      <c r="F2864" s="11">
        <f t="shared" ca="1" si="224"/>
        <v>4.2087512357424535</v>
      </c>
      <c r="G2864" s="10">
        <f t="shared" ca="1" si="222"/>
        <v>1</v>
      </c>
    </row>
    <row r="2865" spans="1:7" x14ac:dyDescent="0.2">
      <c r="A2865" s="2">
        <v>20010706</v>
      </c>
      <c r="B2865" s="13">
        <v>10252.68</v>
      </c>
      <c r="C2865" s="2">
        <f t="shared" si="225"/>
        <v>-2.1677770504567834E-2</v>
      </c>
      <c r="D2865" s="21">
        <f t="shared" ca="1" si="221"/>
        <v>-2.2061722919674703E-2</v>
      </c>
      <c r="E2865" s="21">
        <f t="shared" ca="1" si="223"/>
        <v>8.1473483398149048E-5</v>
      </c>
      <c r="F2865" s="11">
        <f t="shared" ca="1" si="224"/>
        <v>1.7206347106971869</v>
      </c>
      <c r="G2865" s="10">
        <f t="shared" ca="1" si="222"/>
        <v>0</v>
      </c>
    </row>
    <row r="2866" spans="1:7" x14ac:dyDescent="0.2">
      <c r="A2866" s="2">
        <v>20010709</v>
      </c>
      <c r="B2866" s="13">
        <v>10299.4</v>
      </c>
      <c r="C2866" s="2">
        <f t="shared" si="225"/>
        <v>4.5568573290104969E-3</v>
      </c>
      <c r="D2866" s="21">
        <f t="shared" ca="1" si="221"/>
        <v>4.1729049139036297E-3</v>
      </c>
      <c r="E2866" s="21">
        <f t="shared" ca="1" si="223"/>
        <v>9.6158246351443419E-5</v>
      </c>
      <c r="F2866" s="11">
        <f t="shared" ca="1" si="224"/>
        <v>4.5342135013611129</v>
      </c>
      <c r="G2866" s="10">
        <f t="shared" ca="1" si="222"/>
        <v>1</v>
      </c>
    </row>
    <row r="2867" spans="1:7" x14ac:dyDescent="0.2">
      <c r="A2867" s="2">
        <v>20010710</v>
      </c>
      <c r="B2867" s="13">
        <v>10175.64</v>
      </c>
      <c r="C2867" s="2">
        <f t="shared" si="225"/>
        <v>-1.2016233955376062E-2</v>
      </c>
      <c r="D2867" s="21">
        <f t="shared" ca="1" si="221"/>
        <v>-1.240018637048293E-2</v>
      </c>
      <c r="E2867" s="21">
        <f t="shared" ca="1" si="223"/>
        <v>9.2842883509325138E-5</v>
      </c>
      <c r="F2867" s="11">
        <f t="shared" ca="1" si="224"/>
        <v>3.8142104463045139</v>
      </c>
      <c r="G2867" s="10">
        <f t="shared" ca="1" si="222"/>
        <v>0</v>
      </c>
    </row>
    <row r="2868" spans="1:7" x14ac:dyDescent="0.2">
      <c r="A2868" s="2">
        <v>20010711</v>
      </c>
      <c r="B2868" s="13">
        <v>10241.02</v>
      </c>
      <c r="C2868" s="2">
        <f t="shared" si="225"/>
        <v>6.4251486884364054E-3</v>
      </c>
      <c r="D2868" s="21">
        <f t="shared" ca="1" si="221"/>
        <v>6.0411962733295382E-3</v>
      </c>
      <c r="E2868" s="21">
        <f t="shared" ca="1" si="223"/>
        <v>9.4709128203496502E-5</v>
      </c>
      <c r="F2868" s="11">
        <f t="shared" ca="1" si="224"/>
        <v>4.4396756673028239</v>
      </c>
      <c r="G2868" s="10">
        <f t="shared" ca="1" si="222"/>
        <v>1</v>
      </c>
    </row>
    <row r="2869" spans="1:7" x14ac:dyDescent="0.2">
      <c r="A2869" s="2">
        <v>20010712</v>
      </c>
      <c r="B2869" s="13">
        <v>10478.99</v>
      </c>
      <c r="C2869" s="2">
        <f t="shared" si="225"/>
        <v>2.3236943195111361E-2</v>
      </c>
      <c r="D2869" s="21">
        <f t="shared" ca="1" si="221"/>
        <v>2.2852990780004492E-2</v>
      </c>
      <c r="E2869" s="21">
        <f t="shared" ca="1" si="223"/>
        <v>9.2168788903107719E-5</v>
      </c>
      <c r="F2869" s="11">
        <f t="shared" ca="1" si="224"/>
        <v>1.8127772542377087</v>
      </c>
      <c r="G2869" s="10">
        <f t="shared" ca="1" si="222"/>
        <v>0</v>
      </c>
    </row>
    <row r="2870" spans="1:7" x14ac:dyDescent="0.2">
      <c r="A2870" s="2">
        <v>20010713</v>
      </c>
      <c r="B2870" s="13">
        <v>10539.06</v>
      </c>
      <c r="C2870" s="2">
        <f t="shared" si="225"/>
        <v>5.7324226857740782E-3</v>
      </c>
      <c r="D2870" s="21">
        <f t="shared" ca="1" si="221"/>
        <v>5.348470270667211E-3</v>
      </c>
      <c r="E2870" s="21">
        <f t="shared" ca="1" si="223"/>
        <v>1.076193248501607E-4</v>
      </c>
      <c r="F2870" s="11">
        <f t="shared" ca="1" si="224"/>
        <v>4.4355509000938609</v>
      </c>
      <c r="G2870" s="10">
        <f t="shared" ca="1" si="222"/>
        <v>1</v>
      </c>
    </row>
    <row r="2871" spans="1:7" x14ac:dyDescent="0.2">
      <c r="A2871" s="2">
        <v>20010716</v>
      </c>
      <c r="B2871" s="13">
        <v>10472.120000000001</v>
      </c>
      <c r="C2871" s="2">
        <f t="shared" si="225"/>
        <v>-6.3516101056449717E-3</v>
      </c>
      <c r="D2871" s="21">
        <f t="shared" ca="1" si="221"/>
        <v>-6.7355625207518388E-3</v>
      </c>
      <c r="E2871" s="21">
        <f t="shared" ca="1" si="223"/>
        <v>1.0413572838302556E-4</v>
      </c>
      <c r="F2871" s="11">
        <f t="shared" ca="1" si="224"/>
        <v>4.3670775654935881</v>
      </c>
      <c r="G2871" s="10">
        <f t="shared" ca="1" si="222"/>
        <v>1</v>
      </c>
    </row>
    <row r="2872" spans="1:7" x14ac:dyDescent="0.2">
      <c r="A2872" s="2">
        <v>20010717</v>
      </c>
      <c r="B2872" s="13">
        <v>10606.39</v>
      </c>
      <c r="C2872" s="2">
        <f t="shared" si="225"/>
        <v>1.2821663617299897E-2</v>
      </c>
      <c r="D2872" s="21">
        <f t="shared" ca="1" si="221"/>
        <v>1.243771120219303E-2</v>
      </c>
      <c r="E2872" s="21">
        <f t="shared" ca="1" si="223"/>
        <v>1.0144472401583983E-4</v>
      </c>
      <c r="F2872" s="11">
        <f t="shared" ca="1" si="224"/>
        <v>3.8355305042824299</v>
      </c>
      <c r="G2872" s="10">
        <f t="shared" ca="1" si="222"/>
        <v>0</v>
      </c>
    </row>
    <row r="2873" spans="1:7" x14ac:dyDescent="0.2">
      <c r="A2873" s="2">
        <v>20010718</v>
      </c>
      <c r="B2873" s="13">
        <v>10569.83</v>
      </c>
      <c r="C2873" s="2">
        <f t="shared" si="225"/>
        <v>-3.446978660976967E-3</v>
      </c>
      <c r="D2873" s="21">
        <f t="shared" ca="1" si="221"/>
        <v>-3.8309310760838342E-3</v>
      </c>
      <c r="E2873" s="21">
        <f t="shared" ca="1" si="223"/>
        <v>1.0291007142844531E-4</v>
      </c>
      <c r="F2873" s="11">
        <f t="shared" ca="1" si="224"/>
        <v>4.5195223878041491</v>
      </c>
      <c r="G2873" s="10">
        <f t="shared" ca="1" si="222"/>
        <v>1</v>
      </c>
    </row>
    <row r="2874" spans="1:7" x14ac:dyDescent="0.2">
      <c r="A2874" s="2">
        <v>20010719</v>
      </c>
      <c r="B2874" s="13">
        <v>10610</v>
      </c>
      <c r="C2874" s="2">
        <f t="shared" si="225"/>
        <v>3.8004395529540281E-3</v>
      </c>
      <c r="D2874" s="21">
        <f t="shared" ca="1" si="221"/>
        <v>3.4164871378471609E-3</v>
      </c>
      <c r="E2874" s="21">
        <f t="shared" ca="1" si="223"/>
        <v>9.9152483494115623E-5</v>
      </c>
      <c r="F2874" s="11">
        <f t="shared" ca="1" si="224"/>
        <v>4.5505650511194897</v>
      </c>
      <c r="G2874" s="10">
        <f t="shared" ca="1" si="222"/>
        <v>1</v>
      </c>
    </row>
    <row r="2875" spans="1:7" x14ac:dyDescent="0.2">
      <c r="A2875" s="2">
        <v>20010720</v>
      </c>
      <c r="B2875" s="13">
        <v>10576.65</v>
      </c>
      <c r="C2875" s="2">
        <f t="shared" si="225"/>
        <v>-3.1432610744580925E-3</v>
      </c>
      <c r="D2875" s="21">
        <f t="shared" ca="1" si="221"/>
        <v>-3.5272134895649597E-3</v>
      </c>
      <c r="E2875" s="21">
        <f t="shared" ca="1" si="223"/>
        <v>9.5474543769051882E-5</v>
      </c>
      <c r="F2875" s="11">
        <f t="shared" ca="1" si="224"/>
        <v>4.5631707282020297</v>
      </c>
      <c r="G2875" s="10">
        <f t="shared" ca="1" si="222"/>
        <v>1</v>
      </c>
    </row>
    <row r="2876" spans="1:7" x14ac:dyDescent="0.2">
      <c r="A2876" s="2">
        <v>20010723</v>
      </c>
      <c r="B2876" s="13">
        <v>10424.42</v>
      </c>
      <c r="C2876" s="2">
        <f t="shared" si="225"/>
        <v>-1.4393026147220487E-2</v>
      </c>
      <c r="D2876" s="21">
        <f t="shared" ca="1" si="221"/>
        <v>-1.4776978562327354E-2</v>
      </c>
      <c r="E2876" s="21">
        <f t="shared" ca="1" si="223"/>
        <v>9.2010944206098069E-5</v>
      </c>
      <c r="F2876" s="11">
        <f t="shared" ca="1" si="224"/>
        <v>3.4602084559538113</v>
      </c>
      <c r="G2876" s="10">
        <f t="shared" ca="1" si="222"/>
        <v>0</v>
      </c>
    </row>
    <row r="2877" spans="1:7" x14ac:dyDescent="0.2">
      <c r="A2877" s="2">
        <v>20010724</v>
      </c>
      <c r="B2877" s="13">
        <v>10241.120000000001</v>
      </c>
      <c r="C2877" s="2">
        <f t="shared" si="225"/>
        <v>-1.7583712091416046E-2</v>
      </c>
      <c r="D2877" s="21">
        <f t="shared" ca="1" si="221"/>
        <v>-1.7967664506522915E-2</v>
      </c>
      <c r="E2877" s="21">
        <f t="shared" ca="1" si="223"/>
        <v>9.6294528555778528E-5</v>
      </c>
      <c r="F2877" s="11">
        <f t="shared" ca="1" si="224"/>
        <v>2.9477498850042956</v>
      </c>
      <c r="G2877" s="10">
        <f t="shared" ca="1" si="222"/>
        <v>0</v>
      </c>
    </row>
    <row r="2878" spans="1:7" x14ac:dyDescent="0.2">
      <c r="A2878" s="2">
        <v>20010725</v>
      </c>
      <c r="B2878" s="13">
        <v>10405.67</v>
      </c>
      <c r="C2878" s="2">
        <f t="shared" si="225"/>
        <v>1.6067578546096448E-2</v>
      </c>
      <c r="D2878" s="21">
        <f t="shared" ca="1" si="221"/>
        <v>1.5683626130989579E-2</v>
      </c>
      <c r="E2878" s="21">
        <f t="shared" ca="1" si="223"/>
        <v>1.0420323875374692E-4</v>
      </c>
      <c r="F2878" s="11">
        <f t="shared" ca="1" si="224"/>
        <v>3.4043126399193917</v>
      </c>
      <c r="G2878" s="10">
        <f t="shared" ca="1" si="222"/>
        <v>0</v>
      </c>
    </row>
    <row r="2879" spans="1:7" x14ac:dyDescent="0.2">
      <c r="A2879" s="2">
        <v>20010726</v>
      </c>
      <c r="B2879" s="13">
        <v>10455.629999999999</v>
      </c>
      <c r="C2879" s="2">
        <f t="shared" si="225"/>
        <v>4.8012285609671575E-3</v>
      </c>
      <c r="D2879" s="21">
        <f t="shared" ca="1" si="221"/>
        <v>4.4172761458602904E-3</v>
      </c>
      <c r="E2879" s="21">
        <f t="shared" ca="1" si="223"/>
        <v>1.0888553743863323E-4</v>
      </c>
      <c r="F2879" s="11">
        <f t="shared" ca="1" si="224"/>
        <v>4.4730064865869696</v>
      </c>
      <c r="G2879" s="10">
        <f t="shared" ca="1" si="222"/>
        <v>1</v>
      </c>
    </row>
    <row r="2880" spans="1:7" x14ac:dyDescent="0.2">
      <c r="A2880" s="2">
        <v>20010727</v>
      </c>
      <c r="B2880" s="13">
        <v>10416.67</v>
      </c>
      <c r="C2880" s="2">
        <f t="shared" si="225"/>
        <v>-3.7262221406074172E-3</v>
      </c>
      <c r="D2880" s="21">
        <f t="shared" ca="1" si="221"/>
        <v>-4.1101745557142848E-3</v>
      </c>
      <c r="E2880" s="21">
        <f t="shared" ca="1" si="223"/>
        <v>1.0500348774638939E-4</v>
      </c>
      <c r="F2880" s="11">
        <f t="shared" ca="1" si="224"/>
        <v>4.5003157637166655</v>
      </c>
      <c r="G2880" s="10">
        <f t="shared" ca="1" si="222"/>
        <v>1</v>
      </c>
    </row>
    <row r="2881" spans="1:7" x14ac:dyDescent="0.2">
      <c r="A2881" s="2">
        <v>20010730</v>
      </c>
      <c r="B2881" s="13">
        <v>10401.719999999999</v>
      </c>
      <c r="C2881" s="2">
        <f t="shared" si="225"/>
        <v>-1.4351995407362167E-3</v>
      </c>
      <c r="D2881" s="21">
        <f t="shared" ca="1" si="221"/>
        <v>-1.8191519558430841E-3</v>
      </c>
      <c r="E2881" s="21">
        <f t="shared" ca="1" si="223"/>
        <v>1.012215346105009E-4</v>
      </c>
      <c r="F2881" s="11">
        <f t="shared" ca="1" si="224"/>
        <v>4.5827526292589562</v>
      </c>
      <c r="G2881" s="10">
        <f t="shared" ca="1" si="222"/>
        <v>1</v>
      </c>
    </row>
    <row r="2882" spans="1:7" x14ac:dyDescent="0.2">
      <c r="A2882" s="2">
        <v>20010731</v>
      </c>
      <c r="B2882" s="13">
        <v>10522.81</v>
      </c>
      <c r="C2882" s="2">
        <f t="shared" si="225"/>
        <v>1.1641343931580561E-2</v>
      </c>
      <c r="D2882" s="21">
        <f t="shared" ca="1" si="221"/>
        <v>1.1257391516473694E-2</v>
      </c>
      <c r="E2882" s="21">
        <f t="shared" ca="1" si="223"/>
        <v>9.7131396202689338E-5</v>
      </c>
      <c r="F2882" s="11">
        <f t="shared" ca="1" si="224"/>
        <v>3.9673650662944215</v>
      </c>
      <c r="G2882" s="10">
        <f t="shared" ca="1" si="222"/>
        <v>0</v>
      </c>
    </row>
    <row r="2883" spans="1:7" x14ac:dyDescent="0.2">
      <c r="A2883" s="2">
        <v>20010801</v>
      </c>
      <c r="B2883" s="13">
        <v>10510.01</v>
      </c>
      <c r="C2883" s="2">
        <f t="shared" si="225"/>
        <v>-1.2164051237263879E-3</v>
      </c>
      <c r="D2883" s="21">
        <f t="shared" ca="1" si="221"/>
        <v>-1.6003575388332551E-3</v>
      </c>
      <c r="E2883" s="21">
        <f t="shared" ca="1" si="223"/>
        <v>9.7786531590445777E-5</v>
      </c>
      <c r="F2883" s="11">
        <f t="shared" ca="1" si="224"/>
        <v>4.6032662641399096</v>
      </c>
      <c r="G2883" s="10">
        <f t="shared" ca="1" si="222"/>
        <v>1</v>
      </c>
    </row>
    <row r="2884" spans="1:7" x14ac:dyDescent="0.2">
      <c r="A2884" s="2">
        <v>20010802</v>
      </c>
      <c r="B2884" s="13">
        <v>10551.18</v>
      </c>
      <c r="C2884" s="2">
        <f t="shared" si="225"/>
        <v>3.9172179664909998E-3</v>
      </c>
      <c r="D2884" s="21">
        <f t="shared" ca="1" si="221"/>
        <v>3.5332655513841326E-3</v>
      </c>
      <c r="E2884" s="21">
        <f t="shared" ca="1" si="223"/>
        <v>9.3842659614413329E-5</v>
      </c>
      <c r="F2884" s="11">
        <f t="shared" ca="1" si="224"/>
        <v>4.5704300986837261</v>
      </c>
      <c r="G2884" s="10">
        <f t="shared" ca="1" si="222"/>
        <v>1</v>
      </c>
    </row>
    <row r="2885" spans="1:7" x14ac:dyDescent="0.2">
      <c r="A2885" s="2">
        <v>20010803</v>
      </c>
      <c r="B2885" s="13">
        <v>10512.78</v>
      </c>
      <c r="C2885" s="2">
        <f t="shared" si="225"/>
        <v>-3.639403365310765E-3</v>
      </c>
      <c r="D2885" s="21">
        <f t="shared" ca="1" si="221"/>
        <v>-4.0233557804176326E-3</v>
      </c>
      <c r="E2885" s="21">
        <f t="shared" ca="1" si="223"/>
        <v>9.0463188881626693E-5</v>
      </c>
      <c r="F2885" s="11">
        <f t="shared" ca="1" si="224"/>
        <v>4.5658142758762557</v>
      </c>
      <c r="G2885" s="10">
        <f t="shared" ca="1" si="222"/>
        <v>1</v>
      </c>
    </row>
    <row r="2886" spans="1:7" x14ac:dyDescent="0.2">
      <c r="A2886" s="2">
        <v>20010806</v>
      </c>
      <c r="B2886" s="13">
        <v>10401.31</v>
      </c>
      <c r="C2886" s="2">
        <f t="shared" si="225"/>
        <v>-1.0603284763877981E-2</v>
      </c>
      <c r="D2886" s="21">
        <f t="shared" ca="1" si="221"/>
        <v>-1.0987237178984848E-2</v>
      </c>
      <c r="E2886" s="21">
        <f t="shared" ca="1" si="223"/>
        <v>8.7390868136594325E-5</v>
      </c>
      <c r="F2886" s="11">
        <f t="shared" ca="1" si="224"/>
        <v>3.9818734099866138</v>
      </c>
      <c r="G2886" s="10">
        <f t="shared" ca="1" si="222"/>
        <v>0</v>
      </c>
    </row>
    <row r="2887" spans="1:7" x14ac:dyDescent="0.2">
      <c r="A2887" s="2">
        <v>20010807</v>
      </c>
      <c r="B2887" s="13">
        <v>10458.74</v>
      </c>
      <c r="C2887" s="2">
        <f t="shared" si="225"/>
        <v>5.5214198980705594E-3</v>
      </c>
      <c r="D2887" s="21">
        <f t="shared" ca="1" si="221"/>
        <v>5.1374674829636922E-3</v>
      </c>
      <c r="E2887" s="21">
        <f t="shared" ca="1" si="223"/>
        <v>8.8317800866323374E-5</v>
      </c>
      <c r="F2887" s="11">
        <f t="shared" ca="1" si="224"/>
        <v>4.5178605849578561</v>
      </c>
      <c r="G2887" s="10">
        <f t="shared" ca="1" si="222"/>
        <v>1</v>
      </c>
    </row>
    <row r="2888" spans="1:7" x14ac:dyDescent="0.2">
      <c r="A2888" s="2">
        <v>20010808</v>
      </c>
      <c r="B2888" s="13">
        <v>10293.5</v>
      </c>
      <c r="C2888" s="2">
        <f t="shared" si="225"/>
        <v>-1.5799226293033364E-2</v>
      </c>
      <c r="D2888" s="21">
        <f t="shared" ca="1" si="221"/>
        <v>-1.6183178708140233E-2</v>
      </c>
      <c r="E2888" s="21">
        <f t="shared" ca="1" si="223"/>
        <v>8.572931508126302E-5</v>
      </c>
      <c r="F2888" s="11">
        <f t="shared" ca="1" si="224"/>
        <v>3.1547032637485555</v>
      </c>
      <c r="G2888" s="10">
        <f t="shared" ca="1" si="222"/>
        <v>0</v>
      </c>
    </row>
    <row r="2889" spans="1:7" x14ac:dyDescent="0.2">
      <c r="A2889" s="2">
        <v>20010809</v>
      </c>
      <c r="B2889" s="13">
        <v>10298.56</v>
      </c>
      <c r="C2889" s="2">
        <f t="shared" si="225"/>
        <v>4.9157235148389669E-4</v>
      </c>
      <c r="D2889" s="21">
        <f t="shared" ca="1" si="221"/>
        <v>1.076199363770294E-4</v>
      </c>
      <c r="E2889" s="21">
        <f t="shared" ca="1" si="223"/>
        <v>9.1931590385756841E-5</v>
      </c>
      <c r="F2889" s="11">
        <f t="shared" ca="1" si="224"/>
        <v>4.6471699273686804</v>
      </c>
      <c r="G2889" s="10">
        <f t="shared" ca="1" si="222"/>
        <v>1</v>
      </c>
    </row>
    <row r="2890" spans="1:7" x14ac:dyDescent="0.2">
      <c r="A2890" s="2">
        <v>20010810</v>
      </c>
      <c r="B2890" s="13">
        <v>10416.25</v>
      </c>
      <c r="C2890" s="2">
        <f t="shared" si="225"/>
        <v>1.1427811266817935E-2</v>
      </c>
      <c r="D2890" s="21">
        <f t="shared" ca="1" si="221"/>
        <v>1.1043858851711068E-2</v>
      </c>
      <c r="E2890" s="21">
        <f t="shared" ca="1" si="223"/>
        <v>8.8190169959291765E-5</v>
      </c>
      <c r="F2890" s="11">
        <f t="shared" ca="1" si="224"/>
        <v>3.9765085850411399</v>
      </c>
      <c r="G2890" s="10">
        <f t="shared" ca="1" si="222"/>
        <v>0</v>
      </c>
    </row>
    <row r="2891" spans="1:7" x14ac:dyDescent="0.2">
      <c r="A2891" s="2">
        <v>20010813</v>
      </c>
      <c r="B2891" s="13">
        <v>10415.91</v>
      </c>
      <c r="C2891" s="2">
        <f t="shared" si="225"/>
        <v>-3.2641305652240058E-5</v>
      </c>
      <c r="D2891" s="21">
        <f t="shared" ca="1" si="221"/>
        <v>-4.1659372075910733E-4</v>
      </c>
      <c r="E2891" s="21">
        <f t="shared" ca="1" si="223"/>
        <v>8.9122536201928729E-5</v>
      </c>
      <c r="F2891" s="11">
        <f t="shared" ca="1" si="224"/>
        <v>4.6617755006591777</v>
      </c>
      <c r="G2891" s="10">
        <f t="shared" ca="1" si="222"/>
        <v>1</v>
      </c>
    </row>
    <row r="2892" spans="1:7" x14ac:dyDescent="0.2">
      <c r="A2892" s="2">
        <v>20010814</v>
      </c>
      <c r="B2892" s="13">
        <v>10412.17</v>
      </c>
      <c r="C2892" s="2">
        <f t="shared" si="225"/>
        <v>-3.5906608256021621E-4</v>
      </c>
      <c r="D2892" s="21">
        <f t="shared" ca="1" si="221"/>
        <v>-7.4301849766708356E-4</v>
      </c>
      <c r="E2892" s="21">
        <f t="shared" ca="1" si="223"/>
        <v>8.552918260791154E-5</v>
      </c>
      <c r="F2892" s="11">
        <f t="shared" ca="1" si="224"/>
        <v>4.6800990457018123</v>
      </c>
      <c r="G2892" s="10">
        <f t="shared" ca="1" si="222"/>
        <v>1</v>
      </c>
    </row>
    <row r="2893" spans="1:7" x14ac:dyDescent="0.2">
      <c r="A2893" s="2">
        <v>20010815</v>
      </c>
      <c r="B2893" s="13">
        <v>10345.950000000001</v>
      </c>
      <c r="C2893" s="2">
        <f t="shared" si="225"/>
        <v>-6.359865426707338E-3</v>
      </c>
      <c r="D2893" s="21">
        <f t="shared" ca="1" si="221"/>
        <v>-6.7438178418142052E-3</v>
      </c>
      <c r="E2893" s="21">
        <f t="shared" ca="1" si="223"/>
        <v>8.2131537023195326E-5</v>
      </c>
      <c r="F2893" s="11">
        <f t="shared" ca="1" si="224"/>
        <v>4.4267269107759901</v>
      </c>
      <c r="G2893" s="10">
        <f t="shared" ca="1" si="222"/>
        <v>1</v>
      </c>
    </row>
    <row r="2894" spans="1:7" x14ac:dyDescent="0.2">
      <c r="A2894" s="2">
        <v>20010816</v>
      </c>
      <c r="B2894" s="13">
        <v>10392.52</v>
      </c>
      <c r="C2894" s="2">
        <f t="shared" si="225"/>
        <v>4.5012782779734785E-3</v>
      </c>
      <c r="D2894" s="21">
        <f t="shared" ref="D2894:D2957" ca="1" si="226">(C2894-mu)</f>
        <v>4.1173258628666113E-3</v>
      </c>
      <c r="E2894" s="21">
        <f t="shared" ca="1" si="223"/>
        <v>8.0557823777437792E-5</v>
      </c>
      <c r="F2894" s="11">
        <f t="shared" ca="1" si="224"/>
        <v>4.6080490035387154</v>
      </c>
      <c r="G2894" s="10">
        <f t="shared" ref="G2894:G2957" ca="1" si="227">IF(AND(C2894&lt;=mu+zvalue*SQRT(E2894),C2894&gt;=mu-zvalue*SQRT(E2894)),1,0)</f>
        <v>1</v>
      </c>
    </row>
    <row r="2895" spans="1:7" x14ac:dyDescent="0.2">
      <c r="A2895" s="2">
        <v>20010817</v>
      </c>
      <c r="B2895" s="13">
        <v>10240.780000000001</v>
      </c>
      <c r="C2895" s="2">
        <f t="shared" si="225"/>
        <v>-1.4600886021869553E-2</v>
      </c>
      <c r="D2895" s="21">
        <f t="shared" ca="1" si="226"/>
        <v>-1.4984838436976421E-2</v>
      </c>
      <c r="E2895" s="21">
        <f t="shared" ref="E2895:E2958" ca="1" si="228">(1-alpha-beta)*longvar+alpha*D2894^2+beta*E2894</f>
        <v>7.8014748384113282E-5</v>
      </c>
      <c r="F2895" s="11">
        <f t="shared" ref="F2895:F2958" ca="1" si="229">(-0.5)*(LN(E2895)+D2895^2/E2895)</f>
        <v>3.2901849647220858</v>
      </c>
      <c r="G2895" s="10">
        <f t="shared" ca="1" si="227"/>
        <v>0</v>
      </c>
    </row>
    <row r="2896" spans="1:7" x14ac:dyDescent="0.2">
      <c r="A2896" s="2">
        <v>20010820</v>
      </c>
      <c r="B2896" s="13">
        <v>10320.07</v>
      </c>
      <c r="C2896" s="2">
        <f t="shared" si="225"/>
        <v>7.7425742960984464E-3</v>
      </c>
      <c r="D2896" s="21">
        <f t="shared" ca="1" si="226"/>
        <v>7.3586218809915793E-3</v>
      </c>
      <c r="E2896" s="21">
        <f t="shared" ca="1" si="228"/>
        <v>8.3233885483667612E-5</v>
      </c>
      <c r="F2896" s="11">
        <f t="shared" ca="1" si="229"/>
        <v>4.3716439262483249</v>
      </c>
      <c r="G2896" s="10">
        <f t="shared" ca="1" si="227"/>
        <v>1</v>
      </c>
    </row>
    <row r="2897" spans="1:7" x14ac:dyDescent="0.2">
      <c r="A2897" s="2">
        <v>20010821</v>
      </c>
      <c r="B2897" s="13">
        <v>10174.14</v>
      </c>
      <c r="C2897" s="2">
        <f t="shared" si="225"/>
        <v>-1.4140407962349121E-2</v>
      </c>
      <c r="D2897" s="21">
        <f t="shared" ca="1" si="226"/>
        <v>-1.4524360377455988E-2</v>
      </c>
      <c r="E2897" s="21">
        <f t="shared" ca="1" si="228"/>
        <v>8.1923223815926535E-5</v>
      </c>
      <c r="F2897" s="11">
        <f t="shared" ca="1" si="229"/>
        <v>3.417335073983204</v>
      </c>
      <c r="G2897" s="10">
        <f t="shared" ca="1" si="227"/>
        <v>0</v>
      </c>
    </row>
    <row r="2898" spans="1:7" x14ac:dyDescent="0.2">
      <c r="A2898" s="2">
        <v>20010822</v>
      </c>
      <c r="B2898" s="13">
        <v>10276.9</v>
      </c>
      <c r="C2898" s="2">
        <f t="shared" si="225"/>
        <v>1.0100116570049186E-2</v>
      </c>
      <c r="D2898" s="21">
        <f t="shared" ca="1" si="226"/>
        <v>9.7161641549423187E-3</v>
      </c>
      <c r="E2898" s="21">
        <f t="shared" ca="1" si="228"/>
        <v>8.6444962919966556E-5</v>
      </c>
      <c r="F2898" s="11">
        <f t="shared" ca="1" si="229"/>
        <v>4.1319669126694292</v>
      </c>
      <c r="G2898" s="10">
        <f t="shared" ca="1" si="227"/>
        <v>0</v>
      </c>
    </row>
    <row r="2899" spans="1:7" x14ac:dyDescent="0.2">
      <c r="A2899" s="2">
        <v>20010823</v>
      </c>
      <c r="B2899" s="13">
        <v>10229.15</v>
      </c>
      <c r="C2899" s="2">
        <f t="shared" si="225"/>
        <v>-4.6463427687337619E-3</v>
      </c>
      <c r="D2899" s="21">
        <f t="shared" ca="1" si="226"/>
        <v>-5.0302951838406291E-3</v>
      </c>
      <c r="E2899" s="21">
        <f t="shared" ca="1" si="228"/>
        <v>8.6452081138096952E-5</v>
      </c>
      <c r="F2899" s="11">
        <f t="shared" ca="1" si="229"/>
        <v>4.5316139218113412</v>
      </c>
      <c r="G2899" s="10">
        <f t="shared" ca="1" si="227"/>
        <v>1</v>
      </c>
    </row>
    <row r="2900" spans="1:7" x14ac:dyDescent="0.2">
      <c r="A2900" s="2">
        <v>20010824</v>
      </c>
      <c r="B2900" s="13">
        <v>10423.17</v>
      </c>
      <c r="C2900" s="2">
        <f t="shared" si="225"/>
        <v>1.8967362879613696E-2</v>
      </c>
      <c r="D2900" s="21">
        <f t="shared" ca="1" si="226"/>
        <v>1.8583410464506827E-2</v>
      </c>
      <c r="E2900" s="21">
        <f t="shared" ca="1" si="228"/>
        <v>8.3917912464734308E-5</v>
      </c>
      <c r="F2900" s="11">
        <f t="shared" ca="1" si="229"/>
        <v>2.6352110015407146</v>
      </c>
      <c r="G2900" s="10">
        <f t="shared" ca="1" si="227"/>
        <v>0</v>
      </c>
    </row>
    <row r="2901" spans="1:7" x14ac:dyDescent="0.2">
      <c r="A2901" s="2">
        <v>20010827</v>
      </c>
      <c r="B2901" s="13">
        <v>10382.35</v>
      </c>
      <c r="C2901" s="2">
        <f t="shared" si="225"/>
        <v>-3.9162749911974678E-3</v>
      </c>
      <c r="D2901" s="21">
        <f t="shared" ca="1" si="226"/>
        <v>-4.300227406304335E-3</v>
      </c>
      <c r="E2901" s="21">
        <f t="shared" ca="1" si="228"/>
        <v>9.3280351159050014E-5</v>
      </c>
      <c r="F2901" s="11">
        <f t="shared" ca="1" si="229"/>
        <v>4.5408302195124781</v>
      </c>
      <c r="G2901" s="10">
        <f t="shared" ca="1" si="227"/>
        <v>1</v>
      </c>
    </row>
    <row r="2902" spans="1:7" x14ac:dyDescent="0.2">
      <c r="A2902" s="2">
        <v>20010828</v>
      </c>
      <c r="B2902" s="13">
        <v>10222.030000000001</v>
      </c>
      <c r="C2902" s="2">
        <f t="shared" si="225"/>
        <v>-1.5441590776654582E-2</v>
      </c>
      <c r="D2902" s="21">
        <f t="shared" ca="1" si="226"/>
        <v>-1.5825543191761451E-2</v>
      </c>
      <c r="E2902" s="21">
        <f t="shared" ca="1" si="228"/>
        <v>9.0150252089340866E-5</v>
      </c>
      <c r="F2902" s="11">
        <f t="shared" ca="1" si="229"/>
        <v>3.2679586301698014</v>
      </c>
      <c r="G2902" s="10">
        <f t="shared" ca="1" si="227"/>
        <v>0</v>
      </c>
    </row>
    <row r="2903" spans="1:7" x14ac:dyDescent="0.2">
      <c r="A2903" s="2">
        <v>20010829</v>
      </c>
      <c r="B2903" s="13">
        <v>10090.9</v>
      </c>
      <c r="C2903" s="2">
        <f t="shared" si="225"/>
        <v>-1.2828176008092424E-2</v>
      </c>
      <c r="D2903" s="21">
        <f t="shared" ca="1" si="226"/>
        <v>-1.3212128423199292E-2</v>
      </c>
      <c r="E2903" s="21">
        <f t="shared" ca="1" si="228"/>
        <v>9.5707927797917511E-5</v>
      </c>
      <c r="F2903" s="11">
        <f t="shared" ca="1" si="229"/>
        <v>3.715161774778553</v>
      </c>
      <c r="G2903" s="10">
        <f t="shared" ca="1" si="227"/>
        <v>0</v>
      </c>
    </row>
    <row r="2904" spans="1:7" x14ac:dyDescent="0.2">
      <c r="A2904" s="2">
        <v>20010830</v>
      </c>
      <c r="B2904" s="13">
        <v>9919.58</v>
      </c>
      <c r="C2904" s="2">
        <f t="shared" si="225"/>
        <v>-1.6977672952858489E-2</v>
      </c>
      <c r="D2904" s="21">
        <f t="shared" ca="1" si="226"/>
        <v>-1.7361625367965358E-2</v>
      </c>
      <c r="E2904" s="21">
        <f t="shared" ca="1" si="228"/>
        <v>9.8193923725507719E-5</v>
      </c>
      <c r="F2904" s="11">
        <f t="shared" ca="1" si="229"/>
        <v>3.0794323581448948</v>
      </c>
      <c r="G2904" s="10">
        <f t="shared" ca="1" si="227"/>
        <v>0</v>
      </c>
    </row>
    <row r="2905" spans="1:7" x14ac:dyDescent="0.2">
      <c r="A2905" s="2">
        <v>20010831</v>
      </c>
      <c r="B2905" s="13">
        <v>9949.75</v>
      </c>
      <c r="C2905" s="2">
        <f t="shared" si="225"/>
        <v>3.041459416628534E-3</v>
      </c>
      <c r="D2905" s="21">
        <f t="shared" ca="1" si="226"/>
        <v>2.6575070015216668E-3</v>
      </c>
      <c r="E2905" s="21">
        <f t="shared" ca="1" si="228"/>
        <v>1.0521922552754202E-4</v>
      </c>
      <c r="F2905" s="11">
        <f t="shared" ca="1" si="229"/>
        <v>4.5461721230726155</v>
      </c>
      <c r="G2905" s="10">
        <f t="shared" ca="1" si="227"/>
        <v>1</v>
      </c>
    </row>
    <row r="2906" spans="1:7" x14ac:dyDescent="0.2">
      <c r="A2906" s="2">
        <v>20010904</v>
      </c>
      <c r="B2906" s="13">
        <v>9997.49</v>
      </c>
      <c r="C2906" s="2">
        <f t="shared" si="225"/>
        <v>4.7981105052890558E-3</v>
      </c>
      <c r="D2906" s="21">
        <f t="shared" ca="1" si="226"/>
        <v>4.4141580901821886E-3</v>
      </c>
      <c r="E2906" s="21">
        <f t="shared" ca="1" si="228"/>
        <v>1.0106484807220665E-4</v>
      </c>
      <c r="F2906" s="11">
        <f t="shared" ca="1" si="229"/>
        <v>4.5034766219097495</v>
      </c>
      <c r="G2906" s="10">
        <f t="shared" ca="1" si="227"/>
        <v>1</v>
      </c>
    </row>
    <row r="2907" spans="1:7" x14ac:dyDescent="0.2">
      <c r="A2907" s="2">
        <v>20010905</v>
      </c>
      <c r="B2907" s="13">
        <v>10033.27</v>
      </c>
      <c r="C2907" s="2">
        <f t="shared" si="225"/>
        <v>3.5788983034742376E-3</v>
      </c>
      <c r="D2907" s="21">
        <f t="shared" ca="1" si="226"/>
        <v>3.1949458883673704E-3</v>
      </c>
      <c r="E2907" s="21">
        <f t="shared" ca="1" si="228"/>
        <v>9.757743705005552E-5</v>
      </c>
      <c r="F2907" s="11">
        <f t="shared" ca="1" si="229"/>
        <v>4.5651266039664753</v>
      </c>
      <c r="G2907" s="10">
        <f t="shared" ca="1" si="227"/>
        <v>1</v>
      </c>
    </row>
    <row r="2908" spans="1:7" x14ac:dyDescent="0.2">
      <c r="A2908" s="2">
        <v>20010906</v>
      </c>
      <c r="B2908" s="13">
        <v>9840.84</v>
      </c>
      <c r="C2908" s="2">
        <f t="shared" si="225"/>
        <v>-1.9179190832101626E-2</v>
      </c>
      <c r="D2908" s="21">
        <f t="shared" ca="1" si="226"/>
        <v>-1.9563143247208495E-2</v>
      </c>
      <c r="E2908" s="21">
        <f t="shared" ca="1" si="228"/>
        <v>9.3925319678001172E-5</v>
      </c>
      <c r="F2908" s="11">
        <f t="shared" ca="1" si="229"/>
        <v>2.5991602129595575</v>
      </c>
      <c r="G2908" s="10">
        <f t="shared" ca="1" si="227"/>
        <v>0</v>
      </c>
    </row>
    <row r="2909" spans="1:7" x14ac:dyDescent="0.2">
      <c r="A2909" s="2">
        <v>20010907</v>
      </c>
      <c r="B2909" s="13">
        <v>9605.85</v>
      </c>
      <c r="C2909" s="2">
        <f t="shared" si="225"/>
        <v>-2.387905910471055E-2</v>
      </c>
      <c r="D2909" s="21">
        <f t="shared" ca="1" si="226"/>
        <v>-2.4263011519817419E-2</v>
      </c>
      <c r="E2909" s="21">
        <f t="shared" ca="1" si="228"/>
        <v>1.0415576659444482E-4</v>
      </c>
      <c r="F2909" s="11">
        <f t="shared" ca="1" si="229"/>
        <v>1.7587859000810537</v>
      </c>
      <c r="G2909" s="10">
        <f t="shared" ca="1" si="227"/>
        <v>0</v>
      </c>
    </row>
    <row r="2910" spans="1:7" x14ac:dyDescent="0.2">
      <c r="A2910" s="2">
        <v>20010910</v>
      </c>
      <c r="B2910" s="13">
        <v>9605.51</v>
      </c>
      <c r="C2910" s="2">
        <f t="shared" si="225"/>
        <v>-3.539509777897276E-5</v>
      </c>
      <c r="D2910" s="21">
        <f t="shared" ca="1" si="226"/>
        <v>-4.1934751288584006E-4</v>
      </c>
      <c r="E2910" s="21">
        <f t="shared" ca="1" si="228"/>
        <v>1.2144279144228028E-4</v>
      </c>
      <c r="F2910" s="11">
        <f t="shared" ca="1" si="229"/>
        <v>4.5073096161280066</v>
      </c>
      <c r="G2910" s="10">
        <f t="shared" ca="1" si="227"/>
        <v>1</v>
      </c>
    </row>
    <row r="2911" spans="1:7" x14ac:dyDescent="0.2">
      <c r="A2911" s="2">
        <v>20010917</v>
      </c>
      <c r="B2911" s="13">
        <v>8920.7000000000007</v>
      </c>
      <c r="C2911" s="2">
        <f t="shared" si="225"/>
        <v>-7.1293455527088045E-2</v>
      </c>
      <c r="D2911" s="21">
        <f t="shared" ca="1" si="226"/>
        <v>-7.1677407942194918E-2</v>
      </c>
      <c r="E2911" s="21">
        <f t="shared" ca="1" si="228"/>
        <v>1.1621443014261579E-4</v>
      </c>
      <c r="F2911" s="11">
        <f t="shared" ca="1" si="229"/>
        <v>-17.574149445462432</v>
      </c>
      <c r="G2911" s="10">
        <f t="shared" ca="1" si="227"/>
        <v>0</v>
      </c>
    </row>
    <row r="2912" spans="1:7" x14ac:dyDescent="0.2">
      <c r="A2912" s="2">
        <v>20010918</v>
      </c>
      <c r="B2912" s="13">
        <v>8903.4</v>
      </c>
      <c r="C2912" s="2">
        <f t="shared" si="225"/>
        <v>-1.9393096954276111E-3</v>
      </c>
      <c r="D2912" s="21">
        <f t="shared" ca="1" si="226"/>
        <v>-2.3232621105344783E-3</v>
      </c>
      <c r="E2912" s="21">
        <f t="shared" ca="1" si="228"/>
        <v>3.0016449780363963E-4</v>
      </c>
      <c r="F2912" s="11">
        <f t="shared" ca="1" si="229"/>
        <v>4.0465989723844267</v>
      </c>
      <c r="G2912" s="10">
        <f t="shared" ca="1" si="227"/>
        <v>1</v>
      </c>
    </row>
    <row r="2913" spans="1:7" x14ac:dyDescent="0.2">
      <c r="A2913" s="2">
        <v>20010919</v>
      </c>
      <c r="B2913" s="13">
        <v>8759.1299999999992</v>
      </c>
      <c r="C2913" s="2">
        <f t="shared" si="225"/>
        <v>-1.6203922097176408E-2</v>
      </c>
      <c r="D2913" s="21">
        <f t="shared" ca="1" si="226"/>
        <v>-1.6587874512283277E-2</v>
      </c>
      <c r="E2913" s="21">
        <f t="shared" ca="1" si="228"/>
        <v>2.8608655735648319E-4</v>
      </c>
      <c r="F2913" s="11">
        <f t="shared" ca="1" si="229"/>
        <v>3.5987088938992771</v>
      </c>
      <c r="G2913" s="10">
        <f t="shared" ca="1" si="227"/>
        <v>1</v>
      </c>
    </row>
    <row r="2914" spans="1:7" x14ac:dyDescent="0.2">
      <c r="A2914" s="2">
        <v>20010920</v>
      </c>
      <c r="B2914" s="13">
        <v>8376.2099999999991</v>
      </c>
      <c r="C2914" s="2">
        <f t="shared" si="225"/>
        <v>-4.3716670491247431E-2</v>
      </c>
      <c r="D2914" s="21">
        <f t="shared" ca="1" si="226"/>
        <v>-4.4100622906354296E-2</v>
      </c>
      <c r="E2914" s="21">
        <f t="shared" ca="1" si="228"/>
        <v>2.826403720158429E-4</v>
      </c>
      <c r="F2914" s="11">
        <f t="shared" ca="1" si="229"/>
        <v>0.64513835798090513</v>
      </c>
      <c r="G2914" s="10">
        <f t="shared" ca="1" si="227"/>
        <v>0</v>
      </c>
    </row>
    <row r="2915" spans="1:7" x14ac:dyDescent="0.2">
      <c r="A2915" s="2">
        <v>20010921</v>
      </c>
      <c r="B2915" s="13">
        <v>8235.81</v>
      </c>
      <c r="C2915" s="2">
        <f t="shared" si="225"/>
        <v>-1.676175740579566E-2</v>
      </c>
      <c r="D2915" s="21">
        <f t="shared" ca="1" si="226"/>
        <v>-1.7145709820902529E-2</v>
      </c>
      <c r="E2915" s="21">
        <f t="shared" ca="1" si="228"/>
        <v>3.4076658533719153E-4</v>
      </c>
      <c r="F2915" s="11">
        <f t="shared" ca="1" si="229"/>
        <v>3.5608122297996205</v>
      </c>
      <c r="G2915" s="10">
        <f t="shared" ca="1" si="227"/>
        <v>1</v>
      </c>
    </row>
    <row r="2916" spans="1:7" x14ac:dyDescent="0.2">
      <c r="A2916" s="2">
        <v>20010924</v>
      </c>
      <c r="B2916" s="13">
        <v>8603.86</v>
      </c>
      <c r="C2916" s="2">
        <f t="shared" si="225"/>
        <v>4.4688986268503171E-2</v>
      </c>
      <c r="D2916" s="21">
        <f t="shared" ca="1" si="226"/>
        <v>4.4305033853396306E-2</v>
      </c>
      <c r="E2916" s="21">
        <f t="shared" ca="1" si="228"/>
        <v>3.3524608216695719E-4</v>
      </c>
      <c r="F2916" s="11">
        <f t="shared" ca="1" si="229"/>
        <v>1.0727181414990494</v>
      </c>
      <c r="G2916" s="10">
        <f t="shared" ca="1" si="227"/>
        <v>0</v>
      </c>
    </row>
    <row r="2917" spans="1:7" x14ac:dyDescent="0.2">
      <c r="A2917" s="2">
        <v>20010925</v>
      </c>
      <c r="B2917" s="13">
        <v>8659.9699999999993</v>
      </c>
      <c r="C2917" s="2">
        <f t="shared" si="225"/>
        <v>6.5214915165982199E-3</v>
      </c>
      <c r="D2917" s="21">
        <f t="shared" ca="1" si="226"/>
        <v>6.1375391014913527E-3</v>
      </c>
      <c r="E2917" s="21">
        <f t="shared" ca="1" si="228"/>
        <v>3.913754606030363E-4</v>
      </c>
      <c r="F2917" s="11">
        <f t="shared" ca="1" si="229"/>
        <v>3.8747972418670615</v>
      </c>
      <c r="G2917" s="10">
        <f t="shared" ca="1" si="227"/>
        <v>1</v>
      </c>
    </row>
    <row r="2918" spans="1:7" x14ac:dyDescent="0.2">
      <c r="A2918" s="2">
        <v>20010926</v>
      </c>
      <c r="B2918" s="13">
        <v>8567.39</v>
      </c>
      <c r="C2918" s="2">
        <f t="shared" si="225"/>
        <v>-1.0690568212130058E-2</v>
      </c>
      <c r="D2918" s="21">
        <f t="shared" ca="1" si="226"/>
        <v>-1.1074520627236925E-2</v>
      </c>
      <c r="E2918" s="21">
        <f t="shared" ca="1" si="228"/>
        <v>3.7386981939779623E-4</v>
      </c>
      <c r="F2918" s="11">
        <f t="shared" ca="1" si="229"/>
        <v>3.7817804436897484</v>
      </c>
      <c r="G2918" s="10">
        <f t="shared" ca="1" si="227"/>
        <v>1</v>
      </c>
    </row>
    <row r="2919" spans="1:7" x14ac:dyDescent="0.2">
      <c r="A2919" s="2">
        <v>20010927</v>
      </c>
      <c r="B2919" s="13">
        <v>8681.42</v>
      </c>
      <c r="C2919" s="2">
        <f t="shared" si="225"/>
        <v>1.3309771120493016E-2</v>
      </c>
      <c r="D2919" s="21">
        <f t="shared" ca="1" si="226"/>
        <v>1.2925818705386149E-2</v>
      </c>
      <c r="E2919" s="21">
        <f t="shared" ca="1" si="228"/>
        <v>3.6037449629706578E-4</v>
      </c>
      <c r="F2919" s="11">
        <f t="shared" ca="1" si="229"/>
        <v>3.7323734481025004</v>
      </c>
      <c r="G2919" s="10">
        <f t="shared" ca="1" si="227"/>
        <v>1</v>
      </c>
    </row>
    <row r="2920" spans="1:7" x14ac:dyDescent="0.2">
      <c r="A2920" s="2">
        <v>20010928</v>
      </c>
      <c r="B2920" s="13">
        <v>8847.56</v>
      </c>
      <c r="C2920" s="2">
        <f t="shared" si="225"/>
        <v>1.9137422218945682E-2</v>
      </c>
      <c r="D2920" s="21">
        <f t="shared" ca="1" si="226"/>
        <v>1.8753469803838813E-2</v>
      </c>
      <c r="E2920" s="21">
        <f t="shared" ca="1" si="228"/>
        <v>3.4919574024264524E-4</v>
      </c>
      <c r="F2920" s="11">
        <f t="shared" ca="1" si="229"/>
        <v>3.4763637660307936</v>
      </c>
      <c r="G2920" s="10">
        <f t="shared" ca="1" si="227"/>
        <v>0</v>
      </c>
    </row>
    <row r="2921" spans="1:7" x14ac:dyDescent="0.2">
      <c r="A2921" s="2">
        <v>20011001</v>
      </c>
      <c r="B2921" s="13">
        <v>8836.83</v>
      </c>
      <c r="C2921" s="2">
        <f t="shared" si="225"/>
        <v>-1.2127637450324795E-3</v>
      </c>
      <c r="D2921" s="21">
        <f t="shared" ca="1" si="226"/>
        <v>-1.5967161601393469E-3</v>
      </c>
      <c r="E2921" s="21">
        <f t="shared" ca="1" si="228"/>
        <v>3.4537116794014071E-4</v>
      </c>
      <c r="F2921" s="11">
        <f t="shared" ca="1" si="229"/>
        <v>3.9817544748335383</v>
      </c>
      <c r="G2921" s="10">
        <f t="shared" ca="1" si="227"/>
        <v>1</v>
      </c>
    </row>
    <row r="2922" spans="1:7" x14ac:dyDescent="0.2">
      <c r="A2922" s="2">
        <v>20011002</v>
      </c>
      <c r="B2922" s="13">
        <v>8950.59</v>
      </c>
      <c r="C2922" s="2">
        <f t="shared" si="225"/>
        <v>1.2873394644912285E-2</v>
      </c>
      <c r="D2922" s="21">
        <f t="shared" ca="1" si="226"/>
        <v>1.2489442229805418E-2</v>
      </c>
      <c r="E2922" s="21">
        <f t="shared" ca="1" si="228"/>
        <v>3.2890147960270183E-4</v>
      </c>
      <c r="F2922" s="11">
        <f t="shared" ca="1" si="229"/>
        <v>3.7727440985102567</v>
      </c>
      <c r="G2922" s="10">
        <f t="shared" ca="1" si="227"/>
        <v>1</v>
      </c>
    </row>
    <row r="2923" spans="1:7" x14ac:dyDescent="0.2">
      <c r="A2923" s="2">
        <v>20011003</v>
      </c>
      <c r="B2923" s="13">
        <v>9123.7800000000007</v>
      </c>
      <c r="C2923" s="2">
        <f t="shared" si="225"/>
        <v>1.934956243108002E-2</v>
      </c>
      <c r="D2923" s="21">
        <f t="shared" ca="1" si="226"/>
        <v>1.8965610015973151E-2</v>
      </c>
      <c r="E2923" s="21">
        <f t="shared" ca="1" si="228"/>
        <v>3.1890713229036405E-4</v>
      </c>
      <c r="F2923" s="11">
        <f t="shared" ca="1" si="229"/>
        <v>3.4613568635632568</v>
      </c>
      <c r="G2923" s="10">
        <f t="shared" ca="1" si="227"/>
        <v>0</v>
      </c>
    </row>
    <row r="2924" spans="1:7" x14ac:dyDescent="0.2">
      <c r="A2924" s="2">
        <v>20011004</v>
      </c>
      <c r="B2924" s="13">
        <v>9060.8799999999992</v>
      </c>
      <c r="C2924" s="2">
        <f t="shared" si="225"/>
        <v>-6.8940724129693447E-3</v>
      </c>
      <c r="D2924" s="21">
        <f t="shared" ca="1" si="226"/>
        <v>-7.2780248280762119E-3</v>
      </c>
      <c r="E2924" s="21">
        <f t="shared" ca="1" si="228"/>
        <v>3.1690910835279498E-4</v>
      </c>
      <c r="F2924" s="11">
        <f t="shared" ca="1" si="229"/>
        <v>3.9448754760091616</v>
      </c>
      <c r="G2924" s="10">
        <f t="shared" ca="1" si="227"/>
        <v>1</v>
      </c>
    </row>
    <row r="2925" spans="1:7" x14ac:dyDescent="0.2">
      <c r="A2925" s="2">
        <v>20011005</v>
      </c>
      <c r="B2925" s="13">
        <v>9119.77</v>
      </c>
      <c r="C2925" s="2">
        <f t="shared" si="225"/>
        <v>6.4993687147386616E-3</v>
      </c>
      <c r="D2925" s="21">
        <f t="shared" ca="1" si="226"/>
        <v>6.1154162996317945E-3</v>
      </c>
      <c r="E2925" s="21">
        <f t="shared" ca="1" si="228"/>
        <v>3.0373336167187007E-4</v>
      </c>
      <c r="F2925" s="11">
        <f t="shared" ca="1" si="229"/>
        <v>3.9881157834804206</v>
      </c>
      <c r="G2925" s="10">
        <f t="shared" ca="1" si="227"/>
        <v>1</v>
      </c>
    </row>
    <row r="2926" spans="1:7" x14ac:dyDescent="0.2">
      <c r="A2926" s="2">
        <v>20011008</v>
      </c>
      <c r="B2926" s="13">
        <v>9067.94</v>
      </c>
      <c r="C2926" s="2">
        <f t="shared" ref="C2926:C2989" si="230">(B2926-B2925)/B2925</f>
        <v>-5.6832573628501516E-3</v>
      </c>
      <c r="D2926" s="21">
        <f t="shared" ca="1" si="226"/>
        <v>-6.0672097779570187E-3</v>
      </c>
      <c r="E2926" s="21">
        <f t="shared" ca="1" si="228"/>
        <v>2.9065159540263459E-4</v>
      </c>
      <c r="F2926" s="11">
        <f t="shared" ca="1" si="229"/>
        <v>4.0083676202876157</v>
      </c>
      <c r="G2926" s="10">
        <f t="shared" ca="1" si="227"/>
        <v>1</v>
      </c>
    </row>
    <row r="2927" spans="1:7" x14ac:dyDescent="0.2">
      <c r="A2927" s="2">
        <v>20011009</v>
      </c>
      <c r="B2927" s="13">
        <v>9052.44</v>
      </c>
      <c r="C2927" s="2">
        <f t="shared" si="230"/>
        <v>-1.7093187647911211E-3</v>
      </c>
      <c r="D2927" s="21">
        <f t="shared" ca="1" si="226"/>
        <v>-2.0932711798979883E-3</v>
      </c>
      <c r="E2927" s="21">
        <f t="shared" ca="1" si="228"/>
        <v>2.7821004461072422E-4</v>
      </c>
      <c r="F2927" s="11">
        <f t="shared" ca="1" si="229"/>
        <v>4.0856921297834168</v>
      </c>
      <c r="G2927" s="10">
        <f t="shared" ca="1" si="227"/>
        <v>1</v>
      </c>
    </row>
    <row r="2928" spans="1:7" x14ac:dyDescent="0.2">
      <c r="A2928" s="2">
        <v>20011010</v>
      </c>
      <c r="B2928" s="13">
        <v>9240.86</v>
      </c>
      <c r="C2928" s="2">
        <f t="shared" si="230"/>
        <v>2.0814277697504768E-2</v>
      </c>
      <c r="D2928" s="21">
        <f t="shared" ca="1" si="226"/>
        <v>2.0430325282397899E-2</v>
      </c>
      <c r="E2928" s="21">
        <f t="shared" ca="1" si="228"/>
        <v>2.6520543581498259E-4</v>
      </c>
      <c r="F2928" s="11">
        <f t="shared" ca="1" si="229"/>
        <v>3.3305691987481558</v>
      </c>
      <c r="G2928" s="10">
        <f t="shared" ca="1" si="227"/>
        <v>0</v>
      </c>
    </row>
    <row r="2929" spans="1:7" x14ac:dyDescent="0.2">
      <c r="A2929" s="2">
        <v>20011011</v>
      </c>
      <c r="B2929" s="13">
        <v>9410.4500000000007</v>
      </c>
      <c r="C2929" s="2">
        <f t="shared" si="230"/>
        <v>1.8352187999818213E-2</v>
      </c>
      <c r="D2929" s="21">
        <f t="shared" ca="1" si="226"/>
        <v>1.7968235584711344E-2</v>
      </c>
      <c r="E2929" s="21">
        <f t="shared" ca="1" si="228"/>
        <v>2.6804606888840786E-4</v>
      </c>
      <c r="F2929" s="11">
        <f t="shared" ca="1" si="229"/>
        <v>3.5099333080022026</v>
      </c>
      <c r="G2929" s="10">
        <f t="shared" ca="1" si="227"/>
        <v>0</v>
      </c>
    </row>
    <row r="2930" spans="1:7" x14ac:dyDescent="0.2">
      <c r="A2930" s="2">
        <v>20011012</v>
      </c>
      <c r="B2930" s="13">
        <v>9344.16</v>
      </c>
      <c r="C2930" s="2">
        <f t="shared" si="230"/>
        <v>-7.0442965001674598E-3</v>
      </c>
      <c r="D2930" s="21">
        <f t="shared" ca="1" si="226"/>
        <v>-7.428248915274327E-3</v>
      </c>
      <c r="E2930" s="21">
        <f t="shared" ca="1" si="228"/>
        <v>2.6726656674674789E-4</v>
      </c>
      <c r="F2930" s="11">
        <f t="shared" ca="1" si="229"/>
        <v>4.0104038312131625</v>
      </c>
      <c r="G2930" s="10">
        <f t="shared" ca="1" si="227"/>
        <v>1</v>
      </c>
    </row>
    <row r="2931" spans="1:7" x14ac:dyDescent="0.2">
      <c r="A2931" s="2">
        <v>20011015</v>
      </c>
      <c r="B2931" s="13">
        <v>9347.6200000000008</v>
      </c>
      <c r="C2931" s="2">
        <f t="shared" si="230"/>
        <v>3.7028475539812526E-4</v>
      </c>
      <c r="D2931" s="21">
        <f t="shared" ca="1" si="226"/>
        <v>-1.3667659708742038E-5</v>
      </c>
      <c r="E2931" s="21">
        <f t="shared" ca="1" si="228"/>
        <v>2.5668349007653324E-4</v>
      </c>
      <c r="F2931" s="11">
        <f t="shared" ca="1" si="229"/>
        <v>4.1338330302081374</v>
      </c>
      <c r="G2931" s="10">
        <f t="shared" ca="1" si="227"/>
        <v>1</v>
      </c>
    </row>
    <row r="2932" spans="1:7" x14ac:dyDescent="0.2">
      <c r="A2932" s="2">
        <v>20011016</v>
      </c>
      <c r="B2932" s="13">
        <v>9384.23</v>
      </c>
      <c r="C2932" s="2">
        <f t="shared" si="230"/>
        <v>3.9165049499229497E-3</v>
      </c>
      <c r="D2932" s="21">
        <f t="shared" ca="1" si="226"/>
        <v>3.5325525348160825E-3</v>
      </c>
      <c r="E2932" s="21">
        <f t="shared" ca="1" si="228"/>
        <v>2.4460679777471117E-4</v>
      </c>
      <c r="F2932" s="11">
        <f t="shared" ca="1" si="229"/>
        <v>4.132421134865103</v>
      </c>
      <c r="G2932" s="10">
        <f t="shared" ca="1" si="227"/>
        <v>1</v>
      </c>
    </row>
    <row r="2933" spans="1:7" x14ac:dyDescent="0.2">
      <c r="A2933" s="2">
        <v>20011017</v>
      </c>
      <c r="B2933" s="13">
        <v>9232.9699999999993</v>
      </c>
      <c r="C2933" s="2">
        <f t="shared" si="230"/>
        <v>-1.6118530769173415E-2</v>
      </c>
      <c r="D2933" s="21">
        <f t="shared" ca="1" si="226"/>
        <v>-1.6502483184280284E-2</v>
      </c>
      <c r="E2933" s="21">
        <f t="shared" ca="1" si="228"/>
        <v>2.3359993439342426E-4</v>
      </c>
      <c r="F2933" s="11">
        <f t="shared" ca="1" si="229"/>
        <v>3.5980478373121709</v>
      </c>
      <c r="G2933" s="10">
        <f t="shared" ca="1" si="227"/>
        <v>0</v>
      </c>
    </row>
    <row r="2934" spans="1:7" x14ac:dyDescent="0.2">
      <c r="A2934" s="2">
        <v>20011018</v>
      </c>
      <c r="B2934" s="13">
        <v>9163.2199999999993</v>
      </c>
      <c r="C2934" s="2">
        <f t="shared" si="230"/>
        <v>-7.5544488934763138E-3</v>
      </c>
      <c r="D2934" s="21">
        <f t="shared" ca="1" si="226"/>
        <v>-7.938401308583181E-3</v>
      </c>
      <c r="E2934" s="21">
        <f t="shared" ca="1" si="228"/>
        <v>2.3270516125682971E-4</v>
      </c>
      <c r="F2934" s="11">
        <f t="shared" ca="1" si="229"/>
        <v>4.0474655922796856</v>
      </c>
      <c r="G2934" s="10">
        <f t="shared" ca="1" si="227"/>
        <v>1</v>
      </c>
    </row>
    <row r="2935" spans="1:7" x14ac:dyDescent="0.2">
      <c r="A2935" s="2">
        <v>20011019</v>
      </c>
      <c r="B2935" s="13">
        <v>9204.11</v>
      </c>
      <c r="C2935" s="2">
        <f t="shared" si="230"/>
        <v>4.4624051370589423E-3</v>
      </c>
      <c r="D2935" s="21">
        <f t="shared" ca="1" si="226"/>
        <v>4.0784527219520752E-3</v>
      </c>
      <c r="E2935" s="21">
        <f t="shared" ca="1" si="228"/>
        <v>2.241588234467392E-4</v>
      </c>
      <c r="F2935" s="11">
        <f t="shared" ca="1" si="229"/>
        <v>4.1644752034369015</v>
      </c>
      <c r="G2935" s="10">
        <f t="shared" ca="1" si="227"/>
        <v>1</v>
      </c>
    </row>
    <row r="2936" spans="1:7" x14ac:dyDescent="0.2">
      <c r="A2936" s="2">
        <v>20011022</v>
      </c>
      <c r="B2936" s="13">
        <v>9377.0300000000007</v>
      </c>
      <c r="C2936" s="2">
        <f t="shared" si="230"/>
        <v>1.8787259170088152E-2</v>
      </c>
      <c r="D2936" s="21">
        <f t="shared" ca="1" si="226"/>
        <v>1.8403306754981284E-2</v>
      </c>
      <c r="E2936" s="21">
        <f t="shared" ca="1" si="228"/>
        <v>2.1433921087891627E-4</v>
      </c>
      <c r="F2936" s="11">
        <f t="shared" ca="1" si="229"/>
        <v>3.4339152903850025</v>
      </c>
      <c r="G2936" s="10">
        <f t="shared" ca="1" si="227"/>
        <v>0</v>
      </c>
    </row>
    <row r="2937" spans="1:7" x14ac:dyDescent="0.2">
      <c r="A2937" s="2">
        <v>20011023</v>
      </c>
      <c r="B2937" s="13">
        <v>9340.08</v>
      </c>
      <c r="C2937" s="2">
        <f t="shared" si="230"/>
        <v>-3.9404800880450128E-3</v>
      </c>
      <c r="D2937" s="21">
        <f t="shared" ca="1" si="226"/>
        <v>-4.32443250315188E-3</v>
      </c>
      <c r="E2937" s="21">
        <f t="shared" ca="1" si="228"/>
        <v>2.1685864018047772E-4</v>
      </c>
      <c r="F2937" s="11">
        <f t="shared" ca="1" si="229"/>
        <v>4.1750151259483763</v>
      </c>
      <c r="G2937" s="10">
        <f t="shared" ca="1" si="227"/>
        <v>1</v>
      </c>
    </row>
    <row r="2938" spans="1:7" x14ac:dyDescent="0.2">
      <c r="A2938" s="2">
        <v>20011024</v>
      </c>
      <c r="B2938" s="13">
        <v>9345.6200000000008</v>
      </c>
      <c r="C2938" s="2">
        <f t="shared" si="230"/>
        <v>5.931426711549444E-4</v>
      </c>
      <c r="D2938" s="21">
        <f t="shared" ca="1" si="226"/>
        <v>2.091902560480771E-4</v>
      </c>
      <c r="E2938" s="21">
        <f t="shared" ca="1" si="228"/>
        <v>2.0748435127574633E-4</v>
      </c>
      <c r="F2938" s="11">
        <f t="shared" ca="1" si="229"/>
        <v>4.2401218632447391</v>
      </c>
      <c r="G2938" s="10">
        <f t="shared" ca="1" si="227"/>
        <v>1</v>
      </c>
    </row>
    <row r="2939" spans="1:7" x14ac:dyDescent="0.2">
      <c r="A2939" s="2">
        <v>20011025</v>
      </c>
      <c r="B2939" s="13">
        <v>9462.9</v>
      </c>
      <c r="C2939" s="2">
        <f t="shared" si="230"/>
        <v>1.2549194167963049E-2</v>
      </c>
      <c r="D2939" s="21">
        <f t="shared" ca="1" si="226"/>
        <v>1.2165241752856182E-2</v>
      </c>
      <c r="E2939" s="21">
        <f t="shared" ca="1" si="228"/>
        <v>1.9789826188855003E-4</v>
      </c>
      <c r="F2939" s="11">
        <f t="shared" ca="1" si="229"/>
        <v>3.8899666503329158</v>
      </c>
      <c r="G2939" s="10">
        <f t="shared" ca="1" si="227"/>
        <v>1</v>
      </c>
    </row>
    <row r="2940" spans="1:7" x14ac:dyDescent="0.2">
      <c r="A2940" s="2">
        <v>20011026</v>
      </c>
      <c r="B2940" s="13">
        <v>9545.17</v>
      </c>
      <c r="C2940" s="2">
        <f t="shared" si="230"/>
        <v>8.6939521711103824E-3</v>
      </c>
      <c r="D2940" s="21">
        <f t="shared" ca="1" si="226"/>
        <v>8.3099997560035152E-3</v>
      </c>
      <c r="E2940" s="21">
        <f t="shared" ca="1" si="228"/>
        <v>1.9423749171133313E-4</v>
      </c>
      <c r="F2940" s="11">
        <f t="shared" ca="1" si="229"/>
        <v>4.0954524664674601</v>
      </c>
      <c r="G2940" s="10">
        <f t="shared" ca="1" si="227"/>
        <v>1</v>
      </c>
    </row>
    <row r="2941" spans="1:7" x14ac:dyDescent="0.2">
      <c r="A2941" s="2">
        <v>20011029</v>
      </c>
      <c r="B2941" s="13">
        <v>9269.5</v>
      </c>
      <c r="C2941" s="2">
        <f t="shared" si="230"/>
        <v>-2.8880575201908409E-2</v>
      </c>
      <c r="D2941" s="21">
        <f t="shared" ca="1" si="226"/>
        <v>-2.9264527617015278E-2</v>
      </c>
      <c r="E2941" s="21">
        <f t="shared" ca="1" si="228"/>
        <v>1.8785926938198324E-4</v>
      </c>
      <c r="F2941" s="11">
        <f t="shared" ca="1" si="229"/>
        <v>2.0105094149188671</v>
      </c>
      <c r="G2941" s="10">
        <f t="shared" ca="1" si="227"/>
        <v>0</v>
      </c>
    </row>
    <row r="2942" spans="1:7" x14ac:dyDescent="0.2">
      <c r="A2942" s="2">
        <v>20011030</v>
      </c>
      <c r="B2942" s="13">
        <v>9121.98</v>
      </c>
      <c r="C2942" s="2">
        <f t="shared" si="230"/>
        <v>-1.5914558498300927E-2</v>
      </c>
      <c r="D2942" s="21">
        <f t="shared" ca="1" si="226"/>
        <v>-1.6298510913407796E-2</v>
      </c>
      <c r="E2942" s="21">
        <f t="shared" ca="1" si="228"/>
        <v>2.1075619597728687E-4</v>
      </c>
      <c r="F2942" s="11">
        <f t="shared" ca="1" si="229"/>
        <v>3.6021939643061218</v>
      </c>
      <c r="G2942" s="10">
        <f t="shared" ca="1" si="227"/>
        <v>0</v>
      </c>
    </row>
    <row r="2943" spans="1:7" x14ac:dyDescent="0.2">
      <c r="A2943" s="2">
        <v>20011031</v>
      </c>
      <c r="B2943" s="13">
        <v>9075.14</v>
      </c>
      <c r="C2943" s="2">
        <f t="shared" si="230"/>
        <v>-5.1348501092964632E-3</v>
      </c>
      <c r="D2943" s="21">
        <f t="shared" ca="1" si="226"/>
        <v>-5.5188025244033304E-3</v>
      </c>
      <c r="E2943" s="21">
        <f t="shared" ca="1" si="228"/>
        <v>2.1077107396996376E-4</v>
      </c>
      <c r="F2943" s="11">
        <f t="shared" ca="1" si="229"/>
        <v>4.1601171799362016</v>
      </c>
      <c r="G2943" s="10">
        <f t="shared" ca="1" si="227"/>
        <v>1</v>
      </c>
    </row>
    <row r="2944" spans="1:7" x14ac:dyDescent="0.2">
      <c r="A2944" s="2">
        <v>20011101</v>
      </c>
      <c r="B2944" s="13">
        <v>9263.9</v>
      </c>
      <c r="C2944" s="2">
        <f t="shared" si="230"/>
        <v>2.0799679123407487E-2</v>
      </c>
      <c r="D2944" s="21">
        <f t="shared" ca="1" si="226"/>
        <v>2.0415726708300618E-2</v>
      </c>
      <c r="E2944" s="21">
        <f t="shared" ca="1" si="228"/>
        <v>2.0213706278334522E-4</v>
      </c>
      <c r="F2944" s="11">
        <f t="shared" ca="1" si="229"/>
        <v>3.2222939721690009</v>
      </c>
      <c r="G2944" s="10">
        <f t="shared" ca="1" si="227"/>
        <v>0</v>
      </c>
    </row>
    <row r="2945" spans="1:7" x14ac:dyDescent="0.2">
      <c r="A2945" s="2">
        <v>20011102</v>
      </c>
      <c r="B2945" s="13">
        <v>9323.5400000000009</v>
      </c>
      <c r="C2945" s="2">
        <f t="shared" si="230"/>
        <v>6.4378933278642081E-3</v>
      </c>
      <c r="D2945" s="21">
        <f t="shared" ca="1" si="226"/>
        <v>6.0539409127573409E-3</v>
      </c>
      <c r="E2945" s="21">
        <f t="shared" ca="1" si="228"/>
        <v>2.0814641883878002E-4</v>
      </c>
      <c r="F2945" s="11">
        <f t="shared" ca="1" si="229"/>
        <v>4.1505949251181713</v>
      </c>
      <c r="G2945" s="10">
        <f t="shared" ca="1" si="227"/>
        <v>1</v>
      </c>
    </row>
    <row r="2946" spans="1:7" x14ac:dyDescent="0.2">
      <c r="A2946" s="2">
        <v>20011105</v>
      </c>
      <c r="B2946" s="13">
        <v>9441.0300000000007</v>
      </c>
      <c r="C2946" s="2">
        <f t="shared" si="230"/>
        <v>1.2601436793320967E-2</v>
      </c>
      <c r="D2946" s="21">
        <f t="shared" ca="1" si="226"/>
        <v>1.22174843782141E-2</v>
      </c>
      <c r="E2946" s="21">
        <f t="shared" ca="1" si="228"/>
        <v>1.9987291795138033E-4</v>
      </c>
      <c r="F2946" s="11">
        <f t="shared" ca="1" si="229"/>
        <v>3.8855098253865479</v>
      </c>
      <c r="G2946" s="10">
        <f t="shared" ca="1" si="227"/>
        <v>1</v>
      </c>
    </row>
    <row r="2947" spans="1:7" x14ac:dyDescent="0.2">
      <c r="A2947" s="2">
        <v>20011106</v>
      </c>
      <c r="B2947" s="13">
        <v>9591.1200000000008</v>
      </c>
      <c r="C2947" s="2">
        <f t="shared" si="230"/>
        <v>1.589762981369619E-2</v>
      </c>
      <c r="D2947" s="21">
        <f t="shared" ca="1" si="226"/>
        <v>1.5513677398589323E-2</v>
      </c>
      <c r="E2947" s="21">
        <f t="shared" ca="1" si="228"/>
        <v>1.9615908977203196E-4</v>
      </c>
      <c r="F2947" s="11">
        <f t="shared" ca="1" si="229"/>
        <v>3.6548254517244017</v>
      </c>
      <c r="G2947" s="10">
        <f t="shared" ca="1" si="227"/>
        <v>0</v>
      </c>
    </row>
    <row r="2948" spans="1:7" x14ac:dyDescent="0.2">
      <c r="A2948" s="2">
        <v>20011107</v>
      </c>
      <c r="B2948" s="13">
        <v>9554.3700000000008</v>
      </c>
      <c r="C2948" s="2">
        <f t="shared" si="230"/>
        <v>-3.8316692940970395E-3</v>
      </c>
      <c r="D2948" s="21">
        <f t="shared" ca="1" si="226"/>
        <v>-4.2156217092039067E-3</v>
      </c>
      <c r="E2948" s="21">
        <f t="shared" ca="1" si="228"/>
        <v>1.9599435000438976E-4</v>
      </c>
      <c r="F2948" s="11">
        <f t="shared" ca="1" si="229"/>
        <v>4.2233756824736268</v>
      </c>
      <c r="G2948" s="10">
        <f t="shared" ca="1" si="227"/>
        <v>1</v>
      </c>
    </row>
    <row r="2949" spans="1:7" x14ac:dyDescent="0.2">
      <c r="A2949" s="2">
        <v>20011108</v>
      </c>
      <c r="B2949" s="13">
        <v>9587.52</v>
      </c>
      <c r="C2949" s="2">
        <f t="shared" si="230"/>
        <v>3.4696165210264659E-3</v>
      </c>
      <c r="D2949" s="21">
        <f t="shared" ca="1" si="226"/>
        <v>3.0856641059195987E-3</v>
      </c>
      <c r="E2949" s="21">
        <f t="shared" ca="1" si="228"/>
        <v>1.8764142226160551E-4</v>
      </c>
      <c r="F2949" s="11">
        <f t="shared" ca="1" si="229"/>
        <v>4.265117813972827</v>
      </c>
      <c r="G2949" s="10">
        <f t="shared" ca="1" si="227"/>
        <v>1</v>
      </c>
    </row>
    <row r="2950" spans="1:7" x14ac:dyDescent="0.2">
      <c r="A2950" s="2">
        <v>20011109</v>
      </c>
      <c r="B2950" s="13">
        <v>9608</v>
      </c>
      <c r="C2950" s="2">
        <f t="shared" si="230"/>
        <v>2.1361102766929885E-3</v>
      </c>
      <c r="D2950" s="21">
        <f t="shared" ca="1" si="226"/>
        <v>1.7521578615861213E-3</v>
      </c>
      <c r="E2950" s="21">
        <f t="shared" ca="1" si="228"/>
        <v>1.7940769970493719E-4</v>
      </c>
      <c r="F2950" s="11">
        <f t="shared" ca="1" si="229"/>
        <v>4.3043687541339004</v>
      </c>
      <c r="G2950" s="10">
        <f t="shared" ca="1" si="227"/>
        <v>1</v>
      </c>
    </row>
    <row r="2951" spans="1:7" x14ac:dyDescent="0.2">
      <c r="A2951" s="2">
        <v>20011112</v>
      </c>
      <c r="B2951" s="13">
        <v>9554.3700000000008</v>
      </c>
      <c r="C2951" s="2">
        <f t="shared" si="230"/>
        <v>-5.5818068276435474E-3</v>
      </c>
      <c r="D2951" s="21">
        <f t="shared" ca="1" si="226"/>
        <v>-5.9657592427504146E-3</v>
      </c>
      <c r="E2951" s="21">
        <f t="shared" ca="1" si="228"/>
        <v>1.7135329957570461E-4</v>
      </c>
      <c r="F2951" s="11">
        <f t="shared" ca="1" si="229"/>
        <v>4.2320409343356449</v>
      </c>
      <c r="G2951" s="10">
        <f t="shared" ca="1" si="227"/>
        <v>1</v>
      </c>
    </row>
    <row r="2952" spans="1:7" x14ac:dyDescent="0.2">
      <c r="A2952" s="2">
        <v>20011113</v>
      </c>
      <c r="B2952" s="13">
        <v>9750.9500000000007</v>
      </c>
      <c r="C2952" s="2">
        <f t="shared" si="230"/>
        <v>2.0574878301761385E-2</v>
      </c>
      <c r="D2952" s="21">
        <f t="shared" ca="1" si="226"/>
        <v>2.0190925886654516E-2</v>
      </c>
      <c r="E2952" s="21">
        <f t="shared" ca="1" si="228"/>
        <v>1.6490219969917243E-4</v>
      </c>
      <c r="F2952" s="11">
        <f t="shared" ca="1" si="229"/>
        <v>3.1189721113846209</v>
      </c>
      <c r="G2952" s="10">
        <f t="shared" ca="1" si="227"/>
        <v>0</v>
      </c>
    </row>
    <row r="2953" spans="1:7" x14ac:dyDescent="0.2">
      <c r="A2953" s="2">
        <v>20011114</v>
      </c>
      <c r="B2953" s="13">
        <v>9823.61</v>
      </c>
      <c r="C2953" s="2">
        <f t="shared" si="230"/>
        <v>7.4515816407631922E-3</v>
      </c>
      <c r="D2953" s="21">
        <f t="shared" ca="1" si="226"/>
        <v>7.067629225656325E-3</v>
      </c>
      <c r="E2953" s="21">
        <f t="shared" ca="1" si="228"/>
        <v>1.7245961220545137E-4</v>
      </c>
      <c r="F2953" s="11">
        <f t="shared" ca="1" si="229"/>
        <v>4.187853216366209</v>
      </c>
      <c r="G2953" s="10">
        <f t="shared" ca="1" si="227"/>
        <v>1</v>
      </c>
    </row>
    <row r="2954" spans="1:7" x14ac:dyDescent="0.2">
      <c r="A2954" s="2">
        <v>20011115</v>
      </c>
      <c r="B2954" s="13">
        <v>9872.39</v>
      </c>
      <c r="C2954" s="2">
        <f t="shared" si="230"/>
        <v>4.9655880068527588E-3</v>
      </c>
      <c r="D2954" s="21">
        <f t="shared" ca="1" si="226"/>
        <v>4.5816355917458916E-3</v>
      </c>
      <c r="E2954" s="21">
        <f t="shared" ca="1" si="228"/>
        <v>1.6648062631354396E-4</v>
      </c>
      <c r="F2954" s="11">
        <f t="shared" ca="1" si="229"/>
        <v>4.2872712798524812</v>
      </c>
      <c r="G2954" s="10">
        <f t="shared" ca="1" si="227"/>
        <v>1</v>
      </c>
    </row>
    <row r="2955" spans="1:7" x14ac:dyDescent="0.2">
      <c r="A2955" s="2">
        <v>20011116</v>
      </c>
      <c r="B2955" s="13">
        <v>9866.99</v>
      </c>
      <c r="C2955" s="2">
        <f t="shared" si="230"/>
        <v>-5.4698001193223089E-4</v>
      </c>
      <c r="D2955" s="21">
        <f t="shared" ca="1" si="226"/>
        <v>-9.3093242703909819E-4</v>
      </c>
      <c r="E2955" s="21">
        <f t="shared" ca="1" si="228"/>
        <v>1.5973920958813086E-4</v>
      </c>
      <c r="F2955" s="11">
        <f t="shared" ca="1" si="229"/>
        <v>4.3682713498845676</v>
      </c>
      <c r="G2955" s="10">
        <f t="shared" ca="1" si="227"/>
        <v>1</v>
      </c>
    </row>
    <row r="2956" spans="1:7" x14ac:dyDescent="0.2">
      <c r="A2956" s="2">
        <v>20011119</v>
      </c>
      <c r="B2956" s="13">
        <v>9976.4599999999991</v>
      </c>
      <c r="C2956" s="2">
        <f t="shared" si="230"/>
        <v>1.1094568860412279E-2</v>
      </c>
      <c r="D2956" s="21">
        <f t="shared" ca="1" si="226"/>
        <v>1.0710616445305412E-2</v>
      </c>
      <c r="E2956" s="21">
        <f t="shared" ca="1" si="228"/>
        <v>1.525988211762541E-4</v>
      </c>
      <c r="F2956" s="11">
        <f t="shared" ca="1" si="229"/>
        <v>4.0179703440664234</v>
      </c>
      <c r="G2956" s="10">
        <f t="shared" ca="1" si="227"/>
        <v>1</v>
      </c>
    </row>
    <row r="2957" spans="1:7" x14ac:dyDescent="0.2">
      <c r="A2957" s="2">
        <v>20011120</v>
      </c>
      <c r="B2957" s="13">
        <v>9901.3799999999992</v>
      </c>
      <c r="C2957" s="2">
        <f t="shared" si="230"/>
        <v>-7.5257155343678951E-3</v>
      </c>
      <c r="D2957" s="21">
        <f t="shared" ca="1" si="226"/>
        <v>-7.9096679494747631E-3</v>
      </c>
      <c r="E2957" s="21">
        <f t="shared" ca="1" si="228"/>
        <v>1.5000615526968632E-4</v>
      </c>
      <c r="F2957" s="11">
        <f t="shared" ca="1" si="229"/>
        <v>4.1938828484505066</v>
      </c>
      <c r="G2957" s="10">
        <f t="shared" ca="1" si="227"/>
        <v>1</v>
      </c>
    </row>
    <row r="2958" spans="1:7" x14ac:dyDescent="0.2">
      <c r="A2958" s="2">
        <v>20011121</v>
      </c>
      <c r="B2958" s="13">
        <v>9834.68</v>
      </c>
      <c r="C2958" s="2">
        <f t="shared" si="230"/>
        <v>-6.7364347192006482E-3</v>
      </c>
      <c r="D2958" s="21">
        <f t="shared" ref="D2958:D3021" ca="1" si="231">(C2958-mu)</f>
        <v>-7.1203871343075154E-3</v>
      </c>
      <c r="E2958" s="21">
        <f t="shared" ca="1" si="228"/>
        <v>1.4562684271610988E-4</v>
      </c>
      <c r="F2958" s="11">
        <f t="shared" ca="1" si="229"/>
        <v>4.2431567883460515</v>
      </c>
      <c r="G2958" s="10">
        <f t="shared" ref="G2958:G3021" ca="1" si="232">IF(AND(C2958&lt;=mu+zvalue*SQRT(E2958),C2958&gt;=mu-zvalue*SQRT(E2958)),1,0)</f>
        <v>1</v>
      </c>
    </row>
    <row r="2959" spans="1:7" x14ac:dyDescent="0.2">
      <c r="A2959" s="2">
        <v>20011123</v>
      </c>
      <c r="B2959" s="13">
        <v>9959.7099999999991</v>
      </c>
      <c r="C2959" s="2">
        <f t="shared" si="230"/>
        <v>1.271317419580493E-2</v>
      </c>
      <c r="D2959" s="21">
        <f t="shared" ca="1" si="231"/>
        <v>1.2329221780698063E-2</v>
      </c>
      <c r="E2959" s="21">
        <f t="shared" ref="E2959:E3022" ca="1" si="233">(1-alpha-beta)*longvar+alpha*D2958^2+beta*E2958</f>
        <v>1.4103286022542252E-4</v>
      </c>
      <c r="F2959" s="11">
        <f t="shared" ref="F2959:F3022" ca="1" si="234">(-0.5)*(LN(E2959)+D2959^2/E2959)</f>
        <v>3.894342892953369</v>
      </c>
      <c r="G2959" s="10">
        <f t="shared" ca="1" si="232"/>
        <v>0</v>
      </c>
    </row>
    <row r="2960" spans="1:7" x14ac:dyDescent="0.2">
      <c r="A2960" s="2">
        <v>20011126</v>
      </c>
      <c r="B2960" s="13">
        <v>9982.75</v>
      </c>
      <c r="C2960" s="2">
        <f t="shared" si="230"/>
        <v>2.3133203677618E-3</v>
      </c>
      <c r="D2960" s="21">
        <f t="shared" ca="1" si="231"/>
        <v>1.9293679526549328E-3</v>
      </c>
      <c r="E2960" s="21">
        <f t="shared" ca="1" si="233"/>
        <v>1.4039662694067135E-4</v>
      </c>
      <c r="F2960" s="11">
        <f t="shared" ca="1" si="234"/>
        <v>4.4222626007439461</v>
      </c>
      <c r="G2960" s="10">
        <f t="shared" ca="1" si="232"/>
        <v>1</v>
      </c>
    </row>
    <row r="2961" spans="1:7" x14ac:dyDescent="0.2">
      <c r="A2961" s="2">
        <v>20011127</v>
      </c>
      <c r="B2961" s="13">
        <v>9872.6</v>
      </c>
      <c r="C2961" s="2">
        <f t="shared" si="230"/>
        <v>-1.1034033708146516E-2</v>
      </c>
      <c r="D2961" s="21">
        <f t="shared" ca="1" si="231"/>
        <v>-1.1417986123253383E-2</v>
      </c>
      <c r="E2961" s="21">
        <f t="shared" ca="1" si="233"/>
        <v>1.3433979984427065E-4</v>
      </c>
      <c r="F2961" s="11">
        <f t="shared" ca="1" si="234"/>
        <v>3.9723427774899966</v>
      </c>
      <c r="G2961" s="10">
        <f t="shared" ca="1" si="232"/>
        <v>1</v>
      </c>
    </row>
    <row r="2962" spans="1:7" x14ac:dyDescent="0.2">
      <c r="A2962" s="2">
        <v>20011128</v>
      </c>
      <c r="B2962" s="13">
        <v>9711.86</v>
      </c>
      <c r="C2962" s="2">
        <f t="shared" si="230"/>
        <v>-1.6281425359074588E-2</v>
      </c>
      <c r="D2962" s="21">
        <f t="shared" ca="1" si="231"/>
        <v>-1.6665377774181457E-2</v>
      </c>
      <c r="E2962" s="21">
        <f t="shared" ca="1" si="233"/>
        <v>1.3324645574789377E-4</v>
      </c>
      <c r="F2962" s="11">
        <f t="shared" ca="1" si="234"/>
        <v>3.4194704169260346</v>
      </c>
      <c r="G2962" s="10">
        <f t="shared" ca="1" si="232"/>
        <v>0</v>
      </c>
    </row>
    <row r="2963" spans="1:7" x14ac:dyDescent="0.2">
      <c r="A2963" s="2">
        <v>20011129</v>
      </c>
      <c r="B2963" s="13">
        <v>9829.42</v>
      </c>
      <c r="C2963" s="2">
        <f t="shared" si="230"/>
        <v>1.2104787342486351E-2</v>
      </c>
      <c r="D2963" s="21">
        <f t="shared" ca="1" si="231"/>
        <v>1.1720834927379483E-2</v>
      </c>
      <c r="E2963" s="21">
        <f t="shared" ca="1" si="233"/>
        <v>1.3762727092249771E-4</v>
      </c>
      <c r="F2963" s="11">
        <f t="shared" ca="1" si="234"/>
        <v>3.9463864365389476</v>
      </c>
      <c r="G2963" s="10">
        <f t="shared" ca="1" si="232"/>
        <v>1</v>
      </c>
    </row>
    <row r="2964" spans="1:7" x14ac:dyDescent="0.2">
      <c r="A2964" s="2">
        <v>20011130</v>
      </c>
      <c r="B2964" s="13">
        <v>9851.56</v>
      </c>
      <c r="C2964" s="2">
        <f t="shared" si="230"/>
        <v>2.2524218112563526E-3</v>
      </c>
      <c r="D2964" s="21">
        <f t="shared" ca="1" si="231"/>
        <v>1.8684693961494854E-3</v>
      </c>
      <c r="E2964" s="21">
        <f t="shared" ca="1" si="233"/>
        <v>1.3662529295608883E-4</v>
      </c>
      <c r="F2964" s="11">
        <f t="shared" ca="1" si="234"/>
        <v>4.4363577637237848</v>
      </c>
      <c r="G2964" s="10">
        <f t="shared" ca="1" si="232"/>
        <v>1</v>
      </c>
    </row>
    <row r="2965" spans="1:7" x14ac:dyDescent="0.2">
      <c r="A2965" s="2">
        <v>20011203</v>
      </c>
      <c r="B2965" s="13">
        <v>9763.9599999999991</v>
      </c>
      <c r="C2965" s="2">
        <f t="shared" si="230"/>
        <v>-8.8919927402361012E-3</v>
      </c>
      <c r="D2965" s="21">
        <f t="shared" ca="1" si="231"/>
        <v>-9.2759451553429684E-3</v>
      </c>
      <c r="E2965" s="21">
        <f t="shared" ca="1" si="233"/>
        <v>1.3075075421489169E-4</v>
      </c>
      <c r="F2965" s="11">
        <f t="shared" ca="1" si="234"/>
        <v>4.142073806242327</v>
      </c>
      <c r="G2965" s="10">
        <f t="shared" ca="1" si="232"/>
        <v>1</v>
      </c>
    </row>
    <row r="2966" spans="1:7" x14ac:dyDescent="0.2">
      <c r="A2966" s="2">
        <v>20011204</v>
      </c>
      <c r="B2966" s="13">
        <v>9893.84</v>
      </c>
      <c r="C2966" s="2">
        <f t="shared" si="230"/>
        <v>1.3301979934370996E-2</v>
      </c>
      <c r="D2966" s="21">
        <f t="shared" ca="1" si="231"/>
        <v>1.2918027519264129E-2</v>
      </c>
      <c r="E2966" s="21">
        <f t="shared" ca="1" si="233"/>
        <v>1.2820899079068489E-4</v>
      </c>
      <c r="F2966" s="11">
        <f t="shared" ca="1" si="234"/>
        <v>3.8301298532753667</v>
      </c>
      <c r="G2966" s="10">
        <f t="shared" ca="1" si="232"/>
        <v>0</v>
      </c>
    </row>
    <row r="2967" spans="1:7" x14ac:dyDescent="0.2">
      <c r="A2967" s="2">
        <v>20011205</v>
      </c>
      <c r="B2967" s="13">
        <v>10114.290000000001</v>
      </c>
      <c r="C2967" s="2">
        <f t="shared" si="230"/>
        <v>2.2281540837531304E-2</v>
      </c>
      <c r="D2967" s="21">
        <f t="shared" ca="1" si="231"/>
        <v>2.1897588422424435E-2</v>
      </c>
      <c r="E2967" s="21">
        <f t="shared" ca="1" si="233"/>
        <v>1.2876815995754346E-4</v>
      </c>
      <c r="F2967" s="11">
        <f t="shared" ca="1" si="234"/>
        <v>2.6168581793195043</v>
      </c>
      <c r="G2967" s="10">
        <f t="shared" ca="1" si="232"/>
        <v>0</v>
      </c>
    </row>
    <row r="2968" spans="1:7" x14ac:dyDescent="0.2">
      <c r="A2968" s="2">
        <v>20011206</v>
      </c>
      <c r="B2968" s="13">
        <v>10099.14</v>
      </c>
      <c r="C2968" s="2">
        <f t="shared" si="230"/>
        <v>-1.4978807212371263E-3</v>
      </c>
      <c r="D2968" s="21">
        <f t="shared" ca="1" si="231"/>
        <v>-1.8818331363439937E-3</v>
      </c>
      <c r="E2968" s="21">
        <f t="shared" ca="1" si="233"/>
        <v>1.4079495269791553E-4</v>
      </c>
      <c r="F2968" s="11">
        <f t="shared" ca="1" si="234"/>
        <v>4.4215269054475979</v>
      </c>
      <c r="G2968" s="10">
        <f t="shared" ca="1" si="232"/>
        <v>1</v>
      </c>
    </row>
    <row r="2969" spans="1:7" x14ac:dyDescent="0.2">
      <c r="A2969" s="2">
        <v>20011207</v>
      </c>
      <c r="B2969" s="13">
        <v>10049.459999999999</v>
      </c>
      <c r="C2969" s="2">
        <f t="shared" si="230"/>
        <v>-4.9192307463804142E-3</v>
      </c>
      <c r="D2969" s="21">
        <f t="shared" ca="1" si="231"/>
        <v>-5.3031831614872814E-3</v>
      </c>
      <c r="E2969" s="21">
        <f t="shared" ca="1" si="233"/>
        <v>1.3471131242635378E-4</v>
      </c>
      <c r="F2969" s="11">
        <f t="shared" ca="1" si="234"/>
        <v>4.3518029845106794</v>
      </c>
      <c r="G2969" s="10">
        <f t="shared" ca="1" si="232"/>
        <v>1</v>
      </c>
    </row>
    <row r="2970" spans="1:7" x14ac:dyDescent="0.2">
      <c r="A2970" s="2">
        <v>20011210</v>
      </c>
      <c r="B2970" s="13">
        <v>9921.4500000000007</v>
      </c>
      <c r="C2970" s="2">
        <f t="shared" si="230"/>
        <v>-1.2737997862571562E-2</v>
      </c>
      <c r="D2970" s="21">
        <f t="shared" ca="1" si="231"/>
        <v>-1.3121950277678429E-2</v>
      </c>
      <c r="E2970" s="21">
        <f t="shared" ca="1" si="233"/>
        <v>1.2983938533714717E-4</v>
      </c>
      <c r="F2970" s="11">
        <f t="shared" ca="1" si="234"/>
        <v>3.8115347340597459</v>
      </c>
      <c r="G2970" s="10">
        <f t="shared" ca="1" si="232"/>
        <v>0</v>
      </c>
    </row>
    <row r="2971" spans="1:7" x14ac:dyDescent="0.2">
      <c r="A2971" s="2">
        <v>20011211</v>
      </c>
      <c r="B2971" s="13">
        <v>9888.3700000000008</v>
      </c>
      <c r="C2971" s="2">
        <f t="shared" si="230"/>
        <v>-3.3341900629444208E-3</v>
      </c>
      <c r="D2971" s="21">
        <f t="shared" ca="1" si="231"/>
        <v>-3.718142478051288E-3</v>
      </c>
      <c r="E2971" s="21">
        <f t="shared" ca="1" si="233"/>
        <v>1.3051133557743949E-4</v>
      </c>
      <c r="F2971" s="11">
        <f t="shared" ca="1" si="234"/>
        <v>4.4190620838520678</v>
      </c>
      <c r="G2971" s="10">
        <f t="shared" ca="1" si="232"/>
        <v>1</v>
      </c>
    </row>
    <row r="2972" spans="1:7" x14ac:dyDescent="0.2">
      <c r="A2972" s="2">
        <v>20011212</v>
      </c>
      <c r="B2972" s="13">
        <v>9894.81</v>
      </c>
      <c r="C2972" s="2">
        <f t="shared" si="230"/>
        <v>6.5127012844368583E-4</v>
      </c>
      <c r="D2972" s="21">
        <f t="shared" ca="1" si="231"/>
        <v>2.6731771333681853E-4</v>
      </c>
      <c r="E2972" s="21">
        <f t="shared" ca="1" si="233"/>
        <v>1.2532608131976132E-4</v>
      </c>
      <c r="F2972" s="11">
        <f t="shared" ca="1" si="234"/>
        <v>4.4920106920276996</v>
      </c>
      <c r="G2972" s="10">
        <f t="shared" ca="1" si="232"/>
        <v>1</v>
      </c>
    </row>
    <row r="2973" spans="1:7" x14ac:dyDescent="0.2">
      <c r="A2973" s="2">
        <v>20011213</v>
      </c>
      <c r="B2973" s="13">
        <v>9766.4500000000007</v>
      </c>
      <c r="C2973" s="2">
        <f t="shared" si="230"/>
        <v>-1.2972457278108298E-2</v>
      </c>
      <c r="D2973" s="21">
        <f t="shared" ca="1" si="231"/>
        <v>-1.3356409693215165E-2</v>
      </c>
      <c r="E2973" s="21">
        <f t="shared" ca="1" si="233"/>
        <v>1.1989742437247505E-4</v>
      </c>
      <c r="F2973" s="11">
        <f t="shared" ca="1" si="234"/>
        <v>3.7704940691599642</v>
      </c>
      <c r="G2973" s="10">
        <f t="shared" ca="1" si="232"/>
        <v>0</v>
      </c>
    </row>
    <row r="2974" spans="1:7" x14ac:dyDescent="0.2">
      <c r="A2974" s="2">
        <v>20011214</v>
      </c>
      <c r="B2974" s="13">
        <v>9811.15</v>
      </c>
      <c r="C2974" s="2">
        <f t="shared" si="230"/>
        <v>4.5768933440501827E-3</v>
      </c>
      <c r="D2974" s="21">
        <f t="shared" ca="1" si="231"/>
        <v>4.1929409289433155E-3</v>
      </c>
      <c r="E2974" s="21">
        <f t="shared" ca="1" si="233"/>
        <v>1.2130062439767067E-4</v>
      </c>
      <c r="F2974" s="11">
        <f t="shared" ca="1" si="234"/>
        <v>4.4361516008820319</v>
      </c>
      <c r="G2974" s="10">
        <f t="shared" ca="1" si="232"/>
        <v>1</v>
      </c>
    </row>
    <row r="2975" spans="1:7" x14ac:dyDescent="0.2">
      <c r="A2975" s="2">
        <v>20011217</v>
      </c>
      <c r="B2975" s="13">
        <v>9891.9699999999993</v>
      </c>
      <c r="C2975" s="2">
        <f t="shared" si="230"/>
        <v>8.2375664422620915E-3</v>
      </c>
      <c r="D2975" s="21">
        <f t="shared" ca="1" si="231"/>
        <v>7.8536140271552243E-3</v>
      </c>
      <c r="E2975" s="21">
        <f t="shared" ca="1" si="233"/>
        <v>1.1671946398607258E-4</v>
      </c>
      <c r="F2975" s="11">
        <f t="shared" ca="1" si="234"/>
        <v>4.2636485384767333</v>
      </c>
      <c r="G2975" s="10">
        <f t="shared" ca="1" si="232"/>
        <v>1</v>
      </c>
    </row>
    <row r="2976" spans="1:7" x14ac:dyDescent="0.2">
      <c r="A2976" s="2">
        <v>20011218</v>
      </c>
      <c r="B2976" s="13">
        <v>9998.39</v>
      </c>
      <c r="C2976" s="2">
        <f t="shared" si="230"/>
        <v>1.0758221062134244E-2</v>
      </c>
      <c r="D2976" s="21">
        <f t="shared" ca="1" si="231"/>
        <v>1.0374268647027377E-2</v>
      </c>
      <c r="E2976" s="21">
        <f t="shared" ca="1" si="233"/>
        <v>1.139916448184401E-4</v>
      </c>
      <c r="F2976" s="11">
        <f t="shared" ca="1" si="234"/>
        <v>4.0676166555081714</v>
      </c>
      <c r="G2976" s="10">
        <f t="shared" ca="1" si="232"/>
        <v>1</v>
      </c>
    </row>
    <row r="2977" spans="1:7" x14ac:dyDescent="0.2">
      <c r="A2977" s="2">
        <v>20011219</v>
      </c>
      <c r="B2977" s="13">
        <v>10070.49</v>
      </c>
      <c r="C2977" s="2">
        <f t="shared" si="230"/>
        <v>7.2111609969205412E-3</v>
      </c>
      <c r="D2977" s="21">
        <f t="shared" ca="1" si="231"/>
        <v>6.827208581813674E-3</v>
      </c>
      <c r="E2977" s="21">
        <f t="shared" ca="1" si="233"/>
        <v>1.1309134879656553E-4</v>
      </c>
      <c r="F2977" s="11">
        <f t="shared" ca="1" si="234"/>
        <v>4.3375815494354715</v>
      </c>
      <c r="G2977" s="10">
        <f t="shared" ca="1" si="232"/>
        <v>1</v>
      </c>
    </row>
    <row r="2978" spans="1:7" x14ac:dyDescent="0.2">
      <c r="A2978" s="2">
        <v>20011220</v>
      </c>
      <c r="B2978" s="13">
        <v>9985.18</v>
      </c>
      <c r="C2978" s="2">
        <f t="shared" si="230"/>
        <v>-8.4712859056510145E-3</v>
      </c>
      <c r="D2978" s="21">
        <f t="shared" ca="1" si="231"/>
        <v>-8.8552383207578817E-3</v>
      </c>
      <c r="E2978" s="21">
        <f t="shared" ca="1" si="233"/>
        <v>1.0999298298833816E-4</v>
      </c>
      <c r="F2978" s="11">
        <f t="shared" ca="1" si="234"/>
        <v>4.2010913188624039</v>
      </c>
      <c r="G2978" s="10">
        <f t="shared" ca="1" si="232"/>
        <v>1</v>
      </c>
    </row>
    <row r="2979" spans="1:7" x14ac:dyDescent="0.2">
      <c r="A2979" s="2">
        <v>20011221</v>
      </c>
      <c r="B2979" s="13">
        <v>10035.34</v>
      </c>
      <c r="C2979" s="2">
        <f t="shared" si="230"/>
        <v>5.023444745112242E-3</v>
      </c>
      <c r="D2979" s="21">
        <f t="shared" ca="1" si="231"/>
        <v>4.6394923300053749E-3</v>
      </c>
      <c r="E2979" s="21">
        <f t="shared" ca="1" si="233"/>
        <v>1.0822087037264846E-4</v>
      </c>
      <c r="F2979" s="11">
        <f t="shared" ca="1" si="234"/>
        <v>4.4662192798340277</v>
      </c>
      <c r="G2979" s="10">
        <f t="shared" ca="1" si="232"/>
        <v>1</v>
      </c>
    </row>
    <row r="2980" spans="1:7" x14ac:dyDescent="0.2">
      <c r="A2980" s="2">
        <v>20011224</v>
      </c>
      <c r="B2980" s="13">
        <v>10035.34</v>
      </c>
      <c r="C2980" s="2">
        <f t="shared" si="230"/>
        <v>0</v>
      </c>
      <c r="D2980" s="21">
        <f t="shared" ca="1" si="231"/>
        <v>-3.839524151068673E-4</v>
      </c>
      <c r="E2980" s="21">
        <f t="shared" ca="1" si="233"/>
        <v>1.0444645177088861E-4</v>
      </c>
      <c r="F2980" s="11">
        <f t="shared" ca="1" si="234"/>
        <v>4.5827123026889236</v>
      </c>
      <c r="G2980" s="10">
        <f t="shared" ca="1" si="232"/>
        <v>1</v>
      </c>
    </row>
    <row r="2981" spans="1:7" x14ac:dyDescent="0.2">
      <c r="A2981" s="2">
        <v>20011226</v>
      </c>
      <c r="B2981" s="13">
        <v>10088.14</v>
      </c>
      <c r="C2981" s="2">
        <f t="shared" si="230"/>
        <v>5.26140619052262E-3</v>
      </c>
      <c r="D2981" s="21">
        <f t="shared" ca="1" si="231"/>
        <v>4.8774537754157528E-3</v>
      </c>
      <c r="E2981" s="21">
        <f t="shared" ca="1" si="233"/>
        <v>1.0007689536486321E-4</v>
      </c>
      <c r="F2981" s="11">
        <f t="shared" ca="1" si="234"/>
        <v>4.4859294753021821</v>
      </c>
      <c r="G2981" s="10">
        <f t="shared" ca="1" si="232"/>
        <v>1</v>
      </c>
    </row>
    <row r="2982" spans="1:7" x14ac:dyDescent="0.2">
      <c r="A2982" s="2">
        <v>20011227</v>
      </c>
      <c r="B2982" s="13">
        <v>10131.31</v>
      </c>
      <c r="C2982" s="2">
        <f t="shared" si="230"/>
        <v>4.2792824048833653E-3</v>
      </c>
      <c r="D2982" s="21">
        <f t="shared" ca="1" si="231"/>
        <v>3.8953299897764981E-3</v>
      </c>
      <c r="E2982" s="21">
        <f t="shared" ca="1" si="233"/>
        <v>9.6797758872535546E-5</v>
      </c>
      <c r="F2982" s="11">
        <f t="shared" ca="1" si="234"/>
        <v>4.5430655324336451</v>
      </c>
      <c r="G2982" s="10">
        <f t="shared" ca="1" si="232"/>
        <v>1</v>
      </c>
    </row>
    <row r="2983" spans="1:7" x14ac:dyDescent="0.2">
      <c r="A2983" s="2">
        <v>20011228</v>
      </c>
      <c r="B2983" s="13">
        <v>10136.99</v>
      </c>
      <c r="C2983" s="2">
        <f t="shared" si="230"/>
        <v>5.6063825902082662E-4</v>
      </c>
      <c r="D2983" s="21">
        <f t="shared" ca="1" si="231"/>
        <v>1.7668584391395932E-4</v>
      </c>
      <c r="E2983" s="21">
        <f t="shared" ca="1" si="233"/>
        <v>9.3367691096618398E-5</v>
      </c>
      <c r="F2983" s="11">
        <f t="shared" ca="1" si="234"/>
        <v>4.6393154190133172</v>
      </c>
      <c r="G2983" s="10">
        <f t="shared" ca="1" si="232"/>
        <v>1</v>
      </c>
    </row>
    <row r="2984" spans="1:7" x14ac:dyDescent="0.2">
      <c r="A2984" s="2">
        <v>20011231</v>
      </c>
      <c r="B2984" s="13">
        <v>10021.57</v>
      </c>
      <c r="C2984" s="2">
        <f t="shared" si="230"/>
        <v>-1.1386022872667337E-2</v>
      </c>
      <c r="D2984" s="21">
        <f t="shared" ca="1" si="231"/>
        <v>-1.1769975287774204E-2</v>
      </c>
      <c r="E2984" s="21">
        <f t="shared" ca="1" si="233"/>
        <v>8.9554339906335951E-5</v>
      </c>
      <c r="F2984" s="11">
        <f t="shared" ca="1" si="234"/>
        <v>3.8868785201979064</v>
      </c>
      <c r="G2984" s="10">
        <f t="shared" ca="1" si="232"/>
        <v>0</v>
      </c>
    </row>
    <row r="2985" spans="1:7" x14ac:dyDescent="0.2">
      <c r="A2985" s="2">
        <v>20020102</v>
      </c>
      <c r="B2985" s="13">
        <v>10073.4</v>
      </c>
      <c r="C2985" s="2">
        <f t="shared" si="230"/>
        <v>5.1718443317763513E-3</v>
      </c>
      <c r="D2985" s="21">
        <f t="shared" ca="1" si="231"/>
        <v>4.7878919166694841E-3</v>
      </c>
      <c r="E2985" s="21">
        <f t="shared" ca="1" si="233"/>
        <v>9.1026834699053222E-5</v>
      </c>
      <c r="F2985" s="11">
        <f t="shared" ca="1" si="234"/>
        <v>4.5262596917482094</v>
      </c>
      <c r="G2985" s="10">
        <f t="shared" ca="1" si="232"/>
        <v>1</v>
      </c>
    </row>
    <row r="2986" spans="1:7" x14ac:dyDescent="0.2">
      <c r="A2986" s="2">
        <v>20020103</v>
      </c>
      <c r="B2986" s="13">
        <v>10172.14</v>
      </c>
      <c r="C2986" s="2">
        <f t="shared" si="230"/>
        <v>9.8020529314828946E-3</v>
      </c>
      <c r="D2986" s="21">
        <f t="shared" ca="1" si="231"/>
        <v>9.4181005163760274E-3</v>
      </c>
      <c r="E2986" s="21">
        <f t="shared" ca="1" si="233"/>
        <v>8.8173712428818804E-5</v>
      </c>
      <c r="F2986" s="11">
        <f t="shared" ca="1" si="234"/>
        <v>4.1651129624046215</v>
      </c>
      <c r="G2986" s="10">
        <f t="shared" ca="1" si="232"/>
        <v>0</v>
      </c>
    </row>
    <row r="2987" spans="1:7" x14ac:dyDescent="0.2">
      <c r="A2987" s="2">
        <v>20020104</v>
      </c>
      <c r="B2987" s="13">
        <v>10259.74</v>
      </c>
      <c r="C2987" s="2">
        <f t="shared" si="230"/>
        <v>8.6117572113636239E-3</v>
      </c>
      <c r="D2987" s="21">
        <f t="shared" ca="1" si="231"/>
        <v>8.2278047962567567E-3</v>
      </c>
      <c r="E2987" s="21">
        <f t="shared" ca="1" si="233"/>
        <v>8.7883654968220486E-5</v>
      </c>
      <c r="F2987" s="11">
        <f t="shared" ca="1" si="234"/>
        <v>4.2845984039960046</v>
      </c>
      <c r="G2987" s="10">
        <f t="shared" ca="1" si="232"/>
        <v>1</v>
      </c>
    </row>
    <row r="2988" spans="1:7" x14ac:dyDescent="0.2">
      <c r="A2988" s="2">
        <v>20020107</v>
      </c>
      <c r="B2988" s="13">
        <v>10197.049999999999</v>
      </c>
      <c r="C2988" s="2">
        <f t="shared" si="230"/>
        <v>-6.110291293931475E-3</v>
      </c>
      <c r="D2988" s="21">
        <f t="shared" ca="1" si="231"/>
        <v>-6.4942437090383422E-3</v>
      </c>
      <c r="E2988" s="21">
        <f t="shared" ca="1" si="233"/>
        <v>8.6835923534701477E-5</v>
      </c>
      <c r="F2988" s="11">
        <f t="shared" ca="1" si="234"/>
        <v>4.4329008747673981</v>
      </c>
      <c r="G2988" s="10">
        <f t="shared" ca="1" si="232"/>
        <v>1</v>
      </c>
    </row>
    <row r="2989" spans="1:7" x14ac:dyDescent="0.2">
      <c r="A2989" s="2">
        <v>20020108</v>
      </c>
      <c r="B2989" s="13">
        <v>10150.549999999999</v>
      </c>
      <c r="C2989" s="2">
        <f t="shared" si="230"/>
        <v>-4.5601423941237914E-3</v>
      </c>
      <c r="D2989" s="21">
        <f t="shared" ca="1" si="231"/>
        <v>-4.9440948092306586E-3</v>
      </c>
      <c r="E2989" s="21">
        <f t="shared" ca="1" si="233"/>
        <v>8.4902724473438619E-5</v>
      </c>
      <c r="F2989" s="11">
        <f t="shared" ca="1" si="234"/>
        <v>4.5430487769766064</v>
      </c>
      <c r="G2989" s="10">
        <f t="shared" ca="1" si="232"/>
        <v>1</v>
      </c>
    </row>
    <row r="2990" spans="1:7" x14ac:dyDescent="0.2">
      <c r="A2990" s="2">
        <v>20020109</v>
      </c>
      <c r="B2990" s="13">
        <v>10094.09</v>
      </c>
      <c r="C2990" s="2">
        <f t="shared" ref="C2990:C3053" si="235">(B2990-B2989)/B2989</f>
        <v>-5.562260173093983E-3</v>
      </c>
      <c r="D2990" s="21">
        <f t="shared" ca="1" si="231"/>
        <v>-5.9462125882008502E-3</v>
      </c>
      <c r="E2990" s="21">
        <f t="shared" ca="1" si="233"/>
        <v>8.2415322058065075E-5</v>
      </c>
      <c r="F2990" s="11">
        <f t="shared" ca="1" si="234"/>
        <v>4.4873618846835823</v>
      </c>
      <c r="G2990" s="10">
        <f t="shared" ca="1" si="232"/>
        <v>1</v>
      </c>
    </row>
    <row r="2991" spans="1:7" x14ac:dyDescent="0.2">
      <c r="A2991" s="2">
        <v>20020110</v>
      </c>
      <c r="B2991" s="13">
        <v>10067.86</v>
      </c>
      <c r="C2991" s="2">
        <f t="shared" si="235"/>
        <v>-2.5985502407844157E-3</v>
      </c>
      <c r="D2991" s="21">
        <f t="shared" ca="1" si="231"/>
        <v>-2.9825026558912828E-3</v>
      </c>
      <c r="E2991" s="21">
        <f t="shared" ca="1" si="233"/>
        <v>8.0455061844377101E-5</v>
      </c>
      <c r="F2991" s="11">
        <f t="shared" ca="1" si="234"/>
        <v>4.6586245757819977</v>
      </c>
      <c r="G2991" s="10">
        <f t="shared" ca="1" si="232"/>
        <v>1</v>
      </c>
    </row>
    <row r="2992" spans="1:7" x14ac:dyDescent="0.2">
      <c r="A2992" s="2">
        <v>20020111</v>
      </c>
      <c r="B2992" s="13">
        <v>9987.5300000000007</v>
      </c>
      <c r="C2992" s="2">
        <f t="shared" si="235"/>
        <v>-7.9788554866674667E-3</v>
      </c>
      <c r="D2992" s="21">
        <f t="shared" ca="1" si="231"/>
        <v>-8.3628079017743339E-3</v>
      </c>
      <c r="E2992" s="21">
        <f t="shared" ca="1" si="233"/>
        <v>7.7620913408392615E-5</v>
      </c>
      <c r="F2992" s="11">
        <f t="shared" ca="1" si="234"/>
        <v>4.2813361041674778</v>
      </c>
      <c r="G2992" s="10">
        <f t="shared" ca="1" si="232"/>
        <v>1</v>
      </c>
    </row>
    <row r="2993" spans="1:7" x14ac:dyDescent="0.2">
      <c r="A2993" s="2">
        <v>20020114</v>
      </c>
      <c r="B2993" s="13">
        <v>9891.42</v>
      </c>
      <c r="C2993" s="2">
        <f t="shared" si="235"/>
        <v>-9.6229998808514787E-3</v>
      </c>
      <c r="D2993" s="21">
        <f t="shared" ca="1" si="231"/>
        <v>-1.0006952295958346E-2</v>
      </c>
      <c r="E2993" s="21">
        <f t="shared" ca="1" si="233"/>
        <v>7.7174738226690732E-5</v>
      </c>
      <c r="F2993" s="11">
        <f t="shared" ca="1" si="234"/>
        <v>4.0859376288886073</v>
      </c>
      <c r="G2993" s="10">
        <f t="shared" ca="1" si="232"/>
        <v>0</v>
      </c>
    </row>
    <row r="2994" spans="1:7" x14ac:dyDescent="0.2">
      <c r="A2994" s="2">
        <v>20020115</v>
      </c>
      <c r="B2994" s="13">
        <v>9924.15</v>
      </c>
      <c r="C2994" s="2">
        <f t="shared" si="235"/>
        <v>3.3089283439586593E-3</v>
      </c>
      <c r="D2994" s="21">
        <f t="shared" ca="1" si="231"/>
        <v>2.9249759288517922E-3</v>
      </c>
      <c r="E2994" s="21">
        <f t="shared" ca="1" si="233"/>
        <v>7.7861735260905415E-5</v>
      </c>
      <c r="F2994" s="11">
        <f t="shared" ca="1" si="234"/>
        <v>4.6753477287833229</v>
      </c>
      <c r="G2994" s="10">
        <f t="shared" ca="1" si="232"/>
        <v>1</v>
      </c>
    </row>
    <row r="2995" spans="1:7" x14ac:dyDescent="0.2">
      <c r="A2995" s="2">
        <v>20020116</v>
      </c>
      <c r="B2995" s="13">
        <v>9712.27</v>
      </c>
      <c r="C2995" s="2">
        <f t="shared" si="235"/>
        <v>-2.1349939289510862E-2</v>
      </c>
      <c r="D2995" s="21">
        <f t="shared" ca="1" si="231"/>
        <v>-2.173389170461773E-2</v>
      </c>
      <c r="E2995" s="21">
        <f t="shared" ca="1" si="233"/>
        <v>7.5146287637417115E-5</v>
      </c>
      <c r="F2995" s="11">
        <f t="shared" ca="1" si="234"/>
        <v>1.6050869267130516</v>
      </c>
      <c r="G2995" s="10">
        <f t="shared" ca="1" si="232"/>
        <v>0</v>
      </c>
    </row>
    <row r="2996" spans="1:7" x14ac:dyDescent="0.2">
      <c r="A2996" s="2">
        <v>20020117</v>
      </c>
      <c r="B2996" s="13">
        <v>9850.0400000000009</v>
      </c>
      <c r="C2996" s="2">
        <f t="shared" si="235"/>
        <v>1.4185149300832908E-2</v>
      </c>
      <c r="D2996" s="21">
        <f t="shared" ca="1" si="231"/>
        <v>1.3801196885726041E-2</v>
      </c>
      <c r="E2996" s="21">
        <f t="shared" ca="1" si="233"/>
        <v>8.9623192605983766E-5</v>
      </c>
      <c r="F2996" s="11">
        <f t="shared" ca="1" si="234"/>
        <v>3.5973157068857118</v>
      </c>
      <c r="G2996" s="10">
        <f t="shared" ca="1" si="232"/>
        <v>0</v>
      </c>
    </row>
    <row r="2997" spans="1:7" x14ac:dyDescent="0.2">
      <c r="A2997" s="2">
        <v>20020118</v>
      </c>
      <c r="B2997" s="13">
        <v>9771.85</v>
      </c>
      <c r="C2997" s="2">
        <f t="shared" si="235"/>
        <v>-7.938038830299218E-3</v>
      </c>
      <c r="D2997" s="21">
        <f t="shared" ca="1" si="231"/>
        <v>-8.3219912454060851E-3</v>
      </c>
      <c r="E2997" s="21">
        <f t="shared" ca="1" si="233"/>
        <v>9.3002154980473891E-5</v>
      </c>
      <c r="F2997" s="11">
        <f t="shared" ca="1" si="234"/>
        <v>4.2691109705585415</v>
      </c>
      <c r="G2997" s="10">
        <f t="shared" ca="1" si="232"/>
        <v>1</v>
      </c>
    </row>
    <row r="2998" spans="1:7" x14ac:dyDescent="0.2">
      <c r="A2998" s="2">
        <v>20020122</v>
      </c>
      <c r="B2998" s="13">
        <v>9713.7999999999993</v>
      </c>
      <c r="C2998" s="2">
        <f t="shared" si="235"/>
        <v>-5.9405332664747299E-3</v>
      </c>
      <c r="D2998" s="21">
        <f t="shared" ca="1" si="231"/>
        <v>-6.3244856815815971E-3</v>
      </c>
      <c r="E2998" s="21">
        <f t="shared" ca="1" si="233"/>
        <v>9.175279551273755E-5</v>
      </c>
      <c r="F2998" s="11">
        <f t="shared" ca="1" si="234"/>
        <v>4.4302340918172236</v>
      </c>
      <c r="G2998" s="10">
        <f t="shared" ca="1" si="232"/>
        <v>1</v>
      </c>
    </row>
    <row r="2999" spans="1:7" x14ac:dyDescent="0.2">
      <c r="A2999" s="2">
        <v>20020123</v>
      </c>
      <c r="B2999" s="13">
        <v>9730.9599999999991</v>
      </c>
      <c r="C2999" s="2">
        <f t="shared" si="235"/>
        <v>1.7665589161810883E-3</v>
      </c>
      <c r="D2999" s="21">
        <f t="shared" ca="1" si="231"/>
        <v>1.3826065010742209E-3</v>
      </c>
      <c r="E2999" s="21">
        <f t="shared" ca="1" si="233"/>
        <v>8.9490831936536627E-5</v>
      </c>
      <c r="F2999" s="11">
        <f t="shared" ca="1" si="234"/>
        <v>4.6500067594063976</v>
      </c>
      <c r="G2999" s="10">
        <f t="shared" ca="1" si="232"/>
        <v>1</v>
      </c>
    </row>
    <row r="3000" spans="1:7" x14ac:dyDescent="0.2">
      <c r="A3000" s="2">
        <v>20020124</v>
      </c>
      <c r="B3000" s="13">
        <v>9796.07</v>
      </c>
      <c r="C3000" s="2">
        <f t="shared" si="235"/>
        <v>6.6910150694279484E-3</v>
      </c>
      <c r="D3000" s="21">
        <f t="shared" ca="1" si="231"/>
        <v>6.3070626543210813E-3</v>
      </c>
      <c r="E3000" s="21">
        <f t="shared" ca="1" si="233"/>
        <v>8.5942757288282374E-5</v>
      </c>
      <c r="F3000" s="11">
        <f t="shared" ca="1" si="234"/>
        <v>4.4494870225247141</v>
      </c>
      <c r="G3000" s="10">
        <f t="shared" ca="1" si="232"/>
        <v>1</v>
      </c>
    </row>
    <row r="3001" spans="1:7" x14ac:dyDescent="0.2">
      <c r="A3001" s="2">
        <v>20020125</v>
      </c>
      <c r="B3001" s="13">
        <v>9840.08</v>
      </c>
      <c r="C3001" s="2">
        <f t="shared" si="235"/>
        <v>4.4926179580178803E-3</v>
      </c>
      <c r="D3001" s="21">
        <f t="shared" ca="1" si="231"/>
        <v>4.1086655429110131E-3</v>
      </c>
      <c r="E3001" s="21">
        <f t="shared" ca="1" si="233"/>
        <v>8.396663273997458E-5</v>
      </c>
      <c r="F3001" s="11">
        <f t="shared" ca="1" si="234"/>
        <v>4.5920226712302696</v>
      </c>
      <c r="G3001" s="10">
        <f t="shared" ca="1" si="232"/>
        <v>1</v>
      </c>
    </row>
    <row r="3002" spans="1:7" x14ac:dyDescent="0.2">
      <c r="A3002" s="2">
        <v>20020128</v>
      </c>
      <c r="B3002" s="13">
        <v>9865.75</v>
      </c>
      <c r="C3002" s="2">
        <f t="shared" si="235"/>
        <v>2.6087186283038424E-3</v>
      </c>
      <c r="D3002" s="21">
        <f t="shared" ca="1" si="231"/>
        <v>2.2247662131969752E-3</v>
      </c>
      <c r="E3002" s="21">
        <f t="shared" ca="1" si="233"/>
        <v>8.1248484970034961E-5</v>
      </c>
      <c r="F3002" s="11">
        <f t="shared" ca="1" si="234"/>
        <v>4.6785396409707101</v>
      </c>
      <c r="G3002" s="10">
        <f t="shared" ca="1" si="232"/>
        <v>1</v>
      </c>
    </row>
    <row r="3003" spans="1:7" x14ac:dyDescent="0.2">
      <c r="A3003" s="2">
        <v>20020129</v>
      </c>
      <c r="B3003" s="13">
        <v>9618.24</v>
      </c>
      <c r="C3003" s="2">
        <f t="shared" si="235"/>
        <v>-2.5087803765552565E-2</v>
      </c>
      <c r="D3003" s="21">
        <f t="shared" ca="1" si="231"/>
        <v>-2.5471756180659434E-2</v>
      </c>
      <c r="E3003" s="21">
        <f t="shared" ca="1" si="233"/>
        <v>7.8229105343640264E-5</v>
      </c>
      <c r="F3003" s="11">
        <f t="shared" ca="1" si="234"/>
        <v>0.58107396377520804</v>
      </c>
      <c r="G3003" s="10">
        <f t="shared" ca="1" si="232"/>
        <v>0</v>
      </c>
    </row>
    <row r="3004" spans="1:7" x14ac:dyDescent="0.2">
      <c r="A3004" s="2">
        <v>20020130</v>
      </c>
      <c r="B3004" s="13">
        <v>9762.86</v>
      </c>
      <c r="C3004" s="2">
        <f t="shared" si="235"/>
        <v>1.5036014905013891E-2</v>
      </c>
      <c r="D3004" s="21">
        <f t="shared" ca="1" si="231"/>
        <v>1.4652062489907023E-2</v>
      </c>
      <c r="E3004" s="21">
        <f t="shared" ca="1" si="233"/>
        <v>9.9038362153218719E-5</v>
      </c>
      <c r="F3004" s="11">
        <f t="shared" ca="1" si="234"/>
        <v>3.5261643778128162</v>
      </c>
      <c r="G3004" s="10">
        <f t="shared" ca="1" si="232"/>
        <v>0</v>
      </c>
    </row>
    <row r="3005" spans="1:7" x14ac:dyDescent="0.2">
      <c r="A3005" s="2">
        <v>20020131</v>
      </c>
      <c r="B3005" s="13">
        <v>9920</v>
      </c>
      <c r="C3005" s="2">
        <f t="shared" si="235"/>
        <v>1.6095693270209693E-2</v>
      </c>
      <c r="D3005" s="21">
        <f t="shared" ca="1" si="231"/>
        <v>1.5711740855102824E-2</v>
      </c>
      <c r="E3005" s="21">
        <f t="shared" ca="1" si="233"/>
        <v>1.0283124828491557E-4</v>
      </c>
      <c r="F3005" s="11">
        <f t="shared" ca="1" si="234"/>
        <v>3.3909003993503459</v>
      </c>
      <c r="G3005" s="10">
        <f t="shared" ca="1" si="232"/>
        <v>0</v>
      </c>
    </row>
    <row r="3006" spans="1:7" x14ac:dyDescent="0.2">
      <c r="A3006" s="2">
        <v>20020201</v>
      </c>
      <c r="B3006" s="13">
        <v>9907.26</v>
      </c>
      <c r="C3006" s="2">
        <f t="shared" si="235"/>
        <v>-1.284274193548365E-3</v>
      </c>
      <c r="D3006" s="21">
        <f t="shared" ca="1" si="231"/>
        <v>-1.6682266086552322E-3</v>
      </c>
      <c r="E3006" s="21">
        <f t="shared" ca="1" si="233"/>
        <v>1.0761541381298199E-4</v>
      </c>
      <c r="F3006" s="11">
        <f t="shared" ca="1" si="234"/>
        <v>4.5555431237094588</v>
      </c>
      <c r="G3006" s="10">
        <f t="shared" ca="1" si="232"/>
        <v>1</v>
      </c>
    </row>
    <row r="3007" spans="1:7" x14ac:dyDescent="0.2">
      <c r="A3007" s="2">
        <v>20020204</v>
      </c>
      <c r="B3007" s="13">
        <v>9687.09</v>
      </c>
      <c r="C3007" s="2">
        <f t="shared" si="235"/>
        <v>-2.2223097001592779E-2</v>
      </c>
      <c r="D3007" s="21">
        <f t="shared" ca="1" si="231"/>
        <v>-2.2607049416699648E-2</v>
      </c>
      <c r="E3007" s="21">
        <f t="shared" ca="1" si="233"/>
        <v>1.0318245273745294E-4</v>
      </c>
      <c r="F3007" s="11">
        <f t="shared" ca="1" si="234"/>
        <v>2.1129283675451829</v>
      </c>
      <c r="G3007" s="10">
        <f t="shared" ca="1" si="232"/>
        <v>0</v>
      </c>
    </row>
    <row r="3008" spans="1:7" x14ac:dyDescent="0.2">
      <c r="A3008" s="2">
        <v>20020205</v>
      </c>
      <c r="B3008" s="13">
        <v>9685.43</v>
      </c>
      <c r="C3008" s="2">
        <f t="shared" si="235"/>
        <v>-1.7136209119558655E-4</v>
      </c>
      <c r="D3008" s="21">
        <f t="shared" ca="1" si="231"/>
        <v>-5.5531450630245385E-4</v>
      </c>
      <c r="E3008" s="21">
        <f t="shared" ca="1" si="233"/>
        <v>1.1766467714132468E-4</v>
      </c>
      <c r="F3008" s="11">
        <f t="shared" ca="1" si="234"/>
        <v>4.5225254548798288</v>
      </c>
      <c r="G3008" s="10">
        <f t="shared" ca="1" si="232"/>
        <v>1</v>
      </c>
    </row>
    <row r="3009" spans="1:7" x14ac:dyDescent="0.2">
      <c r="A3009" s="2">
        <v>20020206</v>
      </c>
      <c r="B3009" s="13">
        <v>9653.39</v>
      </c>
      <c r="C3009" s="2">
        <f t="shared" si="235"/>
        <v>-3.3080616967962055E-3</v>
      </c>
      <c r="D3009" s="21">
        <f t="shared" ca="1" si="231"/>
        <v>-3.6920141119030727E-3</v>
      </c>
      <c r="E3009" s="21">
        <f t="shared" ca="1" si="233"/>
        <v>1.1263232494848506E-4</v>
      </c>
      <c r="F3009" s="11">
        <f t="shared" ca="1" si="234"/>
        <v>4.4851799962265986</v>
      </c>
      <c r="G3009" s="10">
        <f t="shared" ca="1" si="232"/>
        <v>1</v>
      </c>
    </row>
    <row r="3010" spans="1:7" x14ac:dyDescent="0.2">
      <c r="A3010" s="2">
        <v>20020207</v>
      </c>
      <c r="B3010" s="13">
        <v>9625.44</v>
      </c>
      <c r="C3010" s="2">
        <f t="shared" si="235"/>
        <v>-2.8953559319574687E-3</v>
      </c>
      <c r="D3010" s="21">
        <f t="shared" ca="1" si="231"/>
        <v>-3.2793083470643359E-3</v>
      </c>
      <c r="E3010" s="21">
        <f t="shared" ca="1" si="233"/>
        <v>1.083444561533693E-4</v>
      </c>
      <c r="F3010" s="11">
        <f t="shared" ca="1" si="234"/>
        <v>4.5154693791901783</v>
      </c>
      <c r="G3010" s="10">
        <f t="shared" ca="1" si="232"/>
        <v>1</v>
      </c>
    </row>
    <row r="3011" spans="1:7" x14ac:dyDescent="0.2">
      <c r="A3011" s="2">
        <v>20020208</v>
      </c>
      <c r="B3011" s="13">
        <v>9744.24</v>
      </c>
      <c r="C3011" s="2">
        <f t="shared" si="235"/>
        <v>1.2342292923751981E-2</v>
      </c>
      <c r="D3011" s="21">
        <f t="shared" ca="1" si="231"/>
        <v>1.1958340508645113E-2</v>
      </c>
      <c r="E3011" s="21">
        <f t="shared" ca="1" si="233"/>
        <v>1.0416771587922979E-4</v>
      </c>
      <c r="F3011" s="11">
        <f t="shared" ca="1" si="234"/>
        <v>3.8983519092194787</v>
      </c>
      <c r="G3011" s="10">
        <f t="shared" ca="1" si="232"/>
        <v>0</v>
      </c>
    </row>
    <row r="3012" spans="1:7" x14ac:dyDescent="0.2">
      <c r="A3012" s="2">
        <v>20020211</v>
      </c>
      <c r="B3012" s="13">
        <v>9884.7800000000007</v>
      </c>
      <c r="C3012" s="2">
        <f t="shared" si="235"/>
        <v>1.4422879567826827E-2</v>
      </c>
      <c r="D3012" s="21">
        <f t="shared" ca="1" si="231"/>
        <v>1.403892715271996E-2</v>
      </c>
      <c r="E3012" s="21">
        <f t="shared" ca="1" si="233"/>
        <v>1.0506526977785435E-4</v>
      </c>
      <c r="F3012" s="11">
        <f t="shared" ca="1" si="234"/>
        <v>3.6425166000405409</v>
      </c>
      <c r="G3012" s="10">
        <f t="shared" ca="1" si="232"/>
        <v>0</v>
      </c>
    </row>
    <row r="3013" spans="1:7" x14ac:dyDescent="0.2">
      <c r="A3013" s="2">
        <v>20020212</v>
      </c>
      <c r="B3013" s="13">
        <v>9863.74</v>
      </c>
      <c r="C3013" s="2">
        <f t="shared" si="235"/>
        <v>-2.1285248634770699E-3</v>
      </c>
      <c r="D3013" s="21">
        <f t="shared" ca="1" si="231"/>
        <v>-2.5124772785839371E-3</v>
      </c>
      <c r="E3013" s="21">
        <f t="shared" ca="1" si="233"/>
        <v>1.0790638398304491E-4</v>
      </c>
      <c r="F3013" s="11">
        <f t="shared" ca="1" si="234"/>
        <v>4.5378731746133587</v>
      </c>
      <c r="G3013" s="10">
        <f t="shared" ca="1" si="232"/>
        <v>1</v>
      </c>
    </row>
    <row r="3014" spans="1:7" x14ac:dyDescent="0.2">
      <c r="A3014" s="2">
        <v>20020213</v>
      </c>
      <c r="B3014" s="13">
        <v>9989.67</v>
      </c>
      <c r="C3014" s="2">
        <f t="shared" si="235"/>
        <v>1.2766962632835039E-2</v>
      </c>
      <c r="D3014" s="21">
        <f t="shared" ca="1" si="231"/>
        <v>1.2383010217728172E-2</v>
      </c>
      <c r="E3014" s="21">
        <f t="shared" ca="1" si="233"/>
        <v>1.0358849079044478E-4</v>
      </c>
      <c r="F3014" s="11">
        <f t="shared" ca="1" si="234"/>
        <v>3.8474071307593807</v>
      </c>
      <c r="G3014" s="10">
        <f t="shared" ca="1" si="232"/>
        <v>0</v>
      </c>
    </row>
    <row r="3015" spans="1:7" x14ac:dyDescent="0.2">
      <c r="A3015" s="2">
        <v>20020214</v>
      </c>
      <c r="B3015" s="13">
        <v>10001.99</v>
      </c>
      <c r="C3015" s="2">
        <f t="shared" si="235"/>
        <v>1.2332739720130603E-3</v>
      </c>
      <c r="D3015" s="21">
        <f t="shared" ca="1" si="231"/>
        <v>8.4932155690619303E-4</v>
      </c>
      <c r="E3015" s="21">
        <f t="shared" ca="1" si="233"/>
        <v>1.0489545867835256E-4</v>
      </c>
      <c r="F3015" s="11">
        <f t="shared" ca="1" si="234"/>
        <v>4.5778347580926315</v>
      </c>
      <c r="G3015" s="10">
        <f t="shared" ca="1" si="232"/>
        <v>1</v>
      </c>
    </row>
    <row r="3016" spans="1:7" x14ac:dyDescent="0.2">
      <c r="A3016" s="2">
        <v>20020215</v>
      </c>
      <c r="B3016" s="13">
        <v>9903.0400000000009</v>
      </c>
      <c r="C3016" s="2">
        <f t="shared" si="235"/>
        <v>-9.8930312867738235E-3</v>
      </c>
      <c r="D3016" s="21">
        <f t="shared" ca="1" si="231"/>
        <v>-1.0276983701880691E-2</v>
      </c>
      <c r="E3016" s="21">
        <f t="shared" ca="1" si="233"/>
        <v>1.0052429118683031E-4</v>
      </c>
      <c r="F3016" s="11">
        <f t="shared" ca="1" si="234"/>
        <v>4.0772278550701015</v>
      </c>
      <c r="G3016" s="10">
        <f t="shared" ca="1" si="232"/>
        <v>0</v>
      </c>
    </row>
    <row r="3017" spans="1:7" x14ac:dyDescent="0.2">
      <c r="A3017" s="2">
        <v>20020219</v>
      </c>
      <c r="B3017" s="13">
        <v>9745.14</v>
      </c>
      <c r="C3017" s="2">
        <f t="shared" si="235"/>
        <v>-1.5944598830258328E-2</v>
      </c>
      <c r="D3017" s="21">
        <f t="shared" ca="1" si="231"/>
        <v>-1.6328551245365197E-2</v>
      </c>
      <c r="E3017" s="21">
        <f t="shared" ca="1" si="233"/>
        <v>1.0023143652423712E-4</v>
      </c>
      <c r="F3017" s="11">
        <f t="shared" ca="1" si="234"/>
        <v>3.2739845861479555</v>
      </c>
      <c r="G3017" s="10">
        <f t="shared" ca="1" si="232"/>
        <v>0</v>
      </c>
    </row>
    <row r="3018" spans="1:7" x14ac:dyDescent="0.2">
      <c r="A3018" s="2">
        <v>20020220</v>
      </c>
      <c r="B3018" s="13">
        <v>9941.17</v>
      </c>
      <c r="C3018" s="2">
        <f t="shared" si="235"/>
        <v>2.0115667912415897E-2</v>
      </c>
      <c r="D3018" s="21">
        <f t="shared" ca="1" si="231"/>
        <v>1.9731715497309028E-2</v>
      </c>
      <c r="E3018" s="21">
        <f t="shared" ca="1" si="233"/>
        <v>1.0587383949924763E-4</v>
      </c>
      <c r="F3018" s="11">
        <f t="shared" ca="1" si="234"/>
        <v>2.7379305261719473</v>
      </c>
      <c r="G3018" s="10">
        <f t="shared" ca="1" si="232"/>
        <v>0</v>
      </c>
    </row>
    <row r="3019" spans="1:7" x14ac:dyDescent="0.2">
      <c r="A3019" s="2">
        <v>20020221</v>
      </c>
      <c r="B3019" s="13">
        <v>9834.68</v>
      </c>
      <c r="C3019" s="2">
        <f t="shared" si="235"/>
        <v>-1.0712018806639438E-2</v>
      </c>
      <c r="D3019" s="21">
        <f t="shared" ca="1" si="231"/>
        <v>-1.1095971221746305E-2</v>
      </c>
      <c r="E3019" s="21">
        <f t="shared" ca="1" si="233"/>
        <v>1.1574338374630518E-4</v>
      </c>
      <c r="F3019" s="11">
        <f t="shared" ca="1" si="234"/>
        <v>4.0001987646018824</v>
      </c>
      <c r="G3019" s="10">
        <f t="shared" ca="1" si="232"/>
        <v>0</v>
      </c>
    </row>
    <row r="3020" spans="1:7" x14ac:dyDescent="0.2">
      <c r="A3020" s="2">
        <v>20020222</v>
      </c>
      <c r="B3020" s="13">
        <v>9968.15</v>
      </c>
      <c r="C3020" s="2">
        <f t="shared" si="235"/>
        <v>1.3571361752492133E-2</v>
      </c>
      <c r="D3020" s="21">
        <f t="shared" ca="1" si="231"/>
        <v>1.3187409337385266E-2</v>
      </c>
      <c r="E3020" s="21">
        <f t="shared" ca="1" si="233"/>
        <v>1.1532424956475175E-4</v>
      </c>
      <c r="F3020" s="11">
        <f t="shared" ca="1" si="234"/>
        <v>3.7798866349188094</v>
      </c>
      <c r="G3020" s="10">
        <f t="shared" ca="1" si="232"/>
        <v>0</v>
      </c>
    </row>
    <row r="3021" spans="1:7" x14ac:dyDescent="0.2">
      <c r="A3021" s="2">
        <v>20020225</v>
      </c>
      <c r="B3021" s="13">
        <v>10145.709999999999</v>
      </c>
      <c r="C3021" s="2">
        <f t="shared" si="235"/>
        <v>1.7812733556377011E-2</v>
      </c>
      <c r="D3021" s="21">
        <f t="shared" ca="1" si="231"/>
        <v>1.7428781141270142E-2</v>
      </c>
      <c r="E3021" s="21">
        <f t="shared" ca="1" si="233"/>
        <v>1.167938530871864E-4</v>
      </c>
      <c r="F3021" s="11">
        <f t="shared" ca="1" si="234"/>
        <v>3.2271288287698185</v>
      </c>
      <c r="G3021" s="10">
        <f t="shared" ca="1" si="232"/>
        <v>0</v>
      </c>
    </row>
    <row r="3022" spans="1:7" x14ac:dyDescent="0.2">
      <c r="A3022" s="2">
        <v>20020226</v>
      </c>
      <c r="B3022" s="13">
        <v>10115.26</v>
      </c>
      <c r="C3022" s="2">
        <f t="shared" si="235"/>
        <v>-3.0012685164467457E-3</v>
      </c>
      <c r="D3022" s="21">
        <f t="shared" ref="D3022:D3085" ca="1" si="236">(C3022-mu)</f>
        <v>-3.3852209315536129E-3</v>
      </c>
      <c r="E3022" s="21">
        <f t="shared" ca="1" si="233"/>
        <v>1.2296409098746486E-4</v>
      </c>
      <c r="F3022" s="11">
        <f t="shared" ca="1" si="234"/>
        <v>4.4552112595697775</v>
      </c>
      <c r="G3022" s="10">
        <f t="shared" ref="G3022:G3085" ca="1" si="237">IF(AND(C3022&lt;=mu+zvalue*SQRT(E3022),C3022&gt;=mu-zvalue*SQRT(E3022)),1,0)</f>
        <v>1</v>
      </c>
    </row>
    <row r="3023" spans="1:7" x14ac:dyDescent="0.2">
      <c r="A3023" s="2">
        <v>20020227</v>
      </c>
      <c r="B3023" s="13">
        <v>10127.58</v>
      </c>
      <c r="C3023" s="2">
        <f t="shared" si="235"/>
        <v>1.217961772608881E-3</v>
      </c>
      <c r="D3023" s="21">
        <f t="shared" ca="1" si="236"/>
        <v>8.340093575020137E-4</v>
      </c>
      <c r="E3023" s="21">
        <f t="shared" ref="E3023:E3086" ca="1" si="238">(1-alpha-beta)*longvar+alpha*D3022^2+beta*E3022</f>
        <v>1.1807369418682683E-4</v>
      </c>
      <c r="F3023" s="11">
        <f t="shared" ref="F3023:F3086" ca="1" si="239">(-0.5)*(LN(E3023)+D3023^2/E3023)</f>
        <v>4.5191553029328979</v>
      </c>
      <c r="G3023" s="10">
        <f t="shared" ca="1" si="237"/>
        <v>1</v>
      </c>
    </row>
    <row r="3024" spans="1:7" x14ac:dyDescent="0.2">
      <c r="A3024" s="2">
        <v>20020228</v>
      </c>
      <c r="B3024" s="13">
        <v>10106.129999999999</v>
      </c>
      <c r="C3024" s="2">
        <f t="shared" si="235"/>
        <v>-2.1179788261362267E-3</v>
      </c>
      <c r="D3024" s="21">
        <f t="shared" ca="1" si="236"/>
        <v>-2.5019312412430939E-3</v>
      </c>
      <c r="E3024" s="21">
        <f t="shared" ca="1" si="238"/>
        <v>1.1303488761171891E-4</v>
      </c>
      <c r="F3024" s="11">
        <f t="shared" ca="1" si="239"/>
        <v>4.5162179618707681</v>
      </c>
      <c r="G3024" s="10">
        <f t="shared" ca="1" si="237"/>
        <v>1</v>
      </c>
    </row>
    <row r="3025" spans="1:7" x14ac:dyDescent="0.2">
      <c r="A3025" s="2">
        <v>20020301</v>
      </c>
      <c r="B3025" s="13">
        <v>10368.86</v>
      </c>
      <c r="C3025" s="2">
        <f t="shared" si="235"/>
        <v>2.5997092853545463E-2</v>
      </c>
      <c r="D3025" s="21">
        <f t="shared" ca="1" si="236"/>
        <v>2.5613140438438594E-2</v>
      </c>
      <c r="E3025" s="21">
        <f t="shared" ca="1" si="238"/>
        <v>1.0845559716330725E-4</v>
      </c>
      <c r="F3025" s="11">
        <f t="shared" ca="1" si="239"/>
        <v>1.5401537508554086</v>
      </c>
      <c r="G3025" s="10">
        <f t="shared" ca="1" si="237"/>
        <v>0</v>
      </c>
    </row>
    <row r="3026" spans="1:7" x14ac:dyDescent="0.2">
      <c r="A3026" s="2">
        <v>20020304</v>
      </c>
      <c r="B3026" s="13">
        <v>10586.82</v>
      </c>
      <c r="C3026" s="2">
        <f t="shared" si="235"/>
        <v>2.1020632933610745E-2</v>
      </c>
      <c r="D3026" s="21">
        <f t="shared" ca="1" si="236"/>
        <v>2.0636680518503876E-2</v>
      </c>
      <c r="E3026" s="21">
        <f t="shared" ca="1" si="238"/>
        <v>1.2800127341929215E-4</v>
      </c>
      <c r="F3026" s="11">
        <f t="shared" ca="1" si="239"/>
        <v>2.8181869460577009</v>
      </c>
      <c r="G3026" s="10">
        <f t="shared" ca="1" si="237"/>
        <v>0</v>
      </c>
    </row>
    <row r="3027" spans="1:7" x14ac:dyDescent="0.2">
      <c r="A3027" s="2">
        <v>20020305</v>
      </c>
      <c r="B3027" s="13">
        <v>10433.41</v>
      </c>
      <c r="C3027" s="2">
        <f t="shared" si="235"/>
        <v>-1.44906591403273E-2</v>
      </c>
      <c r="D3027" s="21">
        <f t="shared" ca="1" si="236"/>
        <v>-1.4874611555434167E-2</v>
      </c>
      <c r="E3027" s="21">
        <f t="shared" ca="1" si="238"/>
        <v>1.3809472842344036E-4</v>
      </c>
      <c r="F3027" s="11">
        <f t="shared" ca="1" si="239"/>
        <v>3.6426900600778138</v>
      </c>
      <c r="G3027" s="10">
        <f t="shared" ca="1" si="237"/>
        <v>0</v>
      </c>
    </row>
    <row r="3028" spans="1:7" x14ac:dyDescent="0.2">
      <c r="A3028" s="2">
        <v>20020306</v>
      </c>
      <c r="B3028" s="13">
        <v>10574.29</v>
      </c>
      <c r="C3028" s="2">
        <f t="shared" si="235"/>
        <v>1.3502776177683137E-2</v>
      </c>
      <c r="D3028" s="21">
        <f t="shared" ca="1" si="236"/>
        <v>1.3118823762576269E-2</v>
      </c>
      <c r="E3028" s="21">
        <f t="shared" ca="1" si="238"/>
        <v>1.4015337218593985E-4</v>
      </c>
      <c r="F3028" s="11">
        <f t="shared" ca="1" si="239"/>
        <v>3.8224037485243545</v>
      </c>
      <c r="G3028" s="10">
        <f t="shared" ca="1" si="237"/>
        <v>0</v>
      </c>
    </row>
    <row r="3029" spans="1:7" x14ac:dyDescent="0.2">
      <c r="A3029" s="2">
        <v>20020307</v>
      </c>
      <c r="B3029" s="13">
        <v>10525.37</v>
      </c>
      <c r="C3029" s="2">
        <f t="shared" si="235"/>
        <v>-4.6263153365379683E-3</v>
      </c>
      <c r="D3029" s="21">
        <f t="shared" ca="1" si="236"/>
        <v>-5.0102677516448355E-3</v>
      </c>
      <c r="E3029" s="21">
        <f t="shared" ca="1" si="238"/>
        <v>1.4030051760145109E-4</v>
      </c>
      <c r="F3029" s="11">
        <f t="shared" ca="1" si="239"/>
        <v>4.3464011769688193</v>
      </c>
      <c r="G3029" s="10">
        <f t="shared" ca="1" si="237"/>
        <v>1</v>
      </c>
    </row>
    <row r="3030" spans="1:7" x14ac:dyDescent="0.2">
      <c r="A3030" s="2">
        <v>20020308</v>
      </c>
      <c r="B3030" s="13">
        <v>10572.49</v>
      </c>
      <c r="C3030" s="2">
        <f t="shared" si="235"/>
        <v>4.4768022406812278E-3</v>
      </c>
      <c r="D3030" s="21">
        <f t="shared" ca="1" si="236"/>
        <v>4.0928498255743606E-3</v>
      </c>
      <c r="E3030" s="21">
        <f t="shared" ca="1" si="238"/>
        <v>1.3503474448821733E-4</v>
      </c>
      <c r="F3030" s="11">
        <f t="shared" ca="1" si="239"/>
        <v>4.3929628913690184</v>
      </c>
      <c r="G3030" s="10">
        <f t="shared" ca="1" si="237"/>
        <v>1</v>
      </c>
    </row>
    <row r="3031" spans="1:7" x14ac:dyDescent="0.2">
      <c r="A3031" s="2">
        <v>20020311</v>
      </c>
      <c r="B3031" s="13">
        <v>10611.24</v>
      </c>
      <c r="C3031" s="2">
        <f t="shared" si="235"/>
        <v>3.6651725374060415E-3</v>
      </c>
      <c r="D3031" s="21">
        <f t="shared" ca="1" si="236"/>
        <v>3.2812201222991743E-3</v>
      </c>
      <c r="E3031" s="21">
        <f t="shared" ca="1" si="238"/>
        <v>1.2972827436209366E-4</v>
      </c>
      <c r="F3031" s="11">
        <f t="shared" ca="1" si="239"/>
        <v>4.4335382594329769</v>
      </c>
      <c r="G3031" s="10">
        <f t="shared" ca="1" si="237"/>
        <v>1</v>
      </c>
    </row>
    <row r="3032" spans="1:7" x14ac:dyDescent="0.2">
      <c r="A3032" s="2">
        <v>20020312</v>
      </c>
      <c r="B3032" s="13">
        <v>10632.35</v>
      </c>
      <c r="C3032" s="2">
        <f t="shared" si="235"/>
        <v>1.9893999193308777E-3</v>
      </c>
      <c r="D3032" s="21">
        <f t="shared" ca="1" si="236"/>
        <v>1.6054475042240105E-3</v>
      </c>
      <c r="E3032" s="21">
        <f t="shared" ca="1" si="238"/>
        <v>1.2447018088449432E-4</v>
      </c>
      <c r="F3032" s="11">
        <f t="shared" ca="1" si="239"/>
        <v>4.4853684592627792</v>
      </c>
      <c r="G3032" s="10">
        <f t="shared" ca="1" si="237"/>
        <v>1</v>
      </c>
    </row>
    <row r="3033" spans="1:7" x14ac:dyDescent="0.2">
      <c r="A3033" s="2">
        <v>20020313</v>
      </c>
      <c r="B3033" s="13">
        <v>10501.85</v>
      </c>
      <c r="C3033" s="2">
        <f t="shared" si="235"/>
        <v>-1.227386231642111E-2</v>
      </c>
      <c r="D3033" s="21">
        <f t="shared" ca="1" si="236"/>
        <v>-1.2657814731527977E-2</v>
      </c>
      <c r="E3033" s="21">
        <f t="shared" ca="1" si="238"/>
        <v>1.191769743253424E-4</v>
      </c>
      <c r="F3033" s="11">
        <f t="shared" ca="1" si="239"/>
        <v>3.8452557416235971</v>
      </c>
      <c r="G3033" s="10">
        <f t="shared" ca="1" si="237"/>
        <v>0</v>
      </c>
    </row>
    <row r="3034" spans="1:7" x14ac:dyDescent="0.2">
      <c r="A3034" s="2">
        <v>20020314</v>
      </c>
      <c r="B3034" s="13">
        <v>10517.14</v>
      </c>
      <c r="C3034" s="2">
        <f t="shared" si="235"/>
        <v>1.4559339544936419E-3</v>
      </c>
      <c r="D3034" s="21">
        <f t="shared" ca="1" si="236"/>
        <v>1.0719815393867745E-3</v>
      </c>
      <c r="E3034" s="21">
        <f t="shared" ca="1" si="238"/>
        <v>1.1994835428115811E-4</v>
      </c>
      <c r="F3034" s="11">
        <f t="shared" ca="1" si="239"/>
        <v>4.5094344810580074</v>
      </c>
      <c r="G3034" s="10">
        <f t="shared" ca="1" si="237"/>
        <v>1</v>
      </c>
    </row>
    <row r="3035" spans="1:7" x14ac:dyDescent="0.2">
      <c r="A3035" s="2">
        <v>20020315</v>
      </c>
      <c r="B3035" s="13">
        <v>10607.23</v>
      </c>
      <c r="C3035" s="2">
        <f t="shared" si="235"/>
        <v>8.5660169970163142E-3</v>
      </c>
      <c r="D3035" s="21">
        <f t="shared" ca="1" si="236"/>
        <v>8.182064581909447E-3</v>
      </c>
      <c r="E3035" s="21">
        <f t="shared" ca="1" si="238"/>
        <v>1.1483138669889021E-4</v>
      </c>
      <c r="F3035" s="11">
        <f t="shared" ca="1" si="239"/>
        <v>4.2445251079121222</v>
      </c>
      <c r="G3035" s="10">
        <f t="shared" ca="1" si="237"/>
        <v>1</v>
      </c>
    </row>
    <row r="3036" spans="1:7" x14ac:dyDescent="0.2">
      <c r="A3036" s="2">
        <v>20020318</v>
      </c>
      <c r="B3036" s="13">
        <v>10577.75</v>
      </c>
      <c r="C3036" s="2">
        <f t="shared" si="235"/>
        <v>-2.7792364264751083E-3</v>
      </c>
      <c r="D3036" s="21">
        <f t="shared" ca="1" si="236"/>
        <v>-3.1631888415819755E-3</v>
      </c>
      <c r="E3036" s="21">
        <f t="shared" ca="1" si="238"/>
        <v>1.1239276010465828E-4</v>
      </c>
      <c r="F3036" s="11">
        <f t="shared" ca="1" si="239"/>
        <v>4.5022430253299444</v>
      </c>
      <c r="G3036" s="10">
        <f t="shared" ca="1" si="237"/>
        <v>1</v>
      </c>
    </row>
    <row r="3037" spans="1:7" x14ac:dyDescent="0.2">
      <c r="A3037" s="2">
        <v>20020319</v>
      </c>
      <c r="B3037" s="13">
        <v>10635.25</v>
      </c>
      <c r="C3037" s="2">
        <f t="shared" si="235"/>
        <v>5.4359386447968613E-3</v>
      </c>
      <c r="D3037" s="21">
        <f t="shared" ca="1" si="236"/>
        <v>5.0519862296899941E-3</v>
      </c>
      <c r="E3037" s="21">
        <f t="shared" ca="1" si="238"/>
        <v>1.0798370587260739E-4</v>
      </c>
      <c r="F3037" s="11">
        <f t="shared" ca="1" si="239"/>
        <v>4.4485872546873493</v>
      </c>
      <c r="G3037" s="10">
        <f t="shared" ca="1" si="237"/>
        <v>1</v>
      </c>
    </row>
    <row r="3038" spans="1:7" x14ac:dyDescent="0.2">
      <c r="A3038" s="2">
        <v>20020320</v>
      </c>
      <c r="B3038" s="13">
        <v>10501.57</v>
      </c>
      <c r="C3038" s="2">
        <f t="shared" si="235"/>
        <v>-1.2569521167814606E-2</v>
      </c>
      <c r="D3038" s="21">
        <f t="shared" ca="1" si="236"/>
        <v>-1.2953473582921473E-2</v>
      </c>
      <c r="E3038" s="21">
        <f t="shared" ca="1" si="238"/>
        <v>1.0436828701973152E-4</v>
      </c>
      <c r="F3038" s="11">
        <f t="shared" ca="1" si="239"/>
        <v>3.7799443450069967</v>
      </c>
      <c r="G3038" s="10">
        <f t="shared" ca="1" si="237"/>
        <v>0</v>
      </c>
    </row>
    <row r="3039" spans="1:7" x14ac:dyDescent="0.2">
      <c r="A3039" s="2">
        <v>20020321</v>
      </c>
      <c r="B3039" s="13">
        <v>10479.84</v>
      </c>
      <c r="C3039" s="2">
        <f t="shared" si="235"/>
        <v>-2.0692144127020594E-3</v>
      </c>
      <c r="D3039" s="21">
        <f t="shared" ca="1" si="236"/>
        <v>-2.4531668278089266E-3</v>
      </c>
      <c r="E3039" s="21">
        <f t="shared" ca="1" si="238"/>
        <v>1.0616728650796792E-4</v>
      </c>
      <c r="F3039" s="11">
        <f t="shared" ca="1" si="239"/>
        <v>4.5469050734589205</v>
      </c>
      <c r="G3039" s="10">
        <f t="shared" ca="1" si="237"/>
        <v>1</v>
      </c>
    </row>
    <row r="3040" spans="1:7" x14ac:dyDescent="0.2">
      <c r="A3040" s="2">
        <v>20020322</v>
      </c>
      <c r="B3040" s="13">
        <v>10427.67</v>
      </c>
      <c r="C3040" s="2">
        <f t="shared" si="235"/>
        <v>-4.9781294370906497E-3</v>
      </c>
      <c r="D3040" s="21">
        <f t="shared" ca="1" si="236"/>
        <v>-5.3620818521975169E-3</v>
      </c>
      <c r="E3040" s="21">
        <f t="shared" ca="1" si="238"/>
        <v>1.0192654501353155E-4</v>
      </c>
      <c r="F3040" s="11">
        <f t="shared" ca="1" si="239"/>
        <v>4.4545867112065451</v>
      </c>
      <c r="G3040" s="10">
        <f t="shared" ca="1" si="237"/>
        <v>1</v>
      </c>
    </row>
    <row r="3041" spans="1:7" x14ac:dyDescent="0.2">
      <c r="A3041" s="2">
        <v>20020325</v>
      </c>
      <c r="B3041" s="13">
        <v>10281.67</v>
      </c>
      <c r="C3041" s="2">
        <f t="shared" si="235"/>
        <v>-1.4001210241597596E-2</v>
      </c>
      <c r="D3041" s="21">
        <f t="shared" ca="1" si="236"/>
        <v>-1.4385162656704463E-2</v>
      </c>
      <c r="E3041" s="21">
        <f t="shared" ca="1" si="238"/>
        <v>9.873630901565303E-5</v>
      </c>
      <c r="F3041" s="11">
        <f t="shared" ca="1" si="239"/>
        <v>3.5636220759357071</v>
      </c>
      <c r="G3041" s="10">
        <f t="shared" ca="1" si="237"/>
        <v>0</v>
      </c>
    </row>
    <row r="3042" spans="1:7" x14ac:dyDescent="0.2">
      <c r="A3042" s="2">
        <v>20020326</v>
      </c>
      <c r="B3042" s="13">
        <v>10353.36</v>
      </c>
      <c r="C3042" s="2">
        <f t="shared" si="235"/>
        <v>6.9726026997560227E-3</v>
      </c>
      <c r="D3042" s="21">
        <f t="shared" ca="1" si="236"/>
        <v>6.5886502846491555E-3</v>
      </c>
      <c r="E3042" s="21">
        <f t="shared" ca="1" si="238"/>
        <v>1.0225949395985574E-4</v>
      </c>
      <c r="F3042" s="11">
        <f t="shared" ca="1" si="239"/>
        <v>4.3817427993734031</v>
      </c>
      <c r="G3042" s="10">
        <f t="shared" ca="1" si="237"/>
        <v>1</v>
      </c>
    </row>
    <row r="3043" spans="1:7" x14ac:dyDescent="0.2">
      <c r="A3043" s="2">
        <v>20020327</v>
      </c>
      <c r="B3043" s="13">
        <v>10426.91</v>
      </c>
      <c r="C3043" s="2">
        <f t="shared" si="235"/>
        <v>7.1039739755981894E-3</v>
      </c>
      <c r="D3043" s="21">
        <f t="shared" ca="1" si="236"/>
        <v>6.7200215604913223E-3</v>
      </c>
      <c r="E3043" s="21">
        <f t="shared" ca="1" si="238"/>
        <v>9.9591428588512786E-5</v>
      </c>
      <c r="F3043" s="11">
        <f t="shared" ca="1" si="239"/>
        <v>4.3804974667176504</v>
      </c>
      <c r="G3043" s="10">
        <f t="shared" ca="1" si="237"/>
        <v>1</v>
      </c>
    </row>
    <row r="3044" spans="1:7" x14ac:dyDescent="0.2">
      <c r="A3044" s="2">
        <v>20020328</v>
      </c>
      <c r="B3044" s="13">
        <v>10403.94</v>
      </c>
      <c r="C3044" s="2">
        <f t="shared" si="235"/>
        <v>-2.2029537034461166E-3</v>
      </c>
      <c r="D3044" s="21">
        <f t="shared" ca="1" si="236"/>
        <v>-2.5869061185529838E-3</v>
      </c>
      <c r="E3044" s="21">
        <f t="shared" ca="1" si="238"/>
        <v>9.7122632405199818E-5</v>
      </c>
      <c r="F3044" s="11">
        <f t="shared" ca="1" si="239"/>
        <v>4.5853163442497102</v>
      </c>
      <c r="G3044" s="10">
        <f t="shared" ca="1" si="237"/>
        <v>1</v>
      </c>
    </row>
    <row r="3045" spans="1:7" x14ac:dyDescent="0.2">
      <c r="A3045" s="2">
        <v>20020401</v>
      </c>
      <c r="B3045" s="13">
        <v>10362.700000000001</v>
      </c>
      <c r="C3045" s="2">
        <f t="shared" si="235"/>
        <v>-3.9638829135884845E-3</v>
      </c>
      <c r="D3045" s="21">
        <f t="shared" ca="1" si="236"/>
        <v>-4.3478353286953517E-3</v>
      </c>
      <c r="E3045" s="21">
        <f t="shared" ca="1" si="238"/>
        <v>9.3364249147909859E-5</v>
      </c>
      <c r="F3045" s="11">
        <f t="shared" ca="1" si="239"/>
        <v>4.5382648905948626</v>
      </c>
      <c r="G3045" s="10">
        <f t="shared" ca="1" si="237"/>
        <v>1</v>
      </c>
    </row>
    <row r="3046" spans="1:7" x14ac:dyDescent="0.2">
      <c r="A3046" s="2">
        <v>20020402</v>
      </c>
      <c r="B3046" s="13">
        <v>10313.709999999999</v>
      </c>
      <c r="C3046" s="2">
        <f t="shared" si="235"/>
        <v>-4.7275323998573343E-3</v>
      </c>
      <c r="D3046" s="21">
        <f t="shared" ca="1" si="236"/>
        <v>-5.1114848149642015E-3</v>
      </c>
      <c r="E3046" s="21">
        <f t="shared" ca="1" si="238"/>
        <v>9.0245045178529077E-5</v>
      </c>
      <c r="F3046" s="11">
        <f t="shared" ca="1" si="239"/>
        <v>4.511733527188313</v>
      </c>
      <c r="G3046" s="10">
        <f t="shared" ca="1" si="237"/>
        <v>1</v>
      </c>
    </row>
    <row r="3047" spans="1:7" x14ac:dyDescent="0.2">
      <c r="A3047" s="2">
        <v>20020403</v>
      </c>
      <c r="B3047" s="13">
        <v>10198.290000000001</v>
      </c>
      <c r="C3047" s="2">
        <f t="shared" si="235"/>
        <v>-1.1190929355197913E-2</v>
      </c>
      <c r="D3047" s="21">
        <f t="shared" ca="1" si="236"/>
        <v>-1.157488177030478E-2</v>
      </c>
      <c r="E3047" s="21">
        <f t="shared" ca="1" si="238"/>
        <v>8.7549267332435145E-5</v>
      </c>
      <c r="F3047" s="11">
        <f t="shared" ca="1" si="239"/>
        <v>3.9064973282142073</v>
      </c>
      <c r="G3047" s="10">
        <f t="shared" ca="1" si="237"/>
        <v>0</v>
      </c>
    </row>
    <row r="3048" spans="1:7" x14ac:dyDescent="0.2">
      <c r="A3048" s="2">
        <v>20020404</v>
      </c>
      <c r="B3048" s="13">
        <v>10235.17</v>
      </c>
      <c r="C3048" s="2">
        <f t="shared" si="235"/>
        <v>3.6162925353171167E-3</v>
      </c>
      <c r="D3048" s="21">
        <f t="shared" ca="1" si="236"/>
        <v>3.2323401202102495E-3</v>
      </c>
      <c r="E3048" s="21">
        <f t="shared" ca="1" si="238"/>
        <v>8.8955725053282826E-5</v>
      </c>
      <c r="F3048" s="11">
        <f t="shared" ca="1" si="239"/>
        <v>4.6049599206999856</v>
      </c>
      <c r="G3048" s="10">
        <f t="shared" ca="1" si="237"/>
        <v>1</v>
      </c>
    </row>
    <row r="3049" spans="1:7" x14ac:dyDescent="0.2">
      <c r="A3049" s="2">
        <v>20020405</v>
      </c>
      <c r="B3049" s="13">
        <v>10271.64</v>
      </c>
      <c r="C3049" s="2">
        <f t="shared" si="235"/>
        <v>3.56320412850977E-3</v>
      </c>
      <c r="D3049" s="21">
        <f t="shared" ca="1" si="236"/>
        <v>3.1792517134029028E-3</v>
      </c>
      <c r="E3049" s="21">
        <f t="shared" ca="1" si="238"/>
        <v>8.5748620777286298E-5</v>
      </c>
      <c r="F3049" s="11">
        <f t="shared" ca="1" si="239"/>
        <v>4.6231076452908129</v>
      </c>
      <c r="G3049" s="10">
        <f t="shared" ca="1" si="237"/>
        <v>1</v>
      </c>
    </row>
    <row r="3050" spans="1:7" x14ac:dyDescent="0.2">
      <c r="A3050" s="2">
        <v>20020408</v>
      </c>
      <c r="B3050" s="13">
        <v>10249.08</v>
      </c>
      <c r="C3050" s="2">
        <f t="shared" si="235"/>
        <v>-2.1963386567285742E-3</v>
      </c>
      <c r="D3050" s="21">
        <f t="shared" ca="1" si="236"/>
        <v>-2.5802910718354414E-3</v>
      </c>
      <c r="E3050" s="21">
        <f t="shared" ca="1" si="238"/>
        <v>8.269124855171553E-5</v>
      </c>
      <c r="F3050" s="11">
        <f t="shared" ca="1" si="239"/>
        <v>4.6599407939975626</v>
      </c>
      <c r="G3050" s="10">
        <f t="shared" ca="1" si="237"/>
        <v>1</v>
      </c>
    </row>
    <row r="3051" spans="1:7" x14ac:dyDescent="0.2">
      <c r="A3051" s="2">
        <v>20020409</v>
      </c>
      <c r="B3051" s="13">
        <v>10208.67</v>
      </c>
      <c r="C3051" s="2">
        <f t="shared" si="235"/>
        <v>-3.9427929140956903E-3</v>
      </c>
      <c r="D3051" s="21">
        <f t="shared" ca="1" si="236"/>
        <v>-4.3267453292025575E-3</v>
      </c>
      <c r="E3051" s="21">
        <f t="shared" ca="1" si="238"/>
        <v>7.9661696851038159E-5</v>
      </c>
      <c r="F3051" s="11">
        <f t="shared" ca="1" si="239"/>
        <v>4.601359418727494</v>
      </c>
      <c r="G3051" s="10">
        <f t="shared" ca="1" si="237"/>
        <v>1</v>
      </c>
    </row>
    <row r="3052" spans="1:7" x14ac:dyDescent="0.2">
      <c r="A3052" s="2">
        <v>20020410</v>
      </c>
      <c r="B3052" s="13">
        <v>10381.73</v>
      </c>
      <c r="C3052" s="2">
        <f t="shared" si="235"/>
        <v>1.6952257248005812E-2</v>
      </c>
      <c r="D3052" s="21">
        <f t="shared" ca="1" si="236"/>
        <v>1.6568304832898943E-2</v>
      </c>
      <c r="E3052" s="21">
        <f t="shared" ca="1" si="238"/>
        <v>7.7228982237108706E-5</v>
      </c>
      <c r="F3052" s="11">
        <f t="shared" ca="1" si="239"/>
        <v>2.9571288334499366</v>
      </c>
      <c r="G3052" s="10">
        <f t="shared" ca="1" si="237"/>
        <v>0</v>
      </c>
    </row>
    <row r="3053" spans="1:7" x14ac:dyDescent="0.2">
      <c r="A3053" s="2">
        <v>20020411</v>
      </c>
      <c r="B3053" s="13">
        <v>10176.08</v>
      </c>
      <c r="C3053" s="2">
        <f t="shared" si="235"/>
        <v>-1.9808837255447756E-2</v>
      </c>
      <c r="D3053" s="21">
        <f t="shared" ca="1" si="236"/>
        <v>-2.0192789670554625E-2</v>
      </c>
      <c r="E3053" s="21">
        <f t="shared" ca="1" si="238"/>
        <v>8.4325110830421233E-5</v>
      </c>
      <c r="F3053" s="11">
        <f t="shared" ca="1" si="239"/>
        <v>2.2726969684602838</v>
      </c>
      <c r="G3053" s="10">
        <f t="shared" ca="1" si="237"/>
        <v>0</v>
      </c>
    </row>
    <row r="3054" spans="1:7" x14ac:dyDescent="0.2">
      <c r="A3054" s="2">
        <v>20020412</v>
      </c>
      <c r="B3054" s="13">
        <v>10190.82</v>
      </c>
      <c r="C3054" s="2">
        <f t="shared" ref="C3054:C3117" si="240">(B3054-B3053)/B3053</f>
        <v>1.4484949017696187E-3</v>
      </c>
      <c r="D3054" s="21">
        <f t="shared" ca="1" si="236"/>
        <v>1.0645424866627512E-3</v>
      </c>
      <c r="E3054" s="21">
        <f t="shared" ca="1" si="238"/>
        <v>9.5961712475046054E-5</v>
      </c>
      <c r="F3054" s="11">
        <f t="shared" ca="1" si="239"/>
        <v>4.6198759348277516</v>
      </c>
      <c r="G3054" s="10">
        <f t="shared" ca="1" si="237"/>
        <v>1</v>
      </c>
    </row>
    <row r="3055" spans="1:7" x14ac:dyDescent="0.2">
      <c r="A3055" s="2">
        <v>20020415</v>
      </c>
      <c r="B3055" s="13">
        <v>10093.67</v>
      </c>
      <c r="C3055" s="2">
        <f t="shared" si="240"/>
        <v>-9.5330895845476254E-3</v>
      </c>
      <c r="D3055" s="21">
        <f t="shared" ca="1" si="236"/>
        <v>-9.9170419996544926E-3</v>
      </c>
      <c r="E3055" s="21">
        <f t="shared" ca="1" si="238"/>
        <v>9.2057652560046692E-5</v>
      </c>
      <c r="F3055" s="11">
        <f t="shared" ca="1" si="239"/>
        <v>4.1123840083336969</v>
      </c>
      <c r="G3055" s="10">
        <f t="shared" ca="1" si="237"/>
        <v>0</v>
      </c>
    </row>
    <row r="3056" spans="1:7" x14ac:dyDescent="0.2">
      <c r="A3056" s="2">
        <v>20020416</v>
      </c>
      <c r="B3056" s="13">
        <v>10301.32</v>
      </c>
      <c r="C3056" s="2">
        <f t="shared" si="240"/>
        <v>2.0572299272712466E-2</v>
      </c>
      <c r="D3056" s="21">
        <f t="shared" ca="1" si="236"/>
        <v>2.0188346857605597E-2</v>
      </c>
      <c r="E3056" s="21">
        <f t="shared" ca="1" si="238"/>
        <v>9.1925846172982619E-5</v>
      </c>
      <c r="F3056" s="11">
        <f t="shared" ca="1" si="239"/>
        <v>2.4304265388131459</v>
      </c>
      <c r="G3056" s="10">
        <f t="shared" ca="1" si="237"/>
        <v>0</v>
      </c>
    </row>
    <row r="3057" spans="1:7" x14ac:dyDescent="0.2">
      <c r="A3057" s="2">
        <v>20020417</v>
      </c>
      <c r="B3057" s="13">
        <v>10220.780000000001</v>
      </c>
      <c r="C3057" s="2">
        <f t="shared" si="240"/>
        <v>-7.8184155040324013E-3</v>
      </c>
      <c r="D3057" s="21">
        <f t="shared" ca="1" si="236"/>
        <v>-8.2023679191392685E-3</v>
      </c>
      <c r="E3057" s="21">
        <f t="shared" ca="1" si="238"/>
        <v>1.0317132704812612E-4</v>
      </c>
      <c r="F3057" s="11">
        <f t="shared" ca="1" si="239"/>
        <v>4.2635058311207539</v>
      </c>
      <c r="G3057" s="10">
        <f t="shared" ca="1" si="237"/>
        <v>1</v>
      </c>
    </row>
    <row r="3058" spans="1:7" x14ac:dyDescent="0.2">
      <c r="A3058" s="2">
        <v>20020418</v>
      </c>
      <c r="B3058" s="13">
        <v>10205.280000000001</v>
      </c>
      <c r="C3058" s="2">
        <f t="shared" si="240"/>
        <v>-1.516518308778782E-3</v>
      </c>
      <c r="D3058" s="21">
        <f t="shared" ca="1" si="236"/>
        <v>-1.9004707238856494E-3</v>
      </c>
      <c r="E3058" s="21">
        <f t="shared" ca="1" si="238"/>
        <v>1.0133481915057416E-4</v>
      </c>
      <c r="F3058" s="11">
        <f t="shared" ca="1" si="239"/>
        <v>4.5807191754699863</v>
      </c>
      <c r="G3058" s="10">
        <f t="shared" ca="1" si="237"/>
        <v>1</v>
      </c>
    </row>
    <row r="3059" spans="1:7" x14ac:dyDescent="0.2">
      <c r="A3059" s="2">
        <v>20020419</v>
      </c>
      <c r="B3059" s="13">
        <v>10257.11</v>
      </c>
      <c r="C3059" s="2">
        <f t="shared" si="240"/>
        <v>5.0787435523572035E-3</v>
      </c>
      <c r="D3059" s="21">
        <f t="shared" ca="1" si="236"/>
        <v>4.6947911372503363E-3</v>
      </c>
      <c r="E3059" s="21">
        <f t="shared" ca="1" si="238"/>
        <v>9.7250072179389004E-5</v>
      </c>
      <c r="F3059" s="11">
        <f t="shared" ca="1" si="239"/>
        <v>4.5057908358418484</v>
      </c>
      <c r="G3059" s="10">
        <f t="shared" ca="1" si="237"/>
        <v>1</v>
      </c>
    </row>
    <row r="3060" spans="1:7" x14ac:dyDescent="0.2">
      <c r="A3060" s="2">
        <v>20020422</v>
      </c>
      <c r="B3060" s="13">
        <v>10136.43</v>
      </c>
      <c r="C3060" s="2">
        <f t="shared" si="240"/>
        <v>-1.1765497298946806E-2</v>
      </c>
      <c r="D3060" s="21">
        <f t="shared" ca="1" si="236"/>
        <v>-1.2149449714053673E-2</v>
      </c>
      <c r="E3060" s="21">
        <f t="shared" ca="1" si="238"/>
        <v>9.4049650517055201E-5</v>
      </c>
      <c r="F3060" s="11">
        <f t="shared" ca="1" si="239"/>
        <v>3.8511034185593096</v>
      </c>
      <c r="G3060" s="10">
        <f t="shared" ca="1" si="237"/>
        <v>0</v>
      </c>
    </row>
    <row r="3061" spans="1:7" x14ac:dyDescent="0.2">
      <c r="A3061" s="2">
        <v>20020423</v>
      </c>
      <c r="B3061" s="13">
        <v>10089.24</v>
      </c>
      <c r="C3061" s="2">
        <f t="shared" si="240"/>
        <v>-4.6554852152089548E-3</v>
      </c>
      <c r="D3061" s="21">
        <f t="shared" ca="1" si="236"/>
        <v>-5.039437630315822E-3</v>
      </c>
      <c r="E3061" s="21">
        <f t="shared" ca="1" si="238"/>
        <v>9.5628496220991841E-5</v>
      </c>
      <c r="F3061" s="11">
        <f t="shared" ca="1" si="239"/>
        <v>4.4947355221888001</v>
      </c>
      <c r="G3061" s="10">
        <f t="shared" ca="1" si="237"/>
        <v>1</v>
      </c>
    </row>
    <row r="3062" spans="1:7" x14ac:dyDescent="0.2">
      <c r="A3062" s="2">
        <v>20020424</v>
      </c>
      <c r="B3062" s="13">
        <v>10030.43</v>
      </c>
      <c r="C3062" s="2">
        <f t="shared" si="240"/>
        <v>-5.8289821631757688E-3</v>
      </c>
      <c r="D3062" s="21">
        <f t="shared" ca="1" si="236"/>
        <v>-6.212934578282636E-3</v>
      </c>
      <c r="E3062" s="21">
        <f t="shared" ca="1" si="238"/>
        <v>9.2633474967357009E-5</v>
      </c>
      <c r="F3062" s="11">
        <f t="shared" ca="1" si="239"/>
        <v>4.4350789808033237</v>
      </c>
      <c r="G3062" s="10">
        <f t="shared" ca="1" si="237"/>
        <v>1</v>
      </c>
    </row>
    <row r="3063" spans="1:7" x14ac:dyDescent="0.2">
      <c r="A3063" s="2">
        <v>20020425</v>
      </c>
      <c r="B3063" s="13">
        <v>10035.06</v>
      </c>
      <c r="C3063" s="2">
        <f t="shared" si="240"/>
        <v>4.6159536530330201E-4</v>
      </c>
      <c r="D3063" s="21">
        <f t="shared" ca="1" si="236"/>
        <v>7.7642950196434718E-5</v>
      </c>
      <c r="E3063" s="21">
        <f t="shared" ca="1" si="238"/>
        <v>9.0275529921805166E-5</v>
      </c>
      <c r="F3063" s="11">
        <f t="shared" ca="1" si="239"/>
        <v>4.6562886713207421</v>
      </c>
      <c r="G3063" s="10">
        <f t="shared" ca="1" si="237"/>
        <v>1</v>
      </c>
    </row>
    <row r="3064" spans="1:7" x14ac:dyDescent="0.2">
      <c r="A3064" s="2">
        <v>20020426</v>
      </c>
      <c r="B3064" s="13">
        <v>9910.7199999999993</v>
      </c>
      <c r="C3064" s="2">
        <f t="shared" si="240"/>
        <v>-1.239055870119363E-2</v>
      </c>
      <c r="D3064" s="21">
        <f t="shared" ca="1" si="236"/>
        <v>-1.2774511116300498E-2</v>
      </c>
      <c r="E3064" s="21">
        <f t="shared" ca="1" si="238"/>
        <v>8.6617685923078713E-5</v>
      </c>
      <c r="F3064" s="11">
        <f t="shared" ca="1" si="239"/>
        <v>3.7350008791988469</v>
      </c>
      <c r="G3064" s="10">
        <f t="shared" ca="1" si="237"/>
        <v>0</v>
      </c>
    </row>
    <row r="3065" spans="1:7" x14ac:dyDescent="0.2">
      <c r="A3065" s="2">
        <v>20020429</v>
      </c>
      <c r="B3065" s="13">
        <v>9819.8700000000008</v>
      </c>
      <c r="C3065" s="2">
        <f t="shared" si="240"/>
        <v>-9.1668415614605744E-3</v>
      </c>
      <c r="D3065" s="21">
        <f t="shared" ca="1" si="236"/>
        <v>-9.5507939765674416E-3</v>
      </c>
      <c r="E3065" s="21">
        <f t="shared" ca="1" si="238"/>
        <v>8.9145384411752323E-5</v>
      </c>
      <c r="F3065" s="11">
        <f t="shared" ca="1" si="239"/>
        <v>4.1509979517086233</v>
      </c>
      <c r="G3065" s="10">
        <f t="shared" ca="1" si="237"/>
        <v>0</v>
      </c>
    </row>
    <row r="3066" spans="1:7" x14ac:dyDescent="0.2">
      <c r="A3066" s="2">
        <v>20020430</v>
      </c>
      <c r="B3066" s="13">
        <v>9946.2199999999993</v>
      </c>
      <c r="C3066" s="2">
        <f t="shared" si="240"/>
        <v>1.2866769112014571E-2</v>
      </c>
      <c r="D3066" s="21">
        <f t="shared" ca="1" si="236"/>
        <v>1.2482816696907704E-2</v>
      </c>
      <c r="E3066" s="21">
        <f t="shared" ca="1" si="238"/>
        <v>8.8898726004500727E-5</v>
      </c>
      <c r="F3066" s="11">
        <f t="shared" ca="1" si="239"/>
        <v>3.78761185266417</v>
      </c>
      <c r="G3066" s="10">
        <f t="shared" ca="1" si="237"/>
        <v>0</v>
      </c>
    </row>
    <row r="3067" spans="1:7" x14ac:dyDescent="0.2">
      <c r="A3067" s="2">
        <v>20020501</v>
      </c>
      <c r="B3067" s="13">
        <v>10059.629999999999</v>
      </c>
      <c r="C3067" s="2">
        <f t="shared" si="240"/>
        <v>1.1402321686027441E-2</v>
      </c>
      <c r="D3067" s="21">
        <f t="shared" ca="1" si="236"/>
        <v>1.1018369270920574E-2</v>
      </c>
      <c r="E3067" s="21">
        <f t="shared" ca="1" si="238"/>
        <v>9.1040112969327099E-5</v>
      </c>
      <c r="F3067" s="11">
        <f t="shared" ca="1" si="239"/>
        <v>3.98534160381092</v>
      </c>
      <c r="G3067" s="10">
        <f t="shared" ca="1" si="237"/>
        <v>0</v>
      </c>
    </row>
    <row r="3068" spans="1:7" x14ac:dyDescent="0.2">
      <c r="A3068" s="2">
        <v>20020502</v>
      </c>
      <c r="B3068" s="13">
        <v>10091.870000000001</v>
      </c>
      <c r="C3068" s="2">
        <f t="shared" si="240"/>
        <v>3.2048892454296634E-3</v>
      </c>
      <c r="D3068" s="21">
        <f t="shared" ca="1" si="236"/>
        <v>2.8209368303227962E-3</v>
      </c>
      <c r="E3068" s="21">
        <f t="shared" ca="1" si="238"/>
        <v>9.1807620809890295E-5</v>
      </c>
      <c r="F3068" s="11">
        <f t="shared" ca="1" si="239"/>
        <v>4.6045687132895292</v>
      </c>
      <c r="G3068" s="10">
        <f t="shared" ca="1" si="237"/>
        <v>1</v>
      </c>
    </row>
    <row r="3069" spans="1:7" x14ac:dyDescent="0.2">
      <c r="A3069" s="2">
        <v>20020503</v>
      </c>
      <c r="B3069" s="13">
        <v>10006.629999999999</v>
      </c>
      <c r="C3069" s="2">
        <f t="shared" si="240"/>
        <v>-8.4464028965891939E-3</v>
      </c>
      <c r="D3069" s="21">
        <f t="shared" ca="1" si="236"/>
        <v>-8.8303553116960611E-3</v>
      </c>
      <c r="E3069" s="21">
        <f t="shared" ca="1" si="238"/>
        <v>8.8364664110118294E-5</v>
      </c>
      <c r="F3069" s="11">
        <f t="shared" ca="1" si="239"/>
        <v>4.2258067758131261</v>
      </c>
      <c r="G3069" s="10">
        <f t="shared" ca="1" si="237"/>
        <v>1</v>
      </c>
    </row>
    <row r="3070" spans="1:7" x14ac:dyDescent="0.2">
      <c r="A3070" s="2">
        <v>20020506</v>
      </c>
      <c r="B3070" s="13">
        <v>9808.0400000000009</v>
      </c>
      <c r="C3070" s="2">
        <f t="shared" si="240"/>
        <v>-1.9845842206616848E-2</v>
      </c>
      <c r="D3070" s="21">
        <f t="shared" ca="1" si="236"/>
        <v>-2.0229794621723717E-2</v>
      </c>
      <c r="E3070" s="21">
        <f t="shared" ca="1" si="238"/>
        <v>8.7670553096702355E-5</v>
      </c>
      <c r="F3070" s="11">
        <f t="shared" ca="1" si="239"/>
        <v>2.3369710897688609</v>
      </c>
      <c r="G3070" s="10">
        <f t="shared" ca="1" si="237"/>
        <v>0</v>
      </c>
    </row>
    <row r="3071" spans="1:7" x14ac:dyDescent="0.2">
      <c r="A3071" s="2">
        <v>20020507</v>
      </c>
      <c r="B3071" s="13">
        <v>9836.5499999999993</v>
      </c>
      <c r="C3071" s="2">
        <f t="shared" si="240"/>
        <v>2.9067989119129201E-3</v>
      </c>
      <c r="D3071" s="21">
        <f t="shared" ca="1" si="236"/>
        <v>2.5228464968060529E-3</v>
      </c>
      <c r="E3071" s="21">
        <f t="shared" ca="1" si="238"/>
        <v>9.9192912208157652E-5</v>
      </c>
      <c r="F3071" s="11">
        <f t="shared" ca="1" si="239"/>
        <v>4.5771392900197254</v>
      </c>
      <c r="G3071" s="10">
        <f t="shared" ca="1" si="237"/>
        <v>1</v>
      </c>
    </row>
    <row r="3072" spans="1:7" x14ac:dyDescent="0.2">
      <c r="A3072" s="2">
        <v>20020508</v>
      </c>
      <c r="B3072" s="13">
        <v>10141.83</v>
      </c>
      <c r="C3072" s="2">
        <f t="shared" si="240"/>
        <v>3.1035271512878059E-2</v>
      </c>
      <c r="D3072" s="21">
        <f t="shared" ca="1" si="236"/>
        <v>3.065131909777119E-2</v>
      </c>
      <c r="E3072" s="21">
        <f t="shared" ca="1" si="238"/>
        <v>9.5317756361732749E-5</v>
      </c>
      <c r="F3072" s="11">
        <f t="shared" ca="1" si="239"/>
        <v>-0.29912321940037678</v>
      </c>
      <c r="G3072" s="10">
        <f t="shared" ca="1" si="237"/>
        <v>0</v>
      </c>
    </row>
    <row r="3073" spans="1:7" x14ac:dyDescent="0.2">
      <c r="A3073" s="2">
        <v>20020509</v>
      </c>
      <c r="B3073" s="13">
        <v>10037.42</v>
      </c>
      <c r="C3073" s="2">
        <f t="shared" si="240"/>
        <v>-1.0294986210575395E-2</v>
      </c>
      <c r="D3073" s="21">
        <f t="shared" ca="1" si="236"/>
        <v>-1.0678938625682262E-2</v>
      </c>
      <c r="E3073" s="21">
        <f t="shared" ca="1" si="238"/>
        <v>1.2595178184513211E-4</v>
      </c>
      <c r="F3073" s="11">
        <f t="shared" ca="1" si="239"/>
        <v>4.0370938467421036</v>
      </c>
      <c r="G3073" s="10">
        <f t="shared" ca="1" si="237"/>
        <v>1</v>
      </c>
    </row>
    <row r="3074" spans="1:7" x14ac:dyDescent="0.2">
      <c r="A3074" s="2">
        <v>20020510</v>
      </c>
      <c r="B3074" s="13">
        <v>9939.92</v>
      </c>
      <c r="C3074" s="2">
        <f t="shared" si="240"/>
        <v>-9.7136515160270269E-3</v>
      </c>
      <c r="D3074" s="21">
        <f t="shared" ca="1" si="236"/>
        <v>-1.0097603931133894E-2</v>
      </c>
      <c r="E3074" s="21">
        <f t="shared" ca="1" si="238"/>
        <v>1.2468228283600249E-4</v>
      </c>
      <c r="F3074" s="11">
        <f t="shared" ca="1" si="239"/>
        <v>4.0859851961942715</v>
      </c>
      <c r="G3074" s="10">
        <f t="shared" ca="1" si="237"/>
        <v>1</v>
      </c>
    </row>
    <row r="3075" spans="1:7" x14ac:dyDescent="0.2">
      <c r="A3075" s="2">
        <v>20020513</v>
      </c>
      <c r="B3075" s="13">
        <v>10109.66</v>
      </c>
      <c r="C3075" s="2">
        <f t="shared" si="240"/>
        <v>1.7076596189908953E-2</v>
      </c>
      <c r="D3075" s="21">
        <f t="shared" ca="1" si="236"/>
        <v>1.6692643774802084E-2</v>
      </c>
      <c r="E3075" s="21">
        <f t="shared" ca="1" si="238"/>
        <v>1.2303287445374718E-4</v>
      </c>
      <c r="F3075" s="11">
        <f t="shared" ca="1" si="239"/>
        <v>3.3691315064831517</v>
      </c>
      <c r="G3075" s="10">
        <f t="shared" ca="1" si="237"/>
        <v>0</v>
      </c>
    </row>
    <row r="3076" spans="1:7" x14ac:dyDescent="0.2">
      <c r="A3076" s="2">
        <v>20020514</v>
      </c>
      <c r="B3076" s="13">
        <v>10298.14</v>
      </c>
      <c r="C3076" s="2">
        <f t="shared" si="240"/>
        <v>1.8643554778301107E-2</v>
      </c>
      <c r="D3076" s="21">
        <f t="shared" ca="1" si="236"/>
        <v>1.8259602363194238E-2</v>
      </c>
      <c r="E3076" s="21">
        <f t="shared" ca="1" si="238"/>
        <v>1.2796384343686807E-4</v>
      </c>
      <c r="F3076" s="11">
        <f t="shared" ca="1" si="239"/>
        <v>3.1791185702860032</v>
      </c>
      <c r="G3076" s="10">
        <f t="shared" ca="1" si="237"/>
        <v>0</v>
      </c>
    </row>
    <row r="3077" spans="1:7" x14ac:dyDescent="0.2">
      <c r="A3077" s="2">
        <v>20020515</v>
      </c>
      <c r="B3077" s="13">
        <v>10243.68</v>
      </c>
      <c r="C3077" s="2">
        <f t="shared" si="240"/>
        <v>-5.2883336214111605E-3</v>
      </c>
      <c r="D3077" s="21">
        <f t="shared" ca="1" si="236"/>
        <v>-5.6722860365180277E-3</v>
      </c>
      <c r="E3077" s="21">
        <f t="shared" ca="1" si="238"/>
        <v>1.3465929462215802E-4</v>
      </c>
      <c r="F3077" s="11">
        <f t="shared" ca="1" si="239"/>
        <v>4.3369138182200322</v>
      </c>
      <c r="G3077" s="10">
        <f t="shared" ca="1" si="237"/>
        <v>1</v>
      </c>
    </row>
    <row r="3078" spans="1:7" x14ac:dyDescent="0.2">
      <c r="A3078" s="2">
        <v>20020516</v>
      </c>
      <c r="B3078" s="13">
        <v>10289.209999999999</v>
      </c>
      <c r="C3078" s="2">
        <f t="shared" si="240"/>
        <v>4.4446917514017262E-3</v>
      </c>
      <c r="D3078" s="21">
        <f t="shared" ca="1" si="236"/>
        <v>4.060739336294859E-3</v>
      </c>
      <c r="E3078" s="21">
        <f t="shared" ca="1" si="238"/>
        <v>1.2993896431412496E-4</v>
      </c>
      <c r="F3078" s="11">
        <f t="shared" ca="1" si="239"/>
        <v>4.4107715170953616</v>
      </c>
      <c r="G3078" s="10">
        <f t="shared" ca="1" si="237"/>
        <v>1</v>
      </c>
    </row>
    <row r="3079" spans="1:7" x14ac:dyDescent="0.2">
      <c r="A3079" s="2">
        <v>20020517</v>
      </c>
      <c r="B3079" s="13">
        <v>10353.08</v>
      </c>
      <c r="C3079" s="2">
        <f t="shared" si="240"/>
        <v>6.2074736544400211E-3</v>
      </c>
      <c r="D3079" s="21">
        <f t="shared" ca="1" si="236"/>
        <v>5.8235212393331539E-3</v>
      </c>
      <c r="E3079" s="21">
        <f t="shared" ca="1" si="238"/>
        <v>1.248806639630613E-4</v>
      </c>
      <c r="F3079" s="11">
        <f t="shared" ca="1" si="239"/>
        <v>4.3582927533218401</v>
      </c>
      <c r="G3079" s="10">
        <f t="shared" ca="1" si="237"/>
        <v>1</v>
      </c>
    </row>
    <row r="3080" spans="1:7" x14ac:dyDescent="0.2">
      <c r="A3080" s="2">
        <v>20020520</v>
      </c>
      <c r="B3080" s="13">
        <v>10229.5</v>
      </c>
      <c r="C3080" s="2">
        <f t="shared" si="240"/>
        <v>-1.1936544487244368E-2</v>
      </c>
      <c r="D3080" s="21">
        <f t="shared" ca="1" si="236"/>
        <v>-1.2320496902351236E-2</v>
      </c>
      <c r="E3080" s="21">
        <f t="shared" ca="1" si="238"/>
        <v>1.2071896808174162E-4</v>
      </c>
      <c r="F3080" s="11">
        <f t="shared" ca="1" si="239"/>
        <v>3.8823118212448202</v>
      </c>
      <c r="G3080" s="10">
        <f t="shared" ca="1" si="237"/>
        <v>0</v>
      </c>
    </row>
    <row r="3081" spans="1:7" x14ac:dyDescent="0.2">
      <c r="A3081" s="2">
        <v>20020521</v>
      </c>
      <c r="B3081" s="13">
        <v>10105.709999999999</v>
      </c>
      <c r="C3081" s="2">
        <f t="shared" si="240"/>
        <v>-1.2101275722176145E-2</v>
      </c>
      <c r="D3081" s="21">
        <f t="shared" ca="1" si="236"/>
        <v>-1.2485228137283012E-2</v>
      </c>
      <c r="E3081" s="21">
        <f t="shared" ca="1" si="238"/>
        <v>1.2110251294431537E-4</v>
      </c>
      <c r="F3081" s="11">
        <f t="shared" ca="1" si="239"/>
        <v>3.8658457978699965</v>
      </c>
      <c r="G3081" s="10">
        <f t="shared" ca="1" si="237"/>
        <v>0</v>
      </c>
    </row>
    <row r="3082" spans="1:7" x14ac:dyDescent="0.2">
      <c r="A3082" s="2">
        <v>20020522</v>
      </c>
      <c r="B3082" s="13">
        <v>10157.879999999999</v>
      </c>
      <c r="C3082" s="2">
        <f t="shared" si="240"/>
        <v>5.1624279738880369E-3</v>
      </c>
      <c r="D3082" s="21">
        <f t="shared" ca="1" si="236"/>
        <v>4.7784755587811697E-3</v>
      </c>
      <c r="E3082" s="21">
        <f t="shared" ca="1" si="238"/>
        <v>1.2161691371257047E-4</v>
      </c>
      <c r="F3082" s="11">
        <f t="shared" ca="1" si="239"/>
        <v>4.4134412119072142</v>
      </c>
      <c r="G3082" s="10">
        <f t="shared" ca="1" si="237"/>
        <v>1</v>
      </c>
    </row>
    <row r="3083" spans="1:7" x14ac:dyDescent="0.2">
      <c r="A3083" s="2">
        <v>20020523</v>
      </c>
      <c r="B3083" s="13">
        <v>10216.08</v>
      </c>
      <c r="C3083" s="2">
        <f t="shared" si="240"/>
        <v>5.7295419910454474E-3</v>
      </c>
      <c r="D3083" s="21">
        <f t="shared" ca="1" si="236"/>
        <v>5.3455895759385802E-3</v>
      </c>
      <c r="E3083" s="21">
        <f t="shared" ca="1" si="238"/>
        <v>1.1721291686144128E-4</v>
      </c>
      <c r="F3083" s="11">
        <f t="shared" ca="1" si="239"/>
        <v>4.4038642761469005</v>
      </c>
      <c r="G3083" s="10">
        <f t="shared" ca="1" si="237"/>
        <v>1</v>
      </c>
    </row>
    <row r="3084" spans="1:7" x14ac:dyDescent="0.2">
      <c r="A3084" s="2">
        <v>20020524</v>
      </c>
      <c r="B3084" s="13">
        <v>10104.26</v>
      </c>
      <c r="C3084" s="2">
        <f t="shared" si="240"/>
        <v>-1.0945489855208624E-2</v>
      </c>
      <c r="D3084" s="21">
        <f t="shared" ca="1" si="236"/>
        <v>-1.1329442270315491E-2</v>
      </c>
      <c r="E3084" s="21">
        <f t="shared" ca="1" si="238"/>
        <v>1.1324284461338535E-4</v>
      </c>
      <c r="F3084" s="11">
        <f t="shared" ca="1" si="239"/>
        <v>3.9762578674849336</v>
      </c>
      <c r="G3084" s="10">
        <f t="shared" ca="1" si="237"/>
        <v>0</v>
      </c>
    </row>
    <row r="3085" spans="1:7" x14ac:dyDescent="0.2">
      <c r="A3085" s="2">
        <v>20020528</v>
      </c>
      <c r="B3085" s="13">
        <v>9981.58</v>
      </c>
      <c r="C3085" s="2">
        <f t="shared" si="240"/>
        <v>-1.214141362158142E-2</v>
      </c>
      <c r="D3085" s="21">
        <f t="shared" ca="1" si="236"/>
        <v>-1.2525366036688287E-2</v>
      </c>
      <c r="E3085" s="21">
        <f t="shared" ca="1" si="238"/>
        <v>1.1314273880184783E-4</v>
      </c>
      <c r="F3085" s="11">
        <f t="shared" ca="1" si="239"/>
        <v>3.8501254399680906</v>
      </c>
      <c r="G3085" s="10">
        <f t="shared" ca="1" si="237"/>
        <v>0</v>
      </c>
    </row>
    <row r="3086" spans="1:7" x14ac:dyDescent="0.2">
      <c r="A3086" s="2">
        <v>20020529</v>
      </c>
      <c r="B3086" s="13">
        <v>9923.0400000000009</v>
      </c>
      <c r="C3086" s="2">
        <f t="shared" si="240"/>
        <v>-5.8648029670652392E-3</v>
      </c>
      <c r="D3086" s="21">
        <f t="shared" ref="D3086:D3149" ca="1" si="241">(C3086-mu)</f>
        <v>-6.2487553821721064E-3</v>
      </c>
      <c r="E3086" s="21">
        <f t="shared" ca="1" si="238"/>
        <v>1.140967413173065E-4</v>
      </c>
      <c r="F3086" s="11">
        <f t="shared" ca="1" si="239"/>
        <v>4.3681186132781447</v>
      </c>
      <c r="G3086" s="10">
        <f t="shared" ref="G3086:G3149" ca="1" si="242">IF(AND(C3086&lt;=mu+zvalue*SQRT(E3086),C3086&gt;=mu-zvalue*SQRT(E3086)),1,0)</f>
        <v>1</v>
      </c>
    </row>
    <row r="3087" spans="1:7" x14ac:dyDescent="0.2">
      <c r="A3087" s="2">
        <v>20020530</v>
      </c>
      <c r="B3087" s="13">
        <v>9911.69</v>
      </c>
      <c r="C3087" s="2">
        <f t="shared" si="240"/>
        <v>-1.143802705622507E-3</v>
      </c>
      <c r="D3087" s="21">
        <f t="shared" ca="1" si="241"/>
        <v>-1.5277551207293744E-3</v>
      </c>
      <c r="E3087" s="21">
        <f t="shared" ref="E3087:E3150" ca="1" si="243">(1-alpha-beta)*longvar+alpha*D3086^2+beta*E3086</f>
        <v>1.1066937701708626E-4</v>
      </c>
      <c r="F3087" s="11">
        <f t="shared" ref="F3087:F3150" ca="1" si="244">(-0.5)*(LN(E3087)+D3087^2/E3087)</f>
        <v>4.5439366096513183</v>
      </c>
      <c r="G3087" s="10">
        <f t="shared" ca="1" si="242"/>
        <v>1</v>
      </c>
    </row>
    <row r="3088" spans="1:7" x14ac:dyDescent="0.2">
      <c r="A3088" s="2">
        <v>20020531</v>
      </c>
      <c r="B3088" s="13">
        <v>9925.25</v>
      </c>
      <c r="C3088" s="2">
        <f t="shared" si="240"/>
        <v>1.3680815279734828E-3</v>
      </c>
      <c r="D3088" s="21">
        <f t="shared" ca="1" si="241"/>
        <v>9.8412911286661561E-4</v>
      </c>
      <c r="E3088" s="21">
        <f t="shared" ca="1" si="243"/>
        <v>1.0606540647138403E-4</v>
      </c>
      <c r="F3088" s="11">
        <f t="shared" ca="1" si="244"/>
        <v>4.5711616792462539</v>
      </c>
      <c r="G3088" s="10">
        <f t="shared" ca="1" si="242"/>
        <v>1</v>
      </c>
    </row>
    <row r="3089" spans="1:7" x14ac:dyDescent="0.2">
      <c r="A3089" s="2">
        <v>20020603</v>
      </c>
      <c r="B3089" s="13">
        <v>9709.7900000000009</v>
      </c>
      <c r="C3089" s="2">
        <f t="shared" si="240"/>
        <v>-2.1708269313115449E-2</v>
      </c>
      <c r="D3089" s="21">
        <f t="shared" ca="1" si="241"/>
        <v>-2.2092221728222318E-2</v>
      </c>
      <c r="E3089" s="21">
        <f t="shared" ca="1" si="243"/>
        <v>1.01644139550997E-4</v>
      </c>
      <c r="F3089" s="11">
        <f t="shared" ca="1" si="244"/>
        <v>2.1961584854280387</v>
      </c>
      <c r="G3089" s="10">
        <f t="shared" ca="1" si="242"/>
        <v>0</v>
      </c>
    </row>
    <row r="3090" spans="1:7" x14ac:dyDescent="0.2">
      <c r="A3090" s="2">
        <v>20020604</v>
      </c>
      <c r="B3090" s="13">
        <v>9687.84</v>
      </c>
      <c r="C3090" s="2">
        <f t="shared" si="240"/>
        <v>-2.2606050182342485E-3</v>
      </c>
      <c r="D3090" s="21">
        <f t="shared" ca="1" si="241"/>
        <v>-2.6445574333411157E-3</v>
      </c>
      <c r="E3090" s="21">
        <f t="shared" ca="1" si="243"/>
        <v>1.1535798077158584E-4</v>
      </c>
      <c r="F3090" s="11">
        <f t="shared" ca="1" si="244"/>
        <v>4.5034222328269458</v>
      </c>
      <c r="G3090" s="10">
        <f t="shared" ca="1" si="242"/>
        <v>1</v>
      </c>
    </row>
    <row r="3091" spans="1:7" x14ac:dyDescent="0.2">
      <c r="A3091" s="2">
        <v>20020605</v>
      </c>
      <c r="B3091" s="13">
        <v>9796.7999999999993</v>
      </c>
      <c r="C3091" s="2">
        <f t="shared" si="240"/>
        <v>1.1247089134419967E-2</v>
      </c>
      <c r="D3091" s="21">
        <f t="shared" ca="1" si="241"/>
        <v>1.0863136719313099E-2</v>
      </c>
      <c r="E3091" s="21">
        <f t="shared" ca="1" si="243"/>
        <v>1.1068815562245281E-4</v>
      </c>
      <c r="F3091" s="11">
        <f t="shared" ca="1" si="244"/>
        <v>4.0213328713492409</v>
      </c>
      <c r="G3091" s="10">
        <f t="shared" ca="1" si="242"/>
        <v>0</v>
      </c>
    </row>
    <row r="3092" spans="1:7" x14ac:dyDescent="0.2">
      <c r="A3092" s="2">
        <v>20020606</v>
      </c>
      <c r="B3092" s="13">
        <v>9624.64</v>
      </c>
      <c r="C3092" s="2">
        <f t="shared" si="240"/>
        <v>-1.7573085089008643E-2</v>
      </c>
      <c r="D3092" s="21">
        <f t="shared" ca="1" si="241"/>
        <v>-1.7957037504115512E-2</v>
      </c>
      <c r="E3092" s="21">
        <f t="shared" ca="1" si="243"/>
        <v>1.103367591167295E-4</v>
      </c>
      <c r="F3092" s="11">
        <f t="shared" ca="1" si="244"/>
        <v>3.0947547586211557</v>
      </c>
      <c r="G3092" s="10">
        <f t="shared" ca="1" si="242"/>
        <v>0</v>
      </c>
    </row>
    <row r="3093" spans="1:7" x14ac:dyDescent="0.2">
      <c r="A3093" s="2">
        <v>20020607</v>
      </c>
      <c r="B3093" s="13">
        <v>9589.67</v>
      </c>
      <c r="C3093" s="2">
        <f t="shared" si="240"/>
        <v>-3.6333826511951977E-3</v>
      </c>
      <c r="D3093" s="21">
        <f t="shared" ca="1" si="241"/>
        <v>-4.0173350663020649E-3</v>
      </c>
      <c r="E3093" s="21">
        <f t="shared" ca="1" si="243"/>
        <v>1.1752102982785265E-4</v>
      </c>
      <c r="F3093" s="11">
        <f t="shared" ca="1" si="244"/>
        <v>4.4557824058606927</v>
      </c>
      <c r="G3093" s="10">
        <f t="shared" ca="1" si="242"/>
        <v>1</v>
      </c>
    </row>
    <row r="3094" spans="1:7" x14ac:dyDescent="0.2">
      <c r="A3094" s="2">
        <v>20020610</v>
      </c>
      <c r="B3094" s="13">
        <v>9645.4</v>
      </c>
      <c r="C3094" s="2">
        <f t="shared" si="240"/>
        <v>5.8114617082756304E-3</v>
      </c>
      <c r="D3094" s="21">
        <f t="shared" ca="1" si="241"/>
        <v>5.4275092931687632E-3</v>
      </c>
      <c r="E3094" s="21">
        <f t="shared" ca="1" si="243"/>
        <v>1.1307806385417133E-4</v>
      </c>
      <c r="F3094" s="11">
        <f t="shared" ca="1" si="244"/>
        <v>4.413461556836741</v>
      </c>
      <c r="G3094" s="10">
        <f t="shared" ca="1" si="242"/>
        <v>1</v>
      </c>
    </row>
    <row r="3095" spans="1:7" x14ac:dyDescent="0.2">
      <c r="A3095" s="2">
        <v>20020611</v>
      </c>
      <c r="B3095" s="13">
        <v>9517.26</v>
      </c>
      <c r="C3095" s="2">
        <f t="shared" si="240"/>
        <v>-1.3285089265349225E-2</v>
      </c>
      <c r="D3095" s="21">
        <f t="shared" ca="1" si="241"/>
        <v>-1.3669041680456092E-2</v>
      </c>
      <c r="E3095" s="21">
        <f t="shared" ca="1" si="243"/>
        <v>1.0934962732131399E-4</v>
      </c>
      <c r="F3095" s="11">
        <f t="shared" ca="1" si="244"/>
        <v>3.7061438623546996</v>
      </c>
      <c r="G3095" s="10">
        <f t="shared" ca="1" si="242"/>
        <v>0</v>
      </c>
    </row>
    <row r="3096" spans="1:7" x14ac:dyDescent="0.2">
      <c r="A3096" s="2">
        <v>20020612</v>
      </c>
      <c r="B3096" s="13">
        <v>9617.7099999999991</v>
      </c>
      <c r="C3096" s="2">
        <f t="shared" si="240"/>
        <v>1.0554508335382127E-2</v>
      </c>
      <c r="D3096" s="21">
        <f t="shared" ca="1" si="241"/>
        <v>1.017055592027526E-2</v>
      </c>
      <c r="E3096" s="21">
        <f t="shared" ca="1" si="243"/>
        <v>1.1159712911105161E-4</v>
      </c>
      <c r="F3096" s="11">
        <f t="shared" ca="1" si="244"/>
        <v>4.0868539034267348</v>
      </c>
      <c r="G3096" s="10">
        <f t="shared" ca="1" si="242"/>
        <v>1</v>
      </c>
    </row>
    <row r="3097" spans="1:7" x14ac:dyDescent="0.2">
      <c r="A3097" s="2">
        <v>20020613</v>
      </c>
      <c r="B3097" s="13">
        <v>9502.7999999999993</v>
      </c>
      <c r="C3097" s="2">
        <f t="shared" si="240"/>
        <v>-1.1947750556005521E-2</v>
      </c>
      <c r="D3097" s="21">
        <f t="shared" ca="1" si="241"/>
        <v>-1.2331702971112388E-2</v>
      </c>
      <c r="E3097" s="21">
        <f t="shared" ca="1" si="243"/>
        <v>1.1066407376269586E-4</v>
      </c>
      <c r="F3097" s="11">
        <f t="shared" ca="1" si="244"/>
        <v>3.8674222446591728</v>
      </c>
      <c r="G3097" s="10">
        <f t="shared" ca="1" si="242"/>
        <v>0</v>
      </c>
    </row>
    <row r="3098" spans="1:7" x14ac:dyDescent="0.2">
      <c r="A3098" s="2">
        <v>20020614</v>
      </c>
      <c r="B3098" s="13">
        <v>9474.2099999999991</v>
      </c>
      <c r="C3098" s="2">
        <f t="shared" si="240"/>
        <v>-3.0085869427958229E-3</v>
      </c>
      <c r="D3098" s="21">
        <f t="shared" ca="1" si="241"/>
        <v>-3.3925393579026901E-3</v>
      </c>
      <c r="E3098" s="21">
        <f t="shared" ca="1" si="243"/>
        <v>1.1156645739059898E-4</v>
      </c>
      <c r="F3098" s="11">
        <f t="shared" ca="1" si="244"/>
        <v>4.4988644854707136</v>
      </c>
      <c r="G3098" s="10">
        <f t="shared" ca="1" si="242"/>
        <v>1</v>
      </c>
    </row>
    <row r="3099" spans="1:7" x14ac:dyDescent="0.2">
      <c r="A3099" s="2">
        <v>20020617</v>
      </c>
      <c r="B3099" s="13">
        <v>9687.42</v>
      </c>
      <c r="C3099" s="2">
        <f t="shared" si="240"/>
        <v>2.2504251014068822E-2</v>
      </c>
      <c r="D3099" s="21">
        <f t="shared" ca="1" si="241"/>
        <v>2.2120298598961953E-2</v>
      </c>
      <c r="E3099" s="21">
        <f t="shared" ca="1" si="243"/>
        <v>1.0725449459844549E-4</v>
      </c>
      <c r="F3099" s="11">
        <f t="shared" ca="1" si="244"/>
        <v>2.2890942810797363</v>
      </c>
      <c r="G3099" s="10">
        <f t="shared" ca="1" si="242"/>
        <v>0</v>
      </c>
    </row>
    <row r="3100" spans="1:7" x14ac:dyDescent="0.2">
      <c r="A3100" s="2">
        <v>20020618</v>
      </c>
      <c r="B3100" s="13">
        <v>9706.1200000000008</v>
      </c>
      <c r="C3100" s="2">
        <f t="shared" si="240"/>
        <v>1.9303385215052849E-3</v>
      </c>
      <c r="D3100" s="21">
        <f t="shared" ca="1" si="241"/>
        <v>1.5463861063984177E-3</v>
      </c>
      <c r="E3100" s="21">
        <f t="shared" ca="1" si="243"/>
        <v>1.2073015268810541E-4</v>
      </c>
      <c r="F3100" s="11">
        <f t="shared" ca="1" si="244"/>
        <v>4.5010727904223566</v>
      </c>
      <c r="G3100" s="10">
        <f t="shared" ca="1" si="242"/>
        <v>1</v>
      </c>
    </row>
    <row r="3101" spans="1:7" x14ac:dyDescent="0.2">
      <c r="A3101" s="2">
        <v>20020619</v>
      </c>
      <c r="B3101" s="13">
        <v>9561.57</v>
      </c>
      <c r="C3101" s="2">
        <f t="shared" si="240"/>
        <v>-1.4892665658368234E-2</v>
      </c>
      <c r="D3101" s="21">
        <f t="shared" ca="1" si="241"/>
        <v>-1.5276618073475101E-2</v>
      </c>
      <c r="E3101" s="21">
        <f t="shared" ca="1" si="243"/>
        <v>1.1561931026387357E-4</v>
      </c>
      <c r="F3101" s="11">
        <f t="shared" ca="1" si="244"/>
        <v>3.5233646751408214</v>
      </c>
      <c r="G3101" s="10">
        <f t="shared" ca="1" si="242"/>
        <v>0</v>
      </c>
    </row>
    <row r="3102" spans="1:7" x14ac:dyDescent="0.2">
      <c r="A3102" s="2">
        <v>20020620</v>
      </c>
      <c r="B3102" s="13">
        <v>9431.77</v>
      </c>
      <c r="C3102" s="2">
        <f t="shared" si="240"/>
        <v>-1.3575176461606124E-2</v>
      </c>
      <c r="D3102" s="21">
        <f t="shared" ca="1" si="241"/>
        <v>-1.3959128876712992E-2</v>
      </c>
      <c r="E3102" s="21">
        <f t="shared" ca="1" si="243"/>
        <v>1.1926070282834329E-4</v>
      </c>
      <c r="F3102" s="11">
        <f t="shared" ca="1" si="244"/>
        <v>3.7001610097234225</v>
      </c>
      <c r="G3102" s="10">
        <f t="shared" ca="1" si="242"/>
        <v>0</v>
      </c>
    </row>
    <row r="3103" spans="1:7" x14ac:dyDescent="0.2">
      <c r="A3103" s="2">
        <v>20020621</v>
      </c>
      <c r="B3103" s="13">
        <v>9253.7900000000009</v>
      </c>
      <c r="C3103" s="2">
        <f t="shared" si="240"/>
        <v>-1.8870265072197429E-2</v>
      </c>
      <c r="D3103" s="21">
        <f t="shared" ca="1" si="241"/>
        <v>-1.9254217487304298E-2</v>
      </c>
      <c r="E3103" s="21">
        <f t="shared" ca="1" si="243"/>
        <v>1.2130151009136698E-4</v>
      </c>
      <c r="F3103" s="11">
        <f t="shared" ca="1" si="244"/>
        <v>2.9805023905903534</v>
      </c>
      <c r="G3103" s="10">
        <f t="shared" ca="1" si="242"/>
        <v>0</v>
      </c>
    </row>
    <row r="3104" spans="1:7" x14ac:dyDescent="0.2">
      <c r="A3104" s="2">
        <v>20020624</v>
      </c>
      <c r="B3104" s="13">
        <v>9281.82</v>
      </c>
      <c r="C3104" s="2">
        <f t="shared" si="240"/>
        <v>3.0290291869600277E-3</v>
      </c>
      <c r="D3104" s="21">
        <f t="shared" ca="1" si="241"/>
        <v>2.6450767718531605E-3</v>
      </c>
      <c r="E3104" s="21">
        <f t="shared" ca="1" si="243"/>
        <v>1.2970603141125854E-4</v>
      </c>
      <c r="F3104" s="11">
        <f t="shared" ca="1" si="244"/>
        <v>4.4481496440317496</v>
      </c>
      <c r="G3104" s="10">
        <f t="shared" ca="1" si="242"/>
        <v>1</v>
      </c>
    </row>
    <row r="3105" spans="1:7" x14ac:dyDescent="0.2">
      <c r="A3105" s="2">
        <v>20020625</v>
      </c>
      <c r="B3105" s="13">
        <v>9126.82</v>
      </c>
      <c r="C3105" s="2">
        <f t="shared" si="240"/>
        <v>-1.669931112648166E-2</v>
      </c>
      <c r="D3105" s="21">
        <f t="shared" ca="1" si="241"/>
        <v>-1.7083263541588529E-2</v>
      </c>
      <c r="E3105" s="21">
        <f t="shared" ca="1" si="243"/>
        <v>1.2431043467202297E-4</v>
      </c>
      <c r="F3105" s="11">
        <f t="shared" ca="1" si="244"/>
        <v>3.3225372915275804</v>
      </c>
      <c r="G3105" s="10">
        <f t="shared" ca="1" si="242"/>
        <v>0</v>
      </c>
    </row>
    <row r="3106" spans="1:7" x14ac:dyDescent="0.2">
      <c r="A3106" s="2">
        <v>20020626</v>
      </c>
      <c r="B3106" s="13">
        <v>9120.11</v>
      </c>
      <c r="C3106" s="2">
        <f t="shared" si="240"/>
        <v>-7.3519582943447196E-4</v>
      </c>
      <c r="D3106" s="21">
        <f t="shared" ca="1" si="241"/>
        <v>-1.1191482445413394E-3</v>
      </c>
      <c r="E3106" s="21">
        <f t="shared" ca="1" si="243"/>
        <v>1.2966192085650432E-4</v>
      </c>
      <c r="F3106" s="11">
        <f t="shared" ca="1" si="244"/>
        <v>4.4704602113812912</v>
      </c>
      <c r="G3106" s="10">
        <f t="shared" ca="1" si="242"/>
        <v>1</v>
      </c>
    </row>
    <row r="3107" spans="1:7" x14ac:dyDescent="0.2">
      <c r="A3107" s="2">
        <v>20020627</v>
      </c>
      <c r="B3107" s="13">
        <v>9269.92</v>
      </c>
      <c r="C3107" s="2">
        <f t="shared" si="240"/>
        <v>1.6426336963040959E-2</v>
      </c>
      <c r="D3107" s="21">
        <f t="shared" ca="1" si="241"/>
        <v>1.604238454793409E-2</v>
      </c>
      <c r="E3107" s="21">
        <f t="shared" ca="1" si="243"/>
        <v>1.2405734104296612E-4</v>
      </c>
      <c r="F3107" s="11">
        <f t="shared" ca="1" si="244"/>
        <v>3.4601287088870745</v>
      </c>
      <c r="G3107" s="10">
        <f t="shared" ca="1" si="242"/>
        <v>0</v>
      </c>
    </row>
    <row r="3108" spans="1:7" x14ac:dyDescent="0.2">
      <c r="A3108" s="2">
        <v>20020628</v>
      </c>
      <c r="B3108" s="13">
        <v>9243.26</v>
      </c>
      <c r="C3108" s="2">
        <f t="shared" si="240"/>
        <v>-2.8759687246491723E-3</v>
      </c>
      <c r="D3108" s="21">
        <f t="shared" ca="1" si="241"/>
        <v>-3.2599211397560395E-3</v>
      </c>
      <c r="E3108" s="21">
        <f t="shared" ca="1" si="243"/>
        <v>1.2815374918996472E-4</v>
      </c>
      <c r="F3108" s="11">
        <f t="shared" ca="1" si="244"/>
        <v>4.439677673635078</v>
      </c>
      <c r="G3108" s="10">
        <f t="shared" ca="1" si="242"/>
        <v>1</v>
      </c>
    </row>
    <row r="3109" spans="1:7" x14ac:dyDescent="0.2">
      <c r="A3109" s="2">
        <v>20020701</v>
      </c>
      <c r="B3109" s="13">
        <v>9109.7900000000009</v>
      </c>
      <c r="C3109" s="2">
        <f t="shared" si="240"/>
        <v>-1.4439710664851941E-2</v>
      </c>
      <c r="D3109" s="21">
        <f t="shared" ca="1" si="241"/>
        <v>-1.4823663079958808E-2</v>
      </c>
      <c r="E3109" s="21">
        <f t="shared" ca="1" si="243"/>
        <v>1.229701884323385E-4</v>
      </c>
      <c r="F3109" s="11">
        <f t="shared" ca="1" si="244"/>
        <v>3.6083117046914701</v>
      </c>
      <c r="G3109" s="10">
        <f t="shared" ca="1" si="242"/>
        <v>0</v>
      </c>
    </row>
    <row r="3110" spans="1:7" x14ac:dyDescent="0.2">
      <c r="A3110" s="2">
        <v>20020702</v>
      </c>
      <c r="B3110" s="13">
        <v>9007.75</v>
      </c>
      <c r="C3110" s="2">
        <f t="shared" si="240"/>
        <v>-1.1201136359894231E-2</v>
      </c>
      <c r="D3110" s="21">
        <f t="shared" ca="1" si="241"/>
        <v>-1.1585088775001098E-2</v>
      </c>
      <c r="E3110" s="21">
        <f t="shared" ca="1" si="243"/>
        <v>1.2573834899263841E-4</v>
      </c>
      <c r="F3110" s="11">
        <f t="shared" ca="1" si="244"/>
        <v>3.9569490573112147</v>
      </c>
      <c r="G3110" s="10">
        <f t="shared" ca="1" si="242"/>
        <v>0</v>
      </c>
    </row>
    <row r="3111" spans="1:7" x14ac:dyDescent="0.2">
      <c r="A3111" s="2">
        <v>20020703</v>
      </c>
      <c r="B3111" s="13">
        <v>9054.9699999999993</v>
      </c>
      <c r="C3111" s="2">
        <f t="shared" si="240"/>
        <v>5.2421525908244952E-3</v>
      </c>
      <c r="D3111" s="21">
        <f t="shared" ca="1" si="241"/>
        <v>4.858200175717628E-3</v>
      </c>
      <c r="E3111" s="21">
        <f t="shared" ca="1" si="243"/>
        <v>1.2522150111548774E-4</v>
      </c>
      <c r="F3111" s="11">
        <f t="shared" ca="1" si="244"/>
        <v>4.3984717508285645</v>
      </c>
      <c r="G3111" s="10">
        <f t="shared" ca="1" si="242"/>
        <v>1</v>
      </c>
    </row>
    <row r="3112" spans="1:7" x14ac:dyDescent="0.2">
      <c r="A3112" s="2">
        <v>20020705</v>
      </c>
      <c r="B3112" s="13">
        <v>9379.5</v>
      </c>
      <c r="C3112" s="2">
        <f t="shared" si="240"/>
        <v>3.5839986217513775E-2</v>
      </c>
      <c r="D3112" s="21">
        <f t="shared" ca="1" si="241"/>
        <v>3.545603380240691E-2</v>
      </c>
      <c r="E3112" s="21">
        <f t="shared" ca="1" si="243"/>
        <v>1.2066339800818639E-4</v>
      </c>
      <c r="F3112" s="11">
        <f t="shared" ca="1" si="244"/>
        <v>-0.69799183775578832</v>
      </c>
      <c r="G3112" s="10">
        <f t="shared" ca="1" si="242"/>
        <v>0</v>
      </c>
    </row>
    <row r="3113" spans="1:7" x14ac:dyDescent="0.2">
      <c r="A3113" s="2">
        <v>20020708</v>
      </c>
      <c r="B3113" s="13">
        <v>9274.9</v>
      </c>
      <c r="C3113" s="2">
        <f t="shared" si="240"/>
        <v>-1.1151980382749652E-2</v>
      </c>
      <c r="D3113" s="21">
        <f t="shared" ca="1" si="241"/>
        <v>-1.1535932797856519E-2</v>
      </c>
      <c r="E3113" s="21">
        <f t="shared" ca="1" si="243"/>
        <v>1.6169487743455458E-4</v>
      </c>
      <c r="F3113" s="11">
        <f t="shared" ca="1" si="244"/>
        <v>3.9533908875518122</v>
      </c>
      <c r="G3113" s="10">
        <f t="shared" ca="1" si="242"/>
        <v>1</v>
      </c>
    </row>
    <row r="3114" spans="1:7" x14ac:dyDescent="0.2">
      <c r="A3114" s="2">
        <v>20020709</v>
      </c>
      <c r="B3114" s="13">
        <v>9096.09</v>
      </c>
      <c r="C3114" s="2">
        <f t="shared" si="240"/>
        <v>-1.9278914058372544E-2</v>
      </c>
      <c r="D3114" s="21">
        <f t="shared" ca="1" si="241"/>
        <v>-1.9662866473479413E-2</v>
      </c>
      <c r="E3114" s="21">
        <f t="shared" ca="1" si="243"/>
        <v>1.5931718451615869E-4</v>
      </c>
      <c r="F3114" s="11">
        <f t="shared" ca="1" si="244"/>
        <v>3.1589149754752057</v>
      </c>
      <c r="G3114" s="10">
        <f t="shared" ca="1" si="242"/>
        <v>0</v>
      </c>
    </row>
    <row r="3115" spans="1:7" x14ac:dyDescent="0.2">
      <c r="A3115" s="2">
        <v>20020710</v>
      </c>
      <c r="B3115" s="13">
        <v>8813.5</v>
      </c>
      <c r="C3115" s="2">
        <f t="shared" si="240"/>
        <v>-3.1067194805680258E-2</v>
      </c>
      <c r="D3115" s="21">
        <f t="shared" ca="1" si="241"/>
        <v>-3.1451147220787123E-2</v>
      </c>
      <c r="E3115" s="21">
        <f t="shared" ca="1" si="243"/>
        <v>1.6638327712514196E-4</v>
      </c>
      <c r="F3115" s="11">
        <f t="shared" ca="1" si="244"/>
        <v>1.3780298960969195</v>
      </c>
      <c r="G3115" s="10">
        <f t="shared" ca="1" si="242"/>
        <v>0</v>
      </c>
    </row>
    <row r="3116" spans="1:7" x14ac:dyDescent="0.2">
      <c r="A3116" s="2">
        <v>20020711</v>
      </c>
      <c r="B3116" s="13">
        <v>8801.5300000000007</v>
      </c>
      <c r="C3116" s="2">
        <f t="shared" si="240"/>
        <v>-1.3581437567367499E-3</v>
      </c>
      <c r="D3116" s="21">
        <f t="shared" ca="1" si="241"/>
        <v>-1.7420961718436173E-3</v>
      </c>
      <c r="E3116" s="21">
        <f t="shared" ca="1" si="243"/>
        <v>1.9524857490902072E-4</v>
      </c>
      <c r="F3116" s="11">
        <f t="shared" ca="1" si="244"/>
        <v>4.2628466487014727</v>
      </c>
      <c r="G3116" s="10">
        <f t="shared" ca="1" si="242"/>
        <v>1</v>
      </c>
    </row>
    <row r="3117" spans="1:7" x14ac:dyDescent="0.2">
      <c r="A3117" s="2">
        <v>20020712</v>
      </c>
      <c r="B3117" s="13">
        <v>8684.5300000000007</v>
      </c>
      <c r="C3117" s="2">
        <f t="shared" si="240"/>
        <v>-1.3293143351212799E-2</v>
      </c>
      <c r="D3117" s="21">
        <f t="shared" ca="1" si="241"/>
        <v>-1.3677095766319666E-2</v>
      </c>
      <c r="E3117" s="21">
        <f t="shared" ca="1" si="243"/>
        <v>1.8639148686265568E-4</v>
      </c>
      <c r="F3117" s="11">
        <f t="shared" ca="1" si="244"/>
        <v>3.7920294505102898</v>
      </c>
      <c r="G3117" s="10">
        <f t="shared" ca="1" si="242"/>
        <v>0</v>
      </c>
    </row>
    <row r="3118" spans="1:7" x14ac:dyDescent="0.2">
      <c r="A3118" s="2">
        <v>20020715</v>
      </c>
      <c r="B3118" s="13">
        <v>8639.19</v>
      </c>
      <c r="C3118" s="2">
        <f t="shared" ref="C3118:C3181" si="245">(B3118-B3117)/B3117</f>
        <v>-5.2207776356348748E-3</v>
      </c>
      <c r="D3118" s="21">
        <f t="shared" ca="1" si="241"/>
        <v>-5.604730050741742E-3</v>
      </c>
      <c r="E3118" s="21">
        <f t="shared" ca="1" si="243"/>
        <v>1.8474951451969991E-4</v>
      </c>
      <c r="F3118" s="11">
        <f t="shared" ca="1" si="244"/>
        <v>4.2132397074385706</v>
      </c>
      <c r="G3118" s="10">
        <f t="shared" ca="1" si="242"/>
        <v>1</v>
      </c>
    </row>
    <row r="3119" spans="1:7" x14ac:dyDescent="0.2">
      <c r="A3119" s="2">
        <v>20020716</v>
      </c>
      <c r="B3119" s="13">
        <v>8473.11</v>
      </c>
      <c r="C3119" s="2">
        <f t="shared" si="245"/>
        <v>-1.92240244745167E-2</v>
      </c>
      <c r="D3119" s="21">
        <f t="shared" ca="1" si="241"/>
        <v>-1.9607976889623568E-2</v>
      </c>
      <c r="E3119" s="21">
        <f t="shared" ca="1" si="243"/>
        <v>1.7746708967710423E-4</v>
      </c>
      <c r="F3119" s="11">
        <f t="shared" ca="1" si="244"/>
        <v>3.2351399949554098</v>
      </c>
      <c r="G3119" s="10">
        <f t="shared" ca="1" si="242"/>
        <v>0</v>
      </c>
    </row>
    <row r="3120" spans="1:7" x14ac:dyDescent="0.2">
      <c r="A3120" s="2">
        <v>20020717</v>
      </c>
      <c r="B3120" s="13">
        <v>8542.48</v>
      </c>
      <c r="C3120" s="2">
        <f t="shared" si="245"/>
        <v>8.1870765279807509E-3</v>
      </c>
      <c r="D3120" s="21">
        <f t="shared" ca="1" si="241"/>
        <v>7.8031241128738837E-3</v>
      </c>
      <c r="E3120" s="21">
        <f t="shared" ca="1" si="243"/>
        <v>1.835357088937824E-4</v>
      </c>
      <c r="F3120" s="11">
        <f t="shared" ca="1" si="244"/>
        <v>4.1356735453315743</v>
      </c>
      <c r="G3120" s="10">
        <f t="shared" ca="1" si="242"/>
        <v>1</v>
      </c>
    </row>
    <row r="3121" spans="1:7" x14ac:dyDescent="0.2">
      <c r="A3121" s="2">
        <v>20020718</v>
      </c>
      <c r="B3121" s="13">
        <v>8409.49</v>
      </c>
      <c r="C3121" s="2">
        <f t="shared" si="245"/>
        <v>-1.5568078590760504E-2</v>
      </c>
      <c r="D3121" s="21">
        <f t="shared" ca="1" si="241"/>
        <v>-1.5952031005867371E-2</v>
      </c>
      <c r="E3121" s="21">
        <f t="shared" ca="1" si="243"/>
        <v>1.7739856555993224E-4</v>
      </c>
      <c r="F3121" s="11">
        <f t="shared" ca="1" si="244"/>
        <v>3.6013366471390142</v>
      </c>
      <c r="G3121" s="10">
        <f t="shared" ca="1" si="242"/>
        <v>0</v>
      </c>
    </row>
    <row r="3122" spans="1:7" x14ac:dyDescent="0.2">
      <c r="A3122" s="2">
        <v>20020719</v>
      </c>
      <c r="B3122" s="13">
        <v>8019.26</v>
      </c>
      <c r="C3122" s="2">
        <f t="shared" si="245"/>
        <v>-4.6403527443400205E-2</v>
      </c>
      <c r="D3122" s="21">
        <f t="shared" ca="1" si="241"/>
        <v>-4.6787479858507071E-2</v>
      </c>
      <c r="E3122" s="21">
        <f t="shared" ca="1" si="243"/>
        <v>1.78690123509236E-4</v>
      </c>
      <c r="F3122" s="11">
        <f t="shared" ca="1" si="244"/>
        <v>-1.8103910084117247</v>
      </c>
      <c r="G3122" s="10">
        <f t="shared" ca="1" si="242"/>
        <v>0</v>
      </c>
    </row>
    <row r="3123" spans="1:7" x14ac:dyDescent="0.2">
      <c r="A3123" s="2">
        <v>20020722</v>
      </c>
      <c r="B3123" s="13">
        <v>7784.58</v>
      </c>
      <c r="C3123" s="2">
        <f t="shared" si="245"/>
        <v>-2.9264545606452502E-2</v>
      </c>
      <c r="D3123" s="21">
        <f t="shared" ca="1" si="241"/>
        <v>-2.9648498021559371E-2</v>
      </c>
      <c r="E3123" s="21">
        <f t="shared" ca="1" si="243"/>
        <v>2.5105499699299062E-4</v>
      </c>
      <c r="F3123" s="11">
        <f t="shared" ca="1" si="244"/>
        <v>2.3942402402153258</v>
      </c>
      <c r="G3123" s="10">
        <f t="shared" ca="1" si="242"/>
        <v>0</v>
      </c>
    </row>
    <row r="3124" spans="1:7" x14ac:dyDescent="0.2">
      <c r="A3124" s="2">
        <v>20020723</v>
      </c>
      <c r="B3124" s="13">
        <v>7702.34</v>
      </c>
      <c r="C3124" s="2">
        <f t="shared" si="245"/>
        <v>-1.0564474897810773E-2</v>
      </c>
      <c r="D3124" s="21">
        <f t="shared" ca="1" si="241"/>
        <v>-1.094842731291764E-2</v>
      </c>
      <c r="E3124" s="21">
        <f t="shared" ca="1" si="243"/>
        <v>2.7158663937666667E-4</v>
      </c>
      <c r="F3124" s="11">
        <f t="shared" ca="1" si="244"/>
        <v>3.8849336073777225</v>
      </c>
      <c r="G3124" s="10">
        <f t="shared" ca="1" si="242"/>
        <v>1</v>
      </c>
    </row>
    <row r="3125" spans="1:7" x14ac:dyDescent="0.2">
      <c r="A3125" s="2">
        <v>20020724</v>
      </c>
      <c r="B3125" s="13">
        <v>8191.29</v>
      </c>
      <c r="C3125" s="2">
        <f t="shared" si="245"/>
        <v>6.3480708460026403E-2</v>
      </c>
      <c r="D3125" s="21">
        <f t="shared" ca="1" si="241"/>
        <v>6.309675604491953E-2</v>
      </c>
      <c r="E3125" s="21">
        <f t="shared" ca="1" si="243"/>
        <v>2.6316374286003468E-4</v>
      </c>
      <c r="F3125" s="11">
        <f t="shared" ca="1" si="244"/>
        <v>-3.4427460266106431</v>
      </c>
      <c r="G3125" s="10">
        <f t="shared" ca="1" si="242"/>
        <v>0</v>
      </c>
    </row>
    <row r="3126" spans="1:7" x14ac:dyDescent="0.2">
      <c r="A3126" s="2">
        <v>20020725</v>
      </c>
      <c r="B3126" s="13">
        <v>8186.31</v>
      </c>
      <c r="C3126" s="2">
        <f t="shared" si="245"/>
        <v>-6.0796284834251546E-4</v>
      </c>
      <c r="D3126" s="21">
        <f t="shared" ca="1" si="241"/>
        <v>-9.9191526344938287E-4</v>
      </c>
      <c r="E3126" s="21">
        <f t="shared" ca="1" si="243"/>
        <v>3.971549038528078E-4</v>
      </c>
      <c r="F3126" s="11">
        <f t="shared" ca="1" si="244"/>
        <v>3.914353403402802</v>
      </c>
      <c r="G3126" s="10">
        <f t="shared" ca="1" si="242"/>
        <v>1</v>
      </c>
    </row>
    <row r="3127" spans="1:7" x14ac:dyDescent="0.2">
      <c r="A3127" s="2">
        <v>20020726</v>
      </c>
      <c r="B3127" s="13">
        <v>8264.39</v>
      </c>
      <c r="C3127" s="2">
        <f t="shared" si="245"/>
        <v>9.5378748178359986E-3</v>
      </c>
      <c r="D3127" s="21">
        <f t="shared" ca="1" si="241"/>
        <v>9.1539224027291314E-3</v>
      </c>
      <c r="E3127" s="21">
        <f t="shared" ca="1" si="243"/>
        <v>3.7800788917648003E-4</v>
      </c>
      <c r="F3127" s="11">
        <f t="shared" ca="1" si="244"/>
        <v>3.8294610440972914</v>
      </c>
      <c r="G3127" s="10">
        <f t="shared" ca="1" si="242"/>
        <v>1</v>
      </c>
    </row>
    <row r="3128" spans="1:7" x14ac:dyDescent="0.2">
      <c r="A3128" s="2">
        <v>20020729</v>
      </c>
      <c r="B3128" s="13">
        <v>8711.8799999999992</v>
      </c>
      <c r="C3128" s="2">
        <f t="shared" si="245"/>
        <v>5.4146767033017539E-2</v>
      </c>
      <c r="D3128" s="21">
        <f t="shared" ca="1" si="241"/>
        <v>5.3762814617910673E-2</v>
      </c>
      <c r="E3128" s="21">
        <f t="shared" ca="1" si="243"/>
        <v>3.6287461125625021E-4</v>
      </c>
      <c r="F3128" s="11">
        <f t="shared" ca="1" si="244"/>
        <v>-2.1971752919241361E-2</v>
      </c>
      <c r="G3128" s="10">
        <f t="shared" ca="1" si="242"/>
        <v>0</v>
      </c>
    </row>
    <row r="3129" spans="1:7" x14ac:dyDescent="0.2">
      <c r="A3129" s="2">
        <v>20020730</v>
      </c>
      <c r="B3129" s="13">
        <v>8680.0300000000007</v>
      </c>
      <c r="C3129" s="2">
        <f t="shared" si="245"/>
        <v>-3.6559273084567907E-3</v>
      </c>
      <c r="D3129" s="21">
        <f t="shared" ca="1" si="241"/>
        <v>-4.0398797235636583E-3</v>
      </c>
      <c r="E3129" s="21">
        <f t="shared" ca="1" si="243"/>
        <v>4.5171220260901198E-4</v>
      </c>
      <c r="F3129" s="11">
        <f t="shared" ca="1" si="244"/>
        <v>3.8331673556399113</v>
      </c>
      <c r="G3129" s="10">
        <f t="shared" ca="1" si="242"/>
        <v>1</v>
      </c>
    </row>
    <row r="3130" spans="1:7" x14ac:dyDescent="0.2">
      <c r="A3130" s="2">
        <v>20020731</v>
      </c>
      <c r="B3130" s="13">
        <v>8736.59</v>
      </c>
      <c r="C3130" s="2">
        <f t="shared" si="245"/>
        <v>6.5161065111525524E-3</v>
      </c>
      <c r="D3130" s="21">
        <f t="shared" ca="1" si="241"/>
        <v>6.1321540960456852E-3</v>
      </c>
      <c r="E3130" s="21">
        <f t="shared" ca="1" si="243"/>
        <v>4.3036907464983416E-4</v>
      </c>
      <c r="F3130" s="11">
        <f t="shared" ca="1" si="244"/>
        <v>3.8317464159551391</v>
      </c>
      <c r="G3130" s="10">
        <f t="shared" ca="1" si="242"/>
        <v>1</v>
      </c>
    </row>
    <row r="3131" spans="1:7" x14ac:dyDescent="0.2">
      <c r="A3131" s="2">
        <v>20020801</v>
      </c>
      <c r="B3131" s="13">
        <v>8506.6200000000008</v>
      </c>
      <c r="C3131" s="2">
        <f t="shared" si="245"/>
        <v>-2.632262702038202E-2</v>
      </c>
      <c r="D3131" s="21">
        <f t="shared" ca="1" si="241"/>
        <v>-2.6706579435488889E-2</v>
      </c>
      <c r="E3131" s="21">
        <f t="shared" ca="1" si="243"/>
        <v>4.1088830407454721E-4</v>
      </c>
      <c r="F3131" s="11">
        <f t="shared" ca="1" si="244"/>
        <v>3.0306684507349222</v>
      </c>
      <c r="G3131" s="10">
        <f t="shared" ca="1" si="242"/>
        <v>0</v>
      </c>
    </row>
    <row r="3132" spans="1:7" x14ac:dyDescent="0.2">
      <c r="A3132" s="2">
        <v>20020802</v>
      </c>
      <c r="B3132" s="13">
        <v>8313.1299999999992</v>
      </c>
      <c r="C3132" s="2">
        <f t="shared" si="245"/>
        <v>-2.2745814436286278E-2</v>
      </c>
      <c r="D3132" s="21">
        <f t="shared" ca="1" si="241"/>
        <v>-2.3129766851393146E-2</v>
      </c>
      <c r="E3132" s="21">
        <f t="shared" ca="1" si="243"/>
        <v>4.1723746367405606E-4</v>
      </c>
      <c r="F3132" s="11">
        <f t="shared" ca="1" si="244"/>
        <v>3.2498224410424883</v>
      </c>
      <c r="G3132" s="10">
        <f t="shared" ca="1" si="242"/>
        <v>0</v>
      </c>
    </row>
    <row r="3133" spans="1:7" x14ac:dyDescent="0.2">
      <c r="A3133" s="2">
        <v>20020805</v>
      </c>
      <c r="B3133" s="13">
        <v>8043.63</v>
      </c>
      <c r="C3133" s="2">
        <f t="shared" si="245"/>
        <v>-3.2418595643277454E-2</v>
      </c>
      <c r="D3133" s="21">
        <f t="shared" ca="1" si="241"/>
        <v>-3.2802548058384319E-2</v>
      </c>
      <c r="E3133" s="21">
        <f t="shared" ca="1" si="243"/>
        <v>4.1671065965887027E-4</v>
      </c>
      <c r="F3133" s="11">
        <f t="shared" ca="1" si="244"/>
        <v>2.6004869439351079</v>
      </c>
      <c r="G3133" s="10">
        <f t="shared" ca="1" si="242"/>
        <v>0</v>
      </c>
    </row>
    <row r="3134" spans="1:7" x14ac:dyDescent="0.2">
      <c r="A3134" s="2">
        <v>20020806</v>
      </c>
      <c r="B3134" s="13">
        <v>8274.09</v>
      </c>
      <c r="C3134" s="2">
        <f t="shared" si="245"/>
        <v>2.8651243281951063E-2</v>
      </c>
      <c r="D3134" s="21">
        <f t="shared" ca="1" si="241"/>
        <v>2.8267290866844194E-2</v>
      </c>
      <c r="E3134" s="21">
        <f t="shared" ca="1" si="243"/>
        <v>4.361047952875784E-4</v>
      </c>
      <c r="F3134" s="11">
        <f t="shared" ca="1" si="244"/>
        <v>2.95270421731755</v>
      </c>
      <c r="G3134" s="10">
        <f t="shared" ca="1" si="242"/>
        <v>0</v>
      </c>
    </row>
    <row r="3135" spans="1:7" x14ac:dyDescent="0.2">
      <c r="A3135" s="2">
        <v>20020807</v>
      </c>
      <c r="B3135" s="13">
        <v>8456.15</v>
      </c>
      <c r="C3135" s="2">
        <f t="shared" si="245"/>
        <v>2.2003628193553549E-2</v>
      </c>
      <c r="D3135" s="21">
        <f t="shared" ca="1" si="241"/>
        <v>2.161967577844668E-2</v>
      </c>
      <c r="E3135" s="21">
        <f t="shared" ca="1" si="243"/>
        <v>4.443331993505352E-4</v>
      </c>
      <c r="F3135" s="11">
        <f t="shared" ca="1" si="244"/>
        <v>3.3334995849930573</v>
      </c>
      <c r="G3135" s="10">
        <f t="shared" ca="1" si="242"/>
        <v>0</v>
      </c>
    </row>
    <row r="3136" spans="1:7" x14ac:dyDescent="0.2">
      <c r="A3136" s="2">
        <v>20020808</v>
      </c>
      <c r="B3136" s="13">
        <v>8712.02</v>
      </c>
      <c r="C3136" s="2">
        <f t="shared" si="245"/>
        <v>3.0258450949900463E-2</v>
      </c>
      <c r="D3136" s="21">
        <f t="shared" ca="1" si="241"/>
        <v>2.9874498534793594E-2</v>
      </c>
      <c r="E3136" s="21">
        <f t="shared" ca="1" si="243"/>
        <v>4.3995073542230675E-4</v>
      </c>
      <c r="F3136" s="11">
        <f t="shared" ca="1" si="244"/>
        <v>2.8501220818088271</v>
      </c>
      <c r="G3136" s="10">
        <f t="shared" ca="1" si="242"/>
        <v>0</v>
      </c>
    </row>
    <row r="3137" spans="1:7" x14ac:dyDescent="0.2">
      <c r="A3137" s="2">
        <v>20020809</v>
      </c>
      <c r="B3137" s="13">
        <v>8745.4500000000007</v>
      </c>
      <c r="C3137" s="2">
        <f t="shared" si="245"/>
        <v>3.8372271872654435E-3</v>
      </c>
      <c r="D3137" s="21">
        <f t="shared" ca="1" si="241"/>
        <v>3.4532747721585763E-3</v>
      </c>
      <c r="E3137" s="21">
        <f t="shared" ca="1" si="243"/>
        <v>4.5142074210558489E-4</v>
      </c>
      <c r="F3137" s="11">
        <f t="shared" ca="1" si="244"/>
        <v>3.8383469551861689</v>
      </c>
      <c r="G3137" s="10">
        <f t="shared" ca="1" si="242"/>
        <v>1</v>
      </c>
    </row>
    <row r="3138" spans="1:7" x14ac:dyDescent="0.2">
      <c r="A3138" s="2">
        <v>20020812</v>
      </c>
      <c r="B3138" s="13">
        <v>8688.89</v>
      </c>
      <c r="C3138" s="2">
        <f t="shared" si="245"/>
        <v>-6.4673630287751119E-3</v>
      </c>
      <c r="D3138" s="21">
        <f t="shared" ca="1" si="241"/>
        <v>-6.8513154438819791E-3</v>
      </c>
      <c r="E3138" s="21">
        <f t="shared" ca="1" si="243"/>
        <v>4.2993072822784031E-4</v>
      </c>
      <c r="F3138" s="11">
        <f t="shared" ca="1" si="244"/>
        <v>3.8213524314269911</v>
      </c>
      <c r="G3138" s="10">
        <f t="shared" ca="1" si="242"/>
        <v>1</v>
      </c>
    </row>
    <row r="3139" spans="1:7" x14ac:dyDescent="0.2">
      <c r="A3139" s="2">
        <v>20020813</v>
      </c>
      <c r="B3139" s="13">
        <v>8482.39</v>
      </c>
      <c r="C3139" s="2">
        <f t="shared" si="245"/>
        <v>-2.3765981615603376E-2</v>
      </c>
      <c r="D3139" s="21">
        <f t="shared" ca="1" si="241"/>
        <v>-2.4149934030710245E-2</v>
      </c>
      <c r="E3139" s="21">
        <f t="shared" ca="1" si="243"/>
        <v>4.1081547923720182E-4</v>
      </c>
      <c r="F3139" s="11">
        <f t="shared" ca="1" si="244"/>
        <v>3.1888519701627334</v>
      </c>
      <c r="G3139" s="10">
        <f t="shared" ca="1" si="242"/>
        <v>0</v>
      </c>
    </row>
    <row r="3140" spans="1:7" x14ac:dyDescent="0.2">
      <c r="A3140" s="2">
        <v>20020814</v>
      </c>
      <c r="B3140" s="13">
        <v>8743.31</v>
      </c>
      <c r="C3140" s="2">
        <f t="shared" si="245"/>
        <v>3.0760198481795824E-2</v>
      </c>
      <c r="D3140" s="21">
        <f t="shared" ca="1" si="241"/>
        <v>3.0376246066688956E-2</v>
      </c>
      <c r="E3140" s="21">
        <f t="shared" ca="1" si="243"/>
        <v>4.1238718447710238E-4</v>
      </c>
      <c r="F3140" s="11">
        <f t="shared" ca="1" si="244"/>
        <v>2.7780239410842449</v>
      </c>
      <c r="G3140" s="10">
        <f t="shared" ca="1" si="242"/>
        <v>0</v>
      </c>
    </row>
    <row r="3141" spans="1:7" x14ac:dyDescent="0.2">
      <c r="A3141" s="2">
        <v>20020815</v>
      </c>
      <c r="B3141" s="13">
        <v>8818.14</v>
      </c>
      <c r="C3141" s="2">
        <f t="shared" si="245"/>
        <v>8.5585436179204371E-3</v>
      </c>
      <c r="D3141" s="21">
        <f t="shared" ca="1" si="241"/>
        <v>8.1745912028135699E-3</v>
      </c>
      <c r="E3141" s="21">
        <f t="shared" ca="1" si="243"/>
        <v>4.2636327451894894E-4</v>
      </c>
      <c r="F3141" s="11">
        <f t="shared" ca="1" si="244"/>
        <v>3.801744379309095</v>
      </c>
      <c r="G3141" s="10">
        <f t="shared" ca="1" si="242"/>
        <v>1</v>
      </c>
    </row>
    <row r="3142" spans="1:7" x14ac:dyDescent="0.2">
      <c r="A3142" s="2">
        <v>20020816</v>
      </c>
      <c r="B3142" s="13">
        <v>8778.06</v>
      </c>
      <c r="C3142" s="2">
        <f t="shared" si="245"/>
        <v>-4.5451761936190545E-3</v>
      </c>
      <c r="D3142" s="21">
        <f t="shared" ca="1" si="241"/>
        <v>-4.9291286087259217E-3</v>
      </c>
      <c r="E3142" s="21">
        <f t="shared" ca="1" si="243"/>
        <v>4.0815965218411401E-4</v>
      </c>
      <c r="F3142" s="11">
        <f t="shared" ca="1" si="244"/>
        <v>3.8721628360641218</v>
      </c>
      <c r="G3142" s="10">
        <f t="shared" ca="1" si="242"/>
        <v>1</v>
      </c>
    </row>
    <row r="3143" spans="1:7" x14ac:dyDescent="0.2">
      <c r="A3143" s="2">
        <v>20020819</v>
      </c>
      <c r="B3143" s="13">
        <v>8990.7900000000009</v>
      </c>
      <c r="C3143" s="2">
        <f t="shared" si="245"/>
        <v>2.4234284112890705E-2</v>
      </c>
      <c r="D3143" s="21">
        <f t="shared" ca="1" si="241"/>
        <v>2.3850331697783837E-2</v>
      </c>
      <c r="E3143" s="21">
        <f t="shared" ca="1" si="243"/>
        <v>3.8931314179503146E-4</v>
      </c>
      <c r="F3143" s="11">
        <f t="shared" ca="1" si="244"/>
        <v>3.1949967176183565</v>
      </c>
      <c r="G3143" s="10">
        <f t="shared" ca="1" si="242"/>
        <v>0</v>
      </c>
    </row>
    <row r="3144" spans="1:7" x14ac:dyDescent="0.2">
      <c r="A3144" s="2">
        <v>20020820</v>
      </c>
      <c r="B3144" s="13">
        <v>8872.07</v>
      </c>
      <c r="C3144" s="2">
        <f t="shared" si="245"/>
        <v>-1.320462384284375E-2</v>
      </c>
      <c r="D3144" s="21">
        <f t="shared" ca="1" si="241"/>
        <v>-1.3588576257950617E-2</v>
      </c>
      <c r="E3144" s="21">
        <f t="shared" ca="1" si="243"/>
        <v>3.9144384319530779E-4</v>
      </c>
      <c r="F3144" s="11">
        <f t="shared" ca="1" si="244"/>
        <v>3.6869774206065511</v>
      </c>
      <c r="G3144" s="10">
        <f t="shared" ca="1" si="242"/>
        <v>1</v>
      </c>
    </row>
    <row r="3145" spans="1:7" x14ac:dyDescent="0.2">
      <c r="A3145" s="2">
        <v>20020821</v>
      </c>
      <c r="B3145" s="13">
        <v>8957.23</v>
      </c>
      <c r="C3145" s="2">
        <f t="shared" si="245"/>
        <v>9.5986618680871383E-3</v>
      </c>
      <c r="D3145" s="21">
        <f t="shared" ca="1" si="241"/>
        <v>9.2147094529802711E-3</v>
      </c>
      <c r="E3145" s="21">
        <f t="shared" ca="1" si="243"/>
        <v>3.7933945440632872E-4</v>
      </c>
      <c r="F3145" s="11">
        <f t="shared" ca="1" si="244"/>
        <v>3.8266201715181642</v>
      </c>
      <c r="G3145" s="10">
        <f t="shared" ca="1" si="242"/>
        <v>1</v>
      </c>
    </row>
    <row r="3146" spans="1:7" x14ac:dyDescent="0.2">
      <c r="A3146" s="2">
        <v>20020822</v>
      </c>
      <c r="B3146" s="13">
        <v>9053.64</v>
      </c>
      <c r="C3146" s="2">
        <f t="shared" si="245"/>
        <v>1.076337215858026E-2</v>
      </c>
      <c r="D3146" s="21">
        <f t="shared" ca="1" si="241"/>
        <v>1.0379419743473393E-2</v>
      </c>
      <c r="E3146" s="21">
        <f t="shared" ca="1" si="243"/>
        <v>3.6417987057310174E-4</v>
      </c>
      <c r="F3146" s="11">
        <f t="shared" ca="1" si="244"/>
        <v>3.8110204183559442</v>
      </c>
      <c r="G3146" s="10">
        <f t="shared" ca="1" si="242"/>
        <v>1</v>
      </c>
    </row>
    <row r="3147" spans="1:7" x14ac:dyDescent="0.2">
      <c r="A3147" s="2">
        <v>20020823</v>
      </c>
      <c r="B3147" s="13">
        <v>8872.9599999999991</v>
      </c>
      <c r="C3147" s="2">
        <f t="shared" si="245"/>
        <v>-1.9956614135309147E-2</v>
      </c>
      <c r="D3147" s="21">
        <f t="shared" ca="1" si="241"/>
        <v>-2.0340566550416016E-2</v>
      </c>
      <c r="E3147" s="21">
        <f t="shared" ca="1" si="243"/>
        <v>3.5062640088820261E-4</v>
      </c>
      <c r="F3147" s="11">
        <f t="shared" ca="1" si="244"/>
        <v>3.387895363936352</v>
      </c>
      <c r="G3147" s="10">
        <f t="shared" ca="1" si="242"/>
        <v>0</v>
      </c>
    </row>
    <row r="3148" spans="1:7" x14ac:dyDescent="0.2">
      <c r="A3148" s="2">
        <v>20020826</v>
      </c>
      <c r="B3148" s="13">
        <v>8919.01</v>
      </c>
      <c r="C3148" s="2">
        <f t="shared" si="245"/>
        <v>5.1899253462205502E-3</v>
      </c>
      <c r="D3148" s="21">
        <f t="shared" ca="1" si="241"/>
        <v>4.8059729311136831E-3</v>
      </c>
      <c r="E3148" s="21">
        <f t="shared" ca="1" si="243"/>
        <v>3.4901099140633324E-4</v>
      </c>
      <c r="F3148" s="11">
        <f t="shared" ca="1" si="244"/>
        <v>3.9471138169611732</v>
      </c>
      <c r="G3148" s="10">
        <f t="shared" ca="1" si="242"/>
        <v>1</v>
      </c>
    </row>
    <row r="3149" spans="1:7" x14ac:dyDescent="0.2">
      <c r="A3149" s="2">
        <v>20020827</v>
      </c>
      <c r="B3149" s="13">
        <v>8824.41</v>
      </c>
      <c r="C3149" s="2">
        <f t="shared" si="245"/>
        <v>-1.0606558351207182E-2</v>
      </c>
      <c r="D3149" s="21">
        <f t="shared" ca="1" si="241"/>
        <v>-1.0990510766314049E-2</v>
      </c>
      <c r="E3149" s="21">
        <f t="shared" ca="1" si="243"/>
        <v>3.3311274438075261E-4</v>
      </c>
      <c r="F3149" s="11">
        <f t="shared" ca="1" si="244"/>
        <v>3.8222078034834568</v>
      </c>
      <c r="G3149" s="10">
        <f t="shared" ca="1" si="242"/>
        <v>1</v>
      </c>
    </row>
    <row r="3150" spans="1:7" x14ac:dyDescent="0.2">
      <c r="A3150" s="2">
        <v>20020828</v>
      </c>
      <c r="B3150" s="13">
        <v>8694.09</v>
      </c>
      <c r="C3150" s="2">
        <f t="shared" si="245"/>
        <v>-1.4768126141011095E-2</v>
      </c>
      <c r="D3150" s="21">
        <f t="shared" ref="D3150:D3213" ca="1" si="246">(C3150-mu)</f>
        <v>-1.5152078556117962E-2</v>
      </c>
      <c r="E3150" s="21">
        <f t="shared" ca="1" si="243"/>
        <v>3.2161117206673154E-4</v>
      </c>
      <c r="F3150" s="11">
        <f t="shared" ca="1" si="244"/>
        <v>3.6641534339191817</v>
      </c>
      <c r="G3150" s="10">
        <f t="shared" ref="G3150:G3213" ca="1" si="247">IF(AND(C3150&lt;=mu+zvalue*SQRT(E3150),C3150&gt;=mu-zvalue*SQRT(E3150)),1,0)</f>
        <v>1</v>
      </c>
    </row>
    <row r="3151" spans="1:7" x14ac:dyDescent="0.2">
      <c r="A3151" s="2">
        <v>20020829</v>
      </c>
      <c r="B3151" s="13">
        <v>8670.99</v>
      </c>
      <c r="C3151" s="2">
        <f t="shared" si="245"/>
        <v>-2.6569773259766537E-3</v>
      </c>
      <c r="D3151" s="21">
        <f t="shared" ca="1" si="246"/>
        <v>-3.0409297410835209E-3</v>
      </c>
      <c r="E3151" s="21">
        <f t="shared" ref="E3151:E3214" ca="1" si="248">(1-alpha-beta)*longvar+alpha*D3150^2+beta*E3150</f>
        <v>3.1469201922024301E-4</v>
      </c>
      <c r="F3151" s="11">
        <f t="shared" ref="F3151:F3214" ca="1" si="249">(-0.5)*(LN(E3151)+D3151^2/E3151)</f>
        <v>4.0172655114795388</v>
      </c>
      <c r="G3151" s="10">
        <f t="shared" ca="1" si="247"/>
        <v>1</v>
      </c>
    </row>
    <row r="3152" spans="1:7" x14ac:dyDescent="0.2">
      <c r="A3152" s="2">
        <v>20020830</v>
      </c>
      <c r="B3152" s="13">
        <v>8663.5</v>
      </c>
      <c r="C3152" s="2">
        <f t="shared" si="245"/>
        <v>-8.6379986598990213E-4</v>
      </c>
      <c r="D3152" s="21">
        <f t="shared" ca="1" si="246"/>
        <v>-1.2477522810967695E-3</v>
      </c>
      <c r="E3152" s="21">
        <f t="shared" ca="1" si="248"/>
        <v>3.0002068712408963E-4</v>
      </c>
      <c r="F3152" s="11">
        <f t="shared" ca="1" si="249"/>
        <v>4.0532349336291205</v>
      </c>
      <c r="G3152" s="10">
        <f t="shared" ca="1" si="247"/>
        <v>1</v>
      </c>
    </row>
    <row r="3153" spans="1:7" x14ac:dyDescent="0.2">
      <c r="A3153" s="2">
        <v>20020903</v>
      </c>
      <c r="B3153" s="13">
        <v>8308.0499999999993</v>
      </c>
      <c r="C3153" s="2">
        <f t="shared" si="245"/>
        <v>-4.1028452703872655E-2</v>
      </c>
      <c r="D3153" s="21">
        <f t="shared" ca="1" si="246"/>
        <v>-4.141240511897952E-2</v>
      </c>
      <c r="E3153" s="21">
        <f t="shared" ca="1" si="248"/>
        <v>2.8580879429270385E-4</v>
      </c>
      <c r="F3153" s="11">
        <f t="shared" ca="1" si="249"/>
        <v>1.0798584079555051</v>
      </c>
      <c r="G3153" s="10">
        <f t="shared" ca="1" si="247"/>
        <v>0</v>
      </c>
    </row>
    <row r="3154" spans="1:7" x14ac:dyDescent="0.2">
      <c r="A3154" s="2">
        <v>20020904</v>
      </c>
      <c r="B3154" s="13">
        <v>8425.1200000000008</v>
      </c>
      <c r="C3154" s="2">
        <f t="shared" si="245"/>
        <v>1.4091152556857691E-2</v>
      </c>
      <c r="D3154" s="21">
        <f t="shared" ca="1" si="246"/>
        <v>1.3707200141750824E-2</v>
      </c>
      <c r="E3154" s="21">
        <f t="shared" ca="1" si="248"/>
        <v>3.3532171377789342E-4</v>
      </c>
      <c r="F3154" s="11">
        <f t="shared" ca="1" si="249"/>
        <v>3.7200502629453536</v>
      </c>
      <c r="G3154" s="10">
        <f t="shared" ca="1" si="247"/>
        <v>1</v>
      </c>
    </row>
    <row r="3155" spans="1:7" x14ac:dyDescent="0.2">
      <c r="A3155" s="2">
        <v>20020905</v>
      </c>
      <c r="B3155" s="13">
        <v>8283.7000000000007</v>
      </c>
      <c r="C3155" s="2">
        <f t="shared" si="245"/>
        <v>-1.6785517595001621E-2</v>
      </c>
      <c r="D3155" s="21">
        <f t="shared" ca="1" si="246"/>
        <v>-1.716947001010849E-2</v>
      </c>
      <c r="E3155" s="21">
        <f t="shared" ca="1" si="248"/>
        <v>3.2617562637189359E-4</v>
      </c>
      <c r="F3155" s="11">
        <f t="shared" ca="1" si="249"/>
        <v>3.5621477661021661</v>
      </c>
      <c r="G3155" s="10">
        <f t="shared" ca="1" si="247"/>
        <v>1</v>
      </c>
    </row>
    <row r="3156" spans="1:7" x14ac:dyDescent="0.2">
      <c r="A3156" s="2">
        <v>20020906</v>
      </c>
      <c r="B3156" s="13">
        <v>8427.2000000000007</v>
      </c>
      <c r="C3156" s="2">
        <f t="shared" si="245"/>
        <v>1.7323176841266583E-2</v>
      </c>
      <c r="D3156" s="21">
        <f t="shared" ca="1" si="246"/>
        <v>1.6939224426159714E-2</v>
      </c>
      <c r="E3156" s="21">
        <f t="shared" ca="1" si="248"/>
        <v>3.2142326591764147E-4</v>
      </c>
      <c r="F3156" s="11">
        <f t="shared" ca="1" si="249"/>
        <v>3.5750215427631233</v>
      </c>
      <c r="G3156" s="10">
        <f t="shared" ca="1" si="247"/>
        <v>1</v>
      </c>
    </row>
    <row r="3157" spans="1:7" x14ac:dyDescent="0.2">
      <c r="A3157" s="2">
        <v>20020909</v>
      </c>
      <c r="B3157" s="13">
        <v>8519.3799999999992</v>
      </c>
      <c r="C3157" s="2">
        <f t="shared" si="245"/>
        <v>1.0938389975317835E-2</v>
      </c>
      <c r="D3157" s="21">
        <f t="shared" ca="1" si="246"/>
        <v>1.0554437560210968E-2</v>
      </c>
      <c r="E3157" s="21">
        <f t="shared" ca="1" si="248"/>
        <v>3.1662254658580593E-4</v>
      </c>
      <c r="F3157" s="11">
        <f t="shared" ca="1" si="249"/>
        <v>3.8529869283910041</v>
      </c>
      <c r="G3157" s="10">
        <f t="shared" ca="1" si="247"/>
        <v>1</v>
      </c>
    </row>
    <row r="3158" spans="1:7" x14ac:dyDescent="0.2">
      <c r="A3158" s="2">
        <v>20020910</v>
      </c>
      <c r="B3158" s="13">
        <v>8602.61</v>
      </c>
      <c r="C3158" s="2">
        <f t="shared" si="245"/>
        <v>9.7694902680713139E-3</v>
      </c>
      <c r="D3158" s="21">
        <f t="shared" ca="1" si="246"/>
        <v>9.3855378529644467E-3</v>
      </c>
      <c r="E3158" s="21">
        <f t="shared" ca="1" si="248"/>
        <v>3.0560974183001976E-4</v>
      </c>
      <c r="F3158" s="11">
        <f t="shared" ca="1" si="249"/>
        <v>3.9024818444144662</v>
      </c>
      <c r="G3158" s="10">
        <f t="shared" ca="1" si="247"/>
        <v>1</v>
      </c>
    </row>
    <row r="3159" spans="1:7" x14ac:dyDescent="0.2">
      <c r="A3159" s="2">
        <v>20020911</v>
      </c>
      <c r="B3159" s="13">
        <v>8581.17</v>
      </c>
      <c r="C3159" s="2">
        <f t="shared" si="245"/>
        <v>-2.4922668817952353E-3</v>
      </c>
      <c r="D3159" s="21">
        <f t="shared" ca="1" si="246"/>
        <v>-2.8762192969021025E-3</v>
      </c>
      <c r="E3159" s="21">
        <f t="shared" ca="1" si="248"/>
        <v>2.9429700883495919E-4</v>
      </c>
      <c r="F3159" s="11">
        <f t="shared" ca="1" si="249"/>
        <v>4.0514056206713658</v>
      </c>
      <c r="G3159" s="10">
        <f t="shared" ca="1" si="247"/>
        <v>1</v>
      </c>
    </row>
    <row r="3160" spans="1:7" x14ac:dyDescent="0.2">
      <c r="A3160" s="2">
        <v>20020912</v>
      </c>
      <c r="B3160" s="13">
        <v>8379.41</v>
      </c>
      <c r="C3160" s="2">
        <f t="shared" si="245"/>
        <v>-2.3511945340786888E-2</v>
      </c>
      <c r="D3160" s="21">
        <f t="shared" ca="1" si="246"/>
        <v>-2.3895897755893757E-2</v>
      </c>
      <c r="E3160" s="21">
        <f t="shared" ca="1" si="248"/>
        <v>2.8062162868844234E-4</v>
      </c>
      <c r="F3160" s="11">
        <f t="shared" ca="1" si="249"/>
        <v>3.0718426773799887</v>
      </c>
      <c r="G3160" s="10">
        <f t="shared" ca="1" si="247"/>
        <v>0</v>
      </c>
    </row>
    <row r="3161" spans="1:7" x14ac:dyDescent="0.2">
      <c r="A3161" s="2">
        <v>20020913</v>
      </c>
      <c r="B3161" s="13">
        <v>8312.69</v>
      </c>
      <c r="C3161" s="2">
        <f t="shared" si="245"/>
        <v>-7.9623744392504185E-3</v>
      </c>
      <c r="D3161" s="21">
        <f t="shared" ca="1" si="246"/>
        <v>-8.3463268543572857E-3</v>
      </c>
      <c r="E3161" s="21">
        <f t="shared" ca="1" si="248"/>
        <v>2.8833107041024547E-4</v>
      </c>
      <c r="F3161" s="11">
        <f t="shared" ca="1" si="249"/>
        <v>3.9548999257698361</v>
      </c>
      <c r="G3161" s="10">
        <f t="shared" ca="1" si="247"/>
        <v>1</v>
      </c>
    </row>
    <row r="3162" spans="1:7" x14ac:dyDescent="0.2">
      <c r="A3162" s="2">
        <v>20020916</v>
      </c>
      <c r="B3162" s="13">
        <v>8380.18</v>
      </c>
      <c r="C3162" s="2">
        <f t="shared" si="245"/>
        <v>8.1189121692255787E-3</v>
      </c>
      <c r="D3162" s="21">
        <f t="shared" ca="1" si="246"/>
        <v>7.7349597541187115E-3</v>
      </c>
      <c r="E3162" s="21">
        <f t="shared" ca="1" si="248"/>
        <v>2.7721487265442498E-4</v>
      </c>
      <c r="F3162" s="11">
        <f t="shared" ca="1" si="249"/>
        <v>3.9874468560410521</v>
      </c>
      <c r="G3162" s="10">
        <f t="shared" ca="1" si="247"/>
        <v>1</v>
      </c>
    </row>
    <row r="3163" spans="1:7" x14ac:dyDescent="0.2">
      <c r="A3163" s="2">
        <v>20020917</v>
      </c>
      <c r="B3163" s="13">
        <v>8207.5499999999993</v>
      </c>
      <c r="C3163" s="2">
        <f t="shared" si="245"/>
        <v>-2.0599796185762239E-2</v>
      </c>
      <c r="D3163" s="21">
        <f t="shared" ca="1" si="246"/>
        <v>-2.0983748600869108E-2</v>
      </c>
      <c r="E3163" s="21">
        <f t="shared" ca="1" si="248"/>
        <v>2.6629952302406303E-4</v>
      </c>
      <c r="F3163" s="11">
        <f t="shared" ca="1" si="249"/>
        <v>3.2887104927064428</v>
      </c>
      <c r="G3163" s="10">
        <f t="shared" ca="1" si="247"/>
        <v>0</v>
      </c>
    </row>
    <row r="3164" spans="1:7" x14ac:dyDescent="0.2">
      <c r="A3164" s="2">
        <v>20020918</v>
      </c>
      <c r="B3164" s="13">
        <v>8172.45</v>
      </c>
      <c r="C3164" s="2">
        <f t="shared" si="245"/>
        <v>-4.2765502494653655E-3</v>
      </c>
      <c r="D3164" s="21">
        <f t="shared" ca="1" si="246"/>
        <v>-4.6605026645722327E-3</v>
      </c>
      <c r="E3164" s="21">
        <f t="shared" ca="1" si="248"/>
        <v>2.6992759642101744E-4</v>
      </c>
      <c r="F3164" s="11">
        <f t="shared" ca="1" si="249"/>
        <v>4.0684448589231046</v>
      </c>
      <c r="G3164" s="10">
        <f t="shared" ca="1" si="247"/>
        <v>1</v>
      </c>
    </row>
    <row r="3165" spans="1:7" x14ac:dyDescent="0.2">
      <c r="A3165" s="2">
        <v>20020919</v>
      </c>
      <c r="B3165" s="13">
        <v>7942.39</v>
      </c>
      <c r="C3165" s="2">
        <f t="shared" si="245"/>
        <v>-2.8150676969574545E-2</v>
      </c>
      <c r="D3165" s="21">
        <f t="shared" ca="1" si="246"/>
        <v>-2.8534629384681414E-2</v>
      </c>
      <c r="E3165" s="21">
        <f t="shared" ca="1" si="248"/>
        <v>2.5797956635654356E-4</v>
      </c>
      <c r="F3165" s="11">
        <f t="shared" ca="1" si="249"/>
        <v>2.5532345339259161</v>
      </c>
      <c r="G3165" s="10">
        <f t="shared" ca="1" si="247"/>
        <v>0</v>
      </c>
    </row>
    <row r="3166" spans="1:7" x14ac:dyDescent="0.2">
      <c r="A3166" s="2">
        <v>20020920</v>
      </c>
      <c r="B3166" s="13">
        <v>7986.02</v>
      </c>
      <c r="C3166" s="2">
        <f t="shared" si="245"/>
        <v>5.4933086891981011E-3</v>
      </c>
      <c r="D3166" s="21">
        <f t="shared" ca="1" si="246"/>
        <v>5.1093562740912339E-3</v>
      </c>
      <c r="E3166" s="21">
        <f t="shared" ca="1" si="248"/>
        <v>2.7577777591055168E-4</v>
      </c>
      <c r="F3166" s="11">
        <f t="shared" ca="1" si="249"/>
        <v>4.0506268678851916</v>
      </c>
      <c r="G3166" s="10">
        <f t="shared" ca="1" si="247"/>
        <v>1</v>
      </c>
    </row>
    <row r="3167" spans="1:7" x14ac:dyDescent="0.2">
      <c r="A3167" s="2">
        <v>20020923</v>
      </c>
      <c r="B3167" s="13">
        <v>7872.15</v>
      </c>
      <c r="C3167" s="2">
        <f t="shared" si="245"/>
        <v>-1.4258667020618631E-2</v>
      </c>
      <c r="D3167" s="21">
        <f t="shared" ca="1" si="246"/>
        <v>-1.4642619435725498E-2</v>
      </c>
      <c r="E3167" s="21">
        <f t="shared" ca="1" si="248"/>
        <v>2.6369503614051012E-4</v>
      </c>
      <c r="F3167" s="11">
        <f t="shared" ca="1" si="249"/>
        <v>3.7138164752496454</v>
      </c>
      <c r="G3167" s="10">
        <f t="shared" ca="1" si="247"/>
        <v>1</v>
      </c>
    </row>
    <row r="3168" spans="1:7" x14ac:dyDescent="0.2">
      <c r="A3168" s="2">
        <v>20020924</v>
      </c>
      <c r="B3168" s="13">
        <v>7683.13</v>
      </c>
      <c r="C3168" s="2">
        <f t="shared" si="245"/>
        <v>-2.4011229460820682E-2</v>
      </c>
      <c r="D3168" s="21">
        <f t="shared" ca="1" si="246"/>
        <v>-2.4395181875927551E-2</v>
      </c>
      <c r="E3168" s="21">
        <f t="shared" ca="1" si="248"/>
        <v>2.5914771470486814E-4</v>
      </c>
      <c r="F3168" s="11">
        <f t="shared" ca="1" si="249"/>
        <v>2.9808212693680911</v>
      </c>
      <c r="G3168" s="10">
        <f t="shared" ca="1" si="247"/>
        <v>0</v>
      </c>
    </row>
    <row r="3169" spans="1:7" x14ac:dyDescent="0.2">
      <c r="A3169" s="2">
        <v>20020925</v>
      </c>
      <c r="B3169" s="13">
        <v>7841.82</v>
      </c>
      <c r="C3169" s="2">
        <f t="shared" si="245"/>
        <v>2.065434269627087E-2</v>
      </c>
      <c r="D3169" s="21">
        <f t="shared" ca="1" si="246"/>
        <v>2.0270390281164001E-2</v>
      </c>
      <c r="E3169" s="21">
        <f t="shared" ca="1" si="248"/>
        <v>2.688301312420441E-4</v>
      </c>
      <c r="F3169" s="11">
        <f t="shared" ca="1" si="249"/>
        <v>3.3464991567017695</v>
      </c>
      <c r="G3169" s="10">
        <f t="shared" ca="1" si="247"/>
        <v>0</v>
      </c>
    </row>
    <row r="3170" spans="1:7" x14ac:dyDescent="0.2">
      <c r="A3170" s="2">
        <v>20020926</v>
      </c>
      <c r="B3170" s="13">
        <v>7997.12</v>
      </c>
      <c r="C3170" s="2">
        <f t="shared" si="245"/>
        <v>1.9804076094580108E-2</v>
      </c>
      <c r="D3170" s="21">
        <f t="shared" ca="1" si="246"/>
        <v>1.9420123679473239E-2</v>
      </c>
      <c r="E3170" s="21">
        <f t="shared" ca="1" si="248"/>
        <v>2.7124802523958747E-4</v>
      </c>
      <c r="F3170" s="11">
        <f t="shared" ca="1" si="249"/>
        <v>3.4110422465540928</v>
      </c>
      <c r="G3170" s="10">
        <f t="shared" ca="1" si="247"/>
        <v>0</v>
      </c>
    </row>
    <row r="3171" spans="1:7" x14ac:dyDescent="0.2">
      <c r="A3171" s="2">
        <v>20020927</v>
      </c>
      <c r="B3171" s="13">
        <v>7701.45</v>
      </c>
      <c r="C3171" s="2">
        <f t="shared" si="245"/>
        <v>-3.6972059941578976E-2</v>
      </c>
      <c r="D3171" s="21">
        <f t="shared" ca="1" si="246"/>
        <v>-3.7356012356685842E-2</v>
      </c>
      <c r="E3171" s="21">
        <f t="shared" ca="1" si="248"/>
        <v>2.723026420064385E-4</v>
      </c>
      <c r="F3171" s="11">
        <f t="shared" ca="1" si="249"/>
        <v>1.5419439868292395</v>
      </c>
      <c r="G3171" s="10">
        <f t="shared" ca="1" si="247"/>
        <v>0</v>
      </c>
    </row>
    <row r="3172" spans="1:7" x14ac:dyDescent="0.2">
      <c r="A3172" s="2">
        <v>20020930</v>
      </c>
      <c r="B3172" s="13">
        <v>7591.93</v>
      </c>
      <c r="C3172" s="2">
        <f t="shared" si="245"/>
        <v>-1.422069869959547E-2</v>
      </c>
      <c r="D3172" s="21">
        <f t="shared" ca="1" si="246"/>
        <v>-1.4604651114702338E-2</v>
      </c>
      <c r="E3172" s="21">
        <f t="shared" ca="1" si="248"/>
        <v>3.107496942642202E-4</v>
      </c>
      <c r="F3172" s="11">
        <f t="shared" ca="1" si="249"/>
        <v>3.6950658400931249</v>
      </c>
      <c r="G3172" s="10">
        <f t="shared" ca="1" si="247"/>
        <v>1</v>
      </c>
    </row>
    <row r="3173" spans="1:7" x14ac:dyDescent="0.2">
      <c r="A3173" s="2">
        <v>20021001</v>
      </c>
      <c r="B3173" s="13">
        <v>7938.79</v>
      </c>
      <c r="C3173" s="2">
        <f t="shared" si="245"/>
        <v>4.5687987112631397E-2</v>
      </c>
      <c r="D3173" s="21">
        <f t="shared" ca="1" si="246"/>
        <v>4.5304034697524531E-2</v>
      </c>
      <c r="E3173" s="21">
        <f t="shared" ca="1" si="248"/>
        <v>3.0378102826877267E-4</v>
      </c>
      <c r="F3173" s="11">
        <f t="shared" ca="1" si="249"/>
        <v>0.67141912199374243</v>
      </c>
      <c r="G3173" s="10">
        <f t="shared" ca="1" si="247"/>
        <v>0</v>
      </c>
    </row>
    <row r="3174" spans="1:7" x14ac:dyDescent="0.2">
      <c r="A3174" s="2">
        <v>20021002</v>
      </c>
      <c r="B3174" s="13">
        <v>7755.61</v>
      </c>
      <c r="C3174" s="2">
        <f t="shared" si="245"/>
        <v>-2.3074045289017634E-2</v>
      </c>
      <c r="D3174" s="21">
        <f t="shared" ca="1" si="246"/>
        <v>-2.3457997704124503E-2</v>
      </c>
      <c r="E3174" s="21">
        <f t="shared" ca="1" si="248"/>
        <v>3.6479402375370684E-4</v>
      </c>
      <c r="F3174" s="11">
        <f t="shared" ca="1" si="249"/>
        <v>3.2038582061765437</v>
      </c>
      <c r="G3174" s="10">
        <f t="shared" ca="1" si="247"/>
        <v>0</v>
      </c>
    </row>
    <row r="3175" spans="1:7" x14ac:dyDescent="0.2">
      <c r="A3175" s="2">
        <v>20021003</v>
      </c>
      <c r="B3175" s="13">
        <v>7717.19</v>
      </c>
      <c r="C3175" s="2">
        <f t="shared" si="245"/>
        <v>-4.9538334186479301E-3</v>
      </c>
      <c r="D3175" s="21">
        <f t="shared" ca="1" si="246"/>
        <v>-5.3377858337547972E-3</v>
      </c>
      <c r="E3175" s="21">
        <f t="shared" ca="1" si="248"/>
        <v>3.6748264731942216E-4</v>
      </c>
      <c r="F3175" s="11">
        <f t="shared" ca="1" si="249"/>
        <v>3.915650830650756</v>
      </c>
      <c r="G3175" s="10">
        <f t="shared" ca="1" si="247"/>
        <v>1</v>
      </c>
    </row>
    <row r="3176" spans="1:7" x14ac:dyDescent="0.2">
      <c r="A3176" s="2">
        <v>20021004</v>
      </c>
      <c r="B3176" s="13">
        <v>7528.4</v>
      </c>
      <c r="C3176" s="2">
        <f t="shared" si="245"/>
        <v>-2.4463567697568672E-2</v>
      </c>
      <c r="D3176" s="21">
        <f t="shared" ca="1" si="246"/>
        <v>-2.484752011267554E-2</v>
      </c>
      <c r="E3176" s="21">
        <f t="shared" ca="1" si="248"/>
        <v>3.5084828133084335E-4</v>
      </c>
      <c r="F3176" s="11">
        <f t="shared" ca="1" si="249"/>
        <v>3.0977118985718222</v>
      </c>
      <c r="G3176" s="10">
        <f t="shared" ca="1" si="247"/>
        <v>0</v>
      </c>
    </row>
    <row r="3177" spans="1:7" x14ac:dyDescent="0.2">
      <c r="A3177" s="2">
        <v>20021007</v>
      </c>
      <c r="B3177" s="13">
        <v>7422.84</v>
      </c>
      <c r="C3177" s="2">
        <f t="shared" si="245"/>
        <v>-1.4021571648690227E-2</v>
      </c>
      <c r="D3177" s="21">
        <f t="shared" ca="1" si="246"/>
        <v>-1.4405524063797094E-2</v>
      </c>
      <c r="E3177" s="21">
        <f t="shared" ca="1" si="248"/>
        <v>3.5671060300729605E-4</v>
      </c>
      <c r="F3177" s="11">
        <f t="shared" ca="1" si="249"/>
        <v>3.6784140433944743</v>
      </c>
      <c r="G3177" s="10">
        <f t="shared" ca="1" si="247"/>
        <v>1</v>
      </c>
    </row>
    <row r="3178" spans="1:7" x14ac:dyDescent="0.2">
      <c r="A3178" s="2">
        <v>20021008</v>
      </c>
      <c r="B3178" s="13">
        <v>7501.49</v>
      </c>
      <c r="C3178" s="2">
        <f t="shared" si="245"/>
        <v>1.0595674970765858E-2</v>
      </c>
      <c r="D3178" s="21">
        <f t="shared" ca="1" si="246"/>
        <v>1.0211722555658991E-2</v>
      </c>
      <c r="E3178" s="21">
        <f t="shared" ca="1" si="248"/>
        <v>3.472043397689938E-4</v>
      </c>
      <c r="F3178" s="11">
        <f t="shared" ca="1" si="249"/>
        <v>3.8326286443137949</v>
      </c>
      <c r="G3178" s="10">
        <f t="shared" ca="1" si="247"/>
        <v>1</v>
      </c>
    </row>
    <row r="3179" spans="1:7" x14ac:dyDescent="0.2">
      <c r="A3179" s="2">
        <v>20021009</v>
      </c>
      <c r="B3179" s="13">
        <v>7286.27</v>
      </c>
      <c r="C3179" s="2">
        <f t="shared" si="245"/>
        <v>-2.8690300193694767E-2</v>
      </c>
      <c r="D3179" s="21">
        <f t="shared" ca="1" si="246"/>
        <v>-2.9074252608801636E-2</v>
      </c>
      <c r="E3179" s="21">
        <f t="shared" ca="1" si="248"/>
        <v>3.3438269211898169E-4</v>
      </c>
      <c r="F3179" s="11">
        <f t="shared" ca="1" si="249"/>
        <v>2.737623105156449</v>
      </c>
      <c r="G3179" s="10">
        <f t="shared" ca="1" si="247"/>
        <v>0</v>
      </c>
    </row>
    <row r="3180" spans="1:7" x14ac:dyDescent="0.2">
      <c r="A3180" s="2">
        <v>20021010</v>
      </c>
      <c r="B3180" s="13">
        <v>7533.95</v>
      </c>
      <c r="C3180" s="2">
        <f t="shared" si="245"/>
        <v>3.3992701341015272E-2</v>
      </c>
      <c r="D3180" s="21">
        <f t="shared" ca="1" si="246"/>
        <v>3.3608748925908406E-2</v>
      </c>
      <c r="E3180" s="21">
        <f t="shared" ca="1" si="248"/>
        <v>3.4945876898617723E-4</v>
      </c>
      <c r="F3180" s="11">
        <f t="shared" ca="1" si="249"/>
        <v>2.3634233249964511</v>
      </c>
      <c r="G3180" s="10">
        <f t="shared" ca="1" si="247"/>
        <v>0</v>
      </c>
    </row>
    <row r="3181" spans="1:7" x14ac:dyDescent="0.2">
      <c r="A3181" s="2">
        <v>20021011</v>
      </c>
      <c r="B3181" s="13">
        <v>7850.29</v>
      </c>
      <c r="C3181" s="2">
        <f t="shared" si="245"/>
        <v>4.1988598278459528E-2</v>
      </c>
      <c r="D3181" s="21">
        <f t="shared" ca="1" si="246"/>
        <v>4.1604645863352663E-2</v>
      </c>
      <c r="E3181" s="21">
        <f t="shared" ca="1" si="248"/>
        <v>3.742239902720514E-4</v>
      </c>
      <c r="F3181" s="11">
        <f t="shared" ca="1" si="249"/>
        <v>1.6326134370887018</v>
      </c>
      <c r="G3181" s="10">
        <f t="shared" ca="1" si="247"/>
        <v>0</v>
      </c>
    </row>
    <row r="3182" spans="1:7" x14ac:dyDescent="0.2">
      <c r="A3182" s="2">
        <v>20021014</v>
      </c>
      <c r="B3182" s="13">
        <v>7877.4</v>
      </c>
      <c r="C3182" s="2">
        <f t="shared" ref="C3182:C3245" si="250">(B3182-B3181)/B3181</f>
        <v>3.4533756077800531E-3</v>
      </c>
      <c r="D3182" s="21">
        <f t="shared" ca="1" si="246"/>
        <v>3.0694231926731859E-3</v>
      </c>
      <c r="E3182" s="21">
        <f t="shared" ca="1" si="248"/>
        <v>4.1985080572460307E-4</v>
      </c>
      <c r="F3182" s="11">
        <f t="shared" ca="1" si="249"/>
        <v>3.8765856782938024</v>
      </c>
      <c r="G3182" s="10">
        <f t="shared" ca="1" si="247"/>
        <v>1</v>
      </c>
    </row>
    <row r="3183" spans="1:7" x14ac:dyDescent="0.2">
      <c r="A3183" s="2">
        <v>20021015</v>
      </c>
      <c r="B3183" s="13">
        <v>8255.68</v>
      </c>
      <c r="C3183" s="2">
        <f t="shared" si="250"/>
        <v>4.802092060832263E-2</v>
      </c>
      <c r="D3183" s="21">
        <f t="shared" ca="1" si="246"/>
        <v>4.7636968193215765E-2</v>
      </c>
      <c r="E3183" s="21">
        <f t="shared" ca="1" si="248"/>
        <v>3.9986585814068059E-4</v>
      </c>
      <c r="F3183" s="11">
        <f t="shared" ca="1" si="249"/>
        <v>1.0746382011485274</v>
      </c>
      <c r="G3183" s="10">
        <f t="shared" ca="1" si="247"/>
        <v>0</v>
      </c>
    </row>
    <row r="3184" spans="1:7" x14ac:dyDescent="0.2">
      <c r="A3184" s="2">
        <v>20021016</v>
      </c>
      <c r="B3184" s="13">
        <v>8036.03</v>
      </c>
      <c r="C3184" s="2">
        <f t="shared" si="250"/>
        <v>-2.6605924648242244E-2</v>
      </c>
      <c r="D3184" s="21">
        <f t="shared" ca="1" si="246"/>
        <v>-2.6989877063349113E-2</v>
      </c>
      <c r="E3184" s="21">
        <f t="shared" ca="1" si="248"/>
        <v>4.6399093085531856E-4</v>
      </c>
      <c r="F3184" s="11">
        <f t="shared" ca="1" si="249"/>
        <v>3.0528360276770186</v>
      </c>
      <c r="G3184" s="10">
        <f t="shared" ca="1" si="247"/>
        <v>0</v>
      </c>
    </row>
    <row r="3185" spans="1:7" x14ac:dyDescent="0.2">
      <c r="A3185" s="2">
        <v>20021017</v>
      </c>
      <c r="B3185" s="13">
        <v>8275.0400000000009</v>
      </c>
      <c r="C3185" s="2">
        <f t="shared" si="250"/>
        <v>2.9742298124820481E-2</v>
      </c>
      <c r="D3185" s="21">
        <f t="shared" ca="1" si="246"/>
        <v>2.9358345709713612E-2</v>
      </c>
      <c r="E3185" s="21">
        <f t="shared" ca="1" si="248"/>
        <v>4.6821298577785547E-4</v>
      </c>
      <c r="F3185" s="11">
        <f t="shared" ca="1" si="249"/>
        <v>2.9128658702406889</v>
      </c>
      <c r="G3185" s="10">
        <f t="shared" ca="1" si="247"/>
        <v>0</v>
      </c>
    </row>
    <row r="3186" spans="1:7" x14ac:dyDescent="0.2">
      <c r="A3186" s="2">
        <v>20021018</v>
      </c>
      <c r="B3186" s="13">
        <v>8322.4</v>
      </c>
      <c r="C3186" s="2">
        <f t="shared" si="250"/>
        <v>5.7232351746938697E-3</v>
      </c>
      <c r="D3186" s="21">
        <f t="shared" ca="1" si="246"/>
        <v>5.3392827595870026E-3</v>
      </c>
      <c r="E3186" s="21">
        <f t="shared" ca="1" si="248"/>
        <v>4.7712896596753665E-4</v>
      </c>
      <c r="F3186" s="11">
        <f t="shared" ca="1" si="249"/>
        <v>3.7939874073890785</v>
      </c>
      <c r="G3186" s="10">
        <f t="shared" ca="1" si="247"/>
        <v>1</v>
      </c>
    </row>
    <row r="3187" spans="1:7" x14ac:dyDescent="0.2">
      <c r="A3187" s="2">
        <v>20021021</v>
      </c>
      <c r="B3187" s="13">
        <v>8538.24</v>
      </c>
      <c r="C3187" s="2">
        <f t="shared" si="250"/>
        <v>2.5934826492357992E-2</v>
      </c>
      <c r="D3187" s="21">
        <f t="shared" ca="1" si="246"/>
        <v>2.5550874077251123E-2</v>
      </c>
      <c r="E3187" s="21">
        <f t="shared" ca="1" si="248"/>
        <v>4.5494814433065251E-4</v>
      </c>
      <c r="F3187" s="11">
        <f t="shared" ca="1" si="249"/>
        <v>3.1301673167785324</v>
      </c>
      <c r="G3187" s="10">
        <f t="shared" ca="1" si="247"/>
        <v>0</v>
      </c>
    </row>
    <row r="3188" spans="1:7" x14ac:dyDescent="0.2">
      <c r="A3188" s="2">
        <v>20021022</v>
      </c>
      <c r="B3188" s="13">
        <v>8450.16</v>
      </c>
      <c r="C3188" s="2">
        <f t="shared" si="250"/>
        <v>-1.0315943332583757E-2</v>
      </c>
      <c r="D3188" s="21">
        <f t="shared" ca="1" si="246"/>
        <v>-1.0699895747690624E-2</v>
      </c>
      <c r="E3188" s="21">
        <f t="shared" ca="1" si="248"/>
        <v>4.5684750121929835E-4</v>
      </c>
      <c r="F3188" s="11">
        <f t="shared" ca="1" si="249"/>
        <v>3.7202785052293739</v>
      </c>
      <c r="G3188" s="10">
        <f t="shared" ca="1" si="247"/>
        <v>1</v>
      </c>
    </row>
    <row r="3189" spans="1:7" x14ac:dyDescent="0.2">
      <c r="A3189" s="2">
        <v>20021023</v>
      </c>
      <c r="B3189" s="13">
        <v>8494.27</v>
      </c>
      <c r="C3189" s="2">
        <f t="shared" si="250"/>
        <v>5.2200195025893688E-3</v>
      </c>
      <c r="D3189" s="21">
        <f t="shared" ca="1" si="246"/>
        <v>4.8360670874825016E-3</v>
      </c>
      <c r="E3189" s="21">
        <f t="shared" ca="1" si="248"/>
        <v>4.388543539853441E-4</v>
      </c>
      <c r="F3189" s="11">
        <f t="shared" ca="1" si="249"/>
        <v>3.839025348639201</v>
      </c>
      <c r="G3189" s="10">
        <f t="shared" ca="1" si="247"/>
        <v>1</v>
      </c>
    </row>
    <row r="3190" spans="1:7" x14ac:dyDescent="0.2">
      <c r="A3190" s="2">
        <v>20021024</v>
      </c>
      <c r="B3190" s="13">
        <v>8317.34</v>
      </c>
      <c r="C3190" s="2">
        <f t="shared" si="250"/>
        <v>-2.0829335540311324E-2</v>
      </c>
      <c r="D3190" s="21">
        <f t="shared" ca="1" si="246"/>
        <v>-2.1213287955418193E-2</v>
      </c>
      <c r="E3190" s="21">
        <f t="shared" ca="1" si="248"/>
        <v>4.1842157168766702E-4</v>
      </c>
      <c r="F3190" s="11">
        <f t="shared" ca="1" si="249"/>
        <v>3.3517710774879612</v>
      </c>
      <c r="G3190" s="10">
        <f t="shared" ca="1" si="247"/>
        <v>0</v>
      </c>
    </row>
    <row r="3191" spans="1:7" x14ac:dyDescent="0.2">
      <c r="A3191" s="2">
        <v>20021025</v>
      </c>
      <c r="B3191" s="13">
        <v>8443.99</v>
      </c>
      <c r="C3191" s="2">
        <f t="shared" si="250"/>
        <v>1.522722408847055E-2</v>
      </c>
      <c r="D3191" s="21">
        <f t="shared" ca="1" si="246"/>
        <v>1.4843271673363682E-2</v>
      </c>
      <c r="E3191" s="21">
        <f t="shared" ca="1" si="248"/>
        <v>4.1470990729364774E-4</v>
      </c>
      <c r="F3191" s="11">
        <f t="shared" ca="1" si="249"/>
        <v>3.6283309137766233</v>
      </c>
      <c r="G3191" s="10">
        <f t="shared" ca="1" si="247"/>
        <v>1</v>
      </c>
    </row>
    <row r="3192" spans="1:7" x14ac:dyDescent="0.2">
      <c r="A3192" s="2">
        <v>20021028</v>
      </c>
      <c r="B3192" s="13">
        <v>8368.0400000000009</v>
      </c>
      <c r="C3192" s="2">
        <f t="shared" si="250"/>
        <v>-8.9945629968769397E-3</v>
      </c>
      <c r="D3192" s="21">
        <f t="shared" ca="1" si="246"/>
        <v>-9.3785154119838069E-3</v>
      </c>
      <c r="E3192" s="21">
        <f t="shared" ca="1" si="248"/>
        <v>4.0274025052969092E-4</v>
      </c>
      <c r="F3192" s="11">
        <f t="shared" ca="1" si="249"/>
        <v>3.7994117546297539</v>
      </c>
      <c r="G3192" s="10">
        <f t="shared" ca="1" si="247"/>
        <v>1</v>
      </c>
    </row>
    <row r="3193" spans="1:7" x14ac:dyDescent="0.2">
      <c r="A3193" s="2">
        <v>20021029</v>
      </c>
      <c r="B3193" s="13">
        <v>8368.94</v>
      </c>
      <c r="C3193" s="2">
        <f t="shared" si="250"/>
        <v>1.0755206715068715E-4</v>
      </c>
      <c r="D3193" s="21">
        <f t="shared" ca="1" si="246"/>
        <v>-2.7640034795618014E-4</v>
      </c>
      <c r="E3193" s="21">
        <f t="shared" ca="1" si="248"/>
        <v>3.8650880772491119E-4</v>
      </c>
      <c r="F3193" s="11">
        <f t="shared" ca="1" si="249"/>
        <v>3.9290791211184954</v>
      </c>
      <c r="G3193" s="10">
        <f t="shared" ca="1" si="247"/>
        <v>1</v>
      </c>
    </row>
    <row r="3194" spans="1:7" x14ac:dyDescent="0.2">
      <c r="A3194" s="2">
        <v>20021030</v>
      </c>
      <c r="B3194" s="13">
        <v>8427.41</v>
      </c>
      <c r="C3194" s="2">
        <f t="shared" si="250"/>
        <v>6.9865478782258376E-3</v>
      </c>
      <c r="D3194" s="21">
        <f t="shared" ca="1" si="246"/>
        <v>6.6025954631189704E-3</v>
      </c>
      <c r="E3194" s="21">
        <f t="shared" ca="1" si="248"/>
        <v>3.6786701224395907E-4</v>
      </c>
      <c r="F3194" s="11">
        <f t="shared" ca="1" si="249"/>
        <v>3.8946417788654712</v>
      </c>
      <c r="G3194" s="10">
        <f t="shared" ca="1" si="247"/>
        <v>1</v>
      </c>
    </row>
    <row r="3195" spans="1:7" x14ac:dyDescent="0.2">
      <c r="A3195" s="2">
        <v>20021031</v>
      </c>
      <c r="B3195" s="13">
        <v>8397.0300000000007</v>
      </c>
      <c r="C3195" s="2">
        <f t="shared" si="250"/>
        <v>-3.6049035231463995E-3</v>
      </c>
      <c r="D3195" s="21">
        <f t="shared" ca="1" si="246"/>
        <v>-3.9888559382532671E-3</v>
      </c>
      <c r="E3195" s="21">
        <f t="shared" ca="1" si="248"/>
        <v>3.5176853938748208E-4</v>
      </c>
      <c r="F3195" s="11">
        <f t="shared" ca="1" si="249"/>
        <v>3.9536528954010364</v>
      </c>
      <c r="G3195" s="10">
        <f t="shared" ca="1" si="247"/>
        <v>1</v>
      </c>
    </row>
    <row r="3196" spans="1:7" x14ac:dyDescent="0.2">
      <c r="A3196" s="2">
        <v>20021101</v>
      </c>
      <c r="B3196" s="13">
        <v>8517.64</v>
      </c>
      <c r="C3196" s="2">
        <f t="shared" si="250"/>
        <v>1.4363411825371441E-2</v>
      </c>
      <c r="D3196" s="21">
        <f t="shared" ca="1" si="246"/>
        <v>1.3979459410264574E-2</v>
      </c>
      <c r="E3196" s="21">
        <f t="shared" ca="1" si="248"/>
        <v>3.3546653047433756E-4</v>
      </c>
      <c r="F3196" s="11">
        <f t="shared" ca="1" si="249"/>
        <v>3.7087202891426596</v>
      </c>
      <c r="G3196" s="10">
        <f t="shared" ca="1" si="247"/>
        <v>1</v>
      </c>
    </row>
    <row r="3197" spans="1:7" x14ac:dyDescent="0.2">
      <c r="A3197" s="2">
        <v>20021104</v>
      </c>
      <c r="B3197" s="13">
        <v>8571.6</v>
      </c>
      <c r="C3197" s="2">
        <f t="shared" si="250"/>
        <v>6.3350881230013183E-3</v>
      </c>
      <c r="D3197" s="21">
        <f t="shared" ca="1" si="246"/>
        <v>5.9511357078944511E-3</v>
      </c>
      <c r="E3197" s="21">
        <f t="shared" ca="1" si="248"/>
        <v>3.2659030031522796E-4</v>
      </c>
      <c r="F3197" s="11">
        <f t="shared" ca="1" si="249"/>
        <v>3.9591811748812309</v>
      </c>
      <c r="G3197" s="10">
        <f t="shared" ca="1" si="247"/>
        <v>1</v>
      </c>
    </row>
    <row r="3198" spans="1:7" x14ac:dyDescent="0.2">
      <c r="A3198" s="2">
        <v>20021105</v>
      </c>
      <c r="B3198" s="13">
        <v>8678.27</v>
      </c>
      <c r="C3198" s="2">
        <f t="shared" si="250"/>
        <v>1.2444584441644509E-2</v>
      </c>
      <c r="D3198" s="21">
        <f t="shared" ca="1" si="246"/>
        <v>1.2060632026537642E-2</v>
      </c>
      <c r="E3198" s="21">
        <f t="shared" ca="1" si="248"/>
        <v>3.1227930135068285E-4</v>
      </c>
      <c r="F3198" s="11">
        <f t="shared" ca="1" si="249"/>
        <v>3.8029076538524595</v>
      </c>
      <c r="G3198" s="10">
        <f t="shared" ca="1" si="247"/>
        <v>1</v>
      </c>
    </row>
    <row r="3199" spans="1:7" x14ac:dyDescent="0.2">
      <c r="A3199" s="2">
        <v>20021106</v>
      </c>
      <c r="B3199" s="13">
        <v>8771.01</v>
      </c>
      <c r="C3199" s="2">
        <f t="shared" si="250"/>
        <v>1.0686461702620427E-2</v>
      </c>
      <c r="D3199" s="21">
        <f t="shared" ca="1" si="246"/>
        <v>1.0302509287513559E-2</v>
      </c>
      <c r="E3199" s="21">
        <f t="shared" ca="1" si="248"/>
        <v>3.0273876748585269E-4</v>
      </c>
      <c r="F3199" s="11">
        <f t="shared" ca="1" si="249"/>
        <v>3.8760176850878092</v>
      </c>
      <c r="G3199" s="10">
        <f t="shared" ca="1" si="247"/>
        <v>1</v>
      </c>
    </row>
    <row r="3200" spans="1:7" x14ac:dyDescent="0.2">
      <c r="A3200" s="2">
        <v>20021107</v>
      </c>
      <c r="B3200" s="13">
        <v>8586.24</v>
      </c>
      <c r="C3200" s="2">
        <f t="shared" si="250"/>
        <v>-2.106598897960445E-2</v>
      </c>
      <c r="D3200" s="21">
        <f t="shared" ca="1" si="246"/>
        <v>-2.1449941394711319E-2</v>
      </c>
      <c r="E3200" s="21">
        <f t="shared" ca="1" si="248"/>
        <v>2.9223513221625288E-4</v>
      </c>
      <c r="F3200" s="11">
        <f t="shared" ca="1" si="249"/>
        <v>3.2817673722750094</v>
      </c>
      <c r="G3200" s="10">
        <f t="shared" ca="1" si="247"/>
        <v>0</v>
      </c>
    </row>
    <row r="3201" spans="1:7" x14ac:dyDescent="0.2">
      <c r="A3201" s="2">
        <v>20021108</v>
      </c>
      <c r="B3201" s="13">
        <v>8537.1299999999992</v>
      </c>
      <c r="C3201" s="2">
        <f t="shared" si="250"/>
        <v>-5.7196165026834308E-3</v>
      </c>
      <c r="D3201" s="21">
        <f t="shared" ca="1" si="246"/>
        <v>-6.1035689177902979E-3</v>
      </c>
      <c r="E3201" s="21">
        <f t="shared" ca="1" si="248"/>
        <v>2.952785435989908E-4</v>
      </c>
      <c r="F3201" s="11">
        <f t="shared" ca="1" si="249"/>
        <v>4.0007136626611821</v>
      </c>
      <c r="G3201" s="10">
        <f t="shared" ca="1" si="247"/>
        <v>1</v>
      </c>
    </row>
    <row r="3202" spans="1:7" x14ac:dyDescent="0.2">
      <c r="A3202" s="2">
        <v>20021111</v>
      </c>
      <c r="B3202" s="13">
        <v>8358.9500000000007</v>
      </c>
      <c r="C3202" s="2">
        <f t="shared" si="250"/>
        <v>-2.0871182704257578E-2</v>
      </c>
      <c r="D3202" s="21">
        <f t="shared" ca="1" si="246"/>
        <v>-2.1255135119364447E-2</v>
      </c>
      <c r="E3202" s="21">
        <f t="shared" ca="1" si="248"/>
        <v>2.8261918617226251E-4</v>
      </c>
      <c r="F3202" s="11">
        <f t="shared" ca="1" si="249"/>
        <v>3.2864303311593437</v>
      </c>
      <c r="G3202" s="10">
        <f t="shared" ca="1" si="247"/>
        <v>0</v>
      </c>
    </row>
    <row r="3203" spans="1:7" x14ac:dyDescent="0.2">
      <c r="A3203" s="2">
        <v>20021112</v>
      </c>
      <c r="B3203" s="13">
        <v>8386</v>
      </c>
      <c r="C3203" s="2">
        <f t="shared" si="250"/>
        <v>3.2360523749991651E-3</v>
      </c>
      <c r="D3203" s="21">
        <f t="shared" ca="1" si="246"/>
        <v>2.8520999598922979E-3</v>
      </c>
      <c r="E3203" s="21">
        <f t="shared" ca="1" si="248"/>
        <v>2.8584315930061288E-4</v>
      </c>
      <c r="F3203" s="11">
        <f t="shared" ca="1" si="249"/>
        <v>4.0658047340515964</v>
      </c>
      <c r="G3203" s="10">
        <f t="shared" ca="1" si="247"/>
        <v>1</v>
      </c>
    </row>
    <row r="3204" spans="1:7" x14ac:dyDescent="0.2">
      <c r="A3204" s="2">
        <v>20021113</v>
      </c>
      <c r="B3204" s="13">
        <v>8398.49</v>
      </c>
      <c r="C3204" s="2">
        <f t="shared" si="250"/>
        <v>1.4893870736942263E-3</v>
      </c>
      <c r="D3204" s="21">
        <f t="shared" ca="1" si="246"/>
        <v>1.1054346585873589E-3</v>
      </c>
      <c r="E3204" s="21">
        <f t="shared" ca="1" si="248"/>
        <v>2.7259038168118196E-4</v>
      </c>
      <c r="F3204" s="11">
        <f t="shared" ca="1" si="249"/>
        <v>4.1015287291573754</v>
      </c>
      <c r="G3204" s="10">
        <f t="shared" ca="1" si="247"/>
        <v>1</v>
      </c>
    </row>
    <row r="3205" spans="1:7" x14ac:dyDescent="0.2">
      <c r="A3205" s="2">
        <v>20021114</v>
      </c>
      <c r="B3205" s="13">
        <v>8542.1299999999992</v>
      </c>
      <c r="C3205" s="2">
        <f t="shared" si="250"/>
        <v>1.7103074481245966E-2</v>
      </c>
      <c r="D3205" s="21">
        <f t="shared" ca="1" si="246"/>
        <v>1.6719122066139097E-2</v>
      </c>
      <c r="E3205" s="21">
        <f t="shared" ca="1" si="248"/>
        <v>2.5975388217730358E-4</v>
      </c>
      <c r="F3205" s="11">
        <f t="shared" ca="1" si="249"/>
        <v>3.5898228035847035</v>
      </c>
      <c r="G3205" s="10">
        <f t="shared" ca="1" si="247"/>
        <v>0</v>
      </c>
    </row>
    <row r="3206" spans="1:7" x14ac:dyDescent="0.2">
      <c r="A3206" s="2">
        <v>20021115</v>
      </c>
      <c r="B3206" s="13">
        <v>8579.09</v>
      </c>
      <c r="C3206" s="2">
        <f t="shared" si="250"/>
        <v>4.3267896882862884E-3</v>
      </c>
      <c r="D3206" s="21">
        <f t="shared" ca="1" si="246"/>
        <v>3.9428372731794212E-3</v>
      </c>
      <c r="E3206" s="21">
        <f t="shared" ca="1" si="248"/>
        <v>2.5780062182855179E-4</v>
      </c>
      <c r="F3206" s="11">
        <f t="shared" ca="1" si="249"/>
        <v>4.1015108867689767</v>
      </c>
      <c r="G3206" s="10">
        <f t="shared" ca="1" si="247"/>
        <v>1</v>
      </c>
    </row>
    <row r="3207" spans="1:7" x14ac:dyDescent="0.2">
      <c r="A3207" s="2">
        <v>20021118</v>
      </c>
      <c r="B3207" s="13">
        <v>8486.57</v>
      </c>
      <c r="C3207" s="2">
        <f t="shared" si="250"/>
        <v>-1.0784360579035823E-2</v>
      </c>
      <c r="D3207" s="21">
        <f t="shared" ca="1" si="246"/>
        <v>-1.116831299414269E-2</v>
      </c>
      <c r="E3207" s="21">
        <f t="shared" ca="1" si="248"/>
        <v>2.4623905889950532E-4</v>
      </c>
      <c r="F3207" s="11">
        <f t="shared" ca="1" si="249"/>
        <v>3.9013312512330098</v>
      </c>
      <c r="G3207" s="10">
        <f t="shared" ca="1" si="247"/>
        <v>1</v>
      </c>
    </row>
    <row r="3208" spans="1:7" x14ac:dyDescent="0.2">
      <c r="A3208" s="2">
        <v>20021119</v>
      </c>
      <c r="B3208" s="13">
        <v>8474.7800000000007</v>
      </c>
      <c r="C3208" s="2">
        <f t="shared" si="250"/>
        <v>-1.3892538446037745E-3</v>
      </c>
      <c r="D3208" s="21">
        <f t="shared" ca="1" si="246"/>
        <v>-1.7732062597106417E-3</v>
      </c>
      <c r="E3208" s="21">
        <f t="shared" ca="1" si="248"/>
        <v>2.3927733150785459E-4</v>
      </c>
      <c r="F3208" s="11">
        <f t="shared" ca="1" si="249"/>
        <v>4.1623733213235861</v>
      </c>
      <c r="G3208" s="10">
        <f t="shared" ca="1" si="247"/>
        <v>1</v>
      </c>
    </row>
    <row r="3209" spans="1:7" x14ac:dyDescent="0.2">
      <c r="A3209" s="2">
        <v>20021120</v>
      </c>
      <c r="B3209" s="13">
        <v>8623.01</v>
      </c>
      <c r="C3209" s="2">
        <f t="shared" si="250"/>
        <v>1.7490719523102612E-2</v>
      </c>
      <c r="D3209" s="21">
        <f t="shared" ca="1" si="246"/>
        <v>1.7106767107995743E-2</v>
      </c>
      <c r="E3209" s="21">
        <f t="shared" ca="1" si="248"/>
        <v>2.2819683557649144E-4</v>
      </c>
      <c r="F3209" s="11">
        <f t="shared" ca="1" si="249"/>
        <v>3.5514469206444832</v>
      </c>
      <c r="G3209" s="10">
        <f t="shared" ca="1" si="247"/>
        <v>0</v>
      </c>
    </row>
    <row r="3210" spans="1:7" x14ac:dyDescent="0.2">
      <c r="A3210" s="2">
        <v>20021121</v>
      </c>
      <c r="B3210" s="13">
        <v>8845.15</v>
      </c>
      <c r="C3210" s="2">
        <f t="shared" si="250"/>
        <v>2.5761306086853595E-2</v>
      </c>
      <c r="D3210" s="21">
        <f t="shared" ca="1" si="246"/>
        <v>2.5377353671746726E-2</v>
      </c>
      <c r="E3210" s="21">
        <f t="shared" ca="1" si="248"/>
        <v>2.2832222385434119E-4</v>
      </c>
      <c r="F3210" s="11">
        <f t="shared" ca="1" si="249"/>
        <v>2.7820666642371066</v>
      </c>
      <c r="G3210" s="10">
        <f t="shared" ca="1" si="247"/>
        <v>0</v>
      </c>
    </row>
    <row r="3211" spans="1:7" x14ac:dyDescent="0.2">
      <c r="A3211" s="2">
        <v>20021122</v>
      </c>
      <c r="B3211" s="13">
        <v>8804.84</v>
      </c>
      <c r="C3211" s="2">
        <f t="shared" si="250"/>
        <v>-4.5572997631469778E-3</v>
      </c>
      <c r="D3211" s="21">
        <f t="shared" ca="1" si="246"/>
        <v>-4.941252178253845E-3</v>
      </c>
      <c r="E3211" s="21">
        <f t="shared" ca="1" si="248"/>
        <v>2.4136170557065086E-4</v>
      </c>
      <c r="F3211" s="11">
        <f t="shared" ca="1" si="249"/>
        <v>4.1140273150845612</v>
      </c>
      <c r="G3211" s="10">
        <f t="shared" ca="1" si="247"/>
        <v>1</v>
      </c>
    </row>
    <row r="3212" spans="1:7" x14ac:dyDescent="0.2">
      <c r="A3212" s="2">
        <v>20021125</v>
      </c>
      <c r="B3212" s="13">
        <v>8849.4</v>
      </c>
      <c r="C3212" s="2">
        <f t="shared" si="250"/>
        <v>5.060852894544306E-3</v>
      </c>
      <c r="D3212" s="21">
        <f t="shared" ca="1" si="246"/>
        <v>4.6769004794374389E-3</v>
      </c>
      <c r="E3212" s="21">
        <f t="shared" ca="1" si="248"/>
        <v>2.3095795848467884E-4</v>
      </c>
      <c r="F3212" s="11">
        <f t="shared" ca="1" si="249"/>
        <v>4.1392837951709129</v>
      </c>
      <c r="G3212" s="10">
        <f t="shared" ca="1" si="247"/>
        <v>1</v>
      </c>
    </row>
    <row r="3213" spans="1:7" x14ac:dyDescent="0.2">
      <c r="A3213" s="2">
        <v>20021126</v>
      </c>
      <c r="B3213" s="13">
        <v>8676.42</v>
      </c>
      <c r="C3213" s="2">
        <f t="shared" si="250"/>
        <v>-1.9547087938165252E-2</v>
      </c>
      <c r="D3213" s="21">
        <f t="shared" ca="1" si="246"/>
        <v>-1.993104035327212E-2</v>
      </c>
      <c r="E3213" s="21">
        <f t="shared" ca="1" si="248"/>
        <v>2.209870454673638E-4</v>
      </c>
      <c r="F3213" s="11">
        <f t="shared" ca="1" si="249"/>
        <v>3.3099031098463052</v>
      </c>
      <c r="G3213" s="10">
        <f t="shared" ca="1" si="247"/>
        <v>0</v>
      </c>
    </row>
    <row r="3214" spans="1:7" x14ac:dyDescent="0.2">
      <c r="A3214" s="2">
        <v>20021127</v>
      </c>
      <c r="B3214" s="13">
        <v>8931.68</v>
      </c>
      <c r="C3214" s="2">
        <f t="shared" si="250"/>
        <v>2.9419968143543099E-2</v>
      </c>
      <c r="D3214" s="21">
        <f t="shared" ref="D3214:D3277" ca="1" si="251">(C3214-mu)</f>
        <v>2.903601572843623E-2</v>
      </c>
      <c r="E3214" s="21">
        <f t="shared" ca="1" si="248"/>
        <v>2.2532368380245605E-4</v>
      </c>
      <c r="F3214" s="11">
        <f t="shared" ca="1" si="249"/>
        <v>2.3281438827478294</v>
      </c>
      <c r="G3214" s="10">
        <f t="shared" ref="G3214:G3277" ca="1" si="252">IF(AND(C3214&lt;=mu+zvalue*SQRT(E3214),C3214&gt;=mu-zvalue*SQRT(E3214)),1,0)</f>
        <v>0</v>
      </c>
    </row>
    <row r="3215" spans="1:7" x14ac:dyDescent="0.2">
      <c r="A3215" s="2">
        <v>20021129</v>
      </c>
      <c r="B3215" s="13">
        <v>8896.09</v>
      </c>
      <c r="C3215" s="2">
        <f t="shared" si="250"/>
        <v>-3.9846926893932766E-3</v>
      </c>
      <c r="D3215" s="21">
        <f t="shared" ca="1" si="251"/>
        <v>-4.3686451045001438E-3</v>
      </c>
      <c r="E3215" s="21">
        <f t="shared" ref="E3215:E3278" ca="1" si="253">(1-alpha-beta)*longvar+alpha*D3214^2+beta*E3214</f>
        <v>2.4583538663071813E-4</v>
      </c>
      <c r="F3215" s="11">
        <f t="shared" ref="F3215:F3278" ca="1" si="254">(-0.5)*(LN(E3215)+D3215^2/E3215)</f>
        <v>4.1166074559551724</v>
      </c>
      <c r="G3215" s="10">
        <f t="shared" ca="1" si="252"/>
        <v>1</v>
      </c>
    </row>
    <row r="3216" spans="1:7" x14ac:dyDescent="0.2">
      <c r="A3216" s="2">
        <v>20021202</v>
      </c>
      <c r="B3216" s="13">
        <v>8862.57</v>
      </c>
      <c r="C3216" s="2">
        <f t="shared" si="250"/>
        <v>-3.7679474915384664E-3</v>
      </c>
      <c r="D3216" s="21">
        <f t="shared" ca="1" si="251"/>
        <v>-4.151899906645334E-3</v>
      </c>
      <c r="E3216" s="21">
        <f t="shared" ca="1" si="253"/>
        <v>2.3500928756638715E-4</v>
      </c>
      <c r="F3216" s="11">
        <f t="shared" ca="1" si="254"/>
        <v>4.1412670347586324</v>
      </c>
      <c r="G3216" s="10">
        <f t="shared" ca="1" si="252"/>
        <v>1</v>
      </c>
    </row>
    <row r="3217" spans="1:7" x14ac:dyDescent="0.2">
      <c r="A3217" s="2">
        <v>20021203</v>
      </c>
      <c r="B3217" s="13">
        <v>8742.93</v>
      </c>
      <c r="C3217" s="2">
        <f t="shared" si="250"/>
        <v>-1.3499470243958516E-2</v>
      </c>
      <c r="D3217" s="21">
        <f t="shared" ca="1" si="251"/>
        <v>-1.3883422659065383E-2</v>
      </c>
      <c r="E3217" s="21">
        <f t="shared" ca="1" si="253"/>
        <v>2.2466297482792228E-4</v>
      </c>
      <c r="F3217" s="11">
        <f t="shared" ca="1" si="254"/>
        <v>3.7714799725973784</v>
      </c>
      <c r="G3217" s="10">
        <f t="shared" ca="1" si="252"/>
        <v>1</v>
      </c>
    </row>
    <row r="3218" spans="1:7" x14ac:dyDescent="0.2">
      <c r="A3218" s="2">
        <v>20021204</v>
      </c>
      <c r="B3218" s="13">
        <v>8737.85</v>
      </c>
      <c r="C3218" s="2">
        <f t="shared" si="250"/>
        <v>-5.8104090962639841E-4</v>
      </c>
      <c r="D3218" s="21">
        <f t="shared" ca="1" si="251"/>
        <v>-9.649933247332657E-4</v>
      </c>
      <c r="E3218" s="21">
        <f t="shared" ca="1" si="253"/>
        <v>2.2129393696349405E-4</v>
      </c>
      <c r="F3218" s="11">
        <f t="shared" ca="1" si="254"/>
        <v>4.2059053379871365</v>
      </c>
      <c r="G3218" s="10">
        <f t="shared" ca="1" si="252"/>
        <v>1</v>
      </c>
    </row>
    <row r="3219" spans="1:7" x14ac:dyDescent="0.2">
      <c r="A3219" s="2">
        <v>20021205</v>
      </c>
      <c r="B3219" s="13">
        <v>8623.2800000000007</v>
      </c>
      <c r="C3219" s="2">
        <f t="shared" si="250"/>
        <v>-1.3111921124761778E-2</v>
      </c>
      <c r="D3219" s="21">
        <f t="shared" ca="1" si="251"/>
        <v>-1.3495873539868645E-2</v>
      </c>
      <c r="E3219" s="21">
        <f t="shared" ca="1" si="253"/>
        <v>2.1104184923250759E-4</v>
      </c>
      <c r="F3219" s="11">
        <f t="shared" ca="1" si="254"/>
        <v>3.8002045773668733</v>
      </c>
      <c r="G3219" s="10">
        <f t="shared" ca="1" si="252"/>
        <v>1</v>
      </c>
    </row>
    <row r="3220" spans="1:7" x14ac:dyDescent="0.2">
      <c r="A3220" s="2">
        <v>20021206</v>
      </c>
      <c r="B3220" s="13">
        <v>8645.77</v>
      </c>
      <c r="C3220" s="2">
        <f t="shared" si="250"/>
        <v>2.6080563312335654E-3</v>
      </c>
      <c r="D3220" s="21">
        <f t="shared" ca="1" si="251"/>
        <v>2.2241039161266982E-3</v>
      </c>
      <c r="E3220" s="21">
        <f t="shared" ca="1" si="253"/>
        <v>2.0797173014032924E-4</v>
      </c>
      <c r="F3220" s="11">
        <f t="shared" ca="1" si="254"/>
        <v>4.2271616265075762</v>
      </c>
      <c r="G3220" s="10">
        <f t="shared" ca="1" si="252"/>
        <v>1</v>
      </c>
    </row>
    <row r="3221" spans="1:7" x14ac:dyDescent="0.2">
      <c r="A3221" s="2">
        <v>20021209</v>
      </c>
      <c r="B3221" s="13">
        <v>8473.41</v>
      </c>
      <c r="C3221" s="2">
        <f t="shared" si="250"/>
        <v>-1.9935760493281753E-2</v>
      </c>
      <c r="D3221" s="21">
        <f t="shared" ca="1" si="251"/>
        <v>-2.0319712908388621E-2</v>
      </c>
      <c r="E3221" s="21">
        <f t="shared" ca="1" si="253"/>
        <v>1.9854127146834972E-4</v>
      </c>
      <c r="F3221" s="11">
        <f t="shared" ca="1" si="254"/>
        <v>3.2224459409653985</v>
      </c>
      <c r="G3221" s="10">
        <f t="shared" ca="1" si="252"/>
        <v>0</v>
      </c>
    </row>
    <row r="3222" spans="1:7" x14ac:dyDescent="0.2">
      <c r="A3222" s="2">
        <v>20021210</v>
      </c>
      <c r="B3222" s="13">
        <v>8574.26</v>
      </c>
      <c r="C3222" s="2">
        <f t="shared" si="250"/>
        <v>1.1901937944699993E-2</v>
      </c>
      <c r="D3222" s="21">
        <f t="shared" ca="1" si="251"/>
        <v>1.1517985529593126E-2</v>
      </c>
      <c r="E3222" s="21">
        <f t="shared" ca="1" si="253"/>
        <v>2.0458871944819767E-4</v>
      </c>
      <c r="F3222" s="11">
        <f t="shared" ca="1" si="254"/>
        <v>3.9230332437564064</v>
      </c>
      <c r="G3222" s="10">
        <f t="shared" ca="1" si="252"/>
        <v>1</v>
      </c>
    </row>
    <row r="3223" spans="1:7" x14ac:dyDescent="0.2">
      <c r="A3223" s="2">
        <v>20021211</v>
      </c>
      <c r="B3223" s="13">
        <v>8589.14</v>
      </c>
      <c r="C3223" s="2">
        <f t="shared" si="250"/>
        <v>1.7354267307031976E-3</v>
      </c>
      <c r="D3223" s="21">
        <f t="shared" ca="1" si="251"/>
        <v>1.3514743155963304E-3</v>
      </c>
      <c r="E3223" s="21">
        <f t="shared" ca="1" si="253"/>
        <v>2.0002579845040339E-4</v>
      </c>
      <c r="F3223" s="11">
        <f t="shared" ca="1" si="254"/>
        <v>4.2539664856065764</v>
      </c>
      <c r="G3223" s="10">
        <f t="shared" ca="1" si="252"/>
        <v>1</v>
      </c>
    </row>
    <row r="3224" spans="1:7" x14ac:dyDescent="0.2">
      <c r="A3224" s="2">
        <v>20021212</v>
      </c>
      <c r="B3224" s="13">
        <v>8538.4</v>
      </c>
      <c r="C3224" s="2">
        <f t="shared" si="250"/>
        <v>-5.9074598853901305E-3</v>
      </c>
      <c r="D3224" s="21">
        <f t="shared" ca="1" si="251"/>
        <v>-6.2914123004969976E-3</v>
      </c>
      <c r="E3224" s="21">
        <f t="shared" ca="1" si="253"/>
        <v>1.90882593516785E-4</v>
      </c>
      <c r="F3224" s="11">
        <f t="shared" ca="1" si="254"/>
        <v>4.1782448166865258</v>
      </c>
      <c r="G3224" s="10">
        <f t="shared" ca="1" si="252"/>
        <v>1</v>
      </c>
    </row>
    <row r="3225" spans="1:7" x14ac:dyDescent="0.2">
      <c r="A3225" s="2">
        <v>20021213</v>
      </c>
      <c r="B3225" s="13">
        <v>8433.7099999999991</v>
      </c>
      <c r="C3225" s="2">
        <f t="shared" si="250"/>
        <v>-1.2261079359130577E-2</v>
      </c>
      <c r="D3225" s="21">
        <f t="shared" ca="1" si="251"/>
        <v>-1.2645031774237444E-2</v>
      </c>
      <c r="E3225" s="21">
        <f t="shared" ca="1" si="253"/>
        <v>1.8359027779384841E-4</v>
      </c>
      <c r="F3225" s="11">
        <f t="shared" ca="1" si="254"/>
        <v>3.86593007800486</v>
      </c>
      <c r="G3225" s="10">
        <f t="shared" ca="1" si="252"/>
        <v>1</v>
      </c>
    </row>
    <row r="3226" spans="1:7" x14ac:dyDescent="0.2">
      <c r="A3226" s="2">
        <v>20021216</v>
      </c>
      <c r="B3226" s="13">
        <v>8627.4</v>
      </c>
      <c r="C3226" s="2">
        <f t="shared" si="250"/>
        <v>2.2966167914239468E-2</v>
      </c>
      <c r="D3226" s="21">
        <f t="shared" ca="1" si="251"/>
        <v>2.2582215499132599E-2</v>
      </c>
      <c r="E3226" s="21">
        <f t="shared" ca="1" si="253"/>
        <v>1.810910738732091E-4</v>
      </c>
      <c r="F3226" s="11">
        <f t="shared" ca="1" si="254"/>
        <v>2.9002442169892975</v>
      </c>
      <c r="G3226" s="10">
        <f t="shared" ca="1" si="252"/>
        <v>0</v>
      </c>
    </row>
    <row r="3227" spans="1:7" x14ac:dyDescent="0.2">
      <c r="A3227" s="2">
        <v>20021217</v>
      </c>
      <c r="B3227" s="13">
        <v>8535.39</v>
      </c>
      <c r="C3227" s="2">
        <f t="shared" si="250"/>
        <v>-1.0664858474163737E-2</v>
      </c>
      <c r="D3227" s="21">
        <f t="shared" ca="1" si="251"/>
        <v>-1.1048810889270604E-2</v>
      </c>
      <c r="E3227" s="21">
        <f t="shared" ca="1" si="253"/>
        <v>1.9159060925417267E-4</v>
      </c>
      <c r="F3227" s="11">
        <f t="shared" ca="1" si="254"/>
        <v>3.9614887214390464</v>
      </c>
      <c r="G3227" s="10">
        <f t="shared" ca="1" si="252"/>
        <v>1</v>
      </c>
    </row>
    <row r="3228" spans="1:7" x14ac:dyDescent="0.2">
      <c r="A3228" s="2">
        <v>20021218</v>
      </c>
      <c r="B3228" s="13">
        <v>8447.35</v>
      </c>
      <c r="C3228" s="2">
        <f t="shared" si="250"/>
        <v>-1.0314701495772198E-2</v>
      </c>
      <c r="D3228" s="21">
        <f t="shared" ca="1" si="251"/>
        <v>-1.0698653910879066E-2</v>
      </c>
      <c r="E3228" s="21">
        <f t="shared" ca="1" si="253"/>
        <v>1.8729593619299883E-4</v>
      </c>
      <c r="F3228" s="11">
        <f t="shared" ca="1" si="254"/>
        <v>3.9858479121989014</v>
      </c>
      <c r="G3228" s="10">
        <f t="shared" ca="1" si="252"/>
        <v>1</v>
      </c>
    </row>
    <row r="3229" spans="1:7" x14ac:dyDescent="0.2">
      <c r="A3229" s="2">
        <v>20021219</v>
      </c>
      <c r="B3229" s="13">
        <v>8364.7999999999993</v>
      </c>
      <c r="C3229" s="2">
        <f t="shared" si="250"/>
        <v>-9.7722954536039221E-3</v>
      </c>
      <c r="D3229" s="21">
        <f t="shared" ca="1" si="251"/>
        <v>-1.0156247868710789E-2</v>
      </c>
      <c r="E3229" s="21">
        <f t="shared" ca="1" si="253"/>
        <v>1.8293851423318918E-4</v>
      </c>
      <c r="F3229" s="11">
        <f t="shared" ca="1" si="254"/>
        <v>4.0212566199101225</v>
      </c>
      <c r="G3229" s="10">
        <f t="shared" ca="1" si="252"/>
        <v>1</v>
      </c>
    </row>
    <row r="3230" spans="1:7" x14ac:dyDescent="0.2">
      <c r="A3230" s="2">
        <v>20021220</v>
      </c>
      <c r="B3230" s="13">
        <v>8511.32</v>
      </c>
      <c r="C3230" s="2">
        <f t="shared" si="250"/>
        <v>1.7516258607498142E-2</v>
      </c>
      <c r="D3230" s="21">
        <f t="shared" ca="1" si="251"/>
        <v>1.7132306192391273E-2</v>
      </c>
      <c r="E3230" s="21">
        <f t="shared" ca="1" si="253"/>
        <v>1.7838558013861947E-4</v>
      </c>
      <c r="F3230" s="11">
        <f t="shared" ca="1" si="254"/>
        <v>3.493080794782585</v>
      </c>
      <c r="G3230" s="10">
        <f t="shared" ca="1" si="252"/>
        <v>0</v>
      </c>
    </row>
    <row r="3231" spans="1:7" x14ac:dyDescent="0.2">
      <c r="A3231" s="2">
        <v>20021223</v>
      </c>
      <c r="B3231" s="13">
        <v>8493.2900000000009</v>
      </c>
      <c r="C3231" s="2">
        <f t="shared" si="250"/>
        <v>-2.1183553197387521E-3</v>
      </c>
      <c r="D3231" s="21">
        <f t="shared" ca="1" si="251"/>
        <v>-2.5023077348456193E-3</v>
      </c>
      <c r="E3231" s="21">
        <f t="shared" ca="1" si="253"/>
        <v>1.8106309071654631E-4</v>
      </c>
      <c r="F3231" s="11">
        <f t="shared" ca="1" si="254"/>
        <v>4.2910414541970541</v>
      </c>
      <c r="G3231" s="10">
        <f t="shared" ca="1" si="252"/>
        <v>1</v>
      </c>
    </row>
    <row r="3232" spans="1:7" x14ac:dyDescent="0.2">
      <c r="A3232" s="2">
        <v>20021224</v>
      </c>
      <c r="B3232" s="13">
        <v>8448.11</v>
      </c>
      <c r="C3232" s="2">
        <f t="shared" si="250"/>
        <v>-5.3194933883101E-3</v>
      </c>
      <c r="D3232" s="21">
        <f t="shared" ca="1" si="251"/>
        <v>-5.7034458034169672E-3</v>
      </c>
      <c r="E3232" s="21">
        <f t="shared" ca="1" si="253"/>
        <v>1.7304230035412524E-4</v>
      </c>
      <c r="F3232" s="11">
        <f t="shared" ca="1" si="254"/>
        <v>4.2369949227756791</v>
      </c>
      <c r="G3232" s="10">
        <f t="shared" ca="1" si="252"/>
        <v>1</v>
      </c>
    </row>
    <row r="3233" spans="1:7" x14ac:dyDescent="0.2">
      <c r="A3233" s="2">
        <v>20021226</v>
      </c>
      <c r="B3233" s="13">
        <v>8432.61</v>
      </c>
      <c r="C3233" s="2">
        <f t="shared" si="250"/>
        <v>-1.8347298981665719E-3</v>
      </c>
      <c r="D3233" s="21">
        <f t="shared" ca="1" si="251"/>
        <v>-2.2186823132734393E-3</v>
      </c>
      <c r="E3233" s="21">
        <f t="shared" ca="1" si="253"/>
        <v>1.6639319545052697E-4</v>
      </c>
      <c r="F3233" s="11">
        <f t="shared" ca="1" si="254"/>
        <v>4.3357865369538686</v>
      </c>
      <c r="G3233" s="10">
        <f t="shared" ca="1" si="252"/>
        <v>1</v>
      </c>
    </row>
    <row r="3234" spans="1:7" x14ac:dyDescent="0.2">
      <c r="A3234" s="2">
        <v>20021227</v>
      </c>
      <c r="B3234" s="13">
        <v>8303.7800000000007</v>
      </c>
      <c r="C3234" s="2">
        <f t="shared" si="250"/>
        <v>-1.5277594955772876E-2</v>
      </c>
      <c r="D3234" s="21">
        <f t="shared" ca="1" si="251"/>
        <v>-1.5661547370879745E-2</v>
      </c>
      <c r="E3234" s="21">
        <f t="shared" ca="1" si="253"/>
        <v>1.5906532281695674E-4</v>
      </c>
      <c r="F3234" s="11">
        <f t="shared" ca="1" si="254"/>
        <v>3.6020810222855886</v>
      </c>
      <c r="G3234" s="10">
        <f t="shared" ca="1" si="252"/>
        <v>0</v>
      </c>
    </row>
    <row r="3235" spans="1:7" x14ac:dyDescent="0.2">
      <c r="A3235" s="2">
        <v>20021230</v>
      </c>
      <c r="B3235" s="13">
        <v>8332.85</v>
      </c>
      <c r="C3235" s="2">
        <f t="shared" si="250"/>
        <v>3.5008152913492056E-3</v>
      </c>
      <c r="D3235" s="21">
        <f t="shared" ca="1" si="251"/>
        <v>3.1168628762423384E-3</v>
      </c>
      <c r="E3235" s="21">
        <f t="shared" ca="1" si="253"/>
        <v>1.6094668225602191E-4</v>
      </c>
      <c r="F3235" s="11">
        <f t="shared" ca="1" si="254"/>
        <v>4.3370384197678327</v>
      </c>
      <c r="G3235" s="10">
        <f t="shared" ca="1" si="252"/>
        <v>1</v>
      </c>
    </row>
    <row r="3236" spans="1:7" x14ac:dyDescent="0.2">
      <c r="A3236" s="2">
        <v>20021231</v>
      </c>
      <c r="B3236" s="13">
        <v>8341.6299999999992</v>
      </c>
      <c r="C3236" s="2">
        <f t="shared" si="250"/>
        <v>1.0536611123443762E-3</v>
      </c>
      <c r="D3236" s="21">
        <f t="shared" ca="1" si="251"/>
        <v>6.6970869723750892E-4</v>
      </c>
      <c r="E3236" s="21">
        <f t="shared" ca="1" si="253"/>
        <v>1.5407057113110613E-4</v>
      </c>
      <c r="F3236" s="11">
        <f t="shared" ca="1" si="254"/>
        <v>4.3875943697618114</v>
      </c>
      <c r="G3236" s="10">
        <f t="shared" ca="1" si="252"/>
        <v>1</v>
      </c>
    </row>
    <row r="3237" spans="1:7" x14ac:dyDescent="0.2">
      <c r="A3237" s="2">
        <v>20030102</v>
      </c>
      <c r="B3237" s="13">
        <v>8607.52</v>
      </c>
      <c r="C3237" s="2">
        <f t="shared" si="250"/>
        <v>3.1875065185101865E-2</v>
      </c>
      <c r="D3237" s="21">
        <f t="shared" ca="1" si="251"/>
        <v>3.1491112769995E-2</v>
      </c>
      <c r="E3237" s="21">
        <f t="shared" ca="1" si="253"/>
        <v>1.4720158580258736E-4</v>
      </c>
      <c r="F3237" s="11">
        <f t="shared" ca="1" si="254"/>
        <v>1.0433772267556365</v>
      </c>
      <c r="G3237" s="10">
        <f t="shared" ca="1" si="252"/>
        <v>0</v>
      </c>
    </row>
    <row r="3238" spans="1:7" x14ac:dyDescent="0.2">
      <c r="A3238" s="2">
        <v>20030103</v>
      </c>
      <c r="B3238" s="13">
        <v>8601.69</v>
      </c>
      <c r="C3238" s="2">
        <f t="shared" si="250"/>
        <v>-6.7731472015167282E-4</v>
      </c>
      <c r="D3238" s="21">
        <f t="shared" ca="1" si="251"/>
        <v>-1.0612671352585401E-3</v>
      </c>
      <c r="E3238" s="21">
        <f t="shared" ca="1" si="253"/>
        <v>1.7712979180207225E-4</v>
      </c>
      <c r="F3238" s="11">
        <f t="shared" ca="1" si="254"/>
        <v>4.3161346305391914</v>
      </c>
      <c r="G3238" s="10">
        <f t="shared" ca="1" si="252"/>
        <v>1</v>
      </c>
    </row>
    <row r="3239" spans="1:7" x14ac:dyDescent="0.2">
      <c r="A3239" s="2">
        <v>20030106</v>
      </c>
      <c r="B3239" s="13">
        <v>8773.57</v>
      </c>
      <c r="C3239" s="2">
        <f t="shared" si="250"/>
        <v>1.9982119792738309E-2</v>
      </c>
      <c r="D3239" s="21">
        <f t="shared" ca="1" si="251"/>
        <v>1.959816737763144E-2</v>
      </c>
      <c r="E3239" s="21">
        <f t="shared" ca="1" si="253"/>
        <v>1.6911915599482897E-4</v>
      </c>
      <c r="F3239" s="11">
        <f t="shared" ca="1" si="254"/>
        <v>3.2068986368226766</v>
      </c>
      <c r="G3239" s="10">
        <f t="shared" ca="1" si="252"/>
        <v>0</v>
      </c>
    </row>
    <row r="3240" spans="1:7" x14ac:dyDescent="0.2">
      <c r="A3240" s="2">
        <v>20030107</v>
      </c>
      <c r="B3240" s="13">
        <v>8740.59</v>
      </c>
      <c r="C3240" s="2">
        <f t="shared" si="250"/>
        <v>-3.7590171389753047E-3</v>
      </c>
      <c r="D3240" s="21">
        <f t="shared" ca="1" si="251"/>
        <v>-4.1429695540821723E-3</v>
      </c>
      <c r="E3240" s="21">
        <f t="shared" ca="1" si="253"/>
        <v>1.7559595776380776E-4</v>
      </c>
      <c r="F3240" s="11">
        <f t="shared" ca="1" si="254"/>
        <v>4.2747883257255133</v>
      </c>
      <c r="G3240" s="10">
        <f t="shared" ca="1" si="252"/>
        <v>1</v>
      </c>
    </row>
    <row r="3241" spans="1:7" x14ac:dyDescent="0.2">
      <c r="A3241" s="2">
        <v>20030108</v>
      </c>
      <c r="B3241" s="13">
        <v>8595.31</v>
      </c>
      <c r="C3241" s="2">
        <f t="shared" si="250"/>
        <v>-1.6621303596210397E-2</v>
      </c>
      <c r="D3241" s="21">
        <f t="shared" ca="1" si="251"/>
        <v>-1.7005256011317266E-2</v>
      </c>
      <c r="E3241" s="21">
        <f t="shared" ca="1" si="253"/>
        <v>1.6825266103488387E-4</v>
      </c>
      <c r="F3241" s="11">
        <f t="shared" ca="1" si="254"/>
        <v>3.4856633178756669</v>
      </c>
      <c r="G3241" s="10">
        <f t="shared" ca="1" si="252"/>
        <v>0</v>
      </c>
    </row>
    <row r="3242" spans="1:7" x14ac:dyDescent="0.2">
      <c r="A3242" s="2">
        <v>20030109</v>
      </c>
      <c r="B3242" s="13">
        <v>8776.18</v>
      </c>
      <c r="C3242" s="2">
        <f t="shared" si="250"/>
        <v>2.1042871054098203E-2</v>
      </c>
      <c r="D3242" s="21">
        <f t="shared" ca="1" si="251"/>
        <v>2.0658918638991334E-2</v>
      </c>
      <c r="E3242" s="21">
        <f t="shared" ca="1" si="253"/>
        <v>1.7128331351794825E-4</v>
      </c>
      <c r="F3242" s="11">
        <f t="shared" ca="1" si="254"/>
        <v>3.0902332696544903</v>
      </c>
      <c r="G3242" s="10">
        <f t="shared" ca="1" si="252"/>
        <v>0</v>
      </c>
    </row>
    <row r="3243" spans="1:7" x14ac:dyDescent="0.2">
      <c r="A3243" s="2">
        <v>20030110</v>
      </c>
      <c r="B3243" s="13">
        <v>8784.89</v>
      </c>
      <c r="C3243" s="2">
        <f t="shared" si="250"/>
        <v>9.9245913370043983E-4</v>
      </c>
      <c r="D3243" s="21">
        <f t="shared" ca="1" si="251"/>
        <v>6.0850671859357254E-4</v>
      </c>
      <c r="E3243" s="21">
        <f t="shared" ca="1" si="253"/>
        <v>1.7922088469919464E-4</v>
      </c>
      <c r="F3243" s="11">
        <f t="shared" ca="1" si="254"/>
        <v>4.3124127319485925</v>
      </c>
      <c r="G3243" s="10">
        <f t="shared" ca="1" si="252"/>
        <v>1</v>
      </c>
    </row>
    <row r="3244" spans="1:7" x14ac:dyDescent="0.2">
      <c r="A3244" s="2">
        <v>20030113</v>
      </c>
      <c r="B3244" s="13">
        <v>8785.98</v>
      </c>
      <c r="C3244" s="2">
        <f t="shared" si="250"/>
        <v>1.2407668166592248E-4</v>
      </c>
      <c r="D3244" s="21">
        <f t="shared" ca="1" si="251"/>
        <v>-2.5987573344094482E-4</v>
      </c>
      <c r="E3244" s="21">
        <f t="shared" ca="1" si="253"/>
        <v>1.7107666009775053E-4</v>
      </c>
      <c r="F3244" s="11">
        <f t="shared" ca="1" si="254"/>
        <v>4.3365020151948137</v>
      </c>
      <c r="G3244" s="10">
        <f t="shared" ca="1" si="252"/>
        <v>1</v>
      </c>
    </row>
    <row r="3245" spans="1:7" x14ac:dyDescent="0.2">
      <c r="A3245" s="2">
        <v>20030114</v>
      </c>
      <c r="B3245" s="13">
        <v>8842.6200000000008</v>
      </c>
      <c r="C3245" s="2">
        <f t="shared" si="250"/>
        <v>6.4466342969140885E-3</v>
      </c>
      <c r="D3245" s="21">
        <f t="shared" ca="1" si="251"/>
        <v>6.0626818818072213E-3</v>
      </c>
      <c r="E3245" s="21">
        <f t="shared" ca="1" si="253"/>
        <v>1.633333220371451E-4</v>
      </c>
      <c r="F3245" s="11">
        <f t="shared" ca="1" si="254"/>
        <v>4.2473400455826207</v>
      </c>
      <c r="G3245" s="10">
        <f t="shared" ca="1" si="252"/>
        <v>1</v>
      </c>
    </row>
    <row r="3246" spans="1:7" x14ac:dyDescent="0.2">
      <c r="A3246" s="2">
        <v>20030115</v>
      </c>
      <c r="B3246" s="13">
        <v>8723.18</v>
      </c>
      <c r="C3246" s="2">
        <f t="shared" ref="C3246:C3309" si="255">(B3246-B3245)/B3245</f>
        <v>-1.3507308919754608E-2</v>
      </c>
      <c r="D3246" s="21">
        <f t="shared" ca="1" si="251"/>
        <v>-1.3891261334861476E-2</v>
      </c>
      <c r="E3246" s="21">
        <f t="shared" ca="1" si="253"/>
        <v>1.5733082500560126E-4</v>
      </c>
      <c r="F3246" s="11">
        <f t="shared" ca="1" si="254"/>
        <v>3.7653270906809668</v>
      </c>
      <c r="G3246" s="10">
        <f t="shared" ca="1" si="252"/>
        <v>0</v>
      </c>
    </row>
    <row r="3247" spans="1:7" x14ac:dyDescent="0.2">
      <c r="A3247" s="2">
        <v>20030116</v>
      </c>
      <c r="B3247" s="13">
        <v>8697.8700000000008</v>
      </c>
      <c r="C3247" s="2">
        <f t="shared" si="255"/>
        <v>-2.9014648327788137E-3</v>
      </c>
      <c r="D3247" s="21">
        <f t="shared" ca="1" si="251"/>
        <v>-3.2854172478856808E-3</v>
      </c>
      <c r="E3247" s="21">
        <f t="shared" ca="1" si="253"/>
        <v>1.5737614859554638E-4</v>
      </c>
      <c r="F3247" s="11">
        <f t="shared" ca="1" si="254"/>
        <v>4.3441423562938475</v>
      </c>
      <c r="G3247" s="10">
        <f t="shared" ca="1" si="252"/>
        <v>1</v>
      </c>
    </row>
    <row r="3248" spans="1:7" x14ac:dyDescent="0.2">
      <c r="A3248" s="2">
        <v>20030117</v>
      </c>
      <c r="B3248" s="13">
        <v>8586.74</v>
      </c>
      <c r="C3248" s="2">
        <f t="shared" si="255"/>
        <v>-1.2776691304882806E-2</v>
      </c>
      <c r="D3248" s="21">
        <f t="shared" ca="1" si="251"/>
        <v>-1.3160643719989673E-2</v>
      </c>
      <c r="E3248" s="21">
        <f t="shared" ca="1" si="253"/>
        <v>1.5072035352317533E-4</v>
      </c>
      <c r="F3248" s="11">
        <f t="shared" ca="1" si="254"/>
        <v>3.8254597403713468</v>
      </c>
      <c r="G3248" s="10">
        <f t="shared" ca="1" si="252"/>
        <v>0</v>
      </c>
    </row>
    <row r="3249" spans="1:7" x14ac:dyDescent="0.2">
      <c r="A3249" s="2">
        <v>20030121</v>
      </c>
      <c r="B3249" s="13">
        <v>8442.9</v>
      </c>
      <c r="C3249" s="2">
        <f t="shared" si="255"/>
        <v>-1.6751409731749201E-2</v>
      </c>
      <c r="D3249" s="21">
        <f t="shared" ca="1" si="251"/>
        <v>-1.713536214685607E-2</v>
      </c>
      <c r="E3249" s="21">
        <f t="shared" ca="1" si="253"/>
        <v>1.5037332425080015E-4</v>
      </c>
      <c r="F3249" s="11">
        <f t="shared" ca="1" si="254"/>
        <v>3.424889167788121</v>
      </c>
      <c r="G3249" s="10">
        <f t="shared" ca="1" si="252"/>
        <v>0</v>
      </c>
    </row>
    <row r="3250" spans="1:7" x14ac:dyDescent="0.2">
      <c r="A3250" s="2">
        <v>20030122</v>
      </c>
      <c r="B3250" s="13">
        <v>8318.73</v>
      </c>
      <c r="C3250" s="2">
        <f t="shared" si="255"/>
        <v>-1.4707031944000293E-2</v>
      </c>
      <c r="D3250" s="21">
        <f t="shared" ca="1" si="251"/>
        <v>-1.5090984359107161E-2</v>
      </c>
      <c r="E3250" s="21">
        <f t="shared" ca="1" si="253"/>
        <v>1.5447183483073437E-4</v>
      </c>
      <c r="F3250" s="11">
        <f t="shared" ca="1" si="254"/>
        <v>3.6505994440950511</v>
      </c>
      <c r="G3250" s="10">
        <f t="shared" ca="1" si="252"/>
        <v>0</v>
      </c>
    </row>
    <row r="3251" spans="1:7" x14ac:dyDescent="0.2">
      <c r="A3251" s="2">
        <v>20030123</v>
      </c>
      <c r="B3251" s="13">
        <v>8369.4699999999993</v>
      </c>
      <c r="C3251" s="2">
        <f t="shared" si="255"/>
        <v>6.0994887440750916E-3</v>
      </c>
      <c r="D3251" s="21">
        <f t="shared" ca="1" si="251"/>
        <v>5.7155363289682244E-3</v>
      </c>
      <c r="E3251" s="21">
        <f t="shared" ca="1" si="253"/>
        <v>1.5594037382847255E-4</v>
      </c>
      <c r="F3251" s="11">
        <f t="shared" ca="1" si="254"/>
        <v>4.2782753240176961</v>
      </c>
      <c r="G3251" s="10">
        <f t="shared" ca="1" si="252"/>
        <v>1</v>
      </c>
    </row>
    <row r="3252" spans="1:7" x14ac:dyDescent="0.2">
      <c r="A3252" s="2">
        <v>20030124</v>
      </c>
      <c r="B3252" s="13">
        <v>8131.01</v>
      </c>
      <c r="C3252" s="2">
        <f t="shared" si="255"/>
        <v>-2.8491648814082511E-2</v>
      </c>
      <c r="D3252" s="21">
        <f t="shared" ca="1" si="251"/>
        <v>-2.887560122918938E-2</v>
      </c>
      <c r="E3252" s="21">
        <f t="shared" ca="1" si="253"/>
        <v>1.5016153778110256E-4</v>
      </c>
      <c r="F3252" s="11">
        <f t="shared" ca="1" si="254"/>
        <v>1.6255548715354062</v>
      </c>
      <c r="G3252" s="10">
        <f t="shared" ca="1" si="252"/>
        <v>0</v>
      </c>
    </row>
    <row r="3253" spans="1:7" x14ac:dyDescent="0.2">
      <c r="A3253" s="2">
        <v>20030127</v>
      </c>
      <c r="B3253" s="13">
        <v>7989.56</v>
      </c>
      <c r="C3253" s="2">
        <f t="shared" si="255"/>
        <v>-1.7396362813475792E-2</v>
      </c>
      <c r="D3253" s="21">
        <f t="shared" ca="1" si="251"/>
        <v>-1.7780315228582661E-2</v>
      </c>
      <c r="E3253" s="21">
        <f t="shared" ca="1" si="253"/>
        <v>1.7413411384046635E-4</v>
      </c>
      <c r="F3253" s="11">
        <f t="shared" ca="1" si="254"/>
        <v>3.4200949029232226</v>
      </c>
      <c r="G3253" s="10">
        <f t="shared" ca="1" si="252"/>
        <v>0</v>
      </c>
    </row>
    <row r="3254" spans="1:7" x14ac:dyDescent="0.2">
      <c r="A3254" s="2">
        <v>20030128</v>
      </c>
      <c r="B3254" s="13">
        <v>8088.84</v>
      </c>
      <c r="C3254" s="2">
        <f t="shared" si="255"/>
        <v>1.2426216212156832E-2</v>
      </c>
      <c r="D3254" s="21">
        <f t="shared" ca="1" si="251"/>
        <v>1.2042263797049965E-2</v>
      </c>
      <c r="E3254" s="21">
        <f t="shared" ca="1" si="253"/>
        <v>1.7785862023449417E-4</v>
      </c>
      <c r="F3254" s="11">
        <f t="shared" ca="1" si="254"/>
        <v>3.9095883502257873</v>
      </c>
      <c r="G3254" s="10">
        <f t="shared" ca="1" si="252"/>
        <v>1</v>
      </c>
    </row>
    <row r="3255" spans="1:7" x14ac:dyDescent="0.2">
      <c r="A3255" s="2">
        <v>20030129</v>
      </c>
      <c r="B3255" s="13">
        <v>8110.71</v>
      </c>
      <c r="C3255" s="2">
        <f t="shared" si="255"/>
        <v>2.703725132404633E-3</v>
      </c>
      <c r="D3255" s="21">
        <f t="shared" ca="1" si="251"/>
        <v>2.3197727172977658E-3</v>
      </c>
      <c r="E3255" s="21">
        <f t="shared" ca="1" si="253"/>
        <v>1.7510219302326163E-4</v>
      </c>
      <c r="F3255" s="11">
        <f t="shared" ca="1" si="254"/>
        <v>4.3097040977367378</v>
      </c>
      <c r="G3255" s="10">
        <f t="shared" ca="1" si="252"/>
        <v>1</v>
      </c>
    </row>
    <row r="3256" spans="1:7" x14ac:dyDescent="0.2">
      <c r="A3256" s="2">
        <v>20030130</v>
      </c>
      <c r="B3256" s="13">
        <v>7945.13</v>
      </c>
      <c r="C3256" s="2">
        <f t="shared" si="255"/>
        <v>-2.0414982165556397E-2</v>
      </c>
      <c r="D3256" s="21">
        <f t="shared" ca="1" si="251"/>
        <v>-2.0798934580663266E-2</v>
      </c>
      <c r="E3256" s="21">
        <f t="shared" ca="1" si="253"/>
        <v>1.6735060000067255E-4</v>
      </c>
      <c r="F3256" s="11">
        <f t="shared" ca="1" si="254"/>
        <v>3.0552265675176078</v>
      </c>
      <c r="G3256" s="10">
        <f t="shared" ca="1" si="252"/>
        <v>0</v>
      </c>
    </row>
    <row r="3257" spans="1:7" x14ac:dyDescent="0.2">
      <c r="A3257" s="2">
        <v>20030131</v>
      </c>
      <c r="B3257" s="13">
        <v>8053.81</v>
      </c>
      <c r="C3257" s="2">
        <f t="shared" si="255"/>
        <v>1.3678819603958689E-2</v>
      </c>
      <c r="D3257" s="21">
        <f t="shared" ca="1" si="251"/>
        <v>1.3294867188851821E-2</v>
      </c>
      <c r="E3257" s="21">
        <f t="shared" ca="1" si="253"/>
        <v>1.757005796274175E-4</v>
      </c>
      <c r="F3257" s="11">
        <f t="shared" ca="1" si="254"/>
        <v>3.8203683016054679</v>
      </c>
      <c r="G3257" s="10">
        <f t="shared" ca="1" si="252"/>
        <v>0</v>
      </c>
    </row>
    <row r="3258" spans="1:7" x14ac:dyDescent="0.2">
      <c r="A3258" s="2">
        <v>20030203</v>
      </c>
      <c r="B3258" s="13">
        <v>8109.82</v>
      </c>
      <c r="C3258" s="2">
        <f t="shared" si="255"/>
        <v>6.9544724794847789E-3</v>
      </c>
      <c r="D3258" s="21">
        <f t="shared" ca="1" si="251"/>
        <v>6.5705200643779117E-3</v>
      </c>
      <c r="E3258" s="21">
        <f t="shared" ca="1" si="253"/>
        <v>1.7422036713931081E-4</v>
      </c>
      <c r="F3258" s="11">
        <f t="shared" ca="1" si="254"/>
        <v>4.2036950008011438</v>
      </c>
      <c r="G3258" s="10">
        <f t="shared" ca="1" si="252"/>
        <v>1</v>
      </c>
    </row>
    <row r="3259" spans="1:7" x14ac:dyDescent="0.2">
      <c r="A3259" s="2">
        <v>20030204</v>
      </c>
      <c r="B3259" s="13">
        <v>8013.29</v>
      </c>
      <c r="C3259" s="2">
        <f t="shared" si="255"/>
        <v>-1.1902853577514637E-2</v>
      </c>
      <c r="D3259" s="21">
        <f t="shared" ca="1" si="251"/>
        <v>-1.2286805992621504E-2</v>
      </c>
      <c r="E3259" s="21">
        <f t="shared" ca="1" si="253"/>
        <v>1.6790300454588576E-4</v>
      </c>
      <c r="F3259" s="11">
        <f t="shared" ca="1" si="254"/>
        <v>3.8965001078386683</v>
      </c>
      <c r="G3259" s="10">
        <f t="shared" ca="1" si="252"/>
        <v>1</v>
      </c>
    </row>
    <row r="3260" spans="1:7" x14ac:dyDescent="0.2">
      <c r="A3260" s="2">
        <v>20030205</v>
      </c>
      <c r="B3260" s="13">
        <v>7985.18</v>
      </c>
      <c r="C3260" s="2">
        <f t="shared" si="255"/>
        <v>-3.50792246380696E-3</v>
      </c>
      <c r="D3260" s="21">
        <f t="shared" ca="1" si="251"/>
        <v>-3.8918748789138272E-3</v>
      </c>
      <c r="E3260" s="21">
        <f t="shared" ca="1" si="253"/>
        <v>1.6586900813037056E-4</v>
      </c>
      <c r="F3260" s="11">
        <f t="shared" ca="1" si="254"/>
        <v>4.306497504378922</v>
      </c>
      <c r="G3260" s="10">
        <f t="shared" ca="1" si="252"/>
        <v>1</v>
      </c>
    </row>
    <row r="3261" spans="1:7" x14ac:dyDescent="0.2">
      <c r="A3261" s="2">
        <v>20030206</v>
      </c>
      <c r="B3261" s="13">
        <v>7929.3</v>
      </c>
      <c r="C3261" s="2">
        <f t="shared" si="255"/>
        <v>-6.9979637278057734E-3</v>
      </c>
      <c r="D3261" s="21">
        <f t="shared" ca="1" si="251"/>
        <v>-7.3819161429126406E-3</v>
      </c>
      <c r="E3261" s="21">
        <f t="shared" ca="1" si="253"/>
        <v>1.5894361374384954E-4</v>
      </c>
      <c r="F3261" s="11">
        <f t="shared" ca="1" si="254"/>
        <v>4.2020590857001316</v>
      </c>
      <c r="G3261" s="10">
        <f t="shared" ca="1" si="252"/>
        <v>1</v>
      </c>
    </row>
    <row r="3262" spans="1:7" x14ac:dyDescent="0.2">
      <c r="A3262" s="2">
        <v>20030207</v>
      </c>
      <c r="B3262" s="13">
        <v>7864.23</v>
      </c>
      <c r="C3262" s="2">
        <f t="shared" si="255"/>
        <v>-8.2062729370815345E-3</v>
      </c>
      <c r="D3262" s="21">
        <f t="shared" ca="1" si="251"/>
        <v>-8.5902253521884017E-3</v>
      </c>
      <c r="E3262" s="21">
        <f t="shared" ca="1" si="253"/>
        <v>1.5381539830764977E-4</v>
      </c>
      <c r="F3262" s="11">
        <f t="shared" ca="1" si="254"/>
        <v>4.1500068327063344</v>
      </c>
      <c r="G3262" s="10">
        <f t="shared" ca="1" si="252"/>
        <v>1</v>
      </c>
    </row>
    <row r="3263" spans="1:7" x14ac:dyDescent="0.2">
      <c r="A3263" s="2">
        <v>20030210</v>
      </c>
      <c r="B3263" s="13">
        <v>7920.11</v>
      </c>
      <c r="C3263" s="2">
        <f t="shared" si="255"/>
        <v>7.1055907571370763E-3</v>
      </c>
      <c r="D3263" s="21">
        <f t="shared" ca="1" si="251"/>
        <v>6.7216383420302091E-3</v>
      </c>
      <c r="E3263" s="21">
        <f t="shared" ca="1" si="253"/>
        <v>1.496562894100989E-4</v>
      </c>
      <c r="F3263" s="11">
        <f t="shared" ca="1" si="254"/>
        <v>4.2526373606627343</v>
      </c>
      <c r="G3263" s="10">
        <f t="shared" ca="1" si="252"/>
        <v>1</v>
      </c>
    </row>
    <row r="3264" spans="1:7" x14ac:dyDescent="0.2">
      <c r="A3264" s="2">
        <v>20030211</v>
      </c>
      <c r="B3264" s="13">
        <v>7843.11</v>
      </c>
      <c r="C3264" s="2">
        <f t="shared" si="255"/>
        <v>-9.7220871932334283E-3</v>
      </c>
      <c r="D3264" s="21">
        <f t="shared" ca="1" si="251"/>
        <v>-1.0106039608340295E-2</v>
      </c>
      <c r="E3264" s="21">
        <f t="shared" ca="1" si="253"/>
        <v>1.44655494565205E-4</v>
      </c>
      <c r="F3264" s="11">
        <f t="shared" ca="1" si="254"/>
        <v>4.0675595988622728</v>
      </c>
      <c r="G3264" s="10">
        <f t="shared" ca="1" si="252"/>
        <v>1</v>
      </c>
    </row>
    <row r="3265" spans="1:7" x14ac:dyDescent="0.2">
      <c r="A3265" s="2">
        <v>20030212</v>
      </c>
      <c r="B3265" s="13">
        <v>7758.17</v>
      </c>
      <c r="C3265" s="2">
        <f t="shared" si="255"/>
        <v>-1.0829887633859477E-2</v>
      </c>
      <c r="D3265" s="21">
        <f t="shared" ca="1" si="251"/>
        <v>-1.1213840048966344E-2</v>
      </c>
      <c r="E3265" s="21">
        <f t="shared" ca="1" si="253"/>
        <v>1.420019018858256E-4</v>
      </c>
      <c r="F3265" s="11">
        <f t="shared" ca="1" si="254"/>
        <v>3.9870585589976573</v>
      </c>
      <c r="G3265" s="10">
        <f t="shared" ca="1" si="252"/>
        <v>1</v>
      </c>
    </row>
    <row r="3266" spans="1:7" x14ac:dyDescent="0.2">
      <c r="A3266" s="2">
        <v>20030213</v>
      </c>
      <c r="B3266" s="13">
        <v>7749.87</v>
      </c>
      <c r="C3266" s="2">
        <f t="shared" si="255"/>
        <v>-1.0698399235902515E-3</v>
      </c>
      <c r="D3266" s="21">
        <f t="shared" ca="1" si="251"/>
        <v>-1.4537923386971187E-3</v>
      </c>
      <c r="E3266" s="21">
        <f t="shared" ca="1" si="253"/>
        <v>1.4035103675959413E-4</v>
      </c>
      <c r="F3266" s="11">
        <f t="shared" ca="1" si="254"/>
        <v>4.4281525555884924</v>
      </c>
      <c r="G3266" s="10">
        <f t="shared" ca="1" si="252"/>
        <v>1</v>
      </c>
    </row>
    <row r="3267" spans="1:7" x14ac:dyDescent="0.2">
      <c r="A3267" s="2">
        <v>20030214</v>
      </c>
      <c r="B3267" s="13">
        <v>7908.8</v>
      </c>
      <c r="C3267" s="2">
        <f t="shared" si="255"/>
        <v>2.0507440769974242E-2</v>
      </c>
      <c r="D3267" s="21">
        <f t="shared" ca="1" si="251"/>
        <v>2.0123488354867373E-2</v>
      </c>
      <c r="E3267" s="21">
        <f t="shared" ca="1" si="253"/>
        <v>1.3423735223861894E-4</v>
      </c>
      <c r="F3267" s="11">
        <f t="shared" ca="1" si="254"/>
        <v>2.9495969325714992</v>
      </c>
      <c r="G3267" s="10">
        <f t="shared" ca="1" si="252"/>
        <v>0</v>
      </c>
    </row>
    <row r="3268" spans="1:7" x14ac:dyDescent="0.2">
      <c r="A3268" s="2">
        <v>20030218</v>
      </c>
      <c r="B3268" s="13">
        <v>8041.15</v>
      </c>
      <c r="C3268" s="2">
        <f t="shared" si="255"/>
        <v>1.6734523568682918E-2</v>
      </c>
      <c r="D3268" s="21">
        <f t="shared" ca="1" si="251"/>
        <v>1.6350571153576049E-2</v>
      </c>
      <c r="E3268" s="21">
        <f t="shared" ca="1" si="253"/>
        <v>1.4324613795993631E-4</v>
      </c>
      <c r="F3268" s="11">
        <f t="shared" ca="1" si="254"/>
        <v>3.4923199058760668</v>
      </c>
      <c r="G3268" s="10">
        <f t="shared" ca="1" si="252"/>
        <v>0</v>
      </c>
    </row>
    <row r="3269" spans="1:7" x14ac:dyDescent="0.2">
      <c r="A3269" s="2">
        <v>20030219</v>
      </c>
      <c r="B3269" s="13">
        <v>8000.6</v>
      </c>
      <c r="C3269" s="2">
        <f t="shared" si="255"/>
        <v>-5.042811040709261E-3</v>
      </c>
      <c r="D3269" s="21">
        <f t="shared" ca="1" si="251"/>
        <v>-5.4267634558161281E-3</v>
      </c>
      <c r="E3269" s="21">
        <f t="shared" ca="1" si="253"/>
        <v>1.4673887365375523E-4</v>
      </c>
      <c r="F3269" s="11">
        <f t="shared" ca="1" si="254"/>
        <v>4.3130804488115482</v>
      </c>
      <c r="G3269" s="10">
        <f t="shared" ca="1" si="252"/>
        <v>1</v>
      </c>
    </row>
    <row r="3270" spans="1:7" x14ac:dyDescent="0.2">
      <c r="A3270" s="2">
        <v>20030220</v>
      </c>
      <c r="B3270" s="13">
        <v>7914.96</v>
      </c>
      <c r="C3270" s="2">
        <f t="shared" si="255"/>
        <v>-1.0704197185211149E-2</v>
      </c>
      <c r="D3270" s="21">
        <f t="shared" ca="1" si="251"/>
        <v>-1.1088149600318016E-2</v>
      </c>
      <c r="E3270" s="21">
        <f t="shared" ca="1" si="253"/>
        <v>1.4130722798335346E-4</v>
      </c>
      <c r="F3270" s="11">
        <f t="shared" ca="1" si="254"/>
        <v>3.9972524766277013</v>
      </c>
      <c r="G3270" s="10">
        <f t="shared" ca="1" si="252"/>
        <v>1</v>
      </c>
    </row>
    <row r="3271" spans="1:7" x14ac:dyDescent="0.2">
      <c r="A3271" s="2">
        <v>20030221</v>
      </c>
      <c r="B3271" s="13">
        <v>8018.11</v>
      </c>
      <c r="C3271" s="2">
        <f t="shared" si="255"/>
        <v>1.3032283170098097E-2</v>
      </c>
      <c r="D3271" s="21">
        <f t="shared" ca="1" si="251"/>
        <v>1.264833075499123E-2</v>
      </c>
      <c r="E3271" s="21">
        <f t="shared" ca="1" si="253"/>
        <v>1.3958843002584569E-4</v>
      </c>
      <c r="F3271" s="11">
        <f t="shared" ca="1" si="254"/>
        <v>3.8653633922232986</v>
      </c>
      <c r="G3271" s="10">
        <f t="shared" ca="1" si="252"/>
        <v>0</v>
      </c>
    </row>
    <row r="3272" spans="1:7" x14ac:dyDescent="0.2">
      <c r="A3272" s="2">
        <v>20030224</v>
      </c>
      <c r="B3272" s="13">
        <v>7858.24</v>
      </c>
      <c r="C3272" s="2">
        <f t="shared" si="255"/>
        <v>-1.9938613962642057E-2</v>
      </c>
      <c r="D3272" s="21">
        <f t="shared" ca="1" si="251"/>
        <v>-2.0322566377748926E-2</v>
      </c>
      <c r="E3272" s="21">
        <f t="shared" ca="1" si="253"/>
        <v>1.3931836239168685E-4</v>
      </c>
      <c r="F3272" s="11">
        <f t="shared" ca="1" si="254"/>
        <v>2.9571336968462925</v>
      </c>
      <c r="G3272" s="10">
        <f t="shared" ca="1" si="252"/>
        <v>0</v>
      </c>
    </row>
    <row r="3273" spans="1:7" x14ac:dyDescent="0.2">
      <c r="A3273" s="2">
        <v>20030225</v>
      </c>
      <c r="B3273" s="13">
        <v>7909.5</v>
      </c>
      <c r="C3273" s="2">
        <f t="shared" si="255"/>
        <v>6.523089139552905E-3</v>
      </c>
      <c r="D3273" s="21">
        <f t="shared" ca="1" si="251"/>
        <v>6.1391367244460378E-3</v>
      </c>
      <c r="E3273" s="21">
        <f t="shared" ca="1" si="253"/>
        <v>1.4836618131621002E-4</v>
      </c>
      <c r="F3273" s="11">
        <f t="shared" ca="1" si="254"/>
        <v>4.2809001256144583</v>
      </c>
      <c r="G3273" s="10">
        <f t="shared" ca="1" si="252"/>
        <v>1</v>
      </c>
    </row>
    <row r="3274" spans="1:7" x14ac:dyDescent="0.2">
      <c r="A3274" s="2">
        <v>20030226</v>
      </c>
      <c r="B3274" s="13">
        <v>7806.98</v>
      </c>
      <c r="C3274" s="2">
        <f t="shared" si="255"/>
        <v>-1.2961628421518483E-2</v>
      </c>
      <c r="D3274" s="21">
        <f t="shared" ca="1" si="251"/>
        <v>-1.334558083662535E-2</v>
      </c>
      <c r="E3274" s="21">
        <f t="shared" ca="1" si="253"/>
        <v>1.431551807869754E-4</v>
      </c>
      <c r="F3274" s="11">
        <f t="shared" ca="1" si="254"/>
        <v>3.8037226194586129</v>
      </c>
      <c r="G3274" s="10">
        <f t="shared" ca="1" si="252"/>
        <v>0</v>
      </c>
    </row>
    <row r="3275" spans="1:7" x14ac:dyDescent="0.2">
      <c r="A3275" s="2">
        <v>20030227</v>
      </c>
      <c r="B3275" s="13">
        <v>7884.99</v>
      </c>
      <c r="C3275" s="2">
        <f t="shared" si="255"/>
        <v>9.9923401878831801E-3</v>
      </c>
      <c r="D3275" s="21">
        <f t="shared" ca="1" si="251"/>
        <v>9.6083877727763129E-3</v>
      </c>
      <c r="E3275" s="21">
        <f t="shared" ca="1" si="253"/>
        <v>1.4337113063233979E-4</v>
      </c>
      <c r="F3275" s="11">
        <f t="shared" ca="1" si="254"/>
        <v>4.1030714850570131</v>
      </c>
      <c r="G3275" s="10">
        <f t="shared" ca="1" si="252"/>
        <v>1</v>
      </c>
    </row>
    <row r="3276" spans="1:7" x14ac:dyDescent="0.2">
      <c r="A3276" s="2">
        <v>20030228</v>
      </c>
      <c r="B3276" s="13">
        <v>7891.08</v>
      </c>
      <c r="C3276" s="2">
        <f t="shared" si="255"/>
        <v>7.7235354768999647E-4</v>
      </c>
      <c r="D3276" s="21">
        <f t="shared" ca="1" si="251"/>
        <v>3.8840113258312918E-4</v>
      </c>
      <c r="E3276" s="21">
        <f t="shared" ca="1" si="253"/>
        <v>1.4042174965270106E-4</v>
      </c>
      <c r="F3276" s="11">
        <f t="shared" ca="1" si="254"/>
        <v>4.4348929318959742</v>
      </c>
      <c r="G3276" s="10">
        <f t="shared" ca="1" si="252"/>
        <v>1</v>
      </c>
    </row>
    <row r="3277" spans="1:7" x14ac:dyDescent="0.2">
      <c r="A3277" s="2">
        <v>20030303</v>
      </c>
      <c r="B3277" s="13">
        <v>7837.86</v>
      </c>
      <c r="C3277" s="2">
        <f t="shared" si="255"/>
        <v>-6.7443239708633359E-3</v>
      </c>
      <c r="D3277" s="21">
        <f t="shared" ca="1" si="251"/>
        <v>-7.1282763859702031E-3</v>
      </c>
      <c r="E3277" s="21">
        <f t="shared" ca="1" si="253"/>
        <v>1.3423231742853821E-4</v>
      </c>
      <c r="F3277" s="11">
        <f t="shared" ca="1" si="254"/>
        <v>4.2686991885919277</v>
      </c>
      <c r="G3277" s="10">
        <f t="shared" ca="1" si="252"/>
        <v>1</v>
      </c>
    </row>
    <row r="3278" spans="1:7" x14ac:dyDescent="0.2">
      <c r="A3278" s="2">
        <v>20030304</v>
      </c>
      <c r="B3278" s="13">
        <v>7704.87</v>
      </c>
      <c r="C3278" s="2">
        <f t="shared" si="255"/>
        <v>-1.6967641677702816E-2</v>
      </c>
      <c r="D3278" s="21">
        <f t="shared" ref="D3278:D3341" ca="1" si="256">(C3278-mu)</f>
        <v>-1.7351594092809685E-2</v>
      </c>
      <c r="E3278" s="21">
        <f t="shared" ca="1" si="253"/>
        <v>1.3021892128345513E-4</v>
      </c>
      <c r="F3278" s="11">
        <f t="shared" ca="1" si="254"/>
        <v>3.3171019418710808</v>
      </c>
      <c r="G3278" s="10">
        <f t="shared" ref="G3278:G3341" ca="1" si="257">IF(AND(C3278&lt;=mu+zvalue*SQRT(E3278),C3278&gt;=mu-zvalue*SQRT(E3278)),1,0)</f>
        <v>0</v>
      </c>
    </row>
    <row r="3279" spans="1:7" x14ac:dyDescent="0.2">
      <c r="A3279" s="2">
        <v>20030305</v>
      </c>
      <c r="B3279" s="13">
        <v>7775.6</v>
      </c>
      <c r="C3279" s="2">
        <f t="shared" si="255"/>
        <v>9.1799082917687746E-3</v>
      </c>
      <c r="D3279" s="21">
        <f t="shared" ca="1" si="256"/>
        <v>8.7959558766619074E-3</v>
      </c>
      <c r="E3279" s="21">
        <f t="shared" ref="E3279:E3342" ca="1" si="258">(1-alpha-beta)*longvar+alpha*D3278^2+beta*E3278</f>
        <v>1.3561126333577688E-4</v>
      </c>
      <c r="F3279" s="11">
        <f t="shared" ref="F3279:F3342" ca="1" si="259">(-0.5)*(LN(E3279)+D3279^2/E3279)</f>
        <v>4.1675994234486442</v>
      </c>
      <c r="G3279" s="10">
        <f t="shared" ca="1" si="257"/>
        <v>1</v>
      </c>
    </row>
    <row r="3280" spans="1:7" x14ac:dyDescent="0.2">
      <c r="A3280" s="2">
        <v>20030306</v>
      </c>
      <c r="B3280" s="13">
        <v>7673.99</v>
      </c>
      <c r="C3280" s="2">
        <f t="shared" si="255"/>
        <v>-1.3067801841658596E-2</v>
      </c>
      <c r="D3280" s="21">
        <f t="shared" ca="1" si="256"/>
        <v>-1.3451754256765463E-2</v>
      </c>
      <c r="E3280" s="21">
        <f t="shared" ca="1" si="258"/>
        <v>1.3250463530888639E-4</v>
      </c>
      <c r="F3280" s="11">
        <f t="shared" ca="1" si="259"/>
        <v>3.7816413231115114</v>
      </c>
      <c r="G3280" s="10">
        <f t="shared" ca="1" si="257"/>
        <v>0</v>
      </c>
    </row>
    <row r="3281" spans="1:7" x14ac:dyDescent="0.2">
      <c r="A3281" s="2">
        <v>20030307</v>
      </c>
      <c r="B3281" s="13">
        <v>7740.03</v>
      </c>
      <c r="C3281" s="2">
        <f t="shared" si="255"/>
        <v>8.6056927361125007E-3</v>
      </c>
      <c r="D3281" s="21">
        <f t="shared" ca="1" si="256"/>
        <v>8.2217403210056335E-3</v>
      </c>
      <c r="E3281" s="21">
        <f t="shared" ca="1" si="258"/>
        <v>1.3336402143128572E-4</v>
      </c>
      <c r="F3281" s="11">
        <f t="shared" ca="1" si="259"/>
        <v>4.2077836102323616</v>
      </c>
      <c r="G3281" s="10">
        <f t="shared" ca="1" si="257"/>
        <v>1</v>
      </c>
    </row>
    <row r="3282" spans="1:7" x14ac:dyDescent="0.2">
      <c r="A3282" s="2">
        <v>20030310</v>
      </c>
      <c r="B3282" s="13">
        <v>7568.18</v>
      </c>
      <c r="C3282" s="2">
        <f t="shared" si="255"/>
        <v>-2.2202756320065874E-2</v>
      </c>
      <c r="D3282" s="21">
        <f t="shared" ca="1" si="256"/>
        <v>-2.2586708735172743E-2</v>
      </c>
      <c r="E3282" s="21">
        <f t="shared" ca="1" si="258"/>
        <v>1.3001175501267312E-4</v>
      </c>
      <c r="F3282" s="11">
        <f t="shared" ca="1" si="259"/>
        <v>2.5119686694997494</v>
      </c>
      <c r="G3282" s="10">
        <f t="shared" ca="1" si="257"/>
        <v>0</v>
      </c>
    </row>
    <row r="3283" spans="1:7" x14ac:dyDescent="0.2">
      <c r="A3283" s="2">
        <v>20030311</v>
      </c>
      <c r="B3283" s="13">
        <v>7524.06</v>
      </c>
      <c r="C3283" s="2">
        <f t="shared" si="255"/>
        <v>-5.8296710701912337E-3</v>
      </c>
      <c r="D3283" s="21">
        <f t="shared" ca="1" si="256"/>
        <v>-6.2136234852981009E-3</v>
      </c>
      <c r="E3283" s="21">
        <f t="shared" ca="1" si="258"/>
        <v>1.4310287294980395E-4</v>
      </c>
      <c r="F3283" s="11">
        <f t="shared" ca="1" si="259"/>
        <v>4.2910735313790438</v>
      </c>
      <c r="G3283" s="10">
        <f t="shared" ca="1" si="257"/>
        <v>1</v>
      </c>
    </row>
    <row r="3284" spans="1:7" x14ac:dyDescent="0.2">
      <c r="A3284" s="2">
        <v>20030312</v>
      </c>
      <c r="B3284" s="13">
        <v>7552.07</v>
      </c>
      <c r="C3284" s="2">
        <f t="shared" si="255"/>
        <v>3.7227241675371154E-3</v>
      </c>
      <c r="D3284" s="21">
        <f t="shared" ca="1" si="256"/>
        <v>3.3387717524302482E-3</v>
      </c>
      <c r="E3284" s="21">
        <f t="shared" ca="1" si="258"/>
        <v>1.3819197923601849E-4</v>
      </c>
      <c r="F3284" s="11">
        <f t="shared" ca="1" si="259"/>
        <v>4.4031003333689593</v>
      </c>
      <c r="G3284" s="10">
        <f t="shared" ca="1" si="257"/>
        <v>1</v>
      </c>
    </row>
    <row r="3285" spans="1:7" x14ac:dyDescent="0.2">
      <c r="A3285" s="2">
        <v>20030313</v>
      </c>
      <c r="B3285" s="13">
        <v>7821.75</v>
      </c>
      <c r="C3285" s="2">
        <f t="shared" si="255"/>
        <v>3.5709414769725424E-2</v>
      </c>
      <c r="D3285" s="21">
        <f t="shared" ca="1" si="256"/>
        <v>3.5325462354618559E-2</v>
      </c>
      <c r="E3285" s="21">
        <f t="shared" ca="1" si="258"/>
        <v>1.3251971385825815E-4</v>
      </c>
      <c r="F3285" s="11">
        <f t="shared" ca="1" si="259"/>
        <v>-0.24392232664684332</v>
      </c>
      <c r="G3285" s="10">
        <f t="shared" ca="1" si="257"/>
        <v>0</v>
      </c>
    </row>
    <row r="3286" spans="1:7" x14ac:dyDescent="0.2">
      <c r="A3286" s="2">
        <v>20030314</v>
      </c>
      <c r="B3286" s="13">
        <v>7859.71</v>
      </c>
      <c r="C3286" s="2">
        <f t="shared" si="255"/>
        <v>4.8531338894748661E-3</v>
      </c>
      <c r="D3286" s="21">
        <f t="shared" ca="1" si="256"/>
        <v>4.4691814743679989E-3</v>
      </c>
      <c r="E3286" s="21">
        <f t="shared" ca="1" si="258"/>
        <v>1.7261153232472329E-4</v>
      </c>
      <c r="F3286" s="11">
        <f t="shared" ca="1" si="259"/>
        <v>4.2743764477743085</v>
      </c>
      <c r="G3286" s="10">
        <f t="shared" ca="1" si="257"/>
        <v>1</v>
      </c>
    </row>
    <row r="3287" spans="1:7" x14ac:dyDescent="0.2">
      <c r="A3287" s="2">
        <v>20030317</v>
      </c>
      <c r="B3287" s="13">
        <v>8141.92</v>
      </c>
      <c r="C3287" s="2">
        <f t="shared" si="255"/>
        <v>3.5905904925245341E-2</v>
      </c>
      <c r="D3287" s="21">
        <f t="shared" ca="1" si="256"/>
        <v>3.5521952510138476E-2</v>
      </c>
      <c r="E3287" s="21">
        <f t="shared" ca="1" si="258"/>
        <v>1.6552252470191034E-4</v>
      </c>
      <c r="F3287" s="11">
        <f t="shared" ca="1" si="259"/>
        <v>0.54160828189512378</v>
      </c>
      <c r="G3287" s="10">
        <f t="shared" ca="1" si="257"/>
        <v>0</v>
      </c>
    </row>
    <row r="3288" spans="1:7" x14ac:dyDescent="0.2">
      <c r="A3288" s="2">
        <v>20030318</v>
      </c>
      <c r="B3288" s="13">
        <v>8194.23</v>
      </c>
      <c r="C3288" s="2">
        <f t="shared" si="255"/>
        <v>6.4247745003634879E-3</v>
      </c>
      <c r="D3288" s="21">
        <f t="shared" ca="1" si="256"/>
        <v>6.0408220852566207E-3</v>
      </c>
      <c r="E3288" s="21">
        <f t="shared" ca="1" si="258"/>
        <v>2.0445661294295786E-4</v>
      </c>
      <c r="F3288" s="11">
        <f t="shared" ca="1" si="259"/>
        <v>4.1583371016273087</v>
      </c>
      <c r="G3288" s="10">
        <f t="shared" ca="1" si="257"/>
        <v>1</v>
      </c>
    </row>
    <row r="3289" spans="1:7" x14ac:dyDescent="0.2">
      <c r="A3289" s="2">
        <v>20030319</v>
      </c>
      <c r="B3289" s="13">
        <v>8265.4500000000007</v>
      </c>
      <c r="C3289" s="2">
        <f t="shared" si="255"/>
        <v>8.69148168894468E-3</v>
      </c>
      <c r="D3289" s="21">
        <f t="shared" ca="1" si="256"/>
        <v>8.3075292738378128E-3</v>
      </c>
      <c r="E3289" s="21">
        <f t="shared" ca="1" si="258"/>
        <v>1.9636394601055151E-4</v>
      </c>
      <c r="F3289" s="11">
        <f t="shared" ca="1" si="259"/>
        <v>4.0920379062516163</v>
      </c>
      <c r="G3289" s="10">
        <f t="shared" ca="1" si="257"/>
        <v>1</v>
      </c>
    </row>
    <row r="3290" spans="1:7" x14ac:dyDescent="0.2">
      <c r="A3290" s="2">
        <v>20030320</v>
      </c>
      <c r="B3290" s="13">
        <v>8286.6</v>
      </c>
      <c r="C3290" s="2">
        <f t="shared" si="255"/>
        <v>2.5588443460428209E-3</v>
      </c>
      <c r="D3290" s="21">
        <f t="shared" ca="1" si="256"/>
        <v>2.1748919309359537E-3</v>
      </c>
      <c r="E3290" s="21">
        <f t="shared" ca="1" si="258"/>
        <v>1.8987663605618185E-4</v>
      </c>
      <c r="F3290" s="11">
        <f t="shared" ca="1" si="259"/>
        <v>4.2721121268233162</v>
      </c>
      <c r="G3290" s="10">
        <f t="shared" ca="1" si="257"/>
        <v>1</v>
      </c>
    </row>
    <row r="3291" spans="1:7" x14ac:dyDescent="0.2">
      <c r="A3291" s="2">
        <v>20030321</v>
      </c>
      <c r="B3291" s="13">
        <v>8521.9699999999993</v>
      </c>
      <c r="C3291" s="2">
        <f t="shared" si="255"/>
        <v>2.8403687881640115E-2</v>
      </c>
      <c r="D3291" s="21">
        <f t="shared" ca="1" si="256"/>
        <v>2.8019735466533247E-2</v>
      </c>
      <c r="E3291" s="21">
        <f t="shared" ca="1" si="258"/>
        <v>1.8135365368237704E-4</v>
      </c>
      <c r="F3291" s="11">
        <f t="shared" ca="1" si="259"/>
        <v>2.1429601680004251</v>
      </c>
      <c r="G3291" s="10">
        <f t="shared" ca="1" si="257"/>
        <v>0</v>
      </c>
    </row>
    <row r="3292" spans="1:7" x14ac:dyDescent="0.2">
      <c r="A3292" s="2">
        <v>20030324</v>
      </c>
      <c r="B3292" s="13">
        <v>8214.68</v>
      </c>
      <c r="C3292" s="2">
        <f t="shared" si="255"/>
        <v>-3.6058563923599719E-2</v>
      </c>
      <c r="D3292" s="21">
        <f t="shared" ca="1" si="256"/>
        <v>-3.6442516338706585E-2</v>
      </c>
      <c r="E3292" s="21">
        <f t="shared" ca="1" si="258"/>
        <v>2.0195761858464434E-4</v>
      </c>
      <c r="F3292" s="11">
        <f t="shared" ca="1" si="259"/>
        <v>0.96576670750647819</v>
      </c>
      <c r="G3292" s="10">
        <f t="shared" ca="1" si="257"/>
        <v>0</v>
      </c>
    </row>
    <row r="3293" spans="1:7" x14ac:dyDescent="0.2">
      <c r="A3293" s="2">
        <v>20030325</v>
      </c>
      <c r="B3293" s="13">
        <v>8280.23</v>
      </c>
      <c r="C3293" s="2">
        <f t="shared" si="255"/>
        <v>7.9796169783849479E-3</v>
      </c>
      <c r="D3293" s="21">
        <f t="shared" ca="1" si="256"/>
        <v>7.5956645632780807E-3</v>
      </c>
      <c r="E3293" s="21">
        <f t="shared" ca="1" si="258"/>
        <v>2.4148449390499709E-4</v>
      </c>
      <c r="F3293" s="11">
        <f t="shared" ca="1" si="259"/>
        <v>4.0448954530068084</v>
      </c>
      <c r="G3293" s="10">
        <f t="shared" ca="1" si="257"/>
        <v>1</v>
      </c>
    </row>
    <row r="3294" spans="1:7" x14ac:dyDescent="0.2">
      <c r="A3294" s="2">
        <v>20030326</v>
      </c>
      <c r="B3294" s="13">
        <v>8229.8799999999992</v>
      </c>
      <c r="C3294" s="2">
        <f t="shared" si="255"/>
        <v>-6.0807489647027157E-3</v>
      </c>
      <c r="D3294" s="21">
        <f t="shared" ca="1" si="256"/>
        <v>-6.4647013798095829E-3</v>
      </c>
      <c r="E3294" s="21">
        <f t="shared" ca="1" si="258"/>
        <v>2.3229823048968911E-4</v>
      </c>
      <c r="F3294" s="11">
        <f t="shared" ca="1" si="259"/>
        <v>4.0937901518134279</v>
      </c>
      <c r="G3294" s="10">
        <f t="shared" ca="1" si="257"/>
        <v>1</v>
      </c>
    </row>
    <row r="3295" spans="1:7" x14ac:dyDescent="0.2">
      <c r="A3295" s="2">
        <v>20030327</v>
      </c>
      <c r="B3295" s="13">
        <v>8201.4500000000007</v>
      </c>
      <c r="C3295" s="2">
        <f t="shared" si="255"/>
        <v>-3.4544853630913788E-3</v>
      </c>
      <c r="D3295" s="21">
        <f t="shared" ca="1" si="256"/>
        <v>-3.838437778198246E-3</v>
      </c>
      <c r="E3295" s="21">
        <f t="shared" ca="1" si="258"/>
        <v>2.2299196782356179E-4</v>
      </c>
      <c r="F3295" s="11">
        <f t="shared" ca="1" si="259"/>
        <v>4.1711512251784884</v>
      </c>
      <c r="G3295" s="10">
        <f t="shared" ca="1" si="257"/>
        <v>1</v>
      </c>
    </row>
    <row r="3296" spans="1:7" x14ac:dyDescent="0.2">
      <c r="A3296" s="2">
        <v>20030328</v>
      </c>
      <c r="B3296" s="13">
        <v>8145.77</v>
      </c>
      <c r="C3296" s="2">
        <f t="shared" si="255"/>
        <v>-6.7890434008620777E-3</v>
      </c>
      <c r="D3296" s="21">
        <f t="shared" ca="1" si="256"/>
        <v>-7.1729958159689449E-3</v>
      </c>
      <c r="E3296" s="21">
        <f t="shared" ca="1" si="258"/>
        <v>2.1316151422265633E-4</v>
      </c>
      <c r="F3296" s="11">
        <f t="shared" ca="1" si="259"/>
        <v>4.1060426785432451</v>
      </c>
      <c r="G3296" s="10">
        <f t="shared" ca="1" si="257"/>
        <v>1</v>
      </c>
    </row>
    <row r="3297" spans="1:7" x14ac:dyDescent="0.2">
      <c r="A3297" s="2">
        <v>20030331</v>
      </c>
      <c r="B3297" s="13">
        <v>7992.13</v>
      </c>
      <c r="C3297" s="2">
        <f t="shared" si="255"/>
        <v>-1.8861323116169535E-2</v>
      </c>
      <c r="D3297" s="21">
        <f t="shared" ca="1" si="256"/>
        <v>-1.9245275531276404E-2</v>
      </c>
      <c r="E3297" s="21">
        <f t="shared" ca="1" si="258"/>
        <v>2.0517858119999975E-4</v>
      </c>
      <c r="F3297" s="11">
        <f t="shared" ca="1" si="259"/>
        <v>3.3432337877185203</v>
      </c>
      <c r="G3297" s="10">
        <f t="shared" ca="1" si="257"/>
        <v>0</v>
      </c>
    </row>
    <row r="3298" spans="1:7" x14ac:dyDescent="0.2">
      <c r="A3298" s="2">
        <v>20030401</v>
      </c>
      <c r="B3298" s="13">
        <v>8069.86</v>
      </c>
      <c r="C3298" s="2">
        <f t="shared" si="255"/>
        <v>9.7258177732343649E-3</v>
      </c>
      <c r="D3298" s="21">
        <f t="shared" ca="1" si="256"/>
        <v>9.3418653581274977E-3</v>
      </c>
      <c r="E3298" s="21">
        <f t="shared" ca="1" si="258"/>
        <v>2.0932707480503842E-4</v>
      </c>
      <c r="F3298" s="11">
        <f t="shared" ca="1" si="259"/>
        <v>4.027351533583289</v>
      </c>
      <c r="G3298" s="10">
        <f t="shared" ca="1" si="257"/>
        <v>1</v>
      </c>
    </row>
    <row r="3299" spans="1:7" x14ac:dyDescent="0.2">
      <c r="A3299" s="2">
        <v>20030402</v>
      </c>
      <c r="B3299" s="13">
        <v>8285.06</v>
      </c>
      <c r="C3299" s="2">
        <f t="shared" si="255"/>
        <v>2.6667129293444971E-2</v>
      </c>
      <c r="D3299" s="21">
        <f t="shared" ca="1" si="256"/>
        <v>2.6283176878338102E-2</v>
      </c>
      <c r="E3299" s="21">
        <f t="shared" ca="1" si="258"/>
        <v>2.0285523904028639E-4</v>
      </c>
      <c r="F3299" s="11">
        <f t="shared" ca="1" si="259"/>
        <v>2.5488036571231958</v>
      </c>
      <c r="G3299" s="10">
        <f t="shared" ca="1" si="257"/>
        <v>0</v>
      </c>
    </row>
    <row r="3300" spans="1:7" x14ac:dyDescent="0.2">
      <c r="A3300" s="2">
        <v>20030403</v>
      </c>
      <c r="B3300" s="13">
        <v>8240.3799999999992</v>
      </c>
      <c r="C3300" s="2">
        <f t="shared" si="255"/>
        <v>-5.3928396414751724E-3</v>
      </c>
      <c r="D3300" s="21">
        <f t="shared" ca="1" si="256"/>
        <v>-5.7767920565820396E-3</v>
      </c>
      <c r="E3300" s="21">
        <f t="shared" ca="1" si="258"/>
        <v>2.189038490649784E-4</v>
      </c>
      <c r="F3300" s="11">
        <f t="shared" ca="1" si="259"/>
        <v>4.1372152762240963</v>
      </c>
      <c r="G3300" s="10">
        <f t="shared" ca="1" si="257"/>
        <v>1</v>
      </c>
    </row>
    <row r="3301" spans="1:7" x14ac:dyDescent="0.2">
      <c r="A3301" s="2">
        <v>20030404</v>
      </c>
      <c r="B3301" s="13">
        <v>8277.15</v>
      </c>
      <c r="C3301" s="2">
        <f t="shared" si="255"/>
        <v>4.4621728609603485E-3</v>
      </c>
      <c r="D3301" s="21">
        <f t="shared" ca="1" si="256"/>
        <v>4.0782204458534813E-3</v>
      </c>
      <c r="E3301" s="21">
        <f t="shared" ca="1" si="258"/>
        <v>2.0996555631429839E-4</v>
      </c>
      <c r="F3301" s="11">
        <f t="shared" ca="1" si="259"/>
        <v>4.1946773139511713</v>
      </c>
      <c r="G3301" s="10">
        <f t="shared" ca="1" si="257"/>
        <v>1</v>
      </c>
    </row>
    <row r="3302" spans="1:7" x14ac:dyDescent="0.2">
      <c r="A3302" s="2">
        <v>20030407</v>
      </c>
      <c r="B3302" s="13">
        <v>8300.41</v>
      </c>
      <c r="C3302" s="2">
        <f t="shared" si="255"/>
        <v>2.8101460043614313E-3</v>
      </c>
      <c r="D3302" s="21">
        <f t="shared" ca="1" si="256"/>
        <v>2.4261935892545641E-3</v>
      </c>
      <c r="E3302" s="21">
        <f t="shared" ca="1" si="258"/>
        <v>2.0086391613628342E-4</v>
      </c>
      <c r="F3302" s="11">
        <f t="shared" ca="1" si="259"/>
        <v>4.2417887120533146</v>
      </c>
      <c r="G3302" s="10">
        <f t="shared" ca="1" si="257"/>
        <v>1</v>
      </c>
    </row>
    <row r="3303" spans="1:7" x14ac:dyDescent="0.2">
      <c r="A3303" s="2">
        <v>20030408</v>
      </c>
      <c r="B3303" s="13">
        <v>8298.92</v>
      </c>
      <c r="C3303" s="2">
        <f t="shared" si="255"/>
        <v>-1.7950920496695726E-4</v>
      </c>
      <c r="D3303" s="21">
        <f t="shared" ca="1" si="256"/>
        <v>-5.6346162007382455E-4</v>
      </c>
      <c r="E3303" s="21">
        <f t="shared" ca="1" si="258"/>
        <v>1.9182760136008325E-4</v>
      </c>
      <c r="F3303" s="11">
        <f t="shared" ca="1" si="259"/>
        <v>4.2786292121233584</v>
      </c>
      <c r="G3303" s="10">
        <f t="shared" ca="1" si="257"/>
        <v>1</v>
      </c>
    </row>
    <row r="3304" spans="1:7" x14ac:dyDescent="0.2">
      <c r="A3304" s="2">
        <v>20030409</v>
      </c>
      <c r="B3304" s="13">
        <v>8197.94</v>
      </c>
      <c r="C3304" s="2">
        <f t="shared" si="255"/>
        <v>-1.2167848346531784E-2</v>
      </c>
      <c r="D3304" s="21">
        <f t="shared" ca="1" si="256"/>
        <v>-1.2551800761638652E-2</v>
      </c>
      <c r="E3304" s="21">
        <f t="shared" ca="1" si="258"/>
        <v>1.8304365757879239E-4</v>
      </c>
      <c r="F3304" s="11">
        <f t="shared" ca="1" si="259"/>
        <v>3.8725373988168017</v>
      </c>
      <c r="G3304" s="10">
        <f t="shared" ca="1" si="257"/>
        <v>1</v>
      </c>
    </row>
    <row r="3305" spans="1:7" x14ac:dyDescent="0.2">
      <c r="A3305" s="2">
        <v>20030410</v>
      </c>
      <c r="B3305" s="13">
        <v>8221.33</v>
      </c>
      <c r="C3305" s="2">
        <f t="shared" si="255"/>
        <v>2.8531557927966556E-3</v>
      </c>
      <c r="D3305" s="21">
        <f t="shared" ca="1" si="256"/>
        <v>2.4692033776897884E-3</v>
      </c>
      <c r="E3305" s="21">
        <f t="shared" ca="1" si="258"/>
        <v>1.8048572588232975E-4</v>
      </c>
      <c r="F3305" s="11">
        <f t="shared" ca="1" si="259"/>
        <v>4.293038995828522</v>
      </c>
      <c r="G3305" s="10">
        <f t="shared" ca="1" si="257"/>
        <v>1</v>
      </c>
    </row>
    <row r="3306" spans="1:7" x14ac:dyDescent="0.2">
      <c r="A3306" s="2">
        <v>20030411</v>
      </c>
      <c r="B3306" s="13">
        <v>8203.41</v>
      </c>
      <c r="C3306" s="2">
        <f t="shared" si="255"/>
        <v>-2.1796959859292928E-3</v>
      </c>
      <c r="D3306" s="21">
        <f t="shared" ca="1" si="256"/>
        <v>-2.56364840103616E-3</v>
      </c>
      <c r="E3306" s="21">
        <f t="shared" ca="1" si="258"/>
        <v>1.7248809275157093E-4</v>
      </c>
      <c r="F3306" s="11">
        <f t="shared" ca="1" si="259"/>
        <v>4.3135397356299574</v>
      </c>
      <c r="G3306" s="10">
        <f t="shared" ca="1" si="257"/>
        <v>1</v>
      </c>
    </row>
    <row r="3307" spans="1:7" x14ac:dyDescent="0.2">
      <c r="A3307" s="2">
        <v>20030414</v>
      </c>
      <c r="B3307" s="13">
        <v>8351.1</v>
      </c>
      <c r="C3307" s="2">
        <f t="shared" si="255"/>
        <v>1.8003488793075138E-2</v>
      </c>
      <c r="D3307" s="21">
        <f t="shared" ca="1" si="256"/>
        <v>1.7619536377968269E-2</v>
      </c>
      <c r="E3307" s="21">
        <f t="shared" ca="1" si="258"/>
        <v>1.6491254114752043E-4</v>
      </c>
      <c r="F3307" s="11">
        <f t="shared" ca="1" si="259"/>
        <v>3.4137970222360026</v>
      </c>
      <c r="G3307" s="10">
        <f t="shared" ca="1" si="257"/>
        <v>0</v>
      </c>
    </row>
    <row r="3308" spans="1:7" x14ac:dyDescent="0.2">
      <c r="A3308" s="2">
        <v>20030415</v>
      </c>
      <c r="B3308" s="13">
        <v>8402.36</v>
      </c>
      <c r="C3308" s="2">
        <f t="shared" si="255"/>
        <v>6.1381135419286345E-3</v>
      </c>
      <c r="D3308" s="21">
        <f t="shared" ca="1" si="256"/>
        <v>5.7541611268217673E-3</v>
      </c>
      <c r="E3308" s="21">
        <f t="shared" ca="1" si="258"/>
        <v>1.6889428180285427E-4</v>
      </c>
      <c r="F3308" s="11">
        <f t="shared" ca="1" si="259"/>
        <v>4.2450978025808785</v>
      </c>
      <c r="G3308" s="10">
        <f t="shared" ca="1" si="257"/>
        <v>1</v>
      </c>
    </row>
    <row r="3309" spans="1:7" x14ac:dyDescent="0.2">
      <c r="A3309" s="2">
        <v>20030416</v>
      </c>
      <c r="B3309" s="13">
        <v>8257.61</v>
      </c>
      <c r="C3309" s="2">
        <f t="shared" si="255"/>
        <v>-1.722730280540229E-2</v>
      </c>
      <c r="D3309" s="21">
        <f t="shared" ca="1" si="256"/>
        <v>-1.7611255220509159E-2</v>
      </c>
      <c r="E3309" s="21">
        <f t="shared" ca="1" si="258"/>
        <v>1.6247639371152396E-4</v>
      </c>
      <c r="F3309" s="11">
        <f t="shared" ca="1" si="259"/>
        <v>3.4080231543219996</v>
      </c>
      <c r="G3309" s="10">
        <f t="shared" ca="1" si="257"/>
        <v>0</v>
      </c>
    </row>
    <row r="3310" spans="1:7" x14ac:dyDescent="0.2">
      <c r="A3310" s="2">
        <v>20030417</v>
      </c>
      <c r="B3310" s="13">
        <v>8337.65</v>
      </c>
      <c r="C3310" s="2">
        <f t="shared" ref="C3310:C3373" si="260">(B3310-B3309)/B3309</f>
        <v>9.6928772368759294E-3</v>
      </c>
      <c r="D3310" s="21">
        <f t="shared" ca="1" si="256"/>
        <v>9.3089248217690622E-3</v>
      </c>
      <c r="E3310" s="21">
        <f t="shared" ca="1" si="258"/>
        <v>1.6657065164715992E-4</v>
      </c>
      <c r="F3310" s="11">
        <f t="shared" ca="1" si="259"/>
        <v>4.0899274066893394</v>
      </c>
      <c r="G3310" s="10">
        <f t="shared" ca="1" si="257"/>
        <v>1</v>
      </c>
    </row>
    <row r="3311" spans="1:7" x14ac:dyDescent="0.2">
      <c r="A3311" s="2">
        <v>20030421</v>
      </c>
      <c r="B3311" s="13">
        <v>8328.9</v>
      </c>
      <c r="C3311" s="2">
        <f t="shared" si="260"/>
        <v>-1.0494563815943341E-3</v>
      </c>
      <c r="D3311" s="21">
        <f t="shared" ca="1" si="256"/>
        <v>-1.4334087967012013E-3</v>
      </c>
      <c r="E3311" s="21">
        <f t="shared" ca="1" si="258"/>
        <v>1.6223928605964641E-4</v>
      </c>
      <c r="F3311" s="11">
        <f t="shared" ca="1" si="259"/>
        <v>4.356886926552697</v>
      </c>
      <c r="G3311" s="10">
        <f t="shared" ca="1" si="257"/>
        <v>1</v>
      </c>
    </row>
    <row r="3312" spans="1:7" x14ac:dyDescent="0.2">
      <c r="A3312" s="2">
        <v>20030422</v>
      </c>
      <c r="B3312" s="13">
        <v>8484.99</v>
      </c>
      <c r="C3312" s="2">
        <f t="shared" si="260"/>
        <v>1.8740770089687733E-2</v>
      </c>
      <c r="D3312" s="21">
        <f t="shared" ca="1" si="256"/>
        <v>1.8356817674580864E-2</v>
      </c>
      <c r="E3312" s="21">
        <f t="shared" ca="1" si="258"/>
        <v>1.5501610373135725E-4</v>
      </c>
      <c r="F3312" s="11">
        <f t="shared" ca="1" si="259"/>
        <v>3.2990948112598644</v>
      </c>
      <c r="G3312" s="10">
        <f t="shared" ca="1" si="257"/>
        <v>0</v>
      </c>
    </row>
    <row r="3313" spans="1:7" x14ac:dyDescent="0.2">
      <c r="A3313" s="2">
        <v>20030423</v>
      </c>
      <c r="B3313" s="13">
        <v>8515.66</v>
      </c>
      <c r="C3313" s="2">
        <f t="shared" si="260"/>
        <v>3.6146182847593307E-3</v>
      </c>
      <c r="D3313" s="21">
        <f t="shared" ca="1" si="256"/>
        <v>3.2306658696524635E-3</v>
      </c>
      <c r="E3313" s="21">
        <f t="shared" ca="1" si="258"/>
        <v>1.6047386768773932E-4</v>
      </c>
      <c r="F3313" s="11">
        <f t="shared" ca="1" si="259"/>
        <v>4.3361697807063457</v>
      </c>
      <c r="G3313" s="10">
        <f t="shared" ca="1" si="257"/>
        <v>1</v>
      </c>
    </row>
    <row r="3314" spans="1:7" x14ac:dyDescent="0.2">
      <c r="A3314" s="2">
        <v>20030424</v>
      </c>
      <c r="B3314" s="13">
        <v>8440.0400000000009</v>
      </c>
      <c r="C3314" s="2">
        <f t="shared" si="260"/>
        <v>-8.8801102909227218E-3</v>
      </c>
      <c r="D3314" s="21">
        <f t="shared" ca="1" si="256"/>
        <v>-9.264062706029589E-3</v>
      </c>
      <c r="E3314" s="21">
        <f t="shared" ca="1" si="258"/>
        <v>1.5364823913177993E-4</v>
      </c>
      <c r="F3314" s="11">
        <f t="shared" ca="1" si="259"/>
        <v>4.1111387938020343</v>
      </c>
      <c r="G3314" s="10">
        <f t="shared" ca="1" si="257"/>
        <v>1</v>
      </c>
    </row>
    <row r="3315" spans="1:7" x14ac:dyDescent="0.2">
      <c r="A3315" s="2">
        <v>20030425</v>
      </c>
      <c r="B3315" s="13">
        <v>8306.35</v>
      </c>
      <c r="C3315" s="2">
        <f t="shared" si="260"/>
        <v>-1.5839972322406113E-2</v>
      </c>
      <c r="D3315" s="21">
        <f t="shared" ca="1" si="256"/>
        <v>-1.6223924737512982E-2</v>
      </c>
      <c r="E3315" s="21">
        <f t="shared" ca="1" si="258"/>
        <v>1.4993998356477395E-4</v>
      </c>
      <c r="F3315" s="11">
        <f t="shared" ca="1" si="259"/>
        <v>3.5249007561621331</v>
      </c>
      <c r="G3315" s="10">
        <f t="shared" ca="1" si="257"/>
        <v>0</v>
      </c>
    </row>
    <row r="3316" spans="1:7" x14ac:dyDescent="0.2">
      <c r="A3316" s="2">
        <v>20030428</v>
      </c>
      <c r="B3316" s="13">
        <v>8471.61</v>
      </c>
      <c r="C3316" s="2">
        <f t="shared" si="260"/>
        <v>1.9895622024114108E-2</v>
      </c>
      <c r="D3316" s="21">
        <f t="shared" ca="1" si="256"/>
        <v>1.9511669609007239E-2</v>
      </c>
      <c r="E3316" s="21">
        <f t="shared" ca="1" si="258"/>
        <v>1.5294237565720097E-4</v>
      </c>
      <c r="F3316" s="11">
        <f t="shared" ca="1" si="259"/>
        <v>3.1481211069833694</v>
      </c>
      <c r="G3316" s="10">
        <f t="shared" ca="1" si="257"/>
        <v>0</v>
      </c>
    </row>
    <row r="3317" spans="1:7" x14ac:dyDescent="0.2">
      <c r="A3317" s="2">
        <v>20030429</v>
      </c>
      <c r="B3317" s="13">
        <v>8502.99</v>
      </c>
      <c r="C3317" s="2">
        <f t="shared" si="260"/>
        <v>3.7041365218652886E-3</v>
      </c>
      <c r="D3317" s="21">
        <f t="shared" ca="1" si="256"/>
        <v>3.3201841067584214E-3</v>
      </c>
      <c r="E3317" s="21">
        <f t="shared" ca="1" si="258"/>
        <v>1.6011317042897278E-4</v>
      </c>
      <c r="F3317" s="11">
        <f t="shared" ca="1" si="259"/>
        <v>4.3353903674194694</v>
      </c>
      <c r="G3317" s="10">
        <f t="shared" ca="1" si="257"/>
        <v>1</v>
      </c>
    </row>
    <row r="3318" spans="1:7" x14ac:dyDescent="0.2">
      <c r="A3318" s="2">
        <v>20030430</v>
      </c>
      <c r="B3318" s="13">
        <v>8480.09</v>
      </c>
      <c r="C3318" s="2">
        <f t="shared" si="260"/>
        <v>-2.6931702848056551E-3</v>
      </c>
      <c r="D3318" s="21">
        <f t="shared" ca="1" si="256"/>
        <v>-3.0771226999125223E-3</v>
      </c>
      <c r="E3318" s="21">
        <f t="shared" ca="1" si="258"/>
        <v>1.5332735337332551E-4</v>
      </c>
      <c r="F3318" s="11">
        <f t="shared" ca="1" si="259"/>
        <v>4.3605903307779572</v>
      </c>
      <c r="G3318" s="10">
        <f t="shared" ca="1" si="257"/>
        <v>1</v>
      </c>
    </row>
    <row r="3319" spans="1:7" x14ac:dyDescent="0.2">
      <c r="A3319" s="2">
        <v>20030501</v>
      </c>
      <c r="B3319" s="13">
        <v>8454.25</v>
      </c>
      <c r="C3319" s="2">
        <f t="shared" si="260"/>
        <v>-3.0471374714183628E-3</v>
      </c>
      <c r="D3319" s="21">
        <f t="shared" ca="1" si="256"/>
        <v>-3.43108988652523E-3</v>
      </c>
      <c r="E3319" s="21">
        <f t="shared" ca="1" si="258"/>
        <v>1.4682765523716445E-4</v>
      </c>
      <c r="F3319" s="11">
        <f t="shared" ca="1" si="259"/>
        <v>4.3730364337846659</v>
      </c>
      <c r="G3319" s="10">
        <f t="shared" ca="1" si="257"/>
        <v>1</v>
      </c>
    </row>
    <row r="3320" spans="1:7" x14ac:dyDescent="0.2">
      <c r="A3320" s="2">
        <v>20030502</v>
      </c>
      <c r="B3320" s="13">
        <v>8582.68</v>
      </c>
      <c r="C3320" s="2">
        <f t="shared" si="260"/>
        <v>1.5191176035721713E-2</v>
      </c>
      <c r="D3320" s="21">
        <f t="shared" ca="1" si="256"/>
        <v>1.4807223620614846E-2</v>
      </c>
      <c r="E3320" s="21">
        <f t="shared" ca="1" si="258"/>
        <v>1.4074148980950372E-4</v>
      </c>
      <c r="F3320" s="11">
        <f t="shared" ca="1" si="259"/>
        <v>3.6553687964926915</v>
      </c>
      <c r="G3320" s="10">
        <f t="shared" ca="1" si="257"/>
        <v>0</v>
      </c>
    </row>
    <row r="3321" spans="1:7" x14ac:dyDescent="0.2">
      <c r="A3321" s="2">
        <v>20030505</v>
      </c>
      <c r="B3321" s="13">
        <v>8531.57</v>
      </c>
      <c r="C3321" s="2">
        <f t="shared" si="260"/>
        <v>-5.9550163818295199E-3</v>
      </c>
      <c r="D3321" s="21">
        <f t="shared" ca="1" si="256"/>
        <v>-6.3389687969363871E-3</v>
      </c>
      <c r="E3321" s="21">
        <f t="shared" ca="1" si="258"/>
        <v>1.4259268228475724E-4</v>
      </c>
      <c r="F3321" s="11">
        <f t="shared" ca="1" si="259"/>
        <v>4.2868595080462644</v>
      </c>
      <c r="G3321" s="10">
        <f t="shared" ca="1" si="257"/>
        <v>1</v>
      </c>
    </row>
    <row r="3322" spans="1:7" x14ac:dyDescent="0.2">
      <c r="A3322" s="2">
        <v>20030506</v>
      </c>
      <c r="B3322" s="13">
        <v>8588.36</v>
      </c>
      <c r="C3322" s="2">
        <f t="shared" si="260"/>
        <v>6.6564536187361618E-3</v>
      </c>
      <c r="D3322" s="21">
        <f t="shared" ca="1" si="256"/>
        <v>6.2725012036292946E-3</v>
      </c>
      <c r="E3322" s="21">
        <f t="shared" ca="1" si="258"/>
        <v>1.3776545626585838E-4</v>
      </c>
      <c r="F3322" s="11">
        <f t="shared" ca="1" si="259"/>
        <v>4.3021845554669058</v>
      </c>
      <c r="G3322" s="10">
        <f t="shared" ca="1" si="257"/>
        <v>1</v>
      </c>
    </row>
    <row r="3323" spans="1:7" x14ac:dyDescent="0.2">
      <c r="A3323" s="2">
        <v>20030507</v>
      </c>
      <c r="B3323" s="13">
        <v>8560.6299999999992</v>
      </c>
      <c r="C3323" s="2">
        <f t="shared" si="260"/>
        <v>-3.2287887326569193E-3</v>
      </c>
      <c r="D3323" s="21">
        <f t="shared" ca="1" si="256"/>
        <v>-3.6127411477637865E-3</v>
      </c>
      <c r="E3323" s="21">
        <f t="shared" ca="1" si="258"/>
        <v>1.3315161713530822E-4</v>
      </c>
      <c r="F3323" s="11">
        <f t="shared" ca="1" si="259"/>
        <v>4.4129996342676723</v>
      </c>
      <c r="G3323" s="10">
        <f t="shared" ca="1" si="257"/>
        <v>1</v>
      </c>
    </row>
    <row r="3324" spans="1:7" x14ac:dyDescent="0.2">
      <c r="A3324" s="2">
        <v>20030508</v>
      </c>
      <c r="B3324" s="13">
        <v>8491.2199999999993</v>
      </c>
      <c r="C3324" s="2">
        <f t="shared" si="260"/>
        <v>-8.1080481226264729E-3</v>
      </c>
      <c r="D3324" s="21">
        <f t="shared" ca="1" si="256"/>
        <v>-8.49200053773334E-3</v>
      </c>
      <c r="E3324" s="21">
        <f t="shared" ca="1" si="258"/>
        <v>1.2780437719185202E-4</v>
      </c>
      <c r="F3324" s="11">
        <f t="shared" ca="1" si="259"/>
        <v>4.2003781097172697</v>
      </c>
      <c r="G3324" s="10">
        <f t="shared" ca="1" si="257"/>
        <v>1</v>
      </c>
    </row>
    <row r="3325" spans="1:7" x14ac:dyDescent="0.2">
      <c r="A3325" s="2">
        <v>20030509</v>
      </c>
      <c r="B3325" s="13">
        <v>8604.6</v>
      </c>
      <c r="C3325" s="2">
        <f t="shared" si="260"/>
        <v>1.3352615996288052E-2</v>
      </c>
      <c r="D3325" s="21">
        <f t="shared" ca="1" si="256"/>
        <v>1.2968663581181185E-2</v>
      </c>
      <c r="E3325" s="21">
        <f t="shared" ca="1" si="258"/>
        <v>1.2489947516067259E-4</v>
      </c>
      <c r="F3325" s="11">
        <f t="shared" ca="1" si="259"/>
        <v>3.8207142750769636</v>
      </c>
      <c r="G3325" s="10">
        <f t="shared" ca="1" si="257"/>
        <v>0</v>
      </c>
    </row>
    <row r="3326" spans="1:7" x14ac:dyDescent="0.2">
      <c r="A3326" s="2">
        <v>20030512</v>
      </c>
      <c r="B3326" s="13">
        <v>8726.73</v>
      </c>
      <c r="C3326" s="2">
        <f t="shared" si="260"/>
        <v>1.419357088069163E-2</v>
      </c>
      <c r="D3326" s="21">
        <f t="shared" ca="1" si="256"/>
        <v>1.3809618465584763E-2</v>
      </c>
      <c r="E3326" s="21">
        <f t="shared" ca="1" si="258"/>
        <v>1.2567427422111138E-4</v>
      </c>
      <c r="F3326" s="11">
        <f t="shared" ca="1" si="259"/>
        <v>3.732179047084152</v>
      </c>
      <c r="G3326" s="10">
        <f t="shared" ca="1" si="257"/>
        <v>0</v>
      </c>
    </row>
    <row r="3327" spans="1:7" x14ac:dyDescent="0.2">
      <c r="A3327" s="2">
        <v>20030513</v>
      </c>
      <c r="B3327" s="13">
        <v>8679.25</v>
      </c>
      <c r="C3327" s="2">
        <f t="shared" si="260"/>
        <v>-5.4407550136190263E-3</v>
      </c>
      <c r="D3327" s="21">
        <f t="shared" ca="1" si="256"/>
        <v>-5.8247074287258935E-3</v>
      </c>
      <c r="E3327" s="21">
        <f t="shared" ca="1" si="258"/>
        <v>1.2723795091862172E-4</v>
      </c>
      <c r="F3327" s="11">
        <f t="shared" ca="1" si="259"/>
        <v>4.3514038744817904</v>
      </c>
      <c r="G3327" s="10">
        <f t="shared" ca="1" si="257"/>
        <v>1</v>
      </c>
    </row>
    <row r="3328" spans="1:7" x14ac:dyDescent="0.2">
      <c r="A3328" s="2">
        <v>20030514</v>
      </c>
      <c r="B3328" s="13">
        <v>8647.82</v>
      </c>
      <c r="C3328" s="2">
        <f t="shared" si="260"/>
        <v>-3.6212806406083812E-3</v>
      </c>
      <c r="D3328" s="21">
        <f t="shared" ca="1" si="256"/>
        <v>-4.0052330557152488E-3</v>
      </c>
      <c r="E3328" s="21">
        <f t="shared" ca="1" si="258"/>
        <v>1.2295750718945949E-4</v>
      </c>
      <c r="F3328" s="11">
        <f t="shared" ca="1" si="259"/>
        <v>4.4366023875314484</v>
      </c>
      <c r="G3328" s="10">
        <f t="shared" ca="1" si="257"/>
        <v>1</v>
      </c>
    </row>
    <row r="3329" spans="1:7" x14ac:dyDescent="0.2">
      <c r="A3329" s="2">
        <v>20030515</v>
      </c>
      <c r="B3329" s="13">
        <v>8713.14</v>
      </c>
      <c r="C3329" s="2">
        <f t="shared" si="260"/>
        <v>7.5533487052227861E-3</v>
      </c>
      <c r="D3329" s="21">
        <f t="shared" ca="1" si="256"/>
        <v>7.1693962901159189E-3</v>
      </c>
      <c r="E3329" s="21">
        <f t="shared" ca="1" si="258"/>
        <v>1.1823593789645052E-4</v>
      </c>
      <c r="F3329" s="11">
        <f t="shared" ca="1" si="259"/>
        <v>4.3040511991742125</v>
      </c>
      <c r="G3329" s="10">
        <f t="shared" ca="1" si="257"/>
        <v>1</v>
      </c>
    </row>
    <row r="3330" spans="1:7" x14ac:dyDescent="0.2">
      <c r="A3330" s="2">
        <v>20030516</v>
      </c>
      <c r="B3330" s="13">
        <v>8678.9699999999993</v>
      </c>
      <c r="C3330" s="2">
        <f t="shared" si="260"/>
        <v>-3.9216631432526135E-3</v>
      </c>
      <c r="D3330" s="21">
        <f t="shared" ca="1" si="256"/>
        <v>-4.3056155583594807E-3</v>
      </c>
      <c r="E3330" s="21">
        <f t="shared" ca="1" si="258"/>
        <v>1.1505342266452053E-4</v>
      </c>
      <c r="F3330" s="11">
        <f t="shared" ca="1" si="259"/>
        <v>4.4544930073647233</v>
      </c>
      <c r="G3330" s="10">
        <f t="shared" ca="1" si="257"/>
        <v>1</v>
      </c>
    </row>
    <row r="3331" spans="1:7" x14ac:dyDescent="0.2">
      <c r="A3331" s="2">
        <v>20030519</v>
      </c>
      <c r="B3331" s="13">
        <v>8493.39</v>
      </c>
      <c r="C3331" s="2">
        <f t="shared" si="260"/>
        <v>-2.1382721682411617E-2</v>
      </c>
      <c r="D3331" s="21">
        <f t="shared" ca="1" si="256"/>
        <v>-2.1766674097518486E-2</v>
      </c>
      <c r="E3331" s="21">
        <f t="shared" ca="1" si="258"/>
        <v>1.1082352182905937E-4</v>
      </c>
      <c r="F3331" s="11">
        <f t="shared" ca="1" si="259"/>
        <v>2.4162065982466499</v>
      </c>
      <c r="G3331" s="10">
        <f t="shared" ca="1" si="257"/>
        <v>0</v>
      </c>
    </row>
    <row r="3332" spans="1:7" x14ac:dyDescent="0.2">
      <c r="A3332" s="2">
        <v>20030520</v>
      </c>
      <c r="B3332" s="13">
        <v>8491.36</v>
      </c>
      <c r="C3332" s="2">
        <f t="shared" si="260"/>
        <v>-2.3900939436418626E-4</v>
      </c>
      <c r="D3332" s="21">
        <f t="shared" ca="1" si="256"/>
        <v>-6.2296180947105356E-4</v>
      </c>
      <c r="E3332" s="21">
        <f t="shared" ca="1" si="258"/>
        <v>1.235479422181424E-4</v>
      </c>
      <c r="F3332" s="11">
        <f t="shared" ca="1" si="259"/>
        <v>4.4978700704303618</v>
      </c>
      <c r="G3332" s="10">
        <f t="shared" ca="1" si="257"/>
        <v>1</v>
      </c>
    </row>
    <row r="3333" spans="1:7" x14ac:dyDescent="0.2">
      <c r="A3333" s="2">
        <v>20030521</v>
      </c>
      <c r="B3333" s="13">
        <v>8516.43</v>
      </c>
      <c r="C3333" s="2">
        <f t="shared" si="260"/>
        <v>2.9524128054869547E-3</v>
      </c>
      <c r="D3333" s="21">
        <f t="shared" ca="1" si="256"/>
        <v>2.5684603903800875E-3</v>
      </c>
      <c r="E3333" s="21">
        <f t="shared" ca="1" si="258"/>
        <v>1.1822088468139111E-4</v>
      </c>
      <c r="F3333" s="11">
        <f t="shared" ca="1" si="259"/>
        <v>4.4935767755580924</v>
      </c>
      <c r="G3333" s="10">
        <f t="shared" ca="1" si="257"/>
        <v>1</v>
      </c>
    </row>
    <row r="3334" spans="1:7" x14ac:dyDescent="0.2">
      <c r="A3334" s="2">
        <v>20030522</v>
      </c>
      <c r="B3334" s="13">
        <v>8594.02</v>
      </c>
      <c r="C3334" s="2">
        <f t="shared" si="260"/>
        <v>9.1106249919273852E-3</v>
      </c>
      <c r="D3334" s="21">
        <f t="shared" ca="1" si="256"/>
        <v>8.726672576820518E-3</v>
      </c>
      <c r="E3334" s="21">
        <f t="shared" ca="1" si="258"/>
        <v>1.133916371041383E-4</v>
      </c>
      <c r="F3334" s="11">
        <f t="shared" ca="1" si="259"/>
        <v>4.2065270892757036</v>
      </c>
      <c r="G3334" s="10">
        <f t="shared" ca="1" si="257"/>
        <v>1</v>
      </c>
    </row>
    <row r="3335" spans="1:7" x14ac:dyDescent="0.2">
      <c r="A3335" s="2">
        <v>20030523</v>
      </c>
      <c r="B3335" s="13">
        <v>8601.3799999999992</v>
      </c>
      <c r="C3335" s="2">
        <f t="shared" si="260"/>
        <v>8.5640945680819482E-4</v>
      </c>
      <c r="D3335" s="21">
        <f t="shared" ca="1" si="256"/>
        <v>4.7245704170132752E-4</v>
      </c>
      <c r="E3335" s="21">
        <f t="shared" ca="1" si="258"/>
        <v>1.1136446544627732E-4</v>
      </c>
      <c r="F3335" s="11">
        <f t="shared" ca="1" si="259"/>
        <v>4.5503489462126394</v>
      </c>
      <c r="G3335" s="10">
        <f t="shared" ca="1" si="257"/>
        <v>1</v>
      </c>
    </row>
    <row r="3336" spans="1:7" x14ac:dyDescent="0.2">
      <c r="A3336" s="2">
        <v>20030527</v>
      </c>
      <c r="B3336" s="13">
        <v>8781.35</v>
      </c>
      <c r="C3336" s="2">
        <f t="shared" si="260"/>
        <v>2.0923386712364898E-2</v>
      </c>
      <c r="D3336" s="21">
        <f t="shared" ca="1" si="256"/>
        <v>2.0539434297258029E-2</v>
      </c>
      <c r="E3336" s="21">
        <f t="shared" ca="1" si="258"/>
        <v>1.06647711609147E-4</v>
      </c>
      <c r="F3336" s="11">
        <f t="shared" ca="1" si="259"/>
        <v>2.5951303689155423</v>
      </c>
      <c r="G3336" s="10">
        <f t="shared" ca="1" si="257"/>
        <v>0</v>
      </c>
    </row>
    <row r="3337" spans="1:7" x14ac:dyDescent="0.2">
      <c r="A3337" s="2">
        <v>20030528</v>
      </c>
      <c r="B3337" s="13">
        <v>8793.1200000000008</v>
      </c>
      <c r="C3337" s="2">
        <f t="shared" si="260"/>
        <v>1.3403406082208814E-3</v>
      </c>
      <c r="D3337" s="21">
        <f t="shared" ca="1" si="256"/>
        <v>9.5638819311401411E-4</v>
      </c>
      <c r="E3337" s="21">
        <f t="shared" ca="1" si="258"/>
        <v>1.1767420811749536E-4</v>
      </c>
      <c r="F3337" s="11">
        <f t="shared" ca="1" si="259"/>
        <v>4.5199088638342229</v>
      </c>
      <c r="G3337" s="10">
        <f t="shared" ca="1" si="257"/>
        <v>1</v>
      </c>
    </row>
    <row r="3338" spans="1:7" x14ac:dyDescent="0.2">
      <c r="A3338" s="2">
        <v>20030529</v>
      </c>
      <c r="B3338" s="13">
        <v>8711.18</v>
      </c>
      <c r="C3338" s="2">
        <f t="shared" si="260"/>
        <v>-9.3186491256801347E-3</v>
      </c>
      <c r="D3338" s="21">
        <f t="shared" ca="1" si="256"/>
        <v>-9.7026015407870019E-3</v>
      </c>
      <c r="E3338" s="21">
        <f t="shared" ca="1" si="258"/>
        <v>1.126636686125841E-4</v>
      </c>
      <c r="F3338" s="11">
        <f t="shared" ca="1" si="259"/>
        <v>4.1277574828005212</v>
      </c>
      <c r="G3338" s="10">
        <f t="shared" ca="1" si="257"/>
        <v>1</v>
      </c>
    </row>
    <row r="3339" spans="1:7" x14ac:dyDescent="0.2">
      <c r="A3339" s="2">
        <v>20030530</v>
      </c>
      <c r="B3339" s="13">
        <v>8850.26</v>
      </c>
      <c r="C3339" s="2">
        <f t="shared" si="260"/>
        <v>1.5965690067246907E-2</v>
      </c>
      <c r="D3339" s="21">
        <f t="shared" ca="1" si="256"/>
        <v>1.558173765214004E-2</v>
      </c>
      <c r="E3339" s="21">
        <f t="shared" ca="1" si="258"/>
        <v>1.1133468933052796E-4</v>
      </c>
      <c r="F3339" s="11">
        <f t="shared" ca="1" si="259"/>
        <v>3.4611214035215179</v>
      </c>
      <c r="G3339" s="10">
        <f t="shared" ca="1" si="257"/>
        <v>0</v>
      </c>
    </row>
    <row r="3340" spans="1:7" x14ac:dyDescent="0.2">
      <c r="A3340" s="2">
        <v>20030602</v>
      </c>
      <c r="B3340" s="13">
        <v>8897.81</v>
      </c>
      <c r="C3340" s="2">
        <f t="shared" si="260"/>
        <v>5.3727235132074395E-3</v>
      </c>
      <c r="D3340" s="21">
        <f t="shared" ca="1" si="256"/>
        <v>4.9887710981005723E-3</v>
      </c>
      <c r="E3340" s="21">
        <f t="shared" ca="1" si="258"/>
        <v>1.1553906623071973E-4</v>
      </c>
      <c r="F3340" s="11">
        <f t="shared" ca="1" si="259"/>
        <v>4.4252477993502808</v>
      </c>
      <c r="G3340" s="10">
        <f t="shared" ca="1" si="257"/>
        <v>1</v>
      </c>
    </row>
    <row r="3341" spans="1:7" x14ac:dyDescent="0.2">
      <c r="A3341" s="2">
        <v>20030603</v>
      </c>
      <c r="B3341" s="13">
        <v>8922.9500000000007</v>
      </c>
      <c r="C3341" s="2">
        <f t="shared" si="260"/>
        <v>2.8254143435296145E-3</v>
      </c>
      <c r="D3341" s="21">
        <f t="shared" ca="1" si="256"/>
        <v>2.4414619284227473E-3</v>
      </c>
      <c r="E3341" s="21">
        <f t="shared" ca="1" si="258"/>
        <v>1.1151807916030289E-4</v>
      </c>
      <c r="F3341" s="11">
        <f t="shared" ca="1" si="259"/>
        <v>4.5239364916210425</v>
      </c>
      <c r="G3341" s="10">
        <f t="shared" ca="1" si="257"/>
        <v>1</v>
      </c>
    </row>
    <row r="3342" spans="1:7" x14ac:dyDescent="0.2">
      <c r="A3342" s="2">
        <v>20030604</v>
      </c>
      <c r="B3342" s="13">
        <v>9038.98</v>
      </c>
      <c r="C3342" s="2">
        <f t="shared" si="260"/>
        <v>1.3003547033211979E-2</v>
      </c>
      <c r="D3342" s="21">
        <f t="shared" ref="D3342:D3405" ca="1" si="261">(C3342-mu)</f>
        <v>1.2619594618105112E-2</v>
      </c>
      <c r="E3342" s="21">
        <f t="shared" ca="1" si="258"/>
        <v>1.0700453260861489E-4</v>
      </c>
      <c r="F3342" s="11">
        <f t="shared" ca="1" si="259"/>
        <v>3.8271728478015499</v>
      </c>
      <c r="G3342" s="10">
        <f t="shared" ref="G3342:G3405" ca="1" si="262">IF(AND(C3342&lt;=mu+zvalue*SQRT(E3342),C3342&gt;=mu-zvalue*SQRT(E3342)),1,0)</f>
        <v>0</v>
      </c>
    </row>
    <row r="3343" spans="1:7" x14ac:dyDescent="0.2">
      <c r="A3343" s="2">
        <v>20030605</v>
      </c>
      <c r="B3343" s="13">
        <v>9041.2999999999993</v>
      </c>
      <c r="C3343" s="2">
        <f t="shared" si="260"/>
        <v>2.5666612825780223E-4</v>
      </c>
      <c r="D3343" s="21">
        <f t="shared" ca="1" si="261"/>
        <v>-1.2728628684906506E-4</v>
      </c>
      <c r="E3343" s="21">
        <f t="shared" ref="E3343:E3406" ca="1" si="263">(1-alpha-beta)*longvar+alpha*D3342^2+beta*E3342</f>
        <v>1.0835619501448059E-4</v>
      </c>
      <c r="F3343" s="11">
        <f t="shared" ref="F3343:F3406" ca="1" si="264">(-0.5)*(LN(E3343)+D3343^2/E3343)</f>
        <v>4.5649685660758452</v>
      </c>
      <c r="G3343" s="10">
        <f t="shared" ca="1" si="262"/>
        <v>1</v>
      </c>
    </row>
    <row r="3344" spans="1:7" x14ac:dyDescent="0.2">
      <c r="A3344" s="2">
        <v>20030606</v>
      </c>
      <c r="B3344" s="13">
        <v>9062.7900000000009</v>
      </c>
      <c r="C3344" s="2">
        <f t="shared" si="260"/>
        <v>2.3768705827703542E-3</v>
      </c>
      <c r="D3344" s="21">
        <f t="shared" ca="1" si="261"/>
        <v>1.992918167663487E-3</v>
      </c>
      <c r="E3344" s="21">
        <f t="shared" ca="1" si="263"/>
        <v>1.0378401830801712E-4</v>
      </c>
      <c r="F3344" s="11">
        <f t="shared" ca="1" si="264"/>
        <v>4.5674647237423169</v>
      </c>
      <c r="G3344" s="10">
        <f t="shared" ca="1" si="262"/>
        <v>1</v>
      </c>
    </row>
    <row r="3345" spans="1:7" x14ac:dyDescent="0.2">
      <c r="A3345" s="2">
        <v>20030609</v>
      </c>
      <c r="B3345" s="13">
        <v>8980</v>
      </c>
      <c r="C3345" s="2">
        <f t="shared" si="260"/>
        <v>-9.1351559508717362E-3</v>
      </c>
      <c r="D3345" s="21">
        <f t="shared" ca="1" si="261"/>
        <v>-9.5191083659786034E-3</v>
      </c>
      <c r="E3345" s="21">
        <f t="shared" ca="1" si="263"/>
        <v>9.9588600941173216E-5</v>
      </c>
      <c r="F3345" s="11">
        <f t="shared" ca="1" si="264"/>
        <v>4.1522926900661261</v>
      </c>
      <c r="G3345" s="10">
        <f t="shared" ca="1" si="262"/>
        <v>1</v>
      </c>
    </row>
    <row r="3346" spans="1:7" x14ac:dyDescent="0.2">
      <c r="A3346" s="2">
        <v>20030610</v>
      </c>
      <c r="B3346" s="13">
        <v>9054.89</v>
      </c>
      <c r="C3346" s="2">
        <f t="shared" si="260"/>
        <v>8.3396436525611829E-3</v>
      </c>
      <c r="D3346" s="21">
        <f t="shared" ca="1" si="261"/>
        <v>7.9556912374543157E-3</v>
      </c>
      <c r="E3346" s="21">
        <f t="shared" ca="1" si="263"/>
        <v>9.8791397756145847E-5</v>
      </c>
      <c r="F3346" s="11">
        <f t="shared" ca="1" si="264"/>
        <v>4.290913300105383</v>
      </c>
      <c r="G3346" s="10">
        <f t="shared" ca="1" si="262"/>
        <v>1</v>
      </c>
    </row>
    <row r="3347" spans="1:7" x14ac:dyDescent="0.2">
      <c r="A3347" s="2">
        <v>20030611</v>
      </c>
      <c r="B3347" s="13">
        <v>9183.2199999999993</v>
      </c>
      <c r="C3347" s="2">
        <f t="shared" si="260"/>
        <v>1.417245267474259E-2</v>
      </c>
      <c r="D3347" s="21">
        <f t="shared" ca="1" si="261"/>
        <v>1.3788500259635723E-2</v>
      </c>
      <c r="E3347" s="21">
        <f t="shared" ca="1" si="263"/>
        <v>9.7029906494618866E-5</v>
      </c>
      <c r="F3347" s="11">
        <f t="shared" ca="1" si="264"/>
        <v>3.6405335949456132</v>
      </c>
      <c r="G3347" s="10">
        <f t="shared" ca="1" si="262"/>
        <v>0</v>
      </c>
    </row>
    <row r="3348" spans="1:7" x14ac:dyDescent="0.2">
      <c r="A3348" s="2">
        <v>20030612</v>
      </c>
      <c r="B3348" s="13">
        <v>9196.5499999999993</v>
      </c>
      <c r="C3348" s="2">
        <f t="shared" si="260"/>
        <v>1.4515605637238276E-3</v>
      </c>
      <c r="D3348" s="21">
        <f t="shared" ca="1" si="261"/>
        <v>1.0676081486169602E-3</v>
      </c>
      <c r="E3348" s="21">
        <f t="shared" ca="1" si="263"/>
        <v>1.0002127977664076E-4</v>
      </c>
      <c r="F3348" s="11">
        <f t="shared" ca="1" si="264"/>
        <v>4.5993660750918357</v>
      </c>
      <c r="G3348" s="10">
        <f t="shared" ca="1" si="262"/>
        <v>1</v>
      </c>
    </row>
    <row r="3349" spans="1:7" x14ac:dyDescent="0.2">
      <c r="A3349" s="2">
        <v>20030613</v>
      </c>
      <c r="B3349" s="13">
        <v>9117.1200000000008</v>
      </c>
      <c r="C3349" s="2">
        <f t="shared" si="260"/>
        <v>-8.6369345026122268E-3</v>
      </c>
      <c r="D3349" s="21">
        <f t="shared" ca="1" si="261"/>
        <v>-9.020886917719094E-3</v>
      </c>
      <c r="E3349" s="21">
        <f t="shared" ca="1" si="263"/>
        <v>9.5912085371976008E-5</v>
      </c>
      <c r="F3349" s="11">
        <f t="shared" ca="1" si="264"/>
        <v>4.2018153663211981</v>
      </c>
      <c r="G3349" s="10">
        <f t="shared" ca="1" si="262"/>
        <v>1</v>
      </c>
    </row>
    <row r="3350" spans="1:7" x14ac:dyDescent="0.2">
      <c r="A3350" s="2">
        <v>20030616</v>
      </c>
      <c r="B3350" s="13">
        <v>9318.9599999999991</v>
      </c>
      <c r="C3350" s="2">
        <f t="shared" si="260"/>
        <v>2.2138570074760264E-2</v>
      </c>
      <c r="D3350" s="21">
        <f t="shared" ca="1" si="261"/>
        <v>2.1754617659653395E-2</v>
      </c>
      <c r="E3350" s="21">
        <f t="shared" ca="1" si="263"/>
        <v>9.4961216845085617E-5</v>
      </c>
      <c r="F3350" s="11">
        <f t="shared" ca="1" si="264"/>
        <v>2.1391437586237108</v>
      </c>
      <c r="G3350" s="10">
        <f t="shared" ca="1" si="262"/>
        <v>0</v>
      </c>
    </row>
    <row r="3351" spans="1:7" x14ac:dyDescent="0.2">
      <c r="A3351" s="2">
        <v>20030617</v>
      </c>
      <c r="B3351" s="13">
        <v>9323.02</v>
      </c>
      <c r="C3351" s="2">
        <f t="shared" si="260"/>
        <v>4.3567093323732583E-4</v>
      </c>
      <c r="D3351" s="21">
        <f t="shared" ca="1" si="261"/>
        <v>5.1718518130458536E-5</v>
      </c>
      <c r="E3351" s="21">
        <f t="shared" ca="1" si="263"/>
        <v>1.0846882189898395E-4</v>
      </c>
      <c r="F3351" s="11">
        <f t="shared" ca="1" si="264"/>
        <v>4.5645115611901224</v>
      </c>
      <c r="G3351" s="10">
        <f t="shared" ca="1" si="262"/>
        <v>1</v>
      </c>
    </row>
    <row r="3352" spans="1:7" x14ac:dyDescent="0.2">
      <c r="A3352" s="2">
        <v>20030618</v>
      </c>
      <c r="B3352" s="13">
        <v>9293.7999999999993</v>
      </c>
      <c r="C3352" s="2">
        <f t="shared" si="260"/>
        <v>-3.1341775519092702E-3</v>
      </c>
      <c r="D3352" s="21">
        <f t="shared" ca="1" si="261"/>
        <v>-3.5181299670161374E-3</v>
      </c>
      <c r="E3352" s="21">
        <f t="shared" ca="1" si="263"/>
        <v>1.0389044995017225E-4</v>
      </c>
      <c r="F3352" s="11">
        <f t="shared" ca="1" si="264"/>
        <v>4.5265180881383875</v>
      </c>
      <c r="G3352" s="10">
        <f t="shared" ca="1" si="262"/>
        <v>1</v>
      </c>
    </row>
    <row r="3353" spans="1:7" x14ac:dyDescent="0.2">
      <c r="A3353" s="2">
        <v>20030619</v>
      </c>
      <c r="B3353" s="13">
        <v>9179.5300000000007</v>
      </c>
      <c r="C3353" s="2">
        <f t="shared" si="260"/>
        <v>-1.2295293636617813E-2</v>
      </c>
      <c r="D3353" s="21">
        <f t="shared" ca="1" si="261"/>
        <v>-1.267924605172468E-2</v>
      </c>
      <c r="E3353" s="21">
        <f t="shared" ca="1" si="263"/>
        <v>9.9998733658082948E-5</v>
      </c>
      <c r="F3353" s="11">
        <f t="shared" ca="1" si="264"/>
        <v>3.8013499363439474</v>
      </c>
      <c r="G3353" s="10">
        <f t="shared" ca="1" si="262"/>
        <v>0</v>
      </c>
    </row>
    <row r="3354" spans="1:7" x14ac:dyDescent="0.2">
      <c r="A3354" s="2">
        <v>20030620</v>
      </c>
      <c r="B3354" s="13">
        <v>9200.75</v>
      </c>
      <c r="C3354" s="2">
        <f t="shared" si="260"/>
        <v>2.3116651941874305E-3</v>
      </c>
      <c r="D3354" s="21">
        <f t="shared" ca="1" si="261"/>
        <v>1.9277127790805633E-3</v>
      </c>
      <c r="E3354" s="21">
        <f t="shared" ca="1" si="263"/>
        <v>1.0176031442705992E-4</v>
      </c>
      <c r="F3354" s="11">
        <f t="shared" ca="1" si="264"/>
        <v>4.5781862166912539</v>
      </c>
      <c r="G3354" s="10">
        <f t="shared" ca="1" si="262"/>
        <v>1</v>
      </c>
    </row>
    <row r="3355" spans="1:7" x14ac:dyDescent="0.2">
      <c r="A3355" s="2">
        <v>20030623</v>
      </c>
      <c r="B3355" s="13">
        <v>9072.9500000000007</v>
      </c>
      <c r="C3355" s="2">
        <f t="shared" si="260"/>
        <v>-1.3890171996848003E-2</v>
      </c>
      <c r="D3355" s="21">
        <f t="shared" ca="1" si="261"/>
        <v>-1.427412441195487E-2</v>
      </c>
      <c r="E3355" s="21">
        <f t="shared" ca="1" si="263"/>
        <v>9.7657876346375652E-5</v>
      </c>
      <c r="F3355" s="11">
        <f t="shared" ca="1" si="264"/>
        <v>3.5738342815001358</v>
      </c>
      <c r="G3355" s="10">
        <f t="shared" ca="1" si="262"/>
        <v>0</v>
      </c>
    </row>
    <row r="3356" spans="1:7" x14ac:dyDescent="0.2">
      <c r="A3356" s="2">
        <v>20030624</v>
      </c>
      <c r="B3356" s="13">
        <v>9109.85</v>
      </c>
      <c r="C3356" s="2">
        <f t="shared" si="260"/>
        <v>4.0670344265095288E-3</v>
      </c>
      <c r="D3356" s="21">
        <f t="shared" ca="1" si="261"/>
        <v>3.6830820114026616E-3</v>
      </c>
      <c r="E3356" s="21">
        <f t="shared" ca="1" si="263"/>
        <v>1.01118601675216E-4</v>
      </c>
      <c r="F3356" s="11">
        <f t="shared" ca="1" si="264"/>
        <v>4.5325330663837962</v>
      </c>
      <c r="G3356" s="10">
        <f t="shared" ca="1" si="262"/>
        <v>1</v>
      </c>
    </row>
    <row r="3357" spans="1:7" x14ac:dyDescent="0.2">
      <c r="A3357" s="2">
        <v>20030625</v>
      </c>
      <c r="B3357" s="13">
        <v>9011.5300000000007</v>
      </c>
      <c r="C3357" s="2">
        <f t="shared" si="260"/>
        <v>-1.0792713381669259E-2</v>
      </c>
      <c r="D3357" s="21">
        <f t="shared" ca="1" si="261"/>
        <v>-1.1176665796776127E-2</v>
      </c>
      <c r="E3357" s="21">
        <f t="shared" ca="1" si="263"/>
        <v>9.7410793589113089E-5</v>
      </c>
      <c r="F3357" s="11">
        <f t="shared" ca="1" si="264"/>
        <v>3.9770957166844831</v>
      </c>
      <c r="G3357" s="10">
        <f t="shared" ca="1" si="262"/>
        <v>0</v>
      </c>
    </row>
    <row r="3358" spans="1:7" x14ac:dyDescent="0.2">
      <c r="A3358" s="2">
        <v>20030626</v>
      </c>
      <c r="B3358" s="13">
        <v>9079.0400000000009</v>
      </c>
      <c r="C3358" s="2">
        <f t="shared" si="260"/>
        <v>7.4915136497354182E-3</v>
      </c>
      <c r="D3358" s="21">
        <f t="shared" ca="1" si="261"/>
        <v>7.1075612346285511E-3</v>
      </c>
      <c r="E3358" s="21">
        <f t="shared" ca="1" si="263"/>
        <v>9.7985200339614314E-5</v>
      </c>
      <c r="F3358" s="11">
        <f t="shared" ca="1" si="264"/>
        <v>4.3575661515569966</v>
      </c>
      <c r="G3358" s="10">
        <f t="shared" ca="1" si="262"/>
        <v>1</v>
      </c>
    </row>
    <row r="3359" spans="1:7" x14ac:dyDescent="0.2">
      <c r="A3359" s="2">
        <v>20030627</v>
      </c>
      <c r="B3359" s="13">
        <v>8989.0499999999993</v>
      </c>
      <c r="C3359" s="2">
        <f t="shared" si="260"/>
        <v>-9.9118408994785349E-3</v>
      </c>
      <c r="D3359" s="21">
        <f t="shared" ca="1" si="261"/>
        <v>-1.0295793314585402E-2</v>
      </c>
      <c r="E3359" s="21">
        <f t="shared" ca="1" si="263"/>
        <v>9.579471388582903E-5</v>
      </c>
      <c r="F3359" s="11">
        <f t="shared" ca="1" si="264"/>
        <v>4.0733675525628525</v>
      </c>
      <c r="G3359" s="10">
        <f t="shared" ca="1" si="262"/>
        <v>0</v>
      </c>
    </row>
    <row r="3360" spans="1:7" x14ac:dyDescent="0.2">
      <c r="A3360" s="2">
        <v>20030630</v>
      </c>
      <c r="B3360" s="13">
        <v>8985.44</v>
      </c>
      <c r="C3360" s="2">
        <f t="shared" si="260"/>
        <v>-4.0159972410863919E-4</v>
      </c>
      <c r="D3360" s="21">
        <f t="shared" ca="1" si="261"/>
        <v>-7.8555213921550644E-4</v>
      </c>
      <c r="E3360" s="21">
        <f t="shared" ca="1" si="263"/>
        <v>9.5755359510476328E-5</v>
      </c>
      <c r="F3360" s="11">
        <f t="shared" ca="1" si="264"/>
        <v>4.6236347457103593</v>
      </c>
      <c r="G3360" s="10">
        <f t="shared" ca="1" si="262"/>
        <v>1</v>
      </c>
    </row>
    <row r="3361" spans="1:7" x14ac:dyDescent="0.2">
      <c r="A3361" s="2">
        <v>20030701</v>
      </c>
      <c r="B3361" s="13">
        <v>9040.9500000000007</v>
      </c>
      <c r="C3361" s="2">
        <f t="shared" si="260"/>
        <v>6.1777720401004531E-3</v>
      </c>
      <c r="D3361" s="21">
        <f t="shared" ca="1" si="261"/>
        <v>5.7938196249935859E-3</v>
      </c>
      <c r="E3361" s="21">
        <f t="shared" ca="1" si="263"/>
        <v>9.1842759009054967E-5</v>
      </c>
      <c r="F3361" s="11">
        <f t="shared" ca="1" si="264"/>
        <v>4.4649672861163197</v>
      </c>
      <c r="G3361" s="10">
        <f t="shared" ca="1" si="262"/>
        <v>1</v>
      </c>
    </row>
    <row r="3362" spans="1:7" x14ac:dyDescent="0.2">
      <c r="A3362" s="2">
        <v>20030702</v>
      </c>
      <c r="B3362" s="13">
        <v>9142.84</v>
      </c>
      <c r="C3362" s="2">
        <f t="shared" si="260"/>
        <v>1.1269833369280818E-2</v>
      </c>
      <c r="D3362" s="21">
        <f t="shared" ca="1" si="261"/>
        <v>1.088588095417395E-2</v>
      </c>
      <c r="E3362" s="21">
        <f t="shared" ca="1" si="263"/>
        <v>8.9339773387663298E-5</v>
      </c>
      <c r="F3362" s="11">
        <f t="shared" ca="1" si="264"/>
        <v>3.9983199756215275</v>
      </c>
      <c r="G3362" s="10">
        <f t="shared" ca="1" si="262"/>
        <v>0</v>
      </c>
    </row>
    <row r="3363" spans="1:7" x14ac:dyDescent="0.2">
      <c r="A3363" s="2">
        <v>20030703</v>
      </c>
      <c r="B3363" s="13">
        <v>9070.2099999999991</v>
      </c>
      <c r="C3363" s="2">
        <f t="shared" si="260"/>
        <v>-7.9439211448522583E-3</v>
      </c>
      <c r="D3363" s="21">
        <f t="shared" ca="1" si="261"/>
        <v>-8.3278735599591255E-3</v>
      </c>
      <c r="E3363" s="21">
        <f t="shared" ca="1" si="263"/>
        <v>9.0086588255610067E-5</v>
      </c>
      <c r="F3363" s="11">
        <f t="shared" ca="1" si="264"/>
        <v>4.2724428638961243</v>
      </c>
      <c r="G3363" s="10">
        <f t="shared" ca="1" si="262"/>
        <v>1</v>
      </c>
    </row>
    <row r="3364" spans="1:7" x14ac:dyDescent="0.2">
      <c r="A3364" s="2">
        <v>20030707</v>
      </c>
      <c r="B3364" s="13">
        <v>9216.7900000000009</v>
      </c>
      <c r="C3364" s="2">
        <f t="shared" si="260"/>
        <v>1.6160596061171876E-2</v>
      </c>
      <c r="D3364" s="21">
        <f t="shared" ca="1" si="261"/>
        <v>1.5776643646065007E-2</v>
      </c>
      <c r="E3364" s="21">
        <f t="shared" ca="1" si="263"/>
        <v>8.8988329683799191E-5</v>
      </c>
      <c r="F3364" s="11">
        <f t="shared" ca="1" si="264"/>
        <v>3.2649907131789071</v>
      </c>
      <c r="G3364" s="10">
        <f t="shared" ca="1" si="262"/>
        <v>0</v>
      </c>
    </row>
    <row r="3365" spans="1:7" x14ac:dyDescent="0.2">
      <c r="A3365" s="2">
        <v>20030708</v>
      </c>
      <c r="B3365" s="13">
        <v>9223.09</v>
      </c>
      <c r="C3365" s="2">
        <f t="shared" si="260"/>
        <v>6.8353515703398595E-4</v>
      </c>
      <c r="D3365" s="21">
        <f t="shared" ca="1" si="261"/>
        <v>2.9958274192711865E-4</v>
      </c>
      <c r="E3365" s="21">
        <f t="shared" ca="1" si="263"/>
        <v>9.4547962852284382E-5</v>
      </c>
      <c r="F3365" s="11">
        <f t="shared" ca="1" si="264"/>
        <v>4.6327270285300379</v>
      </c>
      <c r="G3365" s="10">
        <f t="shared" ca="1" si="262"/>
        <v>1</v>
      </c>
    </row>
    <row r="3366" spans="1:7" x14ac:dyDescent="0.2">
      <c r="A3366" s="2">
        <v>20030709</v>
      </c>
      <c r="B3366" s="13">
        <v>9156.2099999999991</v>
      </c>
      <c r="C3366" s="2">
        <f t="shared" si="260"/>
        <v>-7.2513658654530114E-3</v>
      </c>
      <c r="D3366" s="21">
        <f t="shared" ca="1" si="261"/>
        <v>-7.6353182805598786E-3</v>
      </c>
      <c r="E3366" s="21">
        <f t="shared" ca="1" si="263"/>
        <v>9.0677053646594016E-5</v>
      </c>
      <c r="F3366" s="11">
        <f t="shared" ca="1" si="264"/>
        <v>4.3326431458629973</v>
      </c>
      <c r="G3366" s="10">
        <f t="shared" ca="1" si="262"/>
        <v>1</v>
      </c>
    </row>
    <row r="3367" spans="1:7" x14ac:dyDescent="0.2">
      <c r="A3367" s="2">
        <v>20030710</v>
      </c>
      <c r="B3367" s="13">
        <v>9036.0400000000009</v>
      </c>
      <c r="C3367" s="2">
        <f t="shared" si="260"/>
        <v>-1.3124425936058507E-2</v>
      </c>
      <c r="D3367" s="21">
        <f t="shared" ca="1" si="261"/>
        <v>-1.3508378351165374E-2</v>
      </c>
      <c r="E3367" s="21">
        <f t="shared" ca="1" si="263"/>
        <v>8.9142397140285685E-5</v>
      </c>
      <c r="F3367" s="11">
        <f t="shared" ca="1" si="264"/>
        <v>3.6391276603802516</v>
      </c>
      <c r="G3367" s="10">
        <f t="shared" ca="1" si="262"/>
        <v>0</v>
      </c>
    </row>
    <row r="3368" spans="1:7" x14ac:dyDescent="0.2">
      <c r="A3368" s="2">
        <v>20030711</v>
      </c>
      <c r="B3368" s="13">
        <v>9119.59</v>
      </c>
      <c r="C3368" s="2">
        <f t="shared" si="260"/>
        <v>9.2463070105930547E-3</v>
      </c>
      <c r="D3368" s="21">
        <f t="shared" ca="1" si="261"/>
        <v>8.8623545954861875E-3</v>
      </c>
      <c r="E3368" s="21">
        <f t="shared" ca="1" si="263"/>
        <v>9.2251628662834241E-5</v>
      </c>
      <c r="F3368" s="11">
        <f t="shared" ca="1" si="264"/>
        <v>4.2198045656453758</v>
      </c>
      <c r="G3368" s="10">
        <f t="shared" ca="1" si="262"/>
        <v>1</v>
      </c>
    </row>
    <row r="3369" spans="1:7" x14ac:dyDescent="0.2">
      <c r="A3369" s="2">
        <v>20030714</v>
      </c>
      <c r="B3369" s="13">
        <v>9177.15</v>
      </c>
      <c r="C3369" s="2">
        <f t="shared" si="260"/>
        <v>6.3116872578700897E-3</v>
      </c>
      <c r="D3369" s="21">
        <f t="shared" ca="1" si="261"/>
        <v>5.9277348427632225E-3</v>
      </c>
      <c r="E3369" s="21">
        <f t="shared" ca="1" si="263"/>
        <v>9.1381693305636423E-5</v>
      </c>
      <c r="F3369" s="11">
        <f t="shared" ca="1" si="264"/>
        <v>4.4579729603287275</v>
      </c>
      <c r="G3369" s="10">
        <f t="shared" ca="1" si="262"/>
        <v>1</v>
      </c>
    </row>
    <row r="3370" spans="1:7" x14ac:dyDescent="0.2">
      <c r="A3370" s="2">
        <v>20030715</v>
      </c>
      <c r="B3370" s="13">
        <v>9128.9699999999993</v>
      </c>
      <c r="C3370" s="2">
        <f t="shared" si="260"/>
        <v>-5.249995913764109E-3</v>
      </c>
      <c r="D3370" s="21">
        <f t="shared" ca="1" si="261"/>
        <v>-5.6339483288709762E-3</v>
      </c>
      <c r="E3370" s="21">
        <f t="shared" ca="1" si="263"/>
        <v>8.8959753558222752E-5</v>
      </c>
      <c r="F3370" s="11">
        <f t="shared" ca="1" si="264"/>
        <v>4.4852602491729181</v>
      </c>
      <c r="G3370" s="10">
        <f t="shared" ca="1" si="262"/>
        <v>1</v>
      </c>
    </row>
    <row r="3371" spans="1:7" x14ac:dyDescent="0.2">
      <c r="A3371" s="2">
        <v>20030716</v>
      </c>
      <c r="B3371" s="13">
        <v>9094.59</v>
      </c>
      <c r="C3371" s="2">
        <f t="shared" si="260"/>
        <v>-3.7660327506826292E-3</v>
      </c>
      <c r="D3371" s="21">
        <f t="shared" ca="1" si="261"/>
        <v>-4.1499851657894968E-3</v>
      </c>
      <c r="E3371" s="21">
        <f t="shared" ca="1" si="263"/>
        <v>8.6535439178698166E-5</v>
      </c>
      <c r="F3371" s="11">
        <f t="shared" ca="1" si="264"/>
        <v>4.5779677214151606</v>
      </c>
      <c r="G3371" s="10">
        <f t="shared" ca="1" si="262"/>
        <v>1</v>
      </c>
    </row>
    <row r="3372" spans="1:7" x14ac:dyDescent="0.2">
      <c r="A3372" s="2">
        <v>20030717</v>
      </c>
      <c r="B3372" s="13">
        <v>9050.82</v>
      </c>
      <c r="C3372" s="2">
        <f t="shared" si="260"/>
        <v>-4.8127513169917979E-3</v>
      </c>
      <c r="D3372" s="21">
        <f t="shared" ca="1" si="261"/>
        <v>-5.1967037320986651E-3</v>
      </c>
      <c r="E3372" s="21">
        <f t="shared" ca="1" si="263"/>
        <v>8.3699882795151853E-5</v>
      </c>
      <c r="F3372" s="11">
        <f t="shared" ca="1" si="264"/>
        <v>4.5328117144257618</v>
      </c>
      <c r="G3372" s="10">
        <f t="shared" ca="1" si="262"/>
        <v>1</v>
      </c>
    </row>
    <row r="3373" spans="1:7" x14ac:dyDescent="0.2">
      <c r="A3373" s="2">
        <v>20030718</v>
      </c>
      <c r="B3373" s="13">
        <v>9188.15</v>
      </c>
      <c r="C3373" s="2">
        <f t="shared" si="260"/>
        <v>1.5173210825096503E-2</v>
      </c>
      <c r="D3373" s="21">
        <f t="shared" ca="1" si="261"/>
        <v>1.4789258409989636E-2</v>
      </c>
      <c r="E3373" s="21">
        <f t="shared" ca="1" si="263"/>
        <v>8.1367529107454934E-5</v>
      </c>
      <c r="F3373" s="11">
        <f t="shared" ca="1" si="264"/>
        <v>3.3642287530520667</v>
      </c>
      <c r="G3373" s="10">
        <f t="shared" ca="1" si="262"/>
        <v>0</v>
      </c>
    </row>
    <row r="3374" spans="1:7" x14ac:dyDescent="0.2">
      <c r="A3374" s="2">
        <v>20030721</v>
      </c>
      <c r="B3374" s="13">
        <v>9096.69</v>
      </c>
      <c r="C3374" s="2">
        <f t="shared" ref="C3374:C3437" si="265">(B3374-B3373)/B3373</f>
        <v>-9.9541256945085924E-3</v>
      </c>
      <c r="D3374" s="21">
        <f t="shared" ca="1" si="261"/>
        <v>-1.033807810961546E-2</v>
      </c>
      <c r="E3374" s="21">
        <f t="shared" ca="1" si="263"/>
        <v>8.6202918008344579E-5</v>
      </c>
      <c r="F3374" s="11">
        <f t="shared" ca="1" si="264"/>
        <v>4.0594946729629768</v>
      </c>
      <c r="G3374" s="10">
        <f t="shared" ca="1" si="262"/>
        <v>0</v>
      </c>
    </row>
    <row r="3375" spans="1:7" x14ac:dyDescent="0.2">
      <c r="A3375" s="2">
        <v>20030722</v>
      </c>
      <c r="B3375" s="13">
        <v>9158.4500000000007</v>
      </c>
      <c r="C3375" s="2">
        <f t="shared" si="265"/>
        <v>6.7892826951341878E-3</v>
      </c>
      <c r="D3375" s="21">
        <f t="shared" ca="1" si="261"/>
        <v>6.4053302800273207E-3</v>
      </c>
      <c r="E3375" s="21">
        <f t="shared" ca="1" si="263"/>
        <v>8.6680899057200924E-5</v>
      </c>
      <c r="F3375" s="11">
        <f t="shared" ca="1" si="264"/>
        <v>4.4399758924113142</v>
      </c>
      <c r="G3375" s="10">
        <f t="shared" ca="1" si="262"/>
        <v>1</v>
      </c>
    </row>
    <row r="3376" spans="1:7" x14ac:dyDescent="0.2">
      <c r="A3376" s="2">
        <v>20030723</v>
      </c>
      <c r="B3376" s="13">
        <v>9194.24</v>
      </c>
      <c r="C3376" s="2">
        <f t="shared" si="265"/>
        <v>3.907866505795091E-3</v>
      </c>
      <c r="D3376" s="21">
        <f t="shared" ca="1" si="261"/>
        <v>3.5239140906882238E-3</v>
      </c>
      <c r="E3376" s="21">
        <f t="shared" ca="1" si="263"/>
        <v>8.471336755193267E-5</v>
      </c>
      <c r="F3376" s="11">
        <f t="shared" ca="1" si="264"/>
        <v>4.6148245295588248</v>
      </c>
      <c r="G3376" s="10">
        <f t="shared" ca="1" si="262"/>
        <v>1</v>
      </c>
    </row>
    <row r="3377" spans="1:7" x14ac:dyDescent="0.2">
      <c r="A3377" s="2">
        <v>20030724</v>
      </c>
      <c r="B3377" s="13">
        <v>9112.51</v>
      </c>
      <c r="C3377" s="2">
        <f t="shared" si="265"/>
        <v>-8.8892611026033224E-3</v>
      </c>
      <c r="D3377" s="21">
        <f t="shared" ca="1" si="261"/>
        <v>-9.2732135177101896E-3</v>
      </c>
      <c r="E3377" s="21">
        <f t="shared" ca="1" si="263"/>
        <v>8.1793323961434509E-5</v>
      </c>
      <c r="F3377" s="11">
        <f t="shared" ca="1" si="264"/>
        <v>4.1799881033152682</v>
      </c>
      <c r="G3377" s="10">
        <f t="shared" ca="1" si="262"/>
        <v>0</v>
      </c>
    </row>
    <row r="3378" spans="1:7" x14ac:dyDescent="0.2">
      <c r="A3378" s="2">
        <v>20030725</v>
      </c>
      <c r="B3378" s="13">
        <v>9284.57</v>
      </c>
      <c r="C3378" s="2">
        <f t="shared" si="265"/>
        <v>1.8881735109206956E-2</v>
      </c>
      <c r="D3378" s="21">
        <f t="shared" ca="1" si="261"/>
        <v>1.8497782694100087E-2</v>
      </c>
      <c r="E3378" s="21">
        <f t="shared" ca="1" si="263"/>
        <v>8.1726469844759422E-5</v>
      </c>
      <c r="F3378" s="11">
        <f t="shared" ca="1" si="264"/>
        <v>2.6126933475645289</v>
      </c>
      <c r="G3378" s="10">
        <f t="shared" ca="1" si="262"/>
        <v>0</v>
      </c>
    </row>
    <row r="3379" spans="1:7" x14ac:dyDescent="0.2">
      <c r="A3379" s="2">
        <v>20030728</v>
      </c>
      <c r="B3379" s="13">
        <v>9266.51</v>
      </c>
      <c r="C3379" s="2">
        <f t="shared" si="265"/>
        <v>-1.9451627808287828E-3</v>
      </c>
      <c r="D3379" s="21">
        <f t="shared" ca="1" si="261"/>
        <v>-2.3291151959356502E-3</v>
      </c>
      <c r="E3379" s="21">
        <f t="shared" ca="1" si="263"/>
        <v>9.1083017434060457E-5</v>
      </c>
      <c r="F3379" s="11">
        <f t="shared" ca="1" si="264"/>
        <v>4.6220902906535315</v>
      </c>
      <c r="G3379" s="10">
        <f t="shared" ca="1" si="262"/>
        <v>1</v>
      </c>
    </row>
    <row r="3380" spans="1:7" x14ac:dyDescent="0.2">
      <c r="A3380" s="2">
        <v>20030729</v>
      </c>
      <c r="B3380" s="13">
        <v>9204.4599999999991</v>
      </c>
      <c r="C3380" s="2">
        <f t="shared" si="265"/>
        <v>-6.6961563738668697E-3</v>
      </c>
      <c r="D3380" s="21">
        <f t="shared" ca="1" si="261"/>
        <v>-7.0801087889737369E-3</v>
      </c>
      <c r="E3380" s="21">
        <f t="shared" ca="1" si="263"/>
        <v>8.7583579244518837E-5</v>
      </c>
      <c r="F3380" s="11">
        <f t="shared" ca="1" si="264"/>
        <v>4.3852864895390535</v>
      </c>
      <c r="G3380" s="10">
        <f t="shared" ca="1" si="262"/>
        <v>1</v>
      </c>
    </row>
    <row r="3381" spans="1:7" x14ac:dyDescent="0.2">
      <c r="A3381" s="2">
        <v>20030730</v>
      </c>
      <c r="B3381" s="13">
        <v>9200.0499999999993</v>
      </c>
      <c r="C3381" s="2">
        <f t="shared" si="265"/>
        <v>-4.7911555919628689E-4</v>
      </c>
      <c r="D3381" s="21">
        <f t="shared" ca="1" si="261"/>
        <v>-8.6306797430315413E-4</v>
      </c>
      <c r="E3381" s="21">
        <f t="shared" ca="1" si="263"/>
        <v>8.5904992137699954E-5</v>
      </c>
      <c r="F3381" s="11">
        <f t="shared" ca="1" si="264"/>
        <v>4.676798783381992</v>
      </c>
      <c r="G3381" s="10">
        <f t="shared" ca="1" si="262"/>
        <v>1</v>
      </c>
    </row>
    <row r="3382" spans="1:7" x14ac:dyDescent="0.2">
      <c r="A3382" s="2">
        <v>20030731</v>
      </c>
      <c r="B3382" s="13">
        <v>9233.7999999999993</v>
      </c>
      <c r="C3382" s="2">
        <f t="shared" si="265"/>
        <v>3.6684583235960678E-3</v>
      </c>
      <c r="D3382" s="21">
        <f t="shared" ca="1" si="261"/>
        <v>3.2845059084892006E-3</v>
      </c>
      <c r="E3382" s="21">
        <f t="shared" ca="1" si="263"/>
        <v>8.2495424179617364E-5</v>
      </c>
      <c r="F3382" s="11">
        <f t="shared" ca="1" si="264"/>
        <v>4.6359985474720879</v>
      </c>
      <c r="G3382" s="10">
        <f t="shared" ca="1" si="262"/>
        <v>1</v>
      </c>
    </row>
    <row r="3383" spans="1:7" x14ac:dyDescent="0.2">
      <c r="A3383" s="2">
        <v>20030801</v>
      </c>
      <c r="B3383" s="13">
        <v>9153.9699999999993</v>
      </c>
      <c r="C3383" s="2">
        <f t="shared" si="265"/>
        <v>-8.6454114232493596E-3</v>
      </c>
      <c r="D3383" s="21">
        <f t="shared" ca="1" si="261"/>
        <v>-9.0293638383562268E-3</v>
      </c>
      <c r="E3383" s="21">
        <f t="shared" ca="1" si="263"/>
        <v>7.9627649442748117E-5</v>
      </c>
      <c r="F3383" s="11">
        <f t="shared" ca="1" si="264"/>
        <v>4.2071329928101902</v>
      </c>
      <c r="G3383" s="10">
        <f t="shared" ca="1" si="262"/>
        <v>0</v>
      </c>
    </row>
    <row r="3384" spans="1:7" x14ac:dyDescent="0.2">
      <c r="A3384" s="2">
        <v>20030804</v>
      </c>
      <c r="B3384" s="13">
        <v>9186.0400000000009</v>
      </c>
      <c r="C3384" s="2">
        <f t="shared" si="265"/>
        <v>3.5033979792375909E-3</v>
      </c>
      <c r="D3384" s="21">
        <f t="shared" ca="1" si="261"/>
        <v>3.1194455641307237E-3</v>
      </c>
      <c r="E3384" s="21">
        <f t="shared" ca="1" si="263"/>
        <v>7.9506242356235375E-5</v>
      </c>
      <c r="F3384" s="11">
        <f t="shared" ca="1" si="264"/>
        <v>4.6586414302696486</v>
      </c>
      <c r="G3384" s="10">
        <f t="shared" ca="1" si="262"/>
        <v>1</v>
      </c>
    </row>
    <row r="3385" spans="1:7" x14ac:dyDescent="0.2">
      <c r="A3385" s="2">
        <v>20030805</v>
      </c>
      <c r="B3385" s="13">
        <v>9036.32</v>
      </c>
      <c r="C3385" s="2">
        <f t="shared" si="265"/>
        <v>-1.6298644464862025E-2</v>
      </c>
      <c r="D3385" s="21">
        <f t="shared" ca="1" si="261"/>
        <v>-1.6682596879968894E-2</v>
      </c>
      <c r="E3385" s="21">
        <f t="shared" ca="1" si="263"/>
        <v>7.6750822163136056E-5</v>
      </c>
      <c r="F3385" s="11">
        <f t="shared" ca="1" si="264"/>
        <v>2.9244044519266206</v>
      </c>
      <c r="G3385" s="10">
        <f t="shared" ca="1" si="262"/>
        <v>0</v>
      </c>
    </row>
    <row r="3386" spans="1:7" x14ac:dyDescent="0.2">
      <c r="A3386" s="2">
        <v>20030806</v>
      </c>
      <c r="B3386" s="13">
        <v>9061.74</v>
      </c>
      <c r="C3386" s="2">
        <f t="shared" si="265"/>
        <v>2.8130920551729102E-3</v>
      </c>
      <c r="D3386" s="21">
        <f t="shared" ca="1" si="261"/>
        <v>2.429139640066043E-3</v>
      </c>
      <c r="E3386" s="21">
        <f t="shared" ca="1" si="263"/>
        <v>8.4010885199501241E-5</v>
      </c>
      <c r="F3386" s="11">
        <f t="shared" ca="1" si="264"/>
        <v>4.657163312087909</v>
      </c>
      <c r="G3386" s="10">
        <f t="shared" ca="1" si="262"/>
        <v>1</v>
      </c>
    </row>
    <row r="3387" spans="1:7" x14ac:dyDescent="0.2">
      <c r="A3387" s="2">
        <v>20030807</v>
      </c>
      <c r="B3387" s="13">
        <v>9126.4500000000007</v>
      </c>
      <c r="C3387" s="2">
        <f t="shared" si="265"/>
        <v>7.1410126531991592E-3</v>
      </c>
      <c r="D3387" s="21">
        <f t="shared" ca="1" si="261"/>
        <v>6.757060238092292E-3</v>
      </c>
      <c r="E3387" s="21">
        <f t="shared" ca="1" si="263"/>
        <v>8.0886729719125509E-5</v>
      </c>
      <c r="F3387" s="11">
        <f t="shared" ca="1" si="264"/>
        <v>4.4289970546934168</v>
      </c>
      <c r="G3387" s="10">
        <f t="shared" ca="1" si="262"/>
        <v>1</v>
      </c>
    </row>
    <row r="3388" spans="1:7" x14ac:dyDescent="0.2">
      <c r="A3388" s="2">
        <v>20030808</v>
      </c>
      <c r="B3388" s="13">
        <v>9191.09</v>
      </c>
      <c r="C3388" s="2">
        <f t="shared" si="265"/>
        <v>7.0827101446892726E-3</v>
      </c>
      <c r="D3388" s="21">
        <f t="shared" ca="1" si="261"/>
        <v>6.6987577295824054E-3</v>
      </c>
      <c r="E3388" s="21">
        <f t="shared" ca="1" si="263"/>
        <v>7.9382565883774376E-5</v>
      </c>
      <c r="F3388" s="11">
        <f t="shared" ca="1" si="264"/>
        <v>4.4379760303622007</v>
      </c>
      <c r="G3388" s="10">
        <f t="shared" ca="1" si="262"/>
        <v>1</v>
      </c>
    </row>
    <row r="3389" spans="1:7" x14ac:dyDescent="0.2">
      <c r="A3389" s="2">
        <v>20030811</v>
      </c>
      <c r="B3389" s="13">
        <v>9217.35</v>
      </c>
      <c r="C3389" s="2">
        <f t="shared" si="265"/>
        <v>2.8571148797368121E-3</v>
      </c>
      <c r="D3389" s="21">
        <f t="shared" ca="1" si="261"/>
        <v>2.4731624646299449E-3</v>
      </c>
      <c r="E3389" s="21">
        <f t="shared" ca="1" si="263"/>
        <v>7.7925650465321861E-5</v>
      </c>
      <c r="F3389" s="11">
        <f t="shared" ca="1" si="264"/>
        <v>4.690631741145487</v>
      </c>
      <c r="G3389" s="10">
        <f t="shared" ca="1" si="262"/>
        <v>1</v>
      </c>
    </row>
    <row r="3390" spans="1:7" x14ac:dyDescent="0.2">
      <c r="A3390" s="2">
        <v>20030812</v>
      </c>
      <c r="B3390" s="13">
        <v>9310.06</v>
      </c>
      <c r="C3390" s="2">
        <f t="shared" si="265"/>
        <v>1.0058205449505456E-2</v>
      </c>
      <c r="D3390" s="21">
        <f t="shared" ca="1" si="261"/>
        <v>9.6742530343985889E-3</v>
      </c>
      <c r="E3390" s="21">
        <f t="shared" ca="1" si="263"/>
        <v>7.5117284841450075E-5</v>
      </c>
      <c r="F3390" s="11">
        <f t="shared" ca="1" si="264"/>
        <v>4.1252629832438226</v>
      </c>
      <c r="G3390" s="10">
        <f t="shared" ca="1" si="262"/>
        <v>0</v>
      </c>
    </row>
    <row r="3391" spans="1:7" x14ac:dyDescent="0.2">
      <c r="A3391" s="2">
        <v>20030813</v>
      </c>
      <c r="B3391" s="13">
        <v>9271.76</v>
      </c>
      <c r="C3391" s="2">
        <f t="shared" si="265"/>
        <v>-4.1138295564152405E-3</v>
      </c>
      <c r="D3391" s="21">
        <f t="shared" ca="1" si="261"/>
        <v>-4.4977819715221077E-3</v>
      </c>
      <c r="E3391" s="21">
        <f t="shared" ca="1" si="263"/>
        <v>7.5667590577299012E-5</v>
      </c>
      <c r="F3391" s="11">
        <f t="shared" ca="1" si="264"/>
        <v>4.6109032456965036</v>
      </c>
      <c r="G3391" s="10">
        <f t="shared" ca="1" si="262"/>
        <v>1</v>
      </c>
    </row>
    <row r="3392" spans="1:7" x14ac:dyDescent="0.2">
      <c r="A3392" s="2">
        <v>20030814</v>
      </c>
      <c r="B3392" s="13">
        <v>9310.56</v>
      </c>
      <c r="C3392" s="2">
        <f t="shared" si="265"/>
        <v>4.1847502523791888E-3</v>
      </c>
      <c r="D3392" s="21">
        <f t="shared" ca="1" si="261"/>
        <v>3.8007978372723216E-3</v>
      </c>
      <c r="E3392" s="21">
        <f t="shared" ca="1" si="263"/>
        <v>7.3492439355408697E-5</v>
      </c>
      <c r="F3392" s="11">
        <f t="shared" ca="1" si="264"/>
        <v>4.6608813559626379</v>
      </c>
      <c r="G3392" s="10">
        <f t="shared" ca="1" si="262"/>
        <v>1</v>
      </c>
    </row>
    <row r="3393" spans="1:7" x14ac:dyDescent="0.2">
      <c r="A3393" s="2">
        <v>20030815</v>
      </c>
      <c r="B3393" s="13">
        <v>9321.69</v>
      </c>
      <c r="C3393" s="2">
        <f t="shared" si="265"/>
        <v>1.1954168170336713E-3</v>
      </c>
      <c r="D3393" s="21">
        <f t="shared" ca="1" si="261"/>
        <v>8.1146440192680404E-4</v>
      </c>
      <c r="E3393" s="21">
        <f t="shared" ca="1" si="263"/>
        <v>7.1214642762830644E-5</v>
      </c>
      <c r="F3393" s="11">
        <f t="shared" ca="1" si="264"/>
        <v>4.7702828842321416</v>
      </c>
      <c r="G3393" s="10">
        <f t="shared" ca="1" si="262"/>
        <v>1</v>
      </c>
    </row>
    <row r="3394" spans="1:7" x14ac:dyDescent="0.2">
      <c r="A3394" s="2">
        <v>20030818</v>
      </c>
      <c r="B3394" s="13">
        <v>9412.4500000000007</v>
      </c>
      <c r="C3394" s="2">
        <f t="shared" si="265"/>
        <v>9.7364319130973254E-3</v>
      </c>
      <c r="D3394" s="21">
        <f t="shared" ca="1" si="261"/>
        <v>9.3524794979904582E-3</v>
      </c>
      <c r="E3394" s="21">
        <f t="shared" ca="1" si="263"/>
        <v>6.854508690192812E-5</v>
      </c>
      <c r="F3394" s="11">
        <f t="shared" ca="1" si="264"/>
        <v>4.1559704470048535</v>
      </c>
      <c r="G3394" s="10">
        <f t="shared" ca="1" si="262"/>
        <v>0</v>
      </c>
    </row>
    <row r="3395" spans="1:7" x14ac:dyDescent="0.2">
      <c r="A3395" s="2">
        <v>20030819</v>
      </c>
      <c r="B3395" s="13">
        <v>9428.9</v>
      </c>
      <c r="C3395" s="2">
        <f t="shared" si="265"/>
        <v>1.747685246667861E-3</v>
      </c>
      <c r="D3395" s="21">
        <f t="shared" ca="1" si="261"/>
        <v>1.3637328315609936E-3</v>
      </c>
      <c r="E3395" s="21">
        <f t="shared" ca="1" si="263"/>
        <v>6.9202754670988562E-5</v>
      </c>
      <c r="F3395" s="11">
        <f t="shared" ca="1" si="264"/>
        <v>4.775797854733062</v>
      </c>
      <c r="G3395" s="10">
        <f t="shared" ca="1" si="262"/>
        <v>1</v>
      </c>
    </row>
    <row r="3396" spans="1:7" x14ac:dyDescent="0.2">
      <c r="A3396" s="2">
        <v>20030820</v>
      </c>
      <c r="B3396" s="13">
        <v>9397.51</v>
      </c>
      <c r="C3396" s="2">
        <f t="shared" si="265"/>
        <v>-3.329126409231132E-3</v>
      </c>
      <c r="D3396" s="21">
        <f t="shared" ca="1" si="261"/>
        <v>-3.7130788243379992E-3</v>
      </c>
      <c r="E3396" s="21">
        <f t="shared" ca="1" si="263"/>
        <v>6.6679154523404519E-5</v>
      </c>
      <c r="F3396" s="11">
        <f t="shared" ca="1" si="264"/>
        <v>4.7044262976619118</v>
      </c>
      <c r="G3396" s="10">
        <f t="shared" ca="1" si="262"/>
        <v>1</v>
      </c>
    </row>
    <row r="3397" spans="1:7" x14ac:dyDescent="0.2">
      <c r="A3397" s="2">
        <v>20030821</v>
      </c>
      <c r="B3397" s="13">
        <v>9423.68</v>
      </c>
      <c r="C3397" s="2">
        <f t="shared" si="265"/>
        <v>2.7847802236975615E-3</v>
      </c>
      <c r="D3397" s="21">
        <f t="shared" ca="1" si="261"/>
        <v>2.4008278085906943E-3</v>
      </c>
      <c r="E3397" s="21">
        <f t="shared" ca="1" si="263"/>
        <v>6.4721807634045774E-5</v>
      </c>
      <c r="F3397" s="11">
        <f t="shared" ca="1" si="264"/>
        <v>4.7781773367386098</v>
      </c>
      <c r="G3397" s="10">
        <f t="shared" ca="1" si="262"/>
        <v>1</v>
      </c>
    </row>
    <row r="3398" spans="1:7" x14ac:dyDescent="0.2">
      <c r="A3398" s="2">
        <v>20030822</v>
      </c>
      <c r="B3398" s="13">
        <v>9348.8700000000008</v>
      </c>
      <c r="C3398" s="2">
        <f t="shared" si="265"/>
        <v>-7.9385123433732344E-3</v>
      </c>
      <c r="D3398" s="21">
        <f t="shared" ca="1" si="261"/>
        <v>-8.3224647584801015E-3</v>
      </c>
      <c r="E3398" s="21">
        <f t="shared" ca="1" si="263"/>
        <v>6.2568464578244609E-5</v>
      </c>
      <c r="F3398" s="11">
        <f t="shared" ca="1" si="264"/>
        <v>4.2861235499478623</v>
      </c>
      <c r="G3398" s="10">
        <f t="shared" ca="1" si="262"/>
        <v>0</v>
      </c>
    </row>
    <row r="3399" spans="1:7" x14ac:dyDescent="0.2">
      <c r="A3399" s="2">
        <v>20030825</v>
      </c>
      <c r="B3399" s="13">
        <v>9317.64</v>
      </c>
      <c r="C3399" s="2">
        <f t="shared" si="265"/>
        <v>-3.3405106713433152E-3</v>
      </c>
      <c r="D3399" s="21">
        <f t="shared" ca="1" si="261"/>
        <v>-3.7244630864501824E-3</v>
      </c>
      <c r="E3399" s="21">
        <f t="shared" ca="1" si="263"/>
        <v>6.2859045340329597E-5</v>
      </c>
      <c r="F3399" s="11">
        <f t="shared" ca="1" si="264"/>
        <v>4.7269687226670305</v>
      </c>
      <c r="G3399" s="10">
        <f t="shared" ca="1" si="262"/>
        <v>1</v>
      </c>
    </row>
    <row r="3400" spans="1:7" x14ac:dyDescent="0.2">
      <c r="A3400" s="2">
        <v>20030826</v>
      </c>
      <c r="B3400" s="13">
        <v>9340.4500000000007</v>
      </c>
      <c r="C3400" s="2">
        <f t="shared" si="265"/>
        <v>2.4480447838724517E-3</v>
      </c>
      <c r="D3400" s="21">
        <f t="shared" ca="1" si="261"/>
        <v>2.0640923687655845E-3</v>
      </c>
      <c r="E3400" s="21">
        <f t="shared" ca="1" si="263"/>
        <v>6.1098072530178007E-5</v>
      </c>
      <c r="F3400" s="11">
        <f t="shared" ca="1" si="264"/>
        <v>4.8166492295883563</v>
      </c>
      <c r="G3400" s="10">
        <f t="shared" ca="1" si="262"/>
        <v>1</v>
      </c>
    </row>
    <row r="3401" spans="1:7" x14ac:dyDescent="0.2">
      <c r="A3401" s="2">
        <v>20030827</v>
      </c>
      <c r="B3401" s="13">
        <v>9333.7900000000009</v>
      </c>
      <c r="C3401" s="2">
        <f t="shared" si="265"/>
        <v>-7.1302774491591452E-4</v>
      </c>
      <c r="D3401" s="21">
        <f t="shared" ca="1" si="261"/>
        <v>-1.0969801600227819E-3</v>
      </c>
      <c r="E3401" s="21">
        <f t="shared" ca="1" si="263"/>
        <v>5.9072769221740395E-5</v>
      </c>
      <c r="F3401" s="11">
        <f t="shared" ca="1" si="264"/>
        <v>4.8581847987273727</v>
      </c>
      <c r="G3401" s="10">
        <f t="shared" ca="1" si="262"/>
        <v>1</v>
      </c>
    </row>
    <row r="3402" spans="1:7" x14ac:dyDescent="0.2">
      <c r="A3402" s="2">
        <v>20030828</v>
      </c>
      <c r="B3402" s="13">
        <v>9374.2099999999991</v>
      </c>
      <c r="C3402" s="2">
        <f t="shared" si="265"/>
        <v>4.330502400418078E-3</v>
      </c>
      <c r="D3402" s="21">
        <f t="shared" ca="1" si="261"/>
        <v>3.9465499853112108E-3</v>
      </c>
      <c r="E3402" s="21">
        <f t="shared" ca="1" si="263"/>
        <v>5.7037511334491103E-5</v>
      </c>
      <c r="F3402" s="11">
        <f t="shared" ca="1" si="264"/>
        <v>4.7493654999080981</v>
      </c>
      <c r="G3402" s="10">
        <f t="shared" ca="1" si="262"/>
        <v>1</v>
      </c>
    </row>
    <row r="3403" spans="1:7" x14ac:dyDescent="0.2">
      <c r="A3403" s="2">
        <v>20030829</v>
      </c>
      <c r="B3403" s="13">
        <v>9415.82</v>
      </c>
      <c r="C3403" s="2">
        <f t="shared" si="265"/>
        <v>4.4387740406925582E-3</v>
      </c>
      <c r="D3403" s="21">
        <f t="shared" ca="1" si="261"/>
        <v>4.054821625585691E-3</v>
      </c>
      <c r="E3403" s="21">
        <f t="shared" ca="1" si="263"/>
        <v>5.5633697351549425E-5</v>
      </c>
      <c r="F3403" s="11">
        <f t="shared" ca="1" si="264"/>
        <v>4.7505943717955477</v>
      </c>
      <c r="G3403" s="10">
        <f t="shared" ca="1" si="262"/>
        <v>1</v>
      </c>
    </row>
    <row r="3404" spans="1:7" x14ac:dyDescent="0.2">
      <c r="A3404" s="2">
        <v>20030902</v>
      </c>
      <c r="B3404" s="13">
        <v>9523.27</v>
      </c>
      <c r="C3404" s="2">
        <f t="shared" si="265"/>
        <v>1.1411645507242144E-2</v>
      </c>
      <c r="D3404" s="21">
        <f t="shared" ca="1" si="261"/>
        <v>1.1027693092135277E-2</v>
      </c>
      <c r="E3404" s="21">
        <f t="shared" ca="1" si="263"/>
        <v>5.4332758939158318E-5</v>
      </c>
      <c r="F3404" s="11">
        <f t="shared" ca="1" si="264"/>
        <v>3.7910692109015542</v>
      </c>
      <c r="G3404" s="10">
        <f t="shared" ca="1" si="262"/>
        <v>0</v>
      </c>
    </row>
    <row r="3405" spans="1:7" x14ac:dyDescent="0.2">
      <c r="A3405" s="2">
        <v>20030903</v>
      </c>
      <c r="B3405" s="13">
        <v>9568.4599999999991</v>
      </c>
      <c r="C3405" s="2">
        <f t="shared" si="265"/>
        <v>4.7452188166458254E-3</v>
      </c>
      <c r="D3405" s="21">
        <f t="shared" ca="1" si="261"/>
        <v>4.3612664015389583E-3</v>
      </c>
      <c r="E3405" s="21">
        <f t="shared" ca="1" si="263"/>
        <v>5.6964862469246065E-5</v>
      </c>
      <c r="F3405" s="11">
        <f t="shared" ca="1" si="264"/>
        <v>4.7195872877946838</v>
      </c>
      <c r="G3405" s="10">
        <f t="shared" ca="1" si="262"/>
        <v>1</v>
      </c>
    </row>
    <row r="3406" spans="1:7" x14ac:dyDescent="0.2">
      <c r="A3406" s="2">
        <v>20030904</v>
      </c>
      <c r="B3406" s="13">
        <v>9587.9</v>
      </c>
      <c r="C3406" s="2">
        <f t="shared" si="265"/>
        <v>2.0316748985730734E-3</v>
      </c>
      <c r="D3406" s="21">
        <f t="shared" ref="D3406:D3469" ca="1" si="266">(C3406-mu)</f>
        <v>1.6477224834662062E-3</v>
      </c>
      <c r="E3406" s="21">
        <f t="shared" ca="1" si="263"/>
        <v>5.5691416742953636E-5</v>
      </c>
      <c r="F3406" s="11">
        <f t="shared" ca="1" si="264"/>
        <v>4.8734669658125265</v>
      </c>
      <c r="G3406" s="10">
        <f t="shared" ref="G3406:G3469" ca="1" si="267">IF(AND(C3406&lt;=mu+zvalue*SQRT(E3406),C3406&gt;=mu-zvalue*SQRT(E3406)),1,0)</f>
        <v>1</v>
      </c>
    </row>
    <row r="3407" spans="1:7" x14ac:dyDescent="0.2">
      <c r="A3407" s="2">
        <v>20030905</v>
      </c>
      <c r="B3407" s="13">
        <v>9503.34</v>
      </c>
      <c r="C3407" s="2">
        <f t="shared" si="265"/>
        <v>-8.8194495144921711E-3</v>
      </c>
      <c r="D3407" s="21">
        <f t="shared" ca="1" si="266"/>
        <v>-9.2034019295990383E-3</v>
      </c>
      <c r="E3407" s="21">
        <f t="shared" ref="E3407:E3470" ca="1" si="268">(1-alpha-beta)*longvar+alpha*D3406^2+beta*E3406</f>
        <v>5.3882807641540075E-5</v>
      </c>
      <c r="F3407" s="11">
        <f t="shared" ref="F3407:F3470" ca="1" si="269">(-0.5)*(LN(E3407)+D3407^2/E3407)</f>
        <v>4.1283603740497625</v>
      </c>
      <c r="G3407" s="10">
        <f t="shared" ca="1" si="267"/>
        <v>0</v>
      </c>
    </row>
    <row r="3408" spans="1:7" x14ac:dyDescent="0.2">
      <c r="A3408" s="2">
        <v>20030908</v>
      </c>
      <c r="B3408" s="13">
        <v>9586.2900000000009</v>
      </c>
      <c r="C3408" s="2">
        <f t="shared" si="265"/>
        <v>8.7285101869448763E-3</v>
      </c>
      <c r="D3408" s="21">
        <f t="shared" ca="1" si="266"/>
        <v>8.3445577718380091E-3</v>
      </c>
      <c r="E3408" s="21">
        <f t="shared" ca="1" si="268"/>
        <v>5.5180524526969754E-5</v>
      </c>
      <c r="F3408" s="11">
        <f t="shared" ca="1" si="269"/>
        <v>4.2715062175152161</v>
      </c>
      <c r="G3408" s="10">
        <f t="shared" ca="1" si="267"/>
        <v>0</v>
      </c>
    </row>
    <row r="3409" spans="1:7" x14ac:dyDescent="0.2">
      <c r="A3409" s="2">
        <v>20030909</v>
      </c>
      <c r="B3409" s="13">
        <v>9507.2000000000007</v>
      </c>
      <c r="C3409" s="2">
        <f t="shared" si="265"/>
        <v>-8.2503241608589076E-3</v>
      </c>
      <c r="D3409" s="21">
        <f t="shared" ca="1" si="266"/>
        <v>-8.6342765759657748E-3</v>
      </c>
      <c r="E3409" s="21">
        <f t="shared" ca="1" si="268"/>
        <v>5.5858403875880215E-5</v>
      </c>
      <c r="F3409" s="11">
        <f t="shared" ca="1" si="269"/>
        <v>4.2290264329271601</v>
      </c>
      <c r="G3409" s="10">
        <f t="shared" ca="1" si="267"/>
        <v>0</v>
      </c>
    </row>
    <row r="3410" spans="1:7" x14ac:dyDescent="0.2">
      <c r="A3410" s="2">
        <v>20030910</v>
      </c>
      <c r="B3410" s="13">
        <v>9420.4599999999991</v>
      </c>
      <c r="C3410" s="2">
        <f t="shared" si="265"/>
        <v>-9.1236115785932343E-3</v>
      </c>
      <c r="D3410" s="21">
        <f t="shared" ca="1" si="266"/>
        <v>-9.5075639937001015E-3</v>
      </c>
      <c r="E3410" s="21">
        <f t="shared" ca="1" si="268"/>
        <v>5.6682872524703201E-5</v>
      </c>
      <c r="F3410" s="11">
        <f t="shared" ca="1" si="269"/>
        <v>4.0916551515798956</v>
      </c>
      <c r="G3410" s="10">
        <f t="shared" ca="1" si="267"/>
        <v>0</v>
      </c>
    </row>
    <row r="3411" spans="1:7" x14ac:dyDescent="0.2">
      <c r="A3411" s="2">
        <v>20030911</v>
      </c>
      <c r="B3411" s="13">
        <v>9459.76</v>
      </c>
      <c r="C3411" s="2">
        <f t="shared" si="265"/>
        <v>4.1717708052474182E-3</v>
      </c>
      <c r="D3411" s="21">
        <f t="shared" ca="1" si="266"/>
        <v>3.787818390140551E-3</v>
      </c>
      <c r="E3411" s="21">
        <f t="shared" ca="1" si="268"/>
        <v>5.8048207317204728E-5</v>
      </c>
      <c r="F3411" s="11">
        <f t="shared" ca="1" si="269"/>
        <v>4.7535351511184833</v>
      </c>
      <c r="G3411" s="10">
        <f t="shared" ca="1" si="267"/>
        <v>1</v>
      </c>
    </row>
    <row r="3412" spans="1:7" x14ac:dyDescent="0.2">
      <c r="A3412" s="2">
        <v>20030912</v>
      </c>
      <c r="B3412" s="13">
        <v>9471.5499999999993</v>
      </c>
      <c r="C3412" s="2">
        <f t="shared" si="265"/>
        <v>1.2463318308285891E-3</v>
      </c>
      <c r="D3412" s="21">
        <f t="shared" ca="1" si="266"/>
        <v>8.6237941572172184E-4</v>
      </c>
      <c r="E3412" s="21">
        <f t="shared" ca="1" si="268"/>
        <v>5.6548117637188925E-5</v>
      </c>
      <c r="F3412" s="11">
        <f t="shared" ca="1" si="269"/>
        <v>4.8836335210379085</v>
      </c>
      <c r="G3412" s="10">
        <f t="shared" ca="1" si="267"/>
        <v>1</v>
      </c>
    </row>
    <row r="3413" spans="1:7" x14ac:dyDescent="0.2">
      <c r="A3413" s="2">
        <v>20030915</v>
      </c>
      <c r="B3413" s="13">
        <v>9448.81</v>
      </c>
      <c r="C3413" s="2">
        <f t="shared" si="265"/>
        <v>-2.4008741969371206E-3</v>
      </c>
      <c r="D3413" s="21">
        <f t="shared" ca="1" si="266"/>
        <v>-2.7848266120439878E-3</v>
      </c>
      <c r="E3413" s="21">
        <f t="shared" ca="1" si="268"/>
        <v>5.4623679938790061E-5</v>
      </c>
      <c r="F3413" s="11">
        <f t="shared" ca="1" si="269"/>
        <v>4.8365334650963758</v>
      </c>
      <c r="G3413" s="10">
        <f t="shared" ca="1" si="267"/>
        <v>1</v>
      </c>
    </row>
    <row r="3414" spans="1:7" x14ac:dyDescent="0.2">
      <c r="A3414" s="2">
        <v>20030916</v>
      </c>
      <c r="B3414" s="13">
        <v>9567.34</v>
      </c>
      <c r="C3414" s="2">
        <f t="shared" si="265"/>
        <v>1.2544436812678068E-2</v>
      </c>
      <c r="D3414" s="21">
        <f t="shared" ca="1" si="266"/>
        <v>1.2160484397571201E-2</v>
      </c>
      <c r="E3414" s="21">
        <f t="shared" ca="1" si="268"/>
        <v>5.3054427517778751E-5</v>
      </c>
      <c r="F3414" s="11">
        <f t="shared" ca="1" si="269"/>
        <v>3.5284576636196219</v>
      </c>
      <c r="G3414" s="10">
        <f t="shared" ca="1" si="267"/>
        <v>0</v>
      </c>
    </row>
    <row r="3415" spans="1:7" x14ac:dyDescent="0.2">
      <c r="A3415" s="2">
        <v>20030917</v>
      </c>
      <c r="B3415" s="13">
        <v>9545.65</v>
      </c>
      <c r="C3415" s="2">
        <f t="shared" si="265"/>
        <v>-2.2670878216934391E-3</v>
      </c>
      <c r="D3415" s="21">
        <f t="shared" ca="1" si="266"/>
        <v>-2.6510402368003063E-3</v>
      </c>
      <c r="E3415" s="21">
        <f t="shared" ca="1" si="268"/>
        <v>5.6717099161716611E-5</v>
      </c>
      <c r="F3415" s="11">
        <f t="shared" ca="1" si="269"/>
        <v>4.8267606594701871</v>
      </c>
      <c r="G3415" s="10">
        <f t="shared" ca="1" si="267"/>
        <v>1</v>
      </c>
    </row>
    <row r="3416" spans="1:7" x14ac:dyDescent="0.2">
      <c r="A3416" s="2">
        <v>20030918</v>
      </c>
      <c r="B3416" s="13">
        <v>9659.1299999999992</v>
      </c>
      <c r="C3416" s="2">
        <f t="shared" si="265"/>
        <v>1.1888137528612465E-2</v>
      </c>
      <c r="D3416" s="21">
        <f t="shared" ca="1" si="266"/>
        <v>1.1504185113505597E-2</v>
      </c>
      <c r="E3416" s="21">
        <f t="shared" ca="1" si="268"/>
        <v>5.501519790734294E-5</v>
      </c>
      <c r="F3416" s="11">
        <f t="shared" ca="1" si="269"/>
        <v>3.701134955692579</v>
      </c>
      <c r="G3416" s="10">
        <f t="shared" ca="1" si="267"/>
        <v>0</v>
      </c>
    </row>
    <row r="3417" spans="1:7" x14ac:dyDescent="0.2">
      <c r="A3417" s="2">
        <v>20030919</v>
      </c>
      <c r="B3417" s="13">
        <v>9644.82</v>
      </c>
      <c r="C3417" s="2">
        <f t="shared" si="265"/>
        <v>-1.4814998866357002E-3</v>
      </c>
      <c r="D3417" s="21">
        <f t="shared" ca="1" si="266"/>
        <v>-1.8654523017425676E-3</v>
      </c>
      <c r="E3417" s="21">
        <f t="shared" ca="1" si="268"/>
        <v>5.8007567658583553E-5</v>
      </c>
      <c r="F3417" s="11">
        <f t="shared" ca="1" si="269"/>
        <v>4.8474732093454351</v>
      </c>
      <c r="G3417" s="10">
        <f t="shared" ca="1" si="267"/>
        <v>1</v>
      </c>
    </row>
    <row r="3418" spans="1:7" x14ac:dyDescent="0.2">
      <c r="A3418" s="2">
        <v>20030922</v>
      </c>
      <c r="B3418" s="13">
        <v>9535.41</v>
      </c>
      <c r="C3418" s="2">
        <f t="shared" si="265"/>
        <v>-1.1343913105687805E-2</v>
      </c>
      <c r="D3418" s="21">
        <f t="shared" ca="1" si="266"/>
        <v>-1.1727865520794672E-2</v>
      </c>
      <c r="E3418" s="21">
        <f t="shared" ca="1" si="268"/>
        <v>5.6109911270624743E-5</v>
      </c>
      <c r="F3418" s="11">
        <f t="shared" ca="1" si="269"/>
        <v>3.6684436609116746</v>
      </c>
      <c r="G3418" s="10">
        <f t="shared" ca="1" si="267"/>
        <v>0</v>
      </c>
    </row>
    <row r="3419" spans="1:7" x14ac:dyDescent="0.2">
      <c r="A3419" s="2">
        <v>20030923</v>
      </c>
      <c r="B3419" s="13">
        <v>9576.0400000000009</v>
      </c>
      <c r="C3419" s="2">
        <f t="shared" si="265"/>
        <v>4.2609599377479331E-3</v>
      </c>
      <c r="D3419" s="21">
        <f t="shared" ca="1" si="266"/>
        <v>3.8770075226410659E-3</v>
      </c>
      <c r="E3419" s="21">
        <f t="shared" ca="1" si="268"/>
        <v>5.923798549652716E-5</v>
      </c>
      <c r="F3419" s="11">
        <f t="shared" ca="1" si="269"/>
        <v>4.7401025982780176</v>
      </c>
      <c r="G3419" s="10">
        <f t="shared" ca="1" si="267"/>
        <v>1</v>
      </c>
    </row>
    <row r="3420" spans="1:7" x14ac:dyDescent="0.2">
      <c r="A3420" s="2">
        <v>20030924</v>
      </c>
      <c r="B3420" s="13">
        <v>9425.51</v>
      </c>
      <c r="C3420" s="2">
        <f t="shared" si="265"/>
        <v>-1.5719441439258883E-2</v>
      </c>
      <c r="D3420" s="21">
        <f t="shared" ca="1" si="266"/>
        <v>-1.6103393854365752E-2</v>
      </c>
      <c r="E3420" s="21">
        <f t="shared" ca="1" si="268"/>
        <v>5.7702842417324569E-5</v>
      </c>
      <c r="F3420" s="11">
        <f t="shared" ca="1" si="269"/>
        <v>2.6330784944893479</v>
      </c>
      <c r="G3420" s="10">
        <f t="shared" ca="1" si="267"/>
        <v>0</v>
      </c>
    </row>
    <row r="3421" spans="1:7" x14ac:dyDescent="0.2">
      <c r="A3421" s="2">
        <v>20030925</v>
      </c>
      <c r="B3421" s="13">
        <v>9343.9599999999991</v>
      </c>
      <c r="C3421" s="2">
        <f t="shared" si="265"/>
        <v>-8.6520517192174313E-3</v>
      </c>
      <c r="D3421" s="21">
        <f t="shared" ca="1" si="266"/>
        <v>-9.0360041343242985E-3</v>
      </c>
      <c r="E3421" s="21">
        <f t="shared" ca="1" si="268"/>
        <v>6.522826293908162E-5</v>
      </c>
      <c r="F3421" s="11">
        <f t="shared" ca="1" si="269"/>
        <v>4.1929346745525926</v>
      </c>
      <c r="G3421" s="10">
        <f t="shared" ca="1" si="267"/>
        <v>0</v>
      </c>
    </row>
    <row r="3422" spans="1:7" x14ac:dyDescent="0.2">
      <c r="A3422" s="2">
        <v>20030926</v>
      </c>
      <c r="B3422" s="13">
        <v>9313.08</v>
      </c>
      <c r="C3422" s="2">
        <f t="shared" si="265"/>
        <v>-3.3048086678452394E-3</v>
      </c>
      <c r="D3422" s="21">
        <f t="shared" ca="1" si="266"/>
        <v>-3.6887610829521066E-3</v>
      </c>
      <c r="E3422" s="21">
        <f t="shared" ca="1" si="268"/>
        <v>6.5839736673222197E-5</v>
      </c>
      <c r="F3422" s="11">
        <f t="shared" ca="1" si="269"/>
        <v>4.7108095641256256</v>
      </c>
      <c r="G3422" s="10">
        <f t="shared" ca="1" si="267"/>
        <v>1</v>
      </c>
    </row>
    <row r="3423" spans="1:7" x14ac:dyDescent="0.2">
      <c r="A3423" s="2">
        <v>20030929</v>
      </c>
      <c r="B3423" s="13">
        <v>9380.24</v>
      </c>
      <c r="C3423" s="2">
        <f t="shared" si="265"/>
        <v>7.2113629433012338E-3</v>
      </c>
      <c r="D3423" s="21">
        <f t="shared" ca="1" si="266"/>
        <v>6.8274105281943666E-3</v>
      </c>
      <c r="E3423" s="21">
        <f t="shared" ca="1" si="268"/>
        <v>6.391823744103967E-5</v>
      </c>
      <c r="F3423" s="11">
        <f t="shared" ca="1" si="269"/>
        <v>4.464318842619968</v>
      </c>
      <c r="G3423" s="10">
        <f t="shared" ca="1" si="267"/>
        <v>1</v>
      </c>
    </row>
    <row r="3424" spans="1:7" x14ac:dyDescent="0.2">
      <c r="A3424" s="2">
        <v>20030930</v>
      </c>
      <c r="B3424" s="13">
        <v>9275.06</v>
      </c>
      <c r="C3424" s="2">
        <f t="shared" si="265"/>
        <v>-1.1212932718139439E-2</v>
      </c>
      <c r="D3424" s="21">
        <f t="shared" ca="1" si="266"/>
        <v>-1.1596885133246306E-2</v>
      </c>
      <c r="E3424" s="21">
        <f t="shared" ca="1" si="268"/>
        <v>6.3307656925360879E-5</v>
      </c>
      <c r="F3424" s="11">
        <f t="shared" ca="1" si="269"/>
        <v>3.7715761590228478</v>
      </c>
      <c r="G3424" s="10">
        <f t="shared" ca="1" si="267"/>
        <v>0</v>
      </c>
    </row>
    <row r="3425" spans="1:7" x14ac:dyDescent="0.2">
      <c r="A3425" s="2">
        <v>20031001</v>
      </c>
      <c r="B3425" s="13">
        <v>9469.2000000000007</v>
      </c>
      <c r="C3425" s="2">
        <f t="shared" si="265"/>
        <v>2.0931400982850918E-2</v>
      </c>
      <c r="D3425" s="21">
        <f t="shared" ca="1" si="266"/>
        <v>2.0547448567744049E-2</v>
      </c>
      <c r="E3425" s="21">
        <f t="shared" ca="1" si="268"/>
        <v>6.5959254023265079E-5</v>
      </c>
      <c r="F3425" s="11">
        <f t="shared" ca="1" si="269"/>
        <v>1.6127938593138764</v>
      </c>
      <c r="G3425" s="10">
        <f t="shared" ca="1" si="267"/>
        <v>0</v>
      </c>
    </row>
    <row r="3426" spans="1:7" x14ac:dyDescent="0.2">
      <c r="A3426" s="2">
        <v>20031002</v>
      </c>
      <c r="B3426" s="13">
        <v>9487.7999999999993</v>
      </c>
      <c r="C3426" s="2">
        <f t="shared" si="265"/>
        <v>1.964263084526522E-3</v>
      </c>
      <c r="D3426" s="21">
        <f t="shared" ca="1" si="266"/>
        <v>1.5803106694196548E-3</v>
      </c>
      <c r="E3426" s="21">
        <f t="shared" ca="1" si="268"/>
        <v>7.9056301249889776E-5</v>
      </c>
      <c r="F3426" s="11">
        <f t="shared" ca="1" si="269"/>
        <v>4.7068801852967432</v>
      </c>
      <c r="G3426" s="10">
        <f t="shared" ca="1" si="267"/>
        <v>1</v>
      </c>
    </row>
    <row r="3427" spans="1:7" x14ac:dyDescent="0.2">
      <c r="A3427" s="2">
        <v>20031003</v>
      </c>
      <c r="B3427" s="13">
        <v>9572.31</v>
      </c>
      <c r="C3427" s="2">
        <f t="shared" si="265"/>
        <v>8.9072282299374177E-3</v>
      </c>
      <c r="D3427" s="21">
        <f t="shared" ca="1" si="266"/>
        <v>8.5232758148305506E-3</v>
      </c>
      <c r="E3427" s="21">
        <f t="shared" ca="1" si="268"/>
        <v>7.6057653137722882E-5</v>
      </c>
      <c r="F3427" s="11">
        <f t="shared" ca="1" si="269"/>
        <v>4.2644360122483267</v>
      </c>
      <c r="G3427" s="10">
        <f t="shared" ca="1" si="267"/>
        <v>1</v>
      </c>
    </row>
    <row r="3428" spans="1:7" x14ac:dyDescent="0.2">
      <c r="A3428" s="2">
        <v>20031006</v>
      </c>
      <c r="B3428" s="13">
        <v>9594.98</v>
      </c>
      <c r="C3428" s="2">
        <f t="shared" si="265"/>
        <v>2.3682893679791059E-3</v>
      </c>
      <c r="D3428" s="21">
        <f t="shared" ca="1" si="266"/>
        <v>1.9843369528722388E-3</v>
      </c>
      <c r="E3428" s="21">
        <f t="shared" ca="1" si="268"/>
        <v>7.5790203274604957E-5</v>
      </c>
      <c r="F3428" s="11">
        <f t="shared" ca="1" si="269"/>
        <v>4.7177938321194661</v>
      </c>
      <c r="G3428" s="10">
        <f t="shared" ca="1" si="267"/>
        <v>1</v>
      </c>
    </row>
    <row r="3429" spans="1:7" x14ac:dyDescent="0.2">
      <c r="A3429" s="2">
        <v>20031007</v>
      </c>
      <c r="B3429" s="13">
        <v>9654.61</v>
      </c>
      <c r="C3429" s="2">
        <f t="shared" si="265"/>
        <v>6.2147081077814671E-3</v>
      </c>
      <c r="D3429" s="21">
        <f t="shared" ca="1" si="266"/>
        <v>5.8307556926745999E-3</v>
      </c>
      <c r="E3429" s="21">
        <f t="shared" ca="1" si="268"/>
        <v>7.3009747219721988E-5</v>
      </c>
      <c r="F3429" s="11">
        <f t="shared" ca="1" si="269"/>
        <v>4.5296288486320053</v>
      </c>
      <c r="G3429" s="10">
        <f t="shared" ca="1" si="267"/>
        <v>1</v>
      </c>
    </row>
    <row r="3430" spans="1:7" x14ac:dyDescent="0.2">
      <c r="A3430" s="2">
        <v>20031008</v>
      </c>
      <c r="B3430" s="13">
        <v>9630.9</v>
      </c>
      <c r="C3430" s="2">
        <f t="shared" si="265"/>
        <v>-2.4558216230382113E-3</v>
      </c>
      <c r="D3430" s="21">
        <f t="shared" ca="1" si="266"/>
        <v>-2.8397740381450784E-3</v>
      </c>
      <c r="E3430" s="21">
        <f t="shared" ca="1" si="268"/>
        <v>7.1475318407006872E-5</v>
      </c>
      <c r="F3430" s="11">
        <f t="shared" ca="1" si="269"/>
        <v>4.7166658864834545</v>
      </c>
      <c r="G3430" s="10">
        <f t="shared" ca="1" si="267"/>
        <v>1</v>
      </c>
    </row>
    <row r="3431" spans="1:7" x14ac:dyDescent="0.2">
      <c r="A3431" s="2">
        <v>20031009</v>
      </c>
      <c r="B3431" s="13">
        <v>9680.01</v>
      </c>
      <c r="C3431" s="2">
        <f t="shared" si="265"/>
        <v>5.099211911659407E-3</v>
      </c>
      <c r="D3431" s="21">
        <f t="shared" ca="1" si="266"/>
        <v>4.7152594965525398E-3</v>
      </c>
      <c r="E3431" s="21">
        <f t="shared" ca="1" si="268"/>
        <v>6.9064900624846105E-5</v>
      </c>
      <c r="F3431" s="11">
        <f t="shared" ca="1" si="269"/>
        <v>4.6292697864589609</v>
      </c>
      <c r="G3431" s="10">
        <f t="shared" ca="1" si="267"/>
        <v>1</v>
      </c>
    </row>
    <row r="3432" spans="1:7" x14ac:dyDescent="0.2">
      <c r="A3432" s="2">
        <v>20031010</v>
      </c>
      <c r="B3432" s="13">
        <v>9674.68</v>
      </c>
      <c r="C3432" s="2">
        <f t="shared" si="265"/>
        <v>-5.5061926588918059E-4</v>
      </c>
      <c r="D3432" s="21">
        <f t="shared" ca="1" si="266"/>
        <v>-9.3457168099604789E-4</v>
      </c>
      <c r="E3432" s="21">
        <f t="shared" ca="1" si="268"/>
        <v>6.729745861522646E-5</v>
      </c>
      <c r="F3432" s="11">
        <f t="shared" ca="1" si="269"/>
        <v>4.7967047611197939</v>
      </c>
      <c r="G3432" s="10">
        <f t="shared" ca="1" si="267"/>
        <v>1</v>
      </c>
    </row>
    <row r="3433" spans="1:7" x14ac:dyDescent="0.2">
      <c r="A3433" s="2">
        <v>20031013</v>
      </c>
      <c r="B3433" s="13">
        <v>9764.3799999999992</v>
      </c>
      <c r="C3433" s="2">
        <f t="shared" si="265"/>
        <v>9.2716244878382446E-3</v>
      </c>
      <c r="D3433" s="21">
        <f t="shared" ca="1" si="266"/>
        <v>8.8876720727313775E-3</v>
      </c>
      <c r="E3433" s="21">
        <f t="shared" ca="1" si="268"/>
        <v>6.4833978467808683E-5</v>
      </c>
      <c r="F3433" s="11">
        <f t="shared" ca="1" si="269"/>
        <v>4.2126635371463772</v>
      </c>
      <c r="G3433" s="10">
        <f t="shared" ca="1" si="267"/>
        <v>0</v>
      </c>
    </row>
    <row r="3434" spans="1:7" x14ac:dyDescent="0.2">
      <c r="A3434" s="2">
        <v>20031014</v>
      </c>
      <c r="B3434" s="13">
        <v>9812.98</v>
      </c>
      <c r="C3434" s="2">
        <f t="shared" si="265"/>
        <v>4.9772745427769469E-3</v>
      </c>
      <c r="D3434" s="21">
        <f t="shared" ca="1" si="266"/>
        <v>4.5933221276700797E-3</v>
      </c>
      <c r="E3434" s="21">
        <f t="shared" ca="1" si="268"/>
        <v>6.5367635765685133E-5</v>
      </c>
      <c r="F3434" s="11">
        <f t="shared" ca="1" si="269"/>
        <v>4.6563574366296931</v>
      </c>
      <c r="G3434" s="10">
        <f t="shared" ca="1" si="267"/>
        <v>1</v>
      </c>
    </row>
    <row r="3435" spans="1:7" x14ac:dyDescent="0.2">
      <c r="A3435" s="2">
        <v>20031015</v>
      </c>
      <c r="B3435" s="13">
        <v>9803.0499999999993</v>
      </c>
      <c r="C3435" s="2">
        <f t="shared" si="265"/>
        <v>-1.0119250217569271E-3</v>
      </c>
      <c r="D3435" s="21">
        <f t="shared" ca="1" si="266"/>
        <v>-1.3958774368637945E-3</v>
      </c>
      <c r="E3435" s="21">
        <f t="shared" ca="1" si="268"/>
        <v>6.3745501319303866E-5</v>
      </c>
      <c r="F3435" s="11">
        <f t="shared" ca="1" si="269"/>
        <v>4.8150227458803601</v>
      </c>
      <c r="G3435" s="10">
        <f t="shared" ca="1" si="267"/>
        <v>1</v>
      </c>
    </row>
    <row r="3436" spans="1:7" x14ac:dyDescent="0.2">
      <c r="A3436" s="2">
        <v>20031016</v>
      </c>
      <c r="B3436" s="13">
        <v>9791.7199999999993</v>
      </c>
      <c r="C3436" s="2">
        <f t="shared" si="265"/>
        <v>-1.1557627473082284E-3</v>
      </c>
      <c r="D3436" s="21">
        <f t="shared" ca="1" si="266"/>
        <v>-1.5397151624150958E-3</v>
      </c>
      <c r="E3436" s="21">
        <f t="shared" ca="1" si="268"/>
        <v>6.15012473115981E-5</v>
      </c>
      <c r="F3436" s="11">
        <f t="shared" ca="1" si="269"/>
        <v>4.828952772880724</v>
      </c>
      <c r="G3436" s="10">
        <f t="shared" ca="1" si="267"/>
        <v>1</v>
      </c>
    </row>
    <row r="3437" spans="1:7" x14ac:dyDescent="0.2">
      <c r="A3437" s="2">
        <v>20031017</v>
      </c>
      <c r="B3437" s="13">
        <v>9721.7900000000009</v>
      </c>
      <c r="C3437" s="2">
        <f t="shared" si="265"/>
        <v>-7.1417483343067896E-3</v>
      </c>
      <c r="D3437" s="21">
        <f t="shared" ca="1" si="266"/>
        <v>-7.5257007494136567E-3</v>
      </c>
      <c r="E3437" s="21">
        <f t="shared" ca="1" si="268"/>
        <v>5.9386057684717162E-5</v>
      </c>
      <c r="F3437" s="11">
        <f t="shared" ca="1" si="269"/>
        <v>4.3888781613290782</v>
      </c>
      <c r="G3437" s="10">
        <f t="shared" ca="1" si="267"/>
        <v>1</v>
      </c>
    </row>
    <row r="3438" spans="1:7" x14ac:dyDescent="0.2">
      <c r="A3438" s="2">
        <v>20031020</v>
      </c>
      <c r="B3438" s="13">
        <v>9777.94</v>
      </c>
      <c r="C3438" s="2">
        <f t="shared" ref="C3438:C3501" si="270">(B3438-B3437)/B3437</f>
        <v>5.7756853418968763E-3</v>
      </c>
      <c r="D3438" s="21">
        <f t="shared" ca="1" si="266"/>
        <v>5.3917329267900091E-3</v>
      </c>
      <c r="E3438" s="21">
        <f t="shared" ca="1" si="268"/>
        <v>5.9373311506845989E-5</v>
      </c>
      <c r="F3438" s="11">
        <f t="shared" ca="1" si="269"/>
        <v>4.6210193032260296</v>
      </c>
      <c r="G3438" s="10">
        <f t="shared" ca="1" si="267"/>
        <v>1</v>
      </c>
    </row>
    <row r="3439" spans="1:7" x14ac:dyDescent="0.2">
      <c r="A3439" s="2">
        <v>20031021</v>
      </c>
      <c r="B3439" s="13">
        <v>9747.64</v>
      </c>
      <c r="C3439" s="2">
        <f t="shared" si="270"/>
        <v>-3.0988122242518457E-3</v>
      </c>
      <c r="D3439" s="21">
        <f t="shared" ca="1" si="266"/>
        <v>-3.4827646393587128E-3</v>
      </c>
      <c r="E3439" s="21">
        <f t="shared" ca="1" si="268"/>
        <v>5.8347582721855417E-5</v>
      </c>
      <c r="F3439" s="11">
        <f t="shared" ca="1" si="269"/>
        <v>4.7706032797923843</v>
      </c>
      <c r="G3439" s="10">
        <f t="shared" ca="1" si="267"/>
        <v>1</v>
      </c>
    </row>
    <row r="3440" spans="1:7" x14ac:dyDescent="0.2">
      <c r="A3440" s="2">
        <v>20031022</v>
      </c>
      <c r="B3440" s="13">
        <v>9598.24</v>
      </c>
      <c r="C3440" s="2">
        <f t="shared" si="270"/>
        <v>-1.5326786791469489E-2</v>
      </c>
      <c r="D3440" s="21">
        <f t="shared" ca="1" si="266"/>
        <v>-1.5710739206576358E-2</v>
      </c>
      <c r="E3440" s="21">
        <f t="shared" ca="1" si="268"/>
        <v>5.6750790801167602E-5</v>
      </c>
      <c r="F3440" s="11">
        <f t="shared" ca="1" si="269"/>
        <v>2.713760686345875</v>
      </c>
      <c r="G3440" s="10">
        <f t="shared" ca="1" si="267"/>
        <v>0</v>
      </c>
    </row>
    <row r="3441" spans="1:7" x14ac:dyDescent="0.2">
      <c r="A3441" s="2">
        <v>20031023</v>
      </c>
      <c r="B3441" s="13">
        <v>9613.1299999999992</v>
      </c>
      <c r="C3441" s="2">
        <f t="shared" si="270"/>
        <v>1.5513260764472882E-3</v>
      </c>
      <c r="D3441" s="21">
        <f t="shared" ca="1" si="266"/>
        <v>1.167373661340421E-3</v>
      </c>
      <c r="E3441" s="21">
        <f t="shared" ca="1" si="268"/>
        <v>6.3865024481723248E-5</v>
      </c>
      <c r="F3441" s="11">
        <f t="shared" ca="1" si="269"/>
        <v>4.8187002736872815</v>
      </c>
      <c r="G3441" s="10">
        <f t="shared" ca="1" si="267"/>
        <v>1</v>
      </c>
    </row>
    <row r="3442" spans="1:7" x14ac:dyDescent="0.2">
      <c r="A3442" s="2">
        <v>20031024</v>
      </c>
      <c r="B3442" s="13">
        <v>9582.4599999999991</v>
      </c>
      <c r="C3442" s="2">
        <f t="shared" si="270"/>
        <v>-3.1904280915789215E-3</v>
      </c>
      <c r="D3442" s="21">
        <f t="shared" ca="1" si="266"/>
        <v>-3.5743805066857886E-3</v>
      </c>
      <c r="E3442" s="21">
        <f t="shared" ca="1" si="268"/>
        <v>6.1593186084600113E-5</v>
      </c>
      <c r="F3442" s="11">
        <f t="shared" ca="1" si="269"/>
        <v>4.7437652924456533</v>
      </c>
      <c r="G3442" s="10">
        <f t="shared" ca="1" si="267"/>
        <v>1</v>
      </c>
    </row>
    <row r="3443" spans="1:7" x14ac:dyDescent="0.2">
      <c r="A3443" s="2">
        <v>20031027</v>
      </c>
      <c r="B3443" s="13">
        <v>9608.16</v>
      </c>
      <c r="C3443" s="2">
        <f t="shared" si="270"/>
        <v>2.6819835407610082E-3</v>
      </c>
      <c r="D3443" s="21">
        <f t="shared" ca="1" si="266"/>
        <v>2.298031125654141E-3</v>
      </c>
      <c r="E3443" s="21">
        <f t="shared" ca="1" si="268"/>
        <v>5.9855972663857554E-5</v>
      </c>
      <c r="F3443" s="11">
        <f t="shared" ca="1" si="269"/>
        <v>4.8176708832248174</v>
      </c>
      <c r="G3443" s="10">
        <f t="shared" ca="1" si="267"/>
        <v>1</v>
      </c>
    </row>
    <row r="3444" spans="1:7" x14ac:dyDescent="0.2">
      <c r="A3444" s="2">
        <v>20031028</v>
      </c>
      <c r="B3444" s="13">
        <v>9748.31</v>
      </c>
      <c r="C3444" s="2">
        <f t="shared" si="270"/>
        <v>1.4586559757539388E-2</v>
      </c>
      <c r="D3444" s="21">
        <f t="shared" ca="1" si="266"/>
        <v>1.4202607342432521E-2</v>
      </c>
      <c r="E3444" s="21">
        <f t="shared" ca="1" si="268"/>
        <v>5.7931032051046575E-5</v>
      </c>
      <c r="F3444" s="11">
        <f t="shared" ca="1" si="269"/>
        <v>3.1371441996208276</v>
      </c>
      <c r="G3444" s="10">
        <f t="shared" ca="1" si="267"/>
        <v>0</v>
      </c>
    </row>
    <row r="3445" spans="1:7" x14ac:dyDescent="0.2">
      <c r="A3445" s="2">
        <v>20031029</v>
      </c>
      <c r="B3445" s="13">
        <v>9774.5300000000007</v>
      </c>
      <c r="C3445" s="2">
        <f t="shared" si="270"/>
        <v>2.6896969833746739E-3</v>
      </c>
      <c r="D3445" s="21">
        <f t="shared" ca="1" si="266"/>
        <v>2.3057445682678067E-3</v>
      </c>
      <c r="E3445" s="21">
        <f t="shared" ca="1" si="268"/>
        <v>6.3326663190148465E-5</v>
      </c>
      <c r="F3445" s="11">
        <f t="shared" ca="1" si="269"/>
        <v>4.7916255912021697</v>
      </c>
      <c r="G3445" s="10">
        <f t="shared" ca="1" si="267"/>
        <v>1</v>
      </c>
    </row>
    <row r="3446" spans="1:7" x14ac:dyDescent="0.2">
      <c r="A3446" s="2">
        <v>20031030</v>
      </c>
      <c r="B3446" s="13">
        <v>9786.61</v>
      </c>
      <c r="C3446" s="2">
        <f t="shared" si="270"/>
        <v>1.2358650492657883E-3</v>
      </c>
      <c r="D3446" s="21">
        <f t="shared" ca="1" si="266"/>
        <v>8.5191263415892104E-4</v>
      </c>
      <c r="E3446" s="21">
        <f t="shared" ca="1" si="268"/>
        <v>6.1227445000827069E-5</v>
      </c>
      <c r="F3446" s="11">
        <f t="shared" ca="1" si="269"/>
        <v>4.8445307964147526</v>
      </c>
      <c r="G3446" s="10">
        <f t="shared" ca="1" si="267"/>
        <v>1</v>
      </c>
    </row>
    <row r="3447" spans="1:7" x14ac:dyDescent="0.2">
      <c r="A3447" s="2">
        <v>20031031</v>
      </c>
      <c r="B3447" s="13">
        <v>9801.1200000000008</v>
      </c>
      <c r="C3447" s="2">
        <f t="shared" si="270"/>
        <v>1.4826380125498224E-3</v>
      </c>
      <c r="D3447" s="21">
        <f t="shared" ca="1" si="266"/>
        <v>1.0986855974429552E-3</v>
      </c>
      <c r="E3447" s="21">
        <f t="shared" ca="1" si="268"/>
        <v>5.9065618790498961E-5</v>
      </c>
      <c r="F3447" s="11">
        <f t="shared" ca="1" si="269"/>
        <v>4.8582123931830505</v>
      </c>
      <c r="G3447" s="10">
        <f t="shared" ca="1" si="267"/>
        <v>1</v>
      </c>
    </row>
    <row r="3448" spans="1:7" x14ac:dyDescent="0.2">
      <c r="A3448" s="2">
        <v>20031103</v>
      </c>
      <c r="B3448" s="13">
        <v>9858.4599999999991</v>
      </c>
      <c r="C3448" s="2">
        <f t="shared" si="270"/>
        <v>5.8503517965292047E-3</v>
      </c>
      <c r="D3448" s="21">
        <f t="shared" ca="1" si="266"/>
        <v>5.4663993814223375E-3</v>
      </c>
      <c r="E3448" s="21">
        <f t="shared" ca="1" si="268"/>
        <v>5.7030860340317693E-5</v>
      </c>
      <c r="F3448" s="11">
        <f t="shared" ca="1" si="269"/>
        <v>4.6239822345263351</v>
      </c>
      <c r="G3448" s="10">
        <f t="shared" ca="1" si="267"/>
        <v>1</v>
      </c>
    </row>
    <row r="3449" spans="1:7" x14ac:dyDescent="0.2">
      <c r="A3449" s="2">
        <v>20031104</v>
      </c>
      <c r="B3449" s="13">
        <v>9838.83</v>
      </c>
      <c r="C3449" s="2">
        <f t="shared" si="270"/>
        <v>-1.9911832071134034E-3</v>
      </c>
      <c r="D3449" s="21">
        <f t="shared" ca="1" si="266"/>
        <v>-2.3751356222202705E-3</v>
      </c>
      <c r="E3449" s="21">
        <f t="shared" ca="1" si="268"/>
        <v>5.6153449191923609E-5</v>
      </c>
      <c r="F3449" s="11">
        <f t="shared" ca="1" si="269"/>
        <v>4.8434803907643404</v>
      </c>
      <c r="G3449" s="10">
        <f t="shared" ca="1" si="267"/>
        <v>1</v>
      </c>
    </row>
    <row r="3450" spans="1:7" x14ac:dyDescent="0.2">
      <c r="A3450" s="2">
        <v>20031105</v>
      </c>
      <c r="B3450" s="13">
        <v>9820.83</v>
      </c>
      <c r="C3450" s="2">
        <f t="shared" si="270"/>
        <v>-1.8294858230094432E-3</v>
      </c>
      <c r="D3450" s="21">
        <f t="shared" ca="1" si="266"/>
        <v>-2.2134382381163104E-3</v>
      </c>
      <c r="E3450" s="21">
        <f t="shared" ca="1" si="268"/>
        <v>5.4429070135977182E-5</v>
      </c>
      <c r="F3450" s="11">
        <f t="shared" ca="1" si="269"/>
        <v>4.8642997229760327</v>
      </c>
      <c r="G3450" s="10">
        <f t="shared" ca="1" si="267"/>
        <v>1</v>
      </c>
    </row>
    <row r="3451" spans="1:7" x14ac:dyDescent="0.2">
      <c r="A3451" s="2">
        <v>20031106</v>
      </c>
      <c r="B3451" s="13">
        <v>9856.9699999999993</v>
      </c>
      <c r="C3451" s="2">
        <f t="shared" si="270"/>
        <v>3.6799333661207269E-3</v>
      </c>
      <c r="D3451" s="21">
        <f t="shared" ca="1" si="266"/>
        <v>3.2959809510138597E-3</v>
      </c>
      <c r="E3451" s="21">
        <f t="shared" ca="1" si="268"/>
        <v>5.2764644805210045E-5</v>
      </c>
      <c r="F3451" s="11">
        <f t="shared" ca="1" si="269"/>
        <v>4.8218917051747594</v>
      </c>
      <c r="G3451" s="10">
        <f t="shared" ca="1" si="267"/>
        <v>1</v>
      </c>
    </row>
    <row r="3452" spans="1:7" x14ac:dyDescent="0.2">
      <c r="A3452" s="2">
        <v>20031107</v>
      </c>
      <c r="B3452" s="13">
        <v>9809.7900000000009</v>
      </c>
      <c r="C3452" s="2">
        <f t="shared" si="270"/>
        <v>-4.7864607480796306E-3</v>
      </c>
      <c r="D3452" s="21">
        <f t="shared" ca="1" si="266"/>
        <v>-5.1704131631864977E-3</v>
      </c>
      <c r="E3452" s="21">
        <f t="shared" ca="1" si="268"/>
        <v>5.1403736670970172E-5</v>
      </c>
      <c r="F3452" s="11">
        <f t="shared" ca="1" si="269"/>
        <v>4.6778684348764719</v>
      </c>
      <c r="G3452" s="10">
        <f t="shared" ca="1" si="267"/>
        <v>1</v>
      </c>
    </row>
    <row r="3453" spans="1:7" x14ac:dyDescent="0.2">
      <c r="A3453" s="2">
        <v>20031110</v>
      </c>
      <c r="B3453" s="13">
        <v>9756.5300000000007</v>
      </c>
      <c r="C3453" s="2">
        <f t="shared" si="270"/>
        <v>-5.4292701474751457E-3</v>
      </c>
      <c r="D3453" s="21">
        <f t="shared" ca="1" si="266"/>
        <v>-5.8132225625820129E-3</v>
      </c>
      <c r="E3453" s="21">
        <f t="shared" ca="1" si="268"/>
        <v>5.0695233238124515E-5</v>
      </c>
      <c r="F3453" s="11">
        <f t="shared" ca="1" si="269"/>
        <v>4.6115382101694316</v>
      </c>
      <c r="G3453" s="10">
        <f t="shared" ca="1" si="267"/>
        <v>1</v>
      </c>
    </row>
    <row r="3454" spans="1:7" x14ac:dyDescent="0.2">
      <c r="A3454" s="2">
        <v>20031111</v>
      </c>
      <c r="B3454" s="13">
        <v>9737.7900000000009</v>
      </c>
      <c r="C3454" s="2">
        <f t="shared" si="270"/>
        <v>-1.920764862097465E-3</v>
      </c>
      <c r="D3454" s="21">
        <f t="shared" ca="1" si="266"/>
        <v>-2.3047172772043324E-3</v>
      </c>
      <c r="E3454" s="21">
        <f t="shared" ca="1" si="268"/>
        <v>5.0282195885119524E-5</v>
      </c>
      <c r="F3454" s="11">
        <f t="shared" ca="1" si="269"/>
        <v>4.8961106404662145</v>
      </c>
      <c r="G3454" s="10">
        <f t="shared" ca="1" si="267"/>
        <v>1</v>
      </c>
    </row>
    <row r="3455" spans="1:7" x14ac:dyDescent="0.2">
      <c r="A3455" s="2">
        <v>20031112</v>
      </c>
      <c r="B3455" s="13">
        <v>9848.83</v>
      </c>
      <c r="C3455" s="2">
        <f t="shared" si="270"/>
        <v>1.1402998010842198E-2</v>
      </c>
      <c r="D3455" s="21">
        <f t="shared" ca="1" si="266"/>
        <v>1.1019045595735331E-2</v>
      </c>
      <c r="E3455" s="21">
        <f t="shared" ca="1" si="268"/>
        <v>4.8842727430321468E-5</v>
      </c>
      <c r="F3455" s="11">
        <f t="shared" ca="1" si="269"/>
        <v>3.7204899444575492</v>
      </c>
      <c r="G3455" s="10">
        <f t="shared" ca="1" si="267"/>
        <v>0</v>
      </c>
    </row>
    <row r="3456" spans="1:7" x14ac:dyDescent="0.2">
      <c r="A3456" s="2">
        <v>20031113</v>
      </c>
      <c r="B3456" s="13">
        <v>9837.94</v>
      </c>
      <c r="C3456" s="2">
        <f t="shared" si="270"/>
        <v>-1.1057150950924545E-3</v>
      </c>
      <c r="D3456" s="21">
        <f t="shared" ca="1" si="266"/>
        <v>-1.4896675101993217E-3</v>
      </c>
      <c r="E3456" s="21">
        <f t="shared" ca="1" si="268"/>
        <v>5.1745562962064715E-5</v>
      </c>
      <c r="F3456" s="11">
        <f t="shared" ca="1" si="269"/>
        <v>4.9131434267236562</v>
      </c>
      <c r="G3456" s="10">
        <f t="shared" ca="1" si="267"/>
        <v>1</v>
      </c>
    </row>
    <row r="3457" spans="1:7" x14ac:dyDescent="0.2">
      <c r="A3457" s="2">
        <v>20031114</v>
      </c>
      <c r="B3457" s="13">
        <v>9768.68</v>
      </c>
      <c r="C3457" s="2">
        <f t="shared" si="270"/>
        <v>-7.0400917265200048E-3</v>
      </c>
      <c r="D3457" s="21">
        <f t="shared" ca="1" si="266"/>
        <v>-7.424044141626872E-3</v>
      </c>
      <c r="E3457" s="21">
        <f t="shared" ca="1" si="268"/>
        <v>5.0118341525857796E-5</v>
      </c>
      <c r="F3457" s="11">
        <f t="shared" ca="1" si="269"/>
        <v>4.4006988773562234</v>
      </c>
      <c r="G3457" s="10">
        <f t="shared" ca="1" si="267"/>
        <v>0</v>
      </c>
    </row>
    <row r="3458" spans="1:7" x14ac:dyDescent="0.2">
      <c r="A3458" s="2">
        <v>20031117</v>
      </c>
      <c r="B3458" s="13">
        <v>9710.83</v>
      </c>
      <c r="C3458" s="2">
        <f t="shared" si="270"/>
        <v>-5.9219874128337057E-3</v>
      </c>
      <c r="D3458" s="21">
        <f t="shared" ca="1" si="266"/>
        <v>-6.3059398279405729E-3</v>
      </c>
      <c r="E3458" s="21">
        <f t="shared" ca="1" si="268"/>
        <v>5.0518568653676915E-5</v>
      </c>
      <c r="F3458" s="11">
        <f t="shared" ca="1" si="269"/>
        <v>4.5530178550213121</v>
      </c>
      <c r="G3458" s="10">
        <f t="shared" ca="1" si="267"/>
        <v>1</v>
      </c>
    </row>
    <row r="3459" spans="1:7" x14ac:dyDescent="0.2">
      <c r="A3459" s="2">
        <v>20031118</v>
      </c>
      <c r="B3459" s="13">
        <v>9624.16</v>
      </c>
      <c r="C3459" s="2">
        <f t="shared" si="270"/>
        <v>-8.9250867330598997E-3</v>
      </c>
      <c r="D3459" s="21">
        <f t="shared" ca="1" si="266"/>
        <v>-9.3090391481667669E-3</v>
      </c>
      <c r="E3459" s="21">
        <f t="shared" ca="1" si="268"/>
        <v>5.0334044703053613E-5</v>
      </c>
      <c r="F3459" s="11">
        <f t="shared" ca="1" si="269"/>
        <v>4.0875834603198822</v>
      </c>
      <c r="G3459" s="10">
        <f t="shared" ca="1" si="267"/>
        <v>0</v>
      </c>
    </row>
    <row r="3460" spans="1:7" x14ac:dyDescent="0.2">
      <c r="A3460" s="2">
        <v>20031119</v>
      </c>
      <c r="B3460" s="13">
        <v>9690.4599999999991</v>
      </c>
      <c r="C3460" s="2">
        <f t="shared" si="270"/>
        <v>6.8889129025285611E-3</v>
      </c>
      <c r="D3460" s="21">
        <f t="shared" ca="1" si="266"/>
        <v>6.5049604874216939E-3</v>
      </c>
      <c r="E3460" s="21">
        <f t="shared" ca="1" si="268"/>
        <v>5.188320560297741E-5</v>
      </c>
      <c r="F3460" s="11">
        <f t="shared" ca="1" si="269"/>
        <v>4.5254715016720137</v>
      </c>
      <c r="G3460" s="10">
        <f t="shared" ca="1" si="267"/>
        <v>1</v>
      </c>
    </row>
    <row r="3461" spans="1:7" x14ac:dyDescent="0.2">
      <c r="A3461" s="2">
        <v>20031120</v>
      </c>
      <c r="B3461" s="13">
        <v>9619.42</v>
      </c>
      <c r="C3461" s="2">
        <f t="shared" si="270"/>
        <v>-7.330921339131379E-3</v>
      </c>
      <c r="D3461" s="21">
        <f t="shared" ca="1" si="266"/>
        <v>-7.7148737542382462E-3</v>
      </c>
      <c r="E3461" s="21">
        <f t="shared" ca="1" si="268"/>
        <v>5.1723398707447177E-5</v>
      </c>
      <c r="F3461" s="11">
        <f t="shared" ca="1" si="269"/>
        <v>4.3594389120207193</v>
      </c>
      <c r="G3461" s="10">
        <f t="shared" ca="1" si="267"/>
        <v>0</v>
      </c>
    </row>
    <row r="3462" spans="1:7" x14ac:dyDescent="0.2">
      <c r="A3462" s="2">
        <v>20031121</v>
      </c>
      <c r="B3462" s="13">
        <v>9628.5300000000007</v>
      </c>
      <c r="C3462" s="2">
        <f t="shared" si="270"/>
        <v>9.4704254518469745E-4</v>
      </c>
      <c r="D3462" s="21">
        <f t="shared" ca="1" si="266"/>
        <v>5.6309013007783016E-4</v>
      </c>
      <c r="E3462" s="21">
        <f t="shared" ca="1" si="268"/>
        <v>5.2204325785242503E-5</v>
      </c>
      <c r="F3462" s="11">
        <f t="shared" ca="1" si="269"/>
        <v>4.9271357764868267</v>
      </c>
      <c r="G3462" s="10">
        <f t="shared" ca="1" si="267"/>
        <v>1</v>
      </c>
    </row>
    <row r="3463" spans="1:7" x14ac:dyDescent="0.2">
      <c r="A3463" s="2">
        <v>20031124</v>
      </c>
      <c r="B3463" s="13">
        <v>9747.7900000000009</v>
      </c>
      <c r="C3463" s="2">
        <f t="shared" si="270"/>
        <v>1.2386106705800388E-2</v>
      </c>
      <c r="D3463" s="21">
        <f t="shared" ca="1" si="266"/>
        <v>1.2002154290693521E-2</v>
      </c>
      <c r="E3463" s="21">
        <f t="shared" ca="1" si="268"/>
        <v>5.0483954099165685E-5</v>
      </c>
      <c r="F3463" s="11">
        <f t="shared" ca="1" si="269"/>
        <v>3.5202196524998217</v>
      </c>
      <c r="G3463" s="10">
        <f t="shared" ca="1" si="267"/>
        <v>0</v>
      </c>
    </row>
    <row r="3464" spans="1:7" x14ac:dyDescent="0.2">
      <c r="A3464" s="2">
        <v>20031125</v>
      </c>
      <c r="B3464" s="13">
        <v>9763.94</v>
      </c>
      <c r="C3464" s="2">
        <f t="shared" si="270"/>
        <v>1.6567857945236444E-3</v>
      </c>
      <c r="D3464" s="21">
        <f t="shared" ca="1" si="266"/>
        <v>1.2728333794167772E-3</v>
      </c>
      <c r="E3464" s="21">
        <f t="shared" ca="1" si="268"/>
        <v>5.4135990157598548E-5</v>
      </c>
      <c r="F3464" s="11">
        <f t="shared" ca="1" si="269"/>
        <v>4.8970423825326863</v>
      </c>
      <c r="G3464" s="10">
        <f t="shared" ca="1" si="267"/>
        <v>1</v>
      </c>
    </row>
    <row r="3465" spans="1:7" x14ac:dyDescent="0.2">
      <c r="A3465" s="2">
        <v>20031126</v>
      </c>
      <c r="B3465" s="13">
        <v>9779.57</v>
      </c>
      <c r="C3465" s="2">
        <f t="shared" si="270"/>
        <v>1.600788206400203E-3</v>
      </c>
      <c r="D3465" s="21">
        <f t="shared" ca="1" si="266"/>
        <v>1.2168357912933359E-3</v>
      </c>
      <c r="E3465" s="21">
        <f t="shared" ca="1" si="268"/>
        <v>5.2365809781897595E-5</v>
      </c>
      <c r="F3465" s="11">
        <f t="shared" ca="1" si="269"/>
        <v>4.9144903924387773</v>
      </c>
      <c r="G3465" s="10">
        <f t="shared" ca="1" si="267"/>
        <v>1</v>
      </c>
    </row>
    <row r="3466" spans="1:7" x14ac:dyDescent="0.2">
      <c r="A3466" s="2">
        <v>20031128</v>
      </c>
      <c r="B3466" s="13">
        <v>9782.4599999999991</v>
      </c>
      <c r="C3466" s="2">
        <f t="shared" si="270"/>
        <v>2.9551401544233722E-4</v>
      </c>
      <c r="D3466" s="21">
        <f t="shared" ca="1" si="266"/>
        <v>-8.8438399664530077E-5</v>
      </c>
      <c r="E3466" s="21">
        <f t="shared" ca="1" si="268"/>
        <v>5.0680056864047334E-5</v>
      </c>
      <c r="F3466" s="11">
        <f t="shared" ca="1" si="269"/>
        <v>4.9449118762578879</v>
      </c>
      <c r="G3466" s="10">
        <f t="shared" ca="1" si="267"/>
        <v>1</v>
      </c>
    </row>
    <row r="3467" spans="1:7" x14ac:dyDescent="0.2">
      <c r="A3467" s="2">
        <v>20031201</v>
      </c>
      <c r="B3467" s="13">
        <v>9899.0499999999993</v>
      </c>
      <c r="C3467" s="2">
        <f t="shared" si="270"/>
        <v>1.1918270046593613E-2</v>
      </c>
      <c r="D3467" s="21">
        <f t="shared" ca="1" si="266"/>
        <v>1.1534317631486745E-2</v>
      </c>
      <c r="E3467" s="21">
        <f t="shared" ca="1" si="268"/>
        <v>4.90254268135906E-5</v>
      </c>
      <c r="F3467" s="11">
        <f t="shared" ca="1" si="269"/>
        <v>3.6047338788651628</v>
      </c>
      <c r="G3467" s="10">
        <f t="shared" ca="1" si="267"/>
        <v>0</v>
      </c>
    </row>
    <row r="3468" spans="1:7" x14ac:dyDescent="0.2">
      <c r="A3468" s="2">
        <v>20031202</v>
      </c>
      <c r="B3468" s="13">
        <v>9853.64</v>
      </c>
      <c r="C3468" s="2">
        <f t="shared" si="270"/>
        <v>-4.5873088831756437E-3</v>
      </c>
      <c r="D3468" s="21">
        <f t="shared" ca="1" si="266"/>
        <v>-4.9712612982825109E-3</v>
      </c>
      <c r="E3468" s="21">
        <f t="shared" ca="1" si="268"/>
        <v>5.2346348300573479E-5</v>
      </c>
      <c r="F3468" s="11">
        <f t="shared" ca="1" si="269"/>
        <v>4.6927572369037946</v>
      </c>
      <c r="G3468" s="10">
        <f t="shared" ca="1" si="267"/>
        <v>1</v>
      </c>
    </row>
    <row r="3469" spans="1:7" x14ac:dyDescent="0.2">
      <c r="A3469" s="2">
        <v>20031203</v>
      </c>
      <c r="B3469" s="13">
        <v>9873.42</v>
      </c>
      <c r="C3469" s="2">
        <f t="shared" si="270"/>
        <v>2.0073800138832609E-3</v>
      </c>
      <c r="D3469" s="21">
        <f t="shared" ca="1" si="266"/>
        <v>1.6234275987763937E-3</v>
      </c>
      <c r="E3469" s="21">
        <f t="shared" ca="1" si="268"/>
        <v>5.1515888712002959E-5</v>
      </c>
      <c r="F3469" s="11">
        <f t="shared" ca="1" si="269"/>
        <v>4.9112304860744995</v>
      </c>
      <c r="G3469" s="10">
        <f t="shared" ca="1" si="267"/>
        <v>1</v>
      </c>
    </row>
    <row r="3470" spans="1:7" x14ac:dyDescent="0.2">
      <c r="A3470" s="2">
        <v>20031204</v>
      </c>
      <c r="B3470" s="13">
        <v>9930.82</v>
      </c>
      <c r="C3470" s="2">
        <f t="shared" si="270"/>
        <v>5.8135884019923836E-3</v>
      </c>
      <c r="D3470" s="21">
        <f t="shared" ref="D3470:D3533" ca="1" si="271">(C3470-mu)</f>
        <v>5.4296359868855164E-3</v>
      </c>
      <c r="E3470" s="21">
        <f t="shared" ca="1" si="268"/>
        <v>4.9915598616454555E-5</v>
      </c>
      <c r="F3470" s="11">
        <f t="shared" ca="1" si="269"/>
        <v>4.6572805457610142</v>
      </c>
      <c r="G3470" s="10">
        <f t="shared" ref="G3470:G3533" ca="1" si="272">IF(AND(C3470&lt;=mu+zvalue*SQRT(E3470),C3470&gt;=mu-zvalue*SQRT(E3470)),1,0)</f>
        <v>1</v>
      </c>
    </row>
    <row r="3471" spans="1:7" x14ac:dyDescent="0.2">
      <c r="A3471" s="2">
        <v>20031205</v>
      </c>
      <c r="B3471" s="13">
        <v>9862.68</v>
      </c>
      <c r="C3471" s="2">
        <f t="shared" si="270"/>
        <v>-6.8614676330856286E-3</v>
      </c>
      <c r="D3471" s="21">
        <f t="shared" ca="1" si="271"/>
        <v>-7.2454200481924958E-3</v>
      </c>
      <c r="E3471" s="21">
        <f t="shared" ref="E3471:E3534" ca="1" si="273">(1-alpha-beta)*longvar+alpha*D3470^2+beta*E3470</f>
        <v>4.9383421050211994E-5</v>
      </c>
      <c r="F3471" s="11">
        <f t="shared" ref="F3471:F3534" ca="1" si="274">(-0.5)*(LN(E3471)+D3471^2/E3471)</f>
        <v>4.4264323555357485</v>
      </c>
      <c r="G3471" s="10">
        <f t="shared" ca="1" si="272"/>
        <v>0</v>
      </c>
    </row>
    <row r="3472" spans="1:7" x14ac:dyDescent="0.2">
      <c r="A3472" s="2">
        <v>20031208</v>
      </c>
      <c r="B3472" s="13">
        <v>9965.27</v>
      </c>
      <c r="C3472" s="2">
        <f t="shared" si="270"/>
        <v>1.0401838039964811E-2</v>
      </c>
      <c r="D3472" s="21">
        <f t="shared" ca="1" si="271"/>
        <v>1.0017885624857944E-2</v>
      </c>
      <c r="E3472" s="21">
        <f t="shared" ca="1" si="273"/>
        <v>4.9724474314759439E-5</v>
      </c>
      <c r="F3472" s="11">
        <f t="shared" ca="1" si="274"/>
        <v>3.9453654421677147</v>
      </c>
      <c r="G3472" s="10">
        <f t="shared" ca="1" si="272"/>
        <v>0</v>
      </c>
    </row>
    <row r="3473" spans="1:7" x14ac:dyDescent="0.2">
      <c r="A3473" s="2">
        <v>20031209</v>
      </c>
      <c r="B3473" s="13">
        <v>9923.42</v>
      </c>
      <c r="C3473" s="2">
        <f t="shared" si="270"/>
        <v>-4.1995851592581401E-3</v>
      </c>
      <c r="D3473" s="21">
        <f t="shared" ca="1" si="271"/>
        <v>-4.5835375743650073E-3</v>
      </c>
      <c r="E3473" s="21">
        <f t="shared" ca="1" si="273"/>
        <v>5.1808239976323063E-5</v>
      </c>
      <c r="F3473" s="11">
        <f t="shared" ca="1" si="274"/>
        <v>4.7312251211957763</v>
      </c>
      <c r="G3473" s="10">
        <f t="shared" ca="1" si="272"/>
        <v>1</v>
      </c>
    </row>
    <row r="3474" spans="1:7" x14ac:dyDescent="0.2">
      <c r="A3474" s="2">
        <v>20031210</v>
      </c>
      <c r="B3474" s="13">
        <v>9921.86</v>
      </c>
      <c r="C3474" s="2">
        <f t="shared" si="270"/>
        <v>-1.5720386721508215E-4</v>
      </c>
      <c r="D3474" s="21">
        <f t="shared" ca="1" si="271"/>
        <v>-5.4115628232194945E-4</v>
      </c>
      <c r="E3474" s="21">
        <f t="shared" ca="1" si="273"/>
        <v>5.0868778038310693E-5</v>
      </c>
      <c r="F3474" s="11">
        <f t="shared" ca="1" si="274"/>
        <v>4.9402521244288709</v>
      </c>
      <c r="G3474" s="10">
        <f t="shared" ca="1" si="272"/>
        <v>1</v>
      </c>
    </row>
    <row r="3475" spans="1:7" x14ac:dyDescent="0.2">
      <c r="A3475" s="2">
        <v>20031211</v>
      </c>
      <c r="B3475" s="13">
        <v>10008.16</v>
      </c>
      <c r="C3475" s="2">
        <f t="shared" si="270"/>
        <v>8.6979659055861774E-3</v>
      </c>
      <c r="D3475" s="21">
        <f t="shared" ca="1" si="271"/>
        <v>8.3140134904793103E-3</v>
      </c>
      <c r="E3475" s="21">
        <f t="shared" ca="1" si="273"/>
        <v>4.9215081527105442E-5</v>
      </c>
      <c r="F3475" s="11">
        <f t="shared" ca="1" si="274"/>
        <v>4.2574028020084951</v>
      </c>
      <c r="G3475" s="10">
        <f t="shared" ca="1" si="272"/>
        <v>0</v>
      </c>
    </row>
    <row r="3476" spans="1:7" x14ac:dyDescent="0.2">
      <c r="A3476" s="2">
        <v>20031212</v>
      </c>
      <c r="B3476" s="13">
        <v>10042.16</v>
      </c>
      <c r="C3476" s="2">
        <f t="shared" si="270"/>
        <v>3.3972278620645552E-3</v>
      </c>
      <c r="D3476" s="21">
        <f t="shared" ca="1" si="271"/>
        <v>3.013275446957688E-3</v>
      </c>
      <c r="E3476" s="21">
        <f t="shared" ca="1" si="273"/>
        <v>5.0176044251451931E-5</v>
      </c>
      <c r="F3476" s="11">
        <f t="shared" ca="1" si="274"/>
        <v>4.8595067051569849</v>
      </c>
      <c r="G3476" s="10">
        <f t="shared" ca="1" si="272"/>
        <v>1</v>
      </c>
    </row>
    <row r="3477" spans="1:7" x14ac:dyDescent="0.2">
      <c r="A3477" s="2">
        <v>20031215</v>
      </c>
      <c r="B3477" s="13">
        <v>10022.82</v>
      </c>
      <c r="C3477" s="2">
        <f t="shared" si="270"/>
        <v>-1.9258804878631835E-3</v>
      </c>
      <c r="D3477" s="21">
        <f t="shared" ca="1" si="271"/>
        <v>-2.3098329029700507E-3</v>
      </c>
      <c r="E3477" s="21">
        <f t="shared" ca="1" si="273"/>
        <v>4.8880505923473098E-5</v>
      </c>
      <c r="F3477" s="11">
        <f t="shared" ca="1" si="274"/>
        <v>4.9084907334701136</v>
      </c>
      <c r="G3477" s="10">
        <f t="shared" ca="1" si="272"/>
        <v>1</v>
      </c>
    </row>
    <row r="3478" spans="1:7" x14ac:dyDescent="0.2">
      <c r="A3478" s="2">
        <v>20031216</v>
      </c>
      <c r="B3478" s="13">
        <v>10129.56</v>
      </c>
      <c r="C3478" s="2">
        <f t="shared" si="270"/>
        <v>1.0649697390554732E-2</v>
      </c>
      <c r="D3478" s="21">
        <f t="shared" ca="1" si="271"/>
        <v>1.0265744975447865E-2</v>
      </c>
      <c r="E3478" s="21">
        <f t="shared" ca="1" si="273"/>
        <v>4.7512817470663754E-5</v>
      </c>
      <c r="F3478" s="11">
        <f t="shared" ca="1" si="274"/>
        <v>3.8682335189501149</v>
      </c>
      <c r="G3478" s="10">
        <f t="shared" ca="1" si="272"/>
        <v>0</v>
      </c>
    </row>
    <row r="3479" spans="1:7" x14ac:dyDescent="0.2">
      <c r="A3479" s="2">
        <v>20031217</v>
      </c>
      <c r="B3479" s="13">
        <v>10145.26</v>
      </c>
      <c r="C3479" s="2">
        <f t="shared" si="270"/>
        <v>1.5499192462457134E-3</v>
      </c>
      <c r="D3479" s="21">
        <f t="shared" ca="1" si="271"/>
        <v>1.1659668311388462E-3</v>
      </c>
      <c r="E3479" s="21">
        <f t="shared" ca="1" si="273"/>
        <v>4.9893341074096E-5</v>
      </c>
      <c r="F3479" s="11">
        <f t="shared" ca="1" si="274"/>
        <v>4.9391876561458075</v>
      </c>
      <c r="G3479" s="10">
        <f t="shared" ca="1" si="272"/>
        <v>1</v>
      </c>
    </row>
    <row r="3480" spans="1:7" x14ac:dyDescent="0.2">
      <c r="A3480" s="2">
        <v>20031218</v>
      </c>
      <c r="B3480" s="13">
        <v>10248.08</v>
      </c>
      <c r="C3480" s="2">
        <f t="shared" si="270"/>
        <v>1.0134782154424796E-2</v>
      </c>
      <c r="D3480" s="21">
        <f t="shared" ca="1" si="271"/>
        <v>9.7508297393179288E-3</v>
      </c>
      <c r="E3480" s="21">
        <f t="shared" ca="1" si="273"/>
        <v>4.8328214033497281E-5</v>
      </c>
      <c r="F3480" s="11">
        <f t="shared" ca="1" si="274"/>
        <v>3.9850707675547907</v>
      </c>
      <c r="G3480" s="10">
        <f t="shared" ca="1" si="272"/>
        <v>0</v>
      </c>
    </row>
    <row r="3481" spans="1:7" x14ac:dyDescent="0.2">
      <c r="A3481" s="2">
        <v>20031219</v>
      </c>
      <c r="B3481" s="13">
        <v>10278.219999999999</v>
      </c>
      <c r="C3481" s="2">
        <f t="shared" si="270"/>
        <v>2.9410387116415387E-3</v>
      </c>
      <c r="D3481" s="21">
        <f t="shared" ca="1" si="271"/>
        <v>2.5570862965346715E-3</v>
      </c>
      <c r="E3481" s="21">
        <f t="shared" ca="1" si="273"/>
        <v>5.0288485979203044E-5</v>
      </c>
      <c r="F3481" s="11">
        <f t="shared" ca="1" si="274"/>
        <v>4.8838554036139783</v>
      </c>
      <c r="G3481" s="10">
        <f t="shared" ca="1" si="272"/>
        <v>1</v>
      </c>
    </row>
    <row r="3482" spans="1:7" x14ac:dyDescent="0.2">
      <c r="A3482" s="2">
        <v>20031222</v>
      </c>
      <c r="B3482" s="13">
        <v>10338</v>
      </c>
      <c r="C3482" s="2">
        <f t="shared" si="270"/>
        <v>5.8161821794046695E-3</v>
      </c>
      <c r="D3482" s="21">
        <f t="shared" ca="1" si="271"/>
        <v>5.4322297642978024E-3</v>
      </c>
      <c r="E3482" s="21">
        <f t="shared" ca="1" si="273"/>
        <v>4.8893817084244111E-5</v>
      </c>
      <c r="F3482" s="11">
        <f t="shared" ca="1" si="274"/>
        <v>4.6611624037449282</v>
      </c>
      <c r="G3482" s="10">
        <f t="shared" ca="1" si="272"/>
        <v>1</v>
      </c>
    </row>
    <row r="3483" spans="1:7" x14ac:dyDescent="0.2">
      <c r="A3483" s="2">
        <v>20031223</v>
      </c>
      <c r="B3483" s="13">
        <v>10341.26</v>
      </c>
      <c r="C3483" s="2">
        <f t="shared" si="270"/>
        <v>3.1534145869609387E-4</v>
      </c>
      <c r="D3483" s="21">
        <f t="shared" ca="1" si="271"/>
        <v>-6.8610956410773423E-5</v>
      </c>
      <c r="E3483" s="21">
        <f t="shared" ca="1" si="273"/>
        <v>4.8414367762189314E-5</v>
      </c>
      <c r="F3483" s="11">
        <f t="shared" ca="1" si="274"/>
        <v>4.9678083504641775</v>
      </c>
      <c r="G3483" s="10">
        <f t="shared" ca="1" si="272"/>
        <v>1</v>
      </c>
    </row>
    <row r="3484" spans="1:7" x14ac:dyDescent="0.2">
      <c r="A3484" s="2">
        <v>20031224</v>
      </c>
      <c r="B3484" s="13">
        <v>10305.19</v>
      </c>
      <c r="C3484" s="2">
        <f t="shared" si="270"/>
        <v>-3.4879695510991607E-3</v>
      </c>
      <c r="D3484" s="21">
        <f t="shared" ca="1" si="271"/>
        <v>-3.8719219662060279E-3</v>
      </c>
      <c r="E3484" s="21">
        <f t="shared" ca="1" si="273"/>
        <v>4.6874245166336904E-5</v>
      </c>
      <c r="F3484" s="11">
        <f t="shared" ca="1" si="274"/>
        <v>4.8241061964002041</v>
      </c>
      <c r="G3484" s="10">
        <f t="shared" ca="1" si="272"/>
        <v>1</v>
      </c>
    </row>
    <row r="3485" spans="1:7" x14ac:dyDescent="0.2">
      <c r="A3485" s="2">
        <v>20031226</v>
      </c>
      <c r="B3485" s="13">
        <v>10324.67</v>
      </c>
      <c r="C3485" s="2">
        <f t="shared" si="270"/>
        <v>1.8903096400939296E-3</v>
      </c>
      <c r="D3485" s="21">
        <f t="shared" ca="1" si="271"/>
        <v>1.5063572249870622E-3</v>
      </c>
      <c r="E3485" s="21">
        <f t="shared" ca="1" si="273"/>
        <v>4.5963138694447014E-5</v>
      </c>
      <c r="F3485" s="11">
        <f t="shared" ca="1" si="274"/>
        <v>4.9691513657510198</v>
      </c>
      <c r="G3485" s="10">
        <f t="shared" ca="1" si="272"/>
        <v>1</v>
      </c>
    </row>
    <row r="3486" spans="1:7" x14ac:dyDescent="0.2">
      <c r="A3486" s="2">
        <v>20031229</v>
      </c>
      <c r="B3486" s="13">
        <v>10450</v>
      </c>
      <c r="C3486" s="2">
        <f t="shared" si="270"/>
        <v>1.2138886763451028E-2</v>
      </c>
      <c r="D3486" s="21">
        <f t="shared" ca="1" si="271"/>
        <v>1.1754934348344161E-2</v>
      </c>
      <c r="E3486" s="21">
        <f t="shared" ca="1" si="273"/>
        <v>4.4630290696086402E-5</v>
      </c>
      <c r="F3486" s="11">
        <f t="shared" ca="1" si="274"/>
        <v>3.4605141359226295</v>
      </c>
      <c r="G3486" s="10">
        <f t="shared" ca="1" si="272"/>
        <v>0</v>
      </c>
    </row>
    <row r="3487" spans="1:7" x14ac:dyDescent="0.2">
      <c r="A3487" s="2">
        <v>20031230</v>
      </c>
      <c r="B3487" s="13">
        <v>10425.040000000001</v>
      </c>
      <c r="C3487" s="2">
        <f t="shared" si="270"/>
        <v>-2.3885167464113995E-3</v>
      </c>
      <c r="D3487" s="21">
        <f t="shared" ca="1" si="271"/>
        <v>-2.7724691615182667E-3</v>
      </c>
      <c r="E3487" s="21">
        <f t="shared" ca="1" si="273"/>
        <v>4.836249673545539E-5</v>
      </c>
      <c r="F3487" s="11">
        <f t="shared" ca="1" si="274"/>
        <v>4.8889245032967441</v>
      </c>
      <c r="G3487" s="10">
        <f t="shared" ca="1" si="272"/>
        <v>1</v>
      </c>
    </row>
    <row r="3488" spans="1:7" x14ac:dyDescent="0.2">
      <c r="A3488" s="2">
        <v>20031231</v>
      </c>
      <c r="B3488" s="13">
        <v>10453.92</v>
      </c>
      <c r="C3488" s="2">
        <f t="shared" si="270"/>
        <v>2.7702531597000295E-3</v>
      </c>
      <c r="D3488" s="21">
        <f t="shared" ca="1" si="271"/>
        <v>2.3863007445931624E-3</v>
      </c>
      <c r="E3488" s="21">
        <f t="shared" ca="1" si="273"/>
        <v>4.7107474371118078E-5</v>
      </c>
      <c r="F3488" s="11">
        <f t="shared" ca="1" si="274"/>
        <v>4.9210985926202726</v>
      </c>
      <c r="G3488" s="10">
        <f t="shared" ca="1" si="272"/>
        <v>1</v>
      </c>
    </row>
    <row r="3489" spans="1:7" x14ac:dyDescent="0.2">
      <c r="A3489" s="2">
        <v>20040102</v>
      </c>
      <c r="B3489" s="13">
        <v>10409.85</v>
      </c>
      <c r="C3489" s="2">
        <f t="shared" si="270"/>
        <v>-4.215643509802993E-3</v>
      </c>
      <c r="D3489" s="21">
        <f t="shared" ca="1" si="271"/>
        <v>-4.5995959249098602E-3</v>
      </c>
      <c r="E3489" s="21">
        <f t="shared" ca="1" si="273"/>
        <v>4.5842689020160621E-5</v>
      </c>
      <c r="F3489" s="11">
        <f t="shared" ca="1" si="274"/>
        <v>4.7643987035350417</v>
      </c>
      <c r="G3489" s="10">
        <f t="shared" ca="1" si="272"/>
        <v>1</v>
      </c>
    </row>
    <row r="3490" spans="1:7" x14ac:dyDescent="0.2">
      <c r="A3490" s="2">
        <v>20040105</v>
      </c>
      <c r="B3490" s="13">
        <v>10544.07</v>
      </c>
      <c r="C3490" s="2">
        <f t="shared" si="270"/>
        <v>1.2893557544056767E-2</v>
      </c>
      <c r="D3490" s="21">
        <f t="shared" ca="1" si="271"/>
        <v>1.2509605128949899E-2</v>
      </c>
      <c r="E3490" s="21">
        <f t="shared" ca="1" si="273"/>
        <v>4.5210448850714011E-5</v>
      </c>
      <c r="F3490" s="11">
        <f t="shared" ca="1" si="274"/>
        <v>3.2714047360367164</v>
      </c>
      <c r="G3490" s="10">
        <f t="shared" ca="1" si="272"/>
        <v>0</v>
      </c>
    </row>
    <row r="3491" spans="1:7" x14ac:dyDescent="0.2">
      <c r="A3491" s="2">
        <v>20040106</v>
      </c>
      <c r="B3491" s="13">
        <v>10538.66</v>
      </c>
      <c r="C3491" s="2">
        <f t="shared" si="270"/>
        <v>-5.1308460584953007E-4</v>
      </c>
      <c r="D3491" s="21">
        <f t="shared" ca="1" si="271"/>
        <v>-8.9703702095639737E-4</v>
      </c>
      <c r="E3491" s="21">
        <f t="shared" ca="1" si="273"/>
        <v>4.9586659112304492E-5</v>
      </c>
      <c r="F3491" s="11">
        <f t="shared" ca="1" si="274"/>
        <v>4.9477805352398292</v>
      </c>
      <c r="G3491" s="10">
        <f t="shared" ca="1" si="272"/>
        <v>1</v>
      </c>
    </row>
    <row r="3492" spans="1:7" x14ac:dyDescent="0.2">
      <c r="A3492" s="2">
        <v>20040107</v>
      </c>
      <c r="B3492" s="13">
        <v>10529.03</v>
      </c>
      <c r="C3492" s="2">
        <f t="shared" si="270"/>
        <v>-9.1377841205610578E-4</v>
      </c>
      <c r="D3492" s="21">
        <f t="shared" ca="1" si="271"/>
        <v>-1.2977308271629731E-3</v>
      </c>
      <c r="E3492" s="21">
        <f t="shared" ca="1" si="273"/>
        <v>4.8016646129492631E-5</v>
      </c>
      <c r="F3492" s="11">
        <f t="shared" ca="1" si="274"/>
        <v>4.9544447244888081</v>
      </c>
      <c r="G3492" s="10">
        <f t="shared" ca="1" si="272"/>
        <v>1</v>
      </c>
    </row>
    <row r="3493" spans="1:7" x14ac:dyDescent="0.2">
      <c r="A3493" s="2">
        <v>20040108</v>
      </c>
      <c r="B3493" s="13">
        <v>10592.44</v>
      </c>
      <c r="C3493" s="2">
        <f t="shared" si="270"/>
        <v>6.0223971249013302E-3</v>
      </c>
      <c r="D3493" s="21">
        <f t="shared" ca="1" si="271"/>
        <v>5.6384447097944631E-3</v>
      </c>
      <c r="E3493" s="21">
        <f t="shared" ca="1" si="273"/>
        <v>4.6558398792747045E-5</v>
      </c>
      <c r="F3493" s="11">
        <f t="shared" ca="1" si="274"/>
        <v>4.6459802655526641</v>
      </c>
      <c r="G3493" s="10">
        <f t="shared" ca="1" si="272"/>
        <v>1</v>
      </c>
    </row>
    <row r="3494" spans="1:7" x14ac:dyDescent="0.2">
      <c r="A3494" s="2">
        <v>20040109</v>
      </c>
      <c r="B3494" s="13">
        <v>10458.89</v>
      </c>
      <c r="C3494" s="2">
        <f t="shared" si="270"/>
        <v>-1.2608048759303908E-2</v>
      </c>
      <c r="D3494" s="21">
        <f t="shared" ca="1" si="271"/>
        <v>-1.2992001174410775E-2</v>
      </c>
      <c r="E3494" s="21">
        <f t="shared" ca="1" si="273"/>
        <v>4.6281046687015967E-5</v>
      </c>
      <c r="F3494" s="11">
        <f t="shared" ca="1" si="274"/>
        <v>3.1668337352546558</v>
      </c>
      <c r="G3494" s="10">
        <f t="shared" ca="1" si="272"/>
        <v>0</v>
      </c>
    </row>
    <row r="3495" spans="1:7" x14ac:dyDescent="0.2">
      <c r="A3495" s="2">
        <v>20040112</v>
      </c>
      <c r="B3495" s="13">
        <v>10485.18</v>
      </c>
      <c r="C3495" s="2">
        <f t="shared" si="270"/>
        <v>2.5136510662222161E-3</v>
      </c>
      <c r="D3495" s="21">
        <f t="shared" ca="1" si="271"/>
        <v>2.1296986511153489E-3</v>
      </c>
      <c r="E3495" s="21">
        <f t="shared" ca="1" si="273"/>
        <v>5.1055456439426286E-5</v>
      </c>
      <c r="F3495" s="11">
        <f t="shared" ca="1" si="274"/>
        <v>4.896880540384914</v>
      </c>
      <c r="G3495" s="10">
        <f t="shared" ca="1" si="272"/>
        <v>1</v>
      </c>
    </row>
    <row r="3496" spans="1:7" x14ac:dyDescent="0.2">
      <c r="A3496" s="2">
        <v>20040113</v>
      </c>
      <c r="B3496" s="13">
        <v>10427.18</v>
      </c>
      <c r="C3496" s="2">
        <f t="shared" si="270"/>
        <v>-5.5316170060981306E-3</v>
      </c>
      <c r="D3496" s="21">
        <f t="shared" ca="1" si="271"/>
        <v>-5.9155694212049978E-3</v>
      </c>
      <c r="E3496" s="21">
        <f t="shared" ca="1" si="273"/>
        <v>4.9548329728518978E-5</v>
      </c>
      <c r="F3496" s="11">
        <f t="shared" ca="1" si="274"/>
        <v>4.6031514248606324</v>
      </c>
      <c r="G3496" s="10">
        <f t="shared" ca="1" si="272"/>
        <v>1</v>
      </c>
    </row>
    <row r="3497" spans="1:7" x14ac:dyDescent="0.2">
      <c r="A3497" s="2">
        <v>20040114</v>
      </c>
      <c r="B3497" s="13">
        <v>10538.37</v>
      </c>
      <c r="C3497" s="2">
        <f t="shared" si="270"/>
        <v>1.0663477565362879E-2</v>
      </c>
      <c r="D3497" s="21">
        <f t="shared" ca="1" si="271"/>
        <v>1.0279525150256012E-2</v>
      </c>
      <c r="E3497" s="21">
        <f t="shared" ca="1" si="273"/>
        <v>4.9237455590063867E-5</v>
      </c>
      <c r="F3497" s="11">
        <f t="shared" ca="1" si="274"/>
        <v>3.8863766063484824</v>
      </c>
      <c r="G3497" s="10">
        <f t="shared" ca="1" si="272"/>
        <v>0</v>
      </c>
    </row>
    <row r="3498" spans="1:7" x14ac:dyDescent="0.2">
      <c r="A3498" s="2">
        <v>20040115</v>
      </c>
      <c r="B3498" s="13">
        <v>10553.85</v>
      </c>
      <c r="C3498" s="2">
        <f t="shared" si="270"/>
        <v>1.4689178687026137E-3</v>
      </c>
      <c r="D3498" s="21">
        <f t="shared" ca="1" si="271"/>
        <v>1.0849654535957463E-3</v>
      </c>
      <c r="E3498" s="21">
        <f t="shared" ca="1" si="273"/>
        <v>5.1541139904816153E-5</v>
      </c>
      <c r="F3498" s="11">
        <f t="shared" ca="1" si="274"/>
        <v>4.9251455992126942</v>
      </c>
      <c r="G3498" s="10">
        <f t="shared" ca="1" si="272"/>
        <v>1</v>
      </c>
    </row>
    <row r="3499" spans="1:7" x14ac:dyDescent="0.2">
      <c r="A3499" s="2">
        <v>20040116</v>
      </c>
      <c r="B3499" s="13">
        <v>10600.51</v>
      </c>
      <c r="C3499" s="2">
        <f t="shared" si="270"/>
        <v>4.4211354150380999E-3</v>
      </c>
      <c r="D3499" s="21">
        <f t="shared" ca="1" si="271"/>
        <v>4.0371829999312327E-3</v>
      </c>
      <c r="E3499" s="21">
        <f t="shared" ca="1" si="273"/>
        <v>4.9885945637251962E-5</v>
      </c>
      <c r="F3499" s="11">
        <f t="shared" ca="1" si="274"/>
        <v>4.7895245160291617</v>
      </c>
      <c r="G3499" s="10">
        <f t="shared" ca="1" si="272"/>
        <v>1</v>
      </c>
    </row>
    <row r="3500" spans="1:7" x14ac:dyDescent="0.2">
      <c r="A3500" s="2">
        <v>20040120</v>
      </c>
      <c r="B3500" s="13">
        <v>10528.66</v>
      </c>
      <c r="C3500" s="2">
        <f t="shared" si="270"/>
        <v>-6.7779757766371958E-3</v>
      </c>
      <c r="D3500" s="21">
        <f t="shared" ca="1" si="271"/>
        <v>-7.161928191744063E-3</v>
      </c>
      <c r="E3500" s="21">
        <f t="shared" ca="1" si="273"/>
        <v>4.8870539377629107E-5</v>
      </c>
      <c r="F3500" s="11">
        <f t="shared" ca="1" si="274"/>
        <v>4.4383812330201593</v>
      </c>
      <c r="G3500" s="10">
        <f t="shared" ca="1" si="272"/>
        <v>0</v>
      </c>
    </row>
    <row r="3501" spans="1:7" x14ac:dyDescent="0.2">
      <c r="A3501" s="2">
        <v>20040121</v>
      </c>
      <c r="B3501" s="13">
        <v>10623.62</v>
      </c>
      <c r="C3501" s="2">
        <f t="shared" si="270"/>
        <v>9.0191914260695037E-3</v>
      </c>
      <c r="D3501" s="21">
        <f t="shared" ca="1" si="271"/>
        <v>8.6352390109626365E-3</v>
      </c>
      <c r="E3501" s="21">
        <f t="shared" ca="1" si="273"/>
        <v>4.9193306899401517E-5</v>
      </c>
      <c r="F3501" s="11">
        <f t="shared" ca="1" si="274"/>
        <v>4.2019750867326158</v>
      </c>
      <c r="G3501" s="10">
        <f t="shared" ca="1" si="272"/>
        <v>0</v>
      </c>
    </row>
    <row r="3502" spans="1:7" x14ac:dyDescent="0.2">
      <c r="A3502" s="2">
        <v>20040122</v>
      </c>
      <c r="B3502" s="13">
        <v>10623.18</v>
      </c>
      <c r="C3502" s="2">
        <f t="shared" ref="C3502:C3565" si="275">(B3502-B3501)/B3501</f>
        <v>-4.1417144062053167E-5</v>
      </c>
      <c r="D3502" s="21">
        <f t="shared" ca="1" si="271"/>
        <v>-4.2536955916892046E-4</v>
      </c>
      <c r="E3502" s="21">
        <f t="shared" ca="1" si="273"/>
        <v>5.0355576174171452E-5</v>
      </c>
      <c r="F3502" s="11">
        <f t="shared" ca="1" si="274"/>
        <v>4.9464039824008523</v>
      </c>
      <c r="G3502" s="10">
        <f t="shared" ca="1" si="272"/>
        <v>1</v>
      </c>
    </row>
    <row r="3503" spans="1:7" x14ac:dyDescent="0.2">
      <c r="A3503" s="2">
        <v>20040123</v>
      </c>
      <c r="B3503" s="13">
        <v>10568.29</v>
      </c>
      <c r="C3503" s="2">
        <f t="shared" si="275"/>
        <v>-5.167002724231296E-3</v>
      </c>
      <c r="D3503" s="21">
        <f t="shared" ca="1" si="271"/>
        <v>-5.5509551393381632E-3</v>
      </c>
      <c r="E3503" s="21">
        <f t="shared" ca="1" si="273"/>
        <v>4.8723727556527151E-5</v>
      </c>
      <c r="F3503" s="11">
        <f t="shared" ca="1" si="274"/>
        <v>4.6484699803202849</v>
      </c>
      <c r="G3503" s="10">
        <f t="shared" ca="1" si="272"/>
        <v>1</v>
      </c>
    </row>
    <row r="3504" spans="1:7" x14ac:dyDescent="0.2">
      <c r="A3504" s="2">
        <v>20040126</v>
      </c>
      <c r="B3504" s="13">
        <v>10702.51</v>
      </c>
      <c r="C3504" s="2">
        <f t="shared" si="275"/>
        <v>1.270025708984134E-2</v>
      </c>
      <c r="D3504" s="21">
        <f t="shared" ca="1" si="271"/>
        <v>1.2316304674734473E-2</v>
      </c>
      <c r="E3504" s="21">
        <f t="shared" ca="1" si="273"/>
        <v>4.8300832842099845E-5</v>
      </c>
      <c r="F3504" s="11">
        <f t="shared" ca="1" si="274"/>
        <v>3.3987540111741885</v>
      </c>
      <c r="G3504" s="10">
        <f t="shared" ca="1" si="272"/>
        <v>0</v>
      </c>
    </row>
    <row r="3505" spans="1:7" x14ac:dyDescent="0.2">
      <c r="A3505" s="2">
        <v>20040127</v>
      </c>
      <c r="B3505" s="13">
        <v>10609.92</v>
      </c>
      <c r="C3505" s="2">
        <f t="shared" si="275"/>
        <v>-8.6512416246282541E-3</v>
      </c>
      <c r="D3505" s="21">
        <f t="shared" ca="1" si="271"/>
        <v>-9.0351940397351213E-3</v>
      </c>
      <c r="E3505" s="21">
        <f t="shared" ca="1" si="273"/>
        <v>5.2344237111965342E-5</v>
      </c>
      <c r="F3505" s="11">
        <f t="shared" ca="1" si="274"/>
        <v>4.1490471633996817</v>
      </c>
      <c r="G3505" s="10">
        <f t="shared" ca="1" si="272"/>
        <v>0</v>
      </c>
    </row>
    <row r="3506" spans="1:7" x14ac:dyDescent="0.2">
      <c r="A3506" s="2">
        <v>20040128</v>
      </c>
      <c r="B3506" s="13">
        <v>10468.370000000001</v>
      </c>
      <c r="C3506" s="2">
        <f t="shared" si="275"/>
        <v>-1.3341288152973751E-2</v>
      </c>
      <c r="D3506" s="21">
        <f t="shared" ca="1" si="271"/>
        <v>-1.3725240568080619E-2</v>
      </c>
      <c r="E3506" s="21">
        <f t="shared" ca="1" si="273"/>
        <v>5.3606979639390755E-5</v>
      </c>
      <c r="F3506" s="11">
        <f t="shared" ca="1" si="274"/>
        <v>3.1598475319482837</v>
      </c>
      <c r="G3506" s="10">
        <f t="shared" ca="1" si="272"/>
        <v>0</v>
      </c>
    </row>
    <row r="3507" spans="1:7" x14ac:dyDescent="0.2">
      <c r="A3507" s="2">
        <v>20040129</v>
      </c>
      <c r="B3507" s="13">
        <v>10510.29</v>
      </c>
      <c r="C3507" s="2">
        <f t="shared" si="275"/>
        <v>4.0044438627981306E-3</v>
      </c>
      <c r="D3507" s="21">
        <f t="shared" ca="1" si="271"/>
        <v>3.6204914476912634E-3</v>
      </c>
      <c r="E3507" s="21">
        <f t="shared" ca="1" si="273"/>
        <v>5.8731131469041651E-5</v>
      </c>
      <c r="F3507" s="11">
        <f t="shared" ca="1" si="274"/>
        <v>4.7596773794860585</v>
      </c>
      <c r="G3507" s="10">
        <f t="shared" ca="1" si="272"/>
        <v>1</v>
      </c>
    </row>
    <row r="3508" spans="1:7" x14ac:dyDescent="0.2">
      <c r="A3508" s="2">
        <v>20040130</v>
      </c>
      <c r="B3508" s="13">
        <v>10488.07</v>
      </c>
      <c r="C3508" s="2">
        <f t="shared" si="275"/>
        <v>-2.1141186399234618E-3</v>
      </c>
      <c r="D3508" s="21">
        <f t="shared" ca="1" si="271"/>
        <v>-2.498071055030329E-3</v>
      </c>
      <c r="E3508" s="21">
        <f t="shared" ca="1" si="273"/>
        <v>5.7150909813312959E-5</v>
      </c>
      <c r="F3508" s="11">
        <f t="shared" ca="1" si="274"/>
        <v>4.8303121765238322</v>
      </c>
      <c r="G3508" s="10">
        <f t="shared" ca="1" si="272"/>
        <v>1</v>
      </c>
    </row>
    <row r="3509" spans="1:7" x14ac:dyDescent="0.2">
      <c r="A3509" s="2">
        <v>20040202</v>
      </c>
      <c r="B3509" s="13">
        <v>10499.18</v>
      </c>
      <c r="C3509" s="2">
        <f t="shared" si="275"/>
        <v>1.0592988033070511E-3</v>
      </c>
      <c r="D3509" s="21">
        <f t="shared" ca="1" si="271"/>
        <v>6.7534638820018376E-4</v>
      </c>
      <c r="E3509" s="21">
        <f t="shared" ca="1" si="273"/>
        <v>5.5398098473059155E-5</v>
      </c>
      <c r="F3509" s="11">
        <f t="shared" ca="1" si="274"/>
        <v>4.896366142396511</v>
      </c>
      <c r="G3509" s="10">
        <f t="shared" ca="1" si="272"/>
        <v>1</v>
      </c>
    </row>
    <row r="3510" spans="1:7" x14ac:dyDescent="0.2">
      <c r="A3510" s="2">
        <v>20040203</v>
      </c>
      <c r="B3510" s="13">
        <v>10505.18</v>
      </c>
      <c r="C3510" s="2">
        <f t="shared" si="275"/>
        <v>5.7147320076425014E-4</v>
      </c>
      <c r="D3510" s="21">
        <f t="shared" ca="1" si="271"/>
        <v>1.8752078565738284E-4</v>
      </c>
      <c r="E3510" s="21">
        <f t="shared" ca="1" si="273"/>
        <v>5.3521264865962589E-5</v>
      </c>
      <c r="F3510" s="11">
        <f t="shared" ca="1" si="274"/>
        <v>4.9173872490893471</v>
      </c>
      <c r="G3510" s="10">
        <f t="shared" ca="1" si="272"/>
        <v>1</v>
      </c>
    </row>
    <row r="3511" spans="1:7" x14ac:dyDescent="0.2">
      <c r="A3511" s="2">
        <v>20040204</v>
      </c>
      <c r="B3511" s="13">
        <v>10470.74</v>
      </c>
      <c r="C3511" s="2">
        <f t="shared" si="275"/>
        <v>-3.2783826645522026E-3</v>
      </c>
      <c r="D3511" s="21">
        <f t="shared" ca="1" si="271"/>
        <v>-3.6623350796590698E-3</v>
      </c>
      <c r="E3511" s="21">
        <f t="shared" ca="1" si="273"/>
        <v>5.1723902605799712E-5</v>
      </c>
      <c r="F3511" s="11">
        <f t="shared" ca="1" si="274"/>
        <v>4.8051386024121392</v>
      </c>
      <c r="G3511" s="10">
        <f t="shared" ca="1" si="272"/>
        <v>1</v>
      </c>
    </row>
    <row r="3512" spans="1:7" x14ac:dyDescent="0.2">
      <c r="A3512" s="2">
        <v>20040205</v>
      </c>
      <c r="B3512" s="13">
        <v>10495.55</v>
      </c>
      <c r="C3512" s="2">
        <f t="shared" si="275"/>
        <v>2.3694600381634432E-3</v>
      </c>
      <c r="D3512" s="21">
        <f t="shared" ca="1" si="271"/>
        <v>1.985507623056576E-3</v>
      </c>
      <c r="E3512" s="21">
        <f t="shared" ca="1" si="273"/>
        <v>5.0509384784180044E-5</v>
      </c>
      <c r="F3512" s="11">
        <f t="shared" ca="1" si="274"/>
        <v>4.9076508687204061</v>
      </c>
      <c r="G3512" s="10">
        <f t="shared" ca="1" si="272"/>
        <v>1</v>
      </c>
    </row>
    <row r="3513" spans="1:7" x14ac:dyDescent="0.2">
      <c r="A3513" s="2">
        <v>20040206</v>
      </c>
      <c r="B3513" s="13">
        <v>10593.03</v>
      </c>
      <c r="C3513" s="2">
        <f t="shared" si="275"/>
        <v>9.2877457589170074E-3</v>
      </c>
      <c r="D3513" s="21">
        <f t="shared" ca="1" si="271"/>
        <v>8.9037933438101402E-3</v>
      </c>
      <c r="E3513" s="21">
        <f t="shared" ca="1" si="273"/>
        <v>4.9008064553026975E-5</v>
      </c>
      <c r="F3513" s="11">
        <f t="shared" ca="1" si="274"/>
        <v>4.1529415152969911</v>
      </c>
      <c r="G3513" s="10">
        <f t="shared" ca="1" si="272"/>
        <v>0</v>
      </c>
    </row>
    <row r="3514" spans="1:7" x14ac:dyDescent="0.2">
      <c r="A3514" s="2">
        <v>20040209</v>
      </c>
      <c r="B3514" s="13">
        <v>10579.03</v>
      </c>
      <c r="C3514" s="2">
        <f t="shared" si="275"/>
        <v>-1.3216237469354849E-3</v>
      </c>
      <c r="D3514" s="21">
        <f t="shared" ca="1" si="271"/>
        <v>-1.7055761620423521E-3</v>
      </c>
      <c r="E3514" s="21">
        <f t="shared" ca="1" si="273"/>
        <v>5.0352906957089138E-5</v>
      </c>
      <c r="F3514" s="11">
        <f t="shared" ca="1" si="274"/>
        <v>4.9193410838301581</v>
      </c>
      <c r="G3514" s="10">
        <f t="shared" ca="1" si="272"/>
        <v>1</v>
      </c>
    </row>
    <row r="3515" spans="1:7" x14ac:dyDescent="0.2">
      <c r="A3515" s="2">
        <v>20040210</v>
      </c>
      <c r="B3515" s="13">
        <v>10613.85</v>
      </c>
      <c r="C3515" s="2">
        <f t="shared" si="275"/>
        <v>3.2914170769909631E-3</v>
      </c>
      <c r="D3515" s="21">
        <f t="shared" ca="1" si="271"/>
        <v>2.9074646618840959E-3</v>
      </c>
      <c r="E3515" s="21">
        <f t="shared" ca="1" si="273"/>
        <v>4.8821508566599348E-5</v>
      </c>
      <c r="F3515" s="11">
        <f t="shared" ca="1" si="274"/>
        <v>4.8770957534848005</v>
      </c>
      <c r="G3515" s="10">
        <f t="shared" ca="1" si="272"/>
        <v>1</v>
      </c>
    </row>
    <row r="3516" spans="1:7" x14ac:dyDescent="0.2">
      <c r="A3516" s="2">
        <v>20040211</v>
      </c>
      <c r="B3516" s="13">
        <v>10737.7</v>
      </c>
      <c r="C3516" s="2">
        <f t="shared" si="275"/>
        <v>1.1668715875954565E-2</v>
      </c>
      <c r="D3516" s="21">
        <f t="shared" ca="1" si="271"/>
        <v>1.1284763460847698E-2</v>
      </c>
      <c r="E3516" s="21">
        <f t="shared" ca="1" si="273"/>
        <v>4.7571459949145755E-5</v>
      </c>
      <c r="F3516" s="11">
        <f t="shared" ca="1" si="274"/>
        <v>3.6381693844334859</v>
      </c>
      <c r="G3516" s="10">
        <f t="shared" ca="1" si="272"/>
        <v>0</v>
      </c>
    </row>
    <row r="3517" spans="1:7" x14ac:dyDescent="0.2">
      <c r="A3517" s="2">
        <v>20040212</v>
      </c>
      <c r="B3517" s="13">
        <v>10694.07</v>
      </c>
      <c r="C3517" s="2">
        <f t="shared" si="275"/>
        <v>-4.0632537694293017E-3</v>
      </c>
      <c r="D3517" s="21">
        <f t="shared" ca="1" si="271"/>
        <v>-4.4472061845361689E-3</v>
      </c>
      <c r="E3517" s="21">
        <f t="shared" ca="1" si="273"/>
        <v>5.0756537829083732E-5</v>
      </c>
      <c r="F3517" s="11">
        <f t="shared" ca="1" si="274"/>
        <v>4.7494065365770428</v>
      </c>
      <c r="G3517" s="10">
        <f t="shared" ca="1" si="272"/>
        <v>1</v>
      </c>
    </row>
    <row r="3518" spans="1:7" x14ac:dyDescent="0.2">
      <c r="A3518" s="2">
        <v>20040213</v>
      </c>
      <c r="B3518" s="13">
        <v>10627.85</v>
      </c>
      <c r="C3518" s="2">
        <f t="shared" si="275"/>
        <v>-6.1922168080066195E-3</v>
      </c>
      <c r="D3518" s="21">
        <f t="shared" ca="1" si="271"/>
        <v>-6.5761692231134867E-3</v>
      </c>
      <c r="E3518" s="21">
        <f t="shared" ca="1" si="273"/>
        <v>4.9825009436915636E-5</v>
      </c>
      <c r="F3518" s="11">
        <f t="shared" ca="1" si="274"/>
        <v>4.5195178906181468</v>
      </c>
      <c r="G3518" s="10">
        <f t="shared" ca="1" si="272"/>
        <v>1</v>
      </c>
    </row>
    <row r="3519" spans="1:7" x14ac:dyDescent="0.2">
      <c r="A3519" s="2">
        <v>20040217</v>
      </c>
      <c r="B3519" s="13">
        <v>10714.88</v>
      </c>
      <c r="C3519" s="2">
        <f t="shared" si="275"/>
        <v>8.1888622816466954E-3</v>
      </c>
      <c r="D3519" s="21">
        <f t="shared" ca="1" si="271"/>
        <v>7.8049098665398282E-3</v>
      </c>
      <c r="E3519" s="21">
        <f t="shared" ca="1" si="273"/>
        <v>4.9803579902880684E-5</v>
      </c>
      <c r="F3519" s="11">
        <f t="shared" ca="1" si="274"/>
        <v>4.342143177668091</v>
      </c>
      <c r="G3519" s="10">
        <f t="shared" ca="1" si="272"/>
        <v>0</v>
      </c>
    </row>
    <row r="3520" spans="1:7" x14ac:dyDescent="0.2">
      <c r="A3520" s="2">
        <v>20040218</v>
      </c>
      <c r="B3520" s="13">
        <v>10671.99</v>
      </c>
      <c r="C3520" s="2">
        <f t="shared" si="275"/>
        <v>-4.0028446422171243E-3</v>
      </c>
      <c r="D3520" s="21">
        <f t="shared" ca="1" si="271"/>
        <v>-4.3867970573239915E-3</v>
      </c>
      <c r="E3520" s="21">
        <f t="shared" ca="1" si="273"/>
        <v>5.0433013913820416E-5</v>
      </c>
      <c r="F3520" s="11">
        <f t="shared" ca="1" si="274"/>
        <v>4.7566446692555218</v>
      </c>
      <c r="G3520" s="10">
        <f t="shared" ca="1" si="272"/>
        <v>1</v>
      </c>
    </row>
    <row r="3521" spans="1:7" x14ac:dyDescent="0.2">
      <c r="A3521" s="2">
        <v>20040219</v>
      </c>
      <c r="B3521" s="13">
        <v>10664.73</v>
      </c>
      <c r="C3521" s="2">
        <f t="shared" si="275"/>
        <v>-6.80285495020162E-4</v>
      </c>
      <c r="D3521" s="21">
        <f t="shared" ca="1" si="271"/>
        <v>-1.0642379101270293E-3</v>
      </c>
      <c r="E3521" s="21">
        <f t="shared" ca="1" si="273"/>
        <v>4.9498229298034193E-5</v>
      </c>
      <c r="F3521" s="11">
        <f t="shared" ca="1" si="274"/>
        <v>4.9453459935651285</v>
      </c>
      <c r="G3521" s="10">
        <f t="shared" ca="1" si="272"/>
        <v>1</v>
      </c>
    </row>
    <row r="3522" spans="1:7" x14ac:dyDescent="0.2">
      <c r="A3522" s="2">
        <v>20040220</v>
      </c>
      <c r="B3522" s="13">
        <v>10619.03</v>
      </c>
      <c r="C3522" s="2">
        <f t="shared" si="275"/>
        <v>-4.2851530230956537E-3</v>
      </c>
      <c r="D3522" s="21">
        <f t="shared" ca="1" si="271"/>
        <v>-4.6691054382025209E-3</v>
      </c>
      <c r="E3522" s="21">
        <f t="shared" ca="1" si="273"/>
        <v>4.7944748453787269E-5</v>
      </c>
      <c r="F3522" s="11">
        <f t="shared" ca="1" si="274"/>
        <v>4.7453799279023627</v>
      </c>
      <c r="G3522" s="10">
        <f t="shared" ca="1" si="272"/>
        <v>1</v>
      </c>
    </row>
    <row r="3523" spans="1:7" x14ac:dyDescent="0.2">
      <c r="A3523" s="2">
        <v>20040223</v>
      </c>
      <c r="B3523" s="13">
        <v>10609.62</v>
      </c>
      <c r="C3523" s="2">
        <f t="shared" si="275"/>
        <v>-8.8614496804320674E-4</v>
      </c>
      <c r="D3523" s="21">
        <f t="shared" ca="1" si="271"/>
        <v>-1.2700973831500741E-3</v>
      </c>
      <c r="E3523" s="21">
        <f t="shared" ca="1" si="273"/>
        <v>4.7229855077964413E-5</v>
      </c>
      <c r="F3523" s="11">
        <f t="shared" ca="1" si="274"/>
        <v>4.9631645477810915</v>
      </c>
      <c r="G3523" s="10">
        <f t="shared" ca="1" si="272"/>
        <v>1</v>
      </c>
    </row>
    <row r="3524" spans="1:7" x14ac:dyDescent="0.2">
      <c r="A3524" s="2">
        <v>20040224</v>
      </c>
      <c r="B3524" s="13">
        <v>10566.37</v>
      </c>
      <c r="C3524" s="2">
        <f t="shared" si="275"/>
        <v>-4.076489073124202E-3</v>
      </c>
      <c r="D3524" s="21">
        <f t="shared" ca="1" si="271"/>
        <v>-4.4604414882310692E-3</v>
      </c>
      <c r="E3524" s="21">
        <f t="shared" ca="1" si="273"/>
        <v>4.5808802512335339E-5</v>
      </c>
      <c r="F3524" s="11">
        <f t="shared" ca="1" si="274"/>
        <v>4.7783586825881752</v>
      </c>
      <c r="G3524" s="10">
        <f t="shared" ca="1" si="272"/>
        <v>1</v>
      </c>
    </row>
    <row r="3525" spans="1:7" x14ac:dyDescent="0.2">
      <c r="A3525" s="2">
        <v>20040225</v>
      </c>
      <c r="B3525" s="13">
        <v>10601.62</v>
      </c>
      <c r="C3525" s="2">
        <f t="shared" si="275"/>
        <v>3.3360558072450613E-3</v>
      </c>
      <c r="D3525" s="21">
        <f t="shared" ca="1" si="271"/>
        <v>2.9521033921381941E-3</v>
      </c>
      <c r="E3525" s="21">
        <f t="shared" ca="1" si="273"/>
        <v>4.5131916899477715E-5</v>
      </c>
      <c r="F3525" s="11">
        <f t="shared" ca="1" si="274"/>
        <v>4.9064110854700917</v>
      </c>
      <c r="G3525" s="10">
        <f t="shared" ca="1" si="272"/>
        <v>1</v>
      </c>
    </row>
    <row r="3526" spans="1:7" x14ac:dyDescent="0.2">
      <c r="A3526" s="2">
        <v>20040226</v>
      </c>
      <c r="B3526" s="13">
        <v>10580.14</v>
      </c>
      <c r="C3526" s="2">
        <f t="shared" si="275"/>
        <v>-2.0261054442624223E-3</v>
      </c>
      <c r="D3526" s="21">
        <f t="shared" ca="1" si="271"/>
        <v>-2.4100578593692894E-3</v>
      </c>
      <c r="E3526" s="21">
        <f t="shared" ca="1" si="273"/>
        <v>4.4078144092448633E-5</v>
      </c>
      <c r="F3526" s="11">
        <f t="shared" ca="1" si="274"/>
        <v>4.9488859590334711</v>
      </c>
      <c r="G3526" s="10">
        <f t="shared" ca="1" si="272"/>
        <v>1</v>
      </c>
    </row>
    <row r="3527" spans="1:7" x14ac:dyDescent="0.2">
      <c r="A3527" s="2">
        <v>20040227</v>
      </c>
      <c r="B3527" s="13">
        <v>10583.92</v>
      </c>
      <c r="C3527" s="2">
        <f t="shared" si="275"/>
        <v>3.5727315517570233E-4</v>
      </c>
      <c r="D3527" s="21">
        <f t="shared" ca="1" si="271"/>
        <v>-2.6679259931164964E-5</v>
      </c>
      <c r="E3527" s="21">
        <f t="shared" ca="1" si="273"/>
        <v>4.2970803611488535E-5</v>
      </c>
      <c r="F3527" s="11">
        <f t="shared" ca="1" si="274"/>
        <v>5.0274865471636989</v>
      </c>
      <c r="G3527" s="10">
        <f t="shared" ca="1" si="272"/>
        <v>1</v>
      </c>
    </row>
    <row r="3528" spans="1:7" x14ac:dyDescent="0.2">
      <c r="A3528" s="2">
        <v>20040301</v>
      </c>
      <c r="B3528" s="13">
        <v>10678.14</v>
      </c>
      <c r="C3528" s="2">
        <f t="shared" si="275"/>
        <v>8.9021836899749185E-3</v>
      </c>
      <c r="D3528" s="21">
        <f t="shared" ca="1" si="271"/>
        <v>8.5182312748680513E-3</v>
      </c>
      <c r="E3528" s="21">
        <f t="shared" ca="1" si="273"/>
        <v>4.1705925790245316E-5</v>
      </c>
      <c r="F3528" s="11">
        <f t="shared" ca="1" si="274"/>
        <v>4.1725301379647828</v>
      </c>
      <c r="G3528" s="10">
        <f t="shared" ca="1" si="272"/>
        <v>0</v>
      </c>
    </row>
    <row r="3529" spans="1:7" x14ac:dyDescent="0.2">
      <c r="A3529" s="2">
        <v>20040302</v>
      </c>
      <c r="B3529" s="13">
        <v>10591.48</v>
      </c>
      <c r="C3529" s="2">
        <f t="shared" si="275"/>
        <v>-8.1156456086921378E-3</v>
      </c>
      <c r="D3529" s="21">
        <f t="shared" ca="1" si="271"/>
        <v>-8.499598023799005E-3</v>
      </c>
      <c r="E3529" s="21">
        <f t="shared" ca="1" si="273"/>
        <v>4.3173179983790385E-5</v>
      </c>
      <c r="F3529" s="11">
        <f t="shared" ca="1" si="274"/>
        <v>4.1884783522315363</v>
      </c>
      <c r="G3529" s="10">
        <f t="shared" ca="1" si="272"/>
        <v>0</v>
      </c>
    </row>
    <row r="3530" spans="1:7" x14ac:dyDescent="0.2">
      <c r="A3530" s="2">
        <v>20040303</v>
      </c>
      <c r="B3530" s="13">
        <v>10593.11</v>
      </c>
      <c r="C3530" s="2">
        <f t="shared" si="275"/>
        <v>1.5389728347700403E-4</v>
      </c>
      <c r="D3530" s="21">
        <f t="shared" ca="1" si="271"/>
        <v>-2.3005513162986326E-4</v>
      </c>
      <c r="E3530" s="21">
        <f t="shared" ca="1" si="273"/>
        <v>4.4554545076343267E-5</v>
      </c>
      <c r="F3530" s="11">
        <f t="shared" ca="1" si="274"/>
        <v>5.0088042546712765</v>
      </c>
      <c r="G3530" s="10">
        <f t="shared" ca="1" si="272"/>
        <v>1</v>
      </c>
    </row>
    <row r="3531" spans="1:7" x14ac:dyDescent="0.2">
      <c r="A3531" s="2">
        <v>20040304</v>
      </c>
      <c r="B3531" s="13">
        <v>10588</v>
      </c>
      <c r="C3531" s="2">
        <f t="shared" si="275"/>
        <v>-4.823890245641348E-4</v>
      </c>
      <c r="D3531" s="21">
        <f t="shared" ca="1" si="271"/>
        <v>-8.6634143967100215E-4</v>
      </c>
      <c r="E3531" s="21">
        <f t="shared" ca="1" si="273"/>
        <v>4.3211465237452475E-5</v>
      </c>
      <c r="F3531" s="11">
        <f t="shared" ca="1" si="274"/>
        <v>5.0160177620901045</v>
      </c>
      <c r="G3531" s="10">
        <f t="shared" ca="1" si="272"/>
        <v>1</v>
      </c>
    </row>
    <row r="3532" spans="1:7" x14ac:dyDescent="0.2">
      <c r="A3532" s="2">
        <v>20040305</v>
      </c>
      <c r="B3532" s="13">
        <v>10595.55</v>
      </c>
      <c r="C3532" s="2">
        <f t="shared" si="275"/>
        <v>7.1307140158663321E-4</v>
      </c>
      <c r="D3532" s="21">
        <f t="shared" ca="1" si="271"/>
        <v>3.2911898647976592E-4</v>
      </c>
      <c r="E3532" s="21">
        <f t="shared" ca="1" si="273"/>
        <v>4.1961985033511925E-5</v>
      </c>
      <c r="F3532" s="11">
        <f t="shared" ca="1" si="274"/>
        <v>5.0380825501146562</v>
      </c>
      <c r="G3532" s="10">
        <f t="shared" ca="1" si="272"/>
        <v>1</v>
      </c>
    </row>
    <row r="3533" spans="1:7" x14ac:dyDescent="0.2">
      <c r="A3533" s="2">
        <v>20040308</v>
      </c>
      <c r="B3533" s="13">
        <v>10529.48</v>
      </c>
      <c r="C3533" s="2">
        <f t="shared" si="275"/>
        <v>-6.235636658785973E-3</v>
      </c>
      <c r="D3533" s="21">
        <f t="shared" ca="1" si="271"/>
        <v>-6.6195890738928401E-3</v>
      </c>
      <c r="E3533" s="21">
        <f t="shared" ca="1" si="273"/>
        <v>4.0752100592854656E-5</v>
      </c>
      <c r="F3533" s="11">
        <f t="shared" ca="1" si="274"/>
        <v>4.5163733546003488</v>
      </c>
      <c r="G3533" s="10">
        <f t="shared" ca="1" si="272"/>
        <v>0</v>
      </c>
    </row>
    <row r="3534" spans="1:7" x14ac:dyDescent="0.2">
      <c r="A3534" s="2">
        <v>20040309</v>
      </c>
      <c r="B3534" s="13">
        <v>10456.959999999999</v>
      </c>
      <c r="C3534" s="2">
        <f t="shared" si="275"/>
        <v>-6.8873296687016299E-3</v>
      </c>
      <c r="D3534" s="21">
        <f t="shared" ref="D3534:D3597" ca="1" si="276">(C3534-mu)</f>
        <v>-7.271282083808497E-3</v>
      </c>
      <c r="E3534" s="21">
        <f t="shared" ca="1" si="273"/>
        <v>4.1210741165408581E-5</v>
      </c>
      <c r="F3534" s="11">
        <f t="shared" ca="1" si="274"/>
        <v>4.4069281111006244</v>
      </c>
      <c r="G3534" s="10">
        <f t="shared" ref="G3534:G3597" ca="1" si="277">IF(AND(C3534&lt;=mu+zvalue*SQRT(E3534),C3534&gt;=mu-zvalue*SQRT(E3534)),1,0)</f>
        <v>0</v>
      </c>
    </row>
    <row r="3535" spans="1:7" x14ac:dyDescent="0.2">
      <c r="A3535" s="2">
        <v>20040310</v>
      </c>
      <c r="B3535" s="13">
        <v>10296.89</v>
      </c>
      <c r="C3535" s="2">
        <f t="shared" si="275"/>
        <v>-1.5307508109431395E-2</v>
      </c>
      <c r="D3535" s="21">
        <f t="shared" ca="1" si="276"/>
        <v>-1.5691460524538264E-2</v>
      </c>
      <c r="E3535" s="21">
        <f t="shared" ref="E3535:E3598" ca="1" si="278">(1-alpha-beta)*longvar+alpha*D3534^2+beta*E3534</f>
        <v>4.1979058266883193E-5</v>
      </c>
      <c r="F3535" s="11">
        <f t="shared" ref="F3535:F3598" ca="1" si="279">(-0.5)*(LN(E3535)+D3535^2/E3535)</f>
        <v>2.1064940762256881</v>
      </c>
      <c r="G3535" s="10">
        <f t="shared" ca="1" si="277"/>
        <v>0</v>
      </c>
    </row>
    <row r="3536" spans="1:7" x14ac:dyDescent="0.2">
      <c r="A3536" s="2">
        <v>20040311</v>
      </c>
      <c r="B3536" s="13">
        <v>10128.379999999999</v>
      </c>
      <c r="C3536" s="2">
        <f t="shared" si="275"/>
        <v>-1.6365135492367136E-2</v>
      </c>
      <c r="D3536" s="21">
        <f t="shared" ca="1" si="276"/>
        <v>-1.6749087907474005E-2</v>
      </c>
      <c r="E3536" s="21">
        <f t="shared" ca="1" si="278"/>
        <v>4.9818337401618251E-5</v>
      </c>
      <c r="F3536" s="11">
        <f t="shared" ca="1" si="279"/>
        <v>2.1380146539248401</v>
      </c>
      <c r="G3536" s="10">
        <f t="shared" ca="1" si="277"/>
        <v>0</v>
      </c>
    </row>
    <row r="3537" spans="1:7" x14ac:dyDescent="0.2">
      <c r="A3537" s="2">
        <v>20040312</v>
      </c>
      <c r="B3537" s="13">
        <v>10240.08</v>
      </c>
      <c r="C3537" s="2">
        <f t="shared" si="275"/>
        <v>1.1028417180240151E-2</v>
      </c>
      <c r="D3537" s="21">
        <f t="shared" ca="1" si="276"/>
        <v>1.0644464765133284E-2</v>
      </c>
      <c r="E3537" s="21">
        <f t="shared" ca="1" si="278"/>
        <v>5.8522663884339124E-5</v>
      </c>
      <c r="F3537" s="11">
        <f t="shared" ca="1" si="279"/>
        <v>3.9050076239935927</v>
      </c>
      <c r="G3537" s="10">
        <f t="shared" ca="1" si="277"/>
        <v>0</v>
      </c>
    </row>
    <row r="3538" spans="1:7" x14ac:dyDescent="0.2">
      <c r="A3538" s="2">
        <v>20040315</v>
      </c>
      <c r="B3538" s="13">
        <v>10102.89</v>
      </c>
      <c r="C3538" s="2">
        <f t="shared" si="275"/>
        <v>-1.3397356270654186E-2</v>
      </c>
      <c r="D3538" s="21">
        <f t="shared" ca="1" si="276"/>
        <v>-1.3781308685761053E-2</v>
      </c>
      <c r="E3538" s="21">
        <f t="shared" ca="1" si="278"/>
        <v>6.0637395243042907E-5</v>
      </c>
      <c r="F3538" s="11">
        <f t="shared" ca="1" si="279"/>
        <v>3.2892322064013744</v>
      </c>
      <c r="G3538" s="10">
        <f t="shared" ca="1" si="277"/>
        <v>0</v>
      </c>
    </row>
    <row r="3539" spans="1:7" x14ac:dyDescent="0.2">
      <c r="A3539" s="2">
        <v>20040316</v>
      </c>
      <c r="B3539" s="13">
        <v>10184.67</v>
      </c>
      <c r="C3539" s="2">
        <f t="shared" si="275"/>
        <v>8.0947134928719064E-3</v>
      </c>
      <c r="D3539" s="21">
        <f t="shared" ca="1" si="276"/>
        <v>7.7107610777650392E-3</v>
      </c>
      <c r="E3539" s="21">
        <f t="shared" ca="1" si="278"/>
        <v>6.546258690626357E-5</v>
      </c>
      <c r="F3539" s="11">
        <f t="shared" ca="1" si="279"/>
        <v>4.3628951485857943</v>
      </c>
      <c r="G3539" s="10">
        <f t="shared" ca="1" si="277"/>
        <v>1</v>
      </c>
    </row>
    <row r="3540" spans="1:7" x14ac:dyDescent="0.2">
      <c r="A3540" s="2">
        <v>20040317</v>
      </c>
      <c r="B3540" s="13">
        <v>10300.299999999999</v>
      </c>
      <c r="C3540" s="2">
        <f t="shared" si="275"/>
        <v>1.135333790883742E-2</v>
      </c>
      <c r="D3540" s="21">
        <f t="shared" ca="1" si="276"/>
        <v>1.0969385493730553E-2</v>
      </c>
      <c r="E3540" s="21">
        <f t="shared" ca="1" si="278"/>
        <v>6.5246111105952948E-5</v>
      </c>
      <c r="F3540" s="11">
        <f t="shared" ca="1" si="279"/>
        <v>3.8965679184806308</v>
      </c>
      <c r="G3540" s="10">
        <f t="shared" ca="1" si="277"/>
        <v>0</v>
      </c>
    </row>
    <row r="3541" spans="1:7" x14ac:dyDescent="0.2">
      <c r="A3541" s="2">
        <v>20040318</v>
      </c>
      <c r="B3541" s="13">
        <v>10295.780000000001</v>
      </c>
      <c r="C3541" s="2">
        <f t="shared" si="275"/>
        <v>-4.3882217022791744E-4</v>
      </c>
      <c r="D3541" s="21">
        <f t="shared" ca="1" si="276"/>
        <v>-8.2277458533478473E-4</v>
      </c>
      <c r="E3541" s="21">
        <f t="shared" ca="1" si="278"/>
        <v>6.7278941231842929E-5</v>
      </c>
      <c r="F3541" s="11">
        <f t="shared" ca="1" si="279"/>
        <v>4.7983006595633775</v>
      </c>
      <c r="G3541" s="10">
        <f t="shared" ca="1" si="277"/>
        <v>1</v>
      </c>
    </row>
    <row r="3542" spans="1:7" x14ac:dyDescent="0.2">
      <c r="A3542" s="2">
        <v>20040319</v>
      </c>
      <c r="B3542" s="13">
        <v>10186.6</v>
      </c>
      <c r="C3542" s="2">
        <f t="shared" si="275"/>
        <v>-1.0604344692679941E-2</v>
      </c>
      <c r="D3542" s="21">
        <f t="shared" ca="1" si="276"/>
        <v>-1.0988297107786808E-2</v>
      </c>
      <c r="E3542" s="21">
        <f t="shared" ca="1" si="278"/>
        <v>6.4809173479416456E-5</v>
      </c>
      <c r="F3542" s="11">
        <f t="shared" ca="1" si="279"/>
        <v>3.8905071415280696</v>
      </c>
      <c r="G3542" s="10">
        <f t="shared" ca="1" si="277"/>
        <v>0</v>
      </c>
    </row>
    <row r="3543" spans="1:7" x14ac:dyDescent="0.2">
      <c r="A3543" s="2">
        <v>20040322</v>
      </c>
      <c r="B3543" s="13">
        <v>10064.75</v>
      </c>
      <c r="C3543" s="2">
        <f t="shared" si="275"/>
        <v>-1.1961792943671133E-2</v>
      </c>
      <c r="D3543" s="21">
        <f t="shared" ca="1" si="276"/>
        <v>-1.2345745358778E-2</v>
      </c>
      <c r="E3543" s="21">
        <f t="shared" ca="1" si="278"/>
        <v>6.6879378083156072E-5</v>
      </c>
      <c r="F3543" s="11">
        <f t="shared" ca="1" si="279"/>
        <v>3.6668149844393763</v>
      </c>
      <c r="G3543" s="10">
        <f t="shared" ca="1" si="277"/>
        <v>0</v>
      </c>
    </row>
    <row r="3544" spans="1:7" x14ac:dyDescent="0.2">
      <c r="A3544" s="2">
        <v>20040323</v>
      </c>
      <c r="B3544" s="13">
        <v>10063.64</v>
      </c>
      <c r="C3544" s="2">
        <f t="shared" si="275"/>
        <v>-1.1028589880529392E-4</v>
      </c>
      <c r="D3544" s="21">
        <f t="shared" ca="1" si="276"/>
        <v>-4.9423831391216116E-4</v>
      </c>
      <c r="E3544" s="21">
        <f t="shared" ca="1" si="278"/>
        <v>7.0009586406267457E-5</v>
      </c>
      <c r="F3544" s="11">
        <f t="shared" ca="1" si="279"/>
        <v>4.7816946307234032</v>
      </c>
      <c r="G3544" s="10">
        <f t="shared" ca="1" si="277"/>
        <v>1</v>
      </c>
    </row>
    <row r="3545" spans="1:7" x14ac:dyDescent="0.2">
      <c r="A3545" s="2">
        <v>20040324</v>
      </c>
      <c r="B3545" s="13">
        <v>10048.23</v>
      </c>
      <c r="C3545" s="2">
        <f t="shared" si="275"/>
        <v>-1.5312550925907381E-3</v>
      </c>
      <c r="D3545" s="21">
        <f t="shared" ca="1" si="276"/>
        <v>-1.9152075076976052E-3</v>
      </c>
      <c r="E3545" s="21">
        <f t="shared" ca="1" si="278"/>
        <v>6.7385763776997221E-5</v>
      </c>
      <c r="F3545" s="11">
        <f t="shared" ca="1" si="279"/>
        <v>4.7753218130987598</v>
      </c>
      <c r="G3545" s="10">
        <f t="shared" ca="1" si="277"/>
        <v>1</v>
      </c>
    </row>
    <row r="3546" spans="1:7" x14ac:dyDescent="0.2">
      <c r="A3546" s="2">
        <v>20040325</v>
      </c>
      <c r="B3546" s="13">
        <v>10218.82</v>
      </c>
      <c r="C3546" s="2">
        <f t="shared" si="275"/>
        <v>1.6977119353358765E-2</v>
      </c>
      <c r="D3546" s="21">
        <f t="shared" ca="1" si="276"/>
        <v>1.6593166938251896E-2</v>
      </c>
      <c r="E3546" s="21">
        <f t="shared" ca="1" si="278"/>
        <v>6.5020578400996868E-5</v>
      </c>
      <c r="F3546" s="11">
        <f t="shared" ca="1" si="279"/>
        <v>2.7031260761695957</v>
      </c>
      <c r="G3546" s="10">
        <f t="shared" ca="1" si="277"/>
        <v>0</v>
      </c>
    </row>
    <row r="3547" spans="1:7" x14ac:dyDescent="0.2">
      <c r="A3547" s="2">
        <v>20040326</v>
      </c>
      <c r="B3547" s="13">
        <v>10212.969999999999</v>
      </c>
      <c r="C3547" s="2">
        <f t="shared" si="275"/>
        <v>-5.7247314269165753E-4</v>
      </c>
      <c r="D3547" s="21">
        <f t="shared" ca="1" si="276"/>
        <v>-9.5642555779852482E-4</v>
      </c>
      <c r="E3547" s="21">
        <f t="shared" ca="1" si="278"/>
        <v>7.276465114518032E-5</v>
      </c>
      <c r="F3547" s="11">
        <f t="shared" ca="1" si="279"/>
        <v>4.7578544662791868</v>
      </c>
      <c r="G3547" s="10">
        <f t="shared" ca="1" si="277"/>
        <v>1</v>
      </c>
    </row>
    <row r="3548" spans="1:7" x14ac:dyDescent="0.2">
      <c r="A3548" s="2">
        <v>20040329</v>
      </c>
      <c r="B3548" s="13">
        <v>10329.629999999999</v>
      </c>
      <c r="C3548" s="2">
        <f t="shared" si="275"/>
        <v>1.142273011670453E-2</v>
      </c>
      <c r="D3548" s="21">
        <f t="shared" ca="1" si="276"/>
        <v>1.1038777701597663E-2</v>
      </c>
      <c r="E3548" s="21">
        <f t="shared" ca="1" si="278"/>
        <v>7.0026103542750203E-5</v>
      </c>
      <c r="F3548" s="11">
        <f t="shared" ca="1" si="279"/>
        <v>3.9132555991653031</v>
      </c>
      <c r="G3548" s="10">
        <f t="shared" ca="1" si="277"/>
        <v>0</v>
      </c>
    </row>
    <row r="3549" spans="1:7" x14ac:dyDescent="0.2">
      <c r="A3549" s="2">
        <v>20040330</v>
      </c>
      <c r="B3549" s="13">
        <v>10381.700000000001</v>
      </c>
      <c r="C3549" s="2">
        <f t="shared" si="275"/>
        <v>5.0408388296581319E-3</v>
      </c>
      <c r="D3549" s="21">
        <f t="shared" ca="1" si="276"/>
        <v>4.6568864145512647E-3</v>
      </c>
      <c r="E3549" s="21">
        <f t="shared" ca="1" si="278"/>
        <v>7.1873269905381378E-5</v>
      </c>
      <c r="F3549" s="11">
        <f t="shared" ca="1" si="279"/>
        <v>4.6194361912284325</v>
      </c>
      <c r="G3549" s="10">
        <f t="shared" ca="1" si="277"/>
        <v>1</v>
      </c>
    </row>
    <row r="3550" spans="1:7" x14ac:dyDescent="0.2">
      <c r="A3550" s="2">
        <v>20040331</v>
      </c>
      <c r="B3550" s="13">
        <v>10357.700000000001</v>
      </c>
      <c r="C3550" s="2">
        <f t="shared" si="275"/>
        <v>-2.3117601163585924E-3</v>
      </c>
      <c r="D3550" s="21">
        <f t="shared" ca="1" si="276"/>
        <v>-2.6957125314654596E-3</v>
      </c>
      <c r="E3550" s="21">
        <f t="shared" ca="1" si="278"/>
        <v>6.9943634444027633E-5</v>
      </c>
      <c r="F3550" s="11">
        <f t="shared" ca="1" si="279"/>
        <v>4.7319624154694475</v>
      </c>
      <c r="G3550" s="10">
        <f t="shared" ca="1" si="277"/>
        <v>1</v>
      </c>
    </row>
    <row r="3551" spans="1:7" x14ac:dyDescent="0.2">
      <c r="A3551" s="2">
        <v>20040401</v>
      </c>
      <c r="B3551" s="13">
        <v>10373.33</v>
      </c>
      <c r="C3551" s="2">
        <f t="shared" si="275"/>
        <v>1.5090222732845322E-3</v>
      </c>
      <c r="D3551" s="21">
        <f t="shared" ca="1" si="276"/>
        <v>1.125069858177665E-3</v>
      </c>
      <c r="E3551" s="21">
        <f t="shared" ca="1" si="278"/>
        <v>6.7581381409309154E-5</v>
      </c>
      <c r="F3551" s="11">
        <f t="shared" ca="1" si="279"/>
        <v>4.7917241443206908</v>
      </c>
      <c r="G3551" s="10">
        <f t="shared" ca="1" si="277"/>
        <v>1</v>
      </c>
    </row>
    <row r="3552" spans="1:7" x14ac:dyDescent="0.2">
      <c r="A3552" s="2">
        <v>20040402</v>
      </c>
      <c r="B3552" s="13">
        <v>10470.59</v>
      </c>
      <c r="C3552" s="2">
        <f t="shared" si="275"/>
        <v>9.3759670231256705E-3</v>
      </c>
      <c r="D3552" s="21">
        <f t="shared" ca="1" si="276"/>
        <v>8.9920146080188033E-3</v>
      </c>
      <c r="E3552" s="21">
        <f t="shared" ca="1" si="278"/>
        <v>6.5117965201475839E-5</v>
      </c>
      <c r="F3552" s="11">
        <f t="shared" ca="1" si="279"/>
        <v>4.1988100379944591</v>
      </c>
      <c r="G3552" s="10">
        <f t="shared" ca="1" si="277"/>
        <v>0</v>
      </c>
    </row>
    <row r="3553" spans="1:7" x14ac:dyDescent="0.2">
      <c r="A3553" s="2">
        <v>20040405</v>
      </c>
      <c r="B3553" s="13">
        <v>10558.37</v>
      </c>
      <c r="C3553" s="2">
        <f t="shared" si="275"/>
        <v>8.3834817331211193E-3</v>
      </c>
      <c r="D3553" s="21">
        <f t="shared" ca="1" si="276"/>
        <v>7.9995293180142521E-3</v>
      </c>
      <c r="E3553" s="21">
        <f t="shared" ca="1" si="278"/>
        <v>6.5705857321733931E-5</v>
      </c>
      <c r="F3553" s="11">
        <f t="shared" ca="1" si="279"/>
        <v>4.3281995621427907</v>
      </c>
      <c r="G3553" s="10">
        <f t="shared" ca="1" si="277"/>
        <v>1</v>
      </c>
    </row>
    <row r="3554" spans="1:7" x14ac:dyDescent="0.2">
      <c r="A3554" s="2">
        <v>20040406</v>
      </c>
      <c r="B3554" s="13">
        <v>10570.81</v>
      </c>
      <c r="C3554" s="2">
        <f t="shared" si="275"/>
        <v>1.1782121672188691E-3</v>
      </c>
      <c r="D3554" s="21">
        <f t="shared" ca="1" si="276"/>
        <v>7.9425975211200176E-4</v>
      </c>
      <c r="E3554" s="21">
        <f t="shared" ca="1" si="278"/>
        <v>6.5643894304330902E-5</v>
      </c>
      <c r="F3554" s="11">
        <f t="shared" ca="1" si="279"/>
        <v>4.8108279009158421</v>
      </c>
      <c r="G3554" s="10">
        <f t="shared" ca="1" si="277"/>
        <v>1</v>
      </c>
    </row>
    <row r="3555" spans="1:7" x14ac:dyDescent="0.2">
      <c r="A3555" s="2">
        <v>20040407</v>
      </c>
      <c r="B3555" s="13">
        <v>10480.15</v>
      </c>
      <c r="C3555" s="2">
        <f t="shared" si="275"/>
        <v>-8.5764477840392424E-3</v>
      </c>
      <c r="D3555" s="21">
        <f t="shared" ca="1" si="276"/>
        <v>-8.9604001991461096E-3</v>
      </c>
      <c r="E3555" s="21">
        <f t="shared" ca="1" si="278"/>
        <v>6.3255148588812766E-5</v>
      </c>
      <c r="F3555" s="11">
        <f t="shared" ca="1" si="279"/>
        <v>4.1995248291324696</v>
      </c>
      <c r="G3555" s="10">
        <f t="shared" ca="1" si="277"/>
        <v>0</v>
      </c>
    </row>
    <row r="3556" spans="1:7" x14ac:dyDescent="0.2">
      <c r="A3556" s="2">
        <v>20040408</v>
      </c>
      <c r="B3556" s="13">
        <v>10442.030000000001</v>
      </c>
      <c r="C3556" s="2">
        <f t="shared" si="275"/>
        <v>-3.6373525188092711E-3</v>
      </c>
      <c r="D3556" s="21">
        <f t="shared" ca="1" si="276"/>
        <v>-4.0213049339161387E-3</v>
      </c>
      <c r="E3556" s="21">
        <f t="shared" ca="1" si="278"/>
        <v>6.3916411227199865E-5</v>
      </c>
      <c r="F3556" s="11">
        <f t="shared" ca="1" si="279"/>
        <v>4.7024668780980265</v>
      </c>
      <c r="G3556" s="10">
        <f t="shared" ca="1" si="277"/>
        <v>1</v>
      </c>
    </row>
    <row r="3557" spans="1:7" x14ac:dyDescent="0.2">
      <c r="A3557" s="2">
        <v>20040412</v>
      </c>
      <c r="B3557" s="13">
        <v>10515.56</v>
      </c>
      <c r="C3557" s="2">
        <f t="shared" si="275"/>
        <v>7.0417342221769938E-3</v>
      </c>
      <c r="D3557" s="21">
        <f t="shared" ca="1" si="276"/>
        <v>6.6577818070701266E-3</v>
      </c>
      <c r="E3557" s="21">
        <f t="shared" ca="1" si="278"/>
        <v>6.2186494030949156E-5</v>
      </c>
      <c r="F3557" s="11">
        <f t="shared" ca="1" si="279"/>
        <v>4.4862901737504091</v>
      </c>
      <c r="G3557" s="10">
        <f t="shared" ca="1" si="277"/>
        <v>1</v>
      </c>
    </row>
    <row r="3558" spans="1:7" x14ac:dyDescent="0.2">
      <c r="A3558" s="2">
        <v>20040413</v>
      </c>
      <c r="B3558" s="13">
        <v>10381.280000000001</v>
      </c>
      <c r="C3558" s="2">
        <f t="shared" si="275"/>
        <v>-1.2769648026353218E-2</v>
      </c>
      <c r="D3558" s="21">
        <f t="shared" ca="1" si="276"/>
        <v>-1.3153600441460085E-2</v>
      </c>
      <c r="E3558" s="21">
        <f t="shared" ca="1" si="278"/>
        <v>6.1579408500603381E-5</v>
      </c>
      <c r="F3558" s="11">
        <f t="shared" ca="1" si="279"/>
        <v>3.4427614805208093</v>
      </c>
      <c r="G3558" s="10">
        <f t="shared" ca="1" si="277"/>
        <v>0</v>
      </c>
    </row>
    <row r="3559" spans="1:7" x14ac:dyDescent="0.2">
      <c r="A3559" s="2">
        <v>20040414</v>
      </c>
      <c r="B3559" s="13">
        <v>10377.950000000001</v>
      </c>
      <c r="C3559" s="2">
        <f t="shared" si="275"/>
        <v>-3.207696931399526E-4</v>
      </c>
      <c r="D3559" s="21">
        <f t="shared" ca="1" si="276"/>
        <v>-7.0472210824681989E-4</v>
      </c>
      <c r="E3559" s="21">
        <f t="shared" ca="1" si="278"/>
        <v>6.5735233765722322E-5</v>
      </c>
      <c r="F3559" s="11">
        <f t="shared" ca="1" si="279"/>
        <v>4.8111602197504348</v>
      </c>
      <c r="G3559" s="10">
        <f t="shared" ca="1" si="277"/>
        <v>1</v>
      </c>
    </row>
    <row r="3560" spans="1:7" x14ac:dyDescent="0.2">
      <c r="A3560" s="2">
        <v>20040415</v>
      </c>
      <c r="B3560" s="13">
        <v>10397.459999999999</v>
      </c>
      <c r="C3560" s="2">
        <f t="shared" si="275"/>
        <v>1.8799473884532493E-3</v>
      </c>
      <c r="D3560" s="21">
        <f t="shared" ca="1" si="276"/>
        <v>1.4959949733463818E-3</v>
      </c>
      <c r="E3560" s="21">
        <f t="shared" ca="1" si="278"/>
        <v>6.3336931825704236E-5</v>
      </c>
      <c r="F3560" s="11">
        <f t="shared" ca="1" si="279"/>
        <v>4.8158535540919836</v>
      </c>
      <c r="G3560" s="10">
        <f t="shared" ca="1" si="277"/>
        <v>1</v>
      </c>
    </row>
    <row r="3561" spans="1:7" x14ac:dyDescent="0.2">
      <c r="A3561" s="2">
        <v>20040416</v>
      </c>
      <c r="B3561" s="13">
        <v>10451.969999999999</v>
      </c>
      <c r="C3561" s="2">
        <f t="shared" si="275"/>
        <v>5.2426265645648283E-3</v>
      </c>
      <c r="D3561" s="21">
        <f t="shared" ca="1" si="276"/>
        <v>4.8586741494579611E-3</v>
      </c>
      <c r="E3561" s="21">
        <f t="shared" ca="1" si="278"/>
        <v>6.1123993901729179E-5</v>
      </c>
      <c r="F3561" s="11">
        <f t="shared" ca="1" si="279"/>
        <v>4.6581978975218385</v>
      </c>
      <c r="G3561" s="10">
        <f t="shared" ca="1" si="277"/>
        <v>1</v>
      </c>
    </row>
    <row r="3562" spans="1:7" x14ac:dyDescent="0.2">
      <c r="A3562" s="2">
        <v>20040419</v>
      </c>
      <c r="B3562" s="13">
        <v>10437.85</v>
      </c>
      <c r="C3562" s="2">
        <f t="shared" si="275"/>
        <v>-1.3509414971530709E-3</v>
      </c>
      <c r="D3562" s="21">
        <f t="shared" ca="1" si="276"/>
        <v>-1.7348939122599381E-3</v>
      </c>
      <c r="E3562" s="21">
        <f t="shared" ca="1" si="278"/>
        <v>5.9808774143259236E-5</v>
      </c>
      <c r="F3562" s="11">
        <f t="shared" ca="1" si="279"/>
        <v>4.8370167559406925</v>
      </c>
      <c r="G3562" s="10">
        <f t="shared" ca="1" si="277"/>
        <v>1</v>
      </c>
    </row>
    <row r="3563" spans="1:7" x14ac:dyDescent="0.2">
      <c r="A3563" s="2">
        <v>20040420</v>
      </c>
      <c r="B3563" s="13">
        <v>10314.5</v>
      </c>
      <c r="C3563" s="2">
        <f t="shared" si="275"/>
        <v>-1.1817567794133885E-2</v>
      </c>
      <c r="D3563" s="21">
        <f t="shared" ca="1" si="276"/>
        <v>-1.2201520209240752E-2</v>
      </c>
      <c r="E3563" s="21">
        <f t="shared" ca="1" si="278"/>
        <v>5.7802709368250257E-5</v>
      </c>
      <c r="F3563" s="11">
        <f t="shared" ca="1" si="279"/>
        <v>3.5914336727008824</v>
      </c>
      <c r="G3563" s="10">
        <f t="shared" ca="1" si="277"/>
        <v>0</v>
      </c>
    </row>
    <row r="3564" spans="1:7" x14ac:dyDescent="0.2">
      <c r="A3564" s="2">
        <v>20040421</v>
      </c>
      <c r="B3564" s="13">
        <v>10317.27</v>
      </c>
      <c r="C3564" s="2">
        <f t="shared" si="275"/>
        <v>2.6855397741048392E-4</v>
      </c>
      <c r="D3564" s="21">
        <f t="shared" ca="1" si="276"/>
        <v>-1.1539843769638338E-4</v>
      </c>
      <c r="E3564" s="21">
        <f t="shared" ca="1" si="278"/>
        <v>6.1261925122535051E-5</v>
      </c>
      <c r="F3564" s="11">
        <f t="shared" ca="1" si="279"/>
        <v>4.8500673284003222</v>
      </c>
      <c r="G3564" s="10">
        <f t="shared" ca="1" si="277"/>
        <v>1</v>
      </c>
    </row>
    <row r="3565" spans="1:7" x14ac:dyDescent="0.2">
      <c r="A3565" s="2">
        <v>20040422</v>
      </c>
      <c r="B3565" s="13">
        <v>10461.200000000001</v>
      </c>
      <c r="C3565" s="2">
        <f t="shared" si="275"/>
        <v>1.3950395792685496E-2</v>
      </c>
      <c r="D3565" s="21">
        <f t="shared" ca="1" si="276"/>
        <v>1.3566443377578629E-2</v>
      </c>
      <c r="E3565" s="21">
        <f t="shared" ca="1" si="278"/>
        <v>5.9072156949901046E-5</v>
      </c>
      <c r="F3565" s="11">
        <f t="shared" ca="1" si="279"/>
        <v>3.3105485679689854</v>
      </c>
      <c r="G3565" s="10">
        <f t="shared" ca="1" si="277"/>
        <v>0</v>
      </c>
    </row>
    <row r="3566" spans="1:7" x14ac:dyDescent="0.2">
      <c r="A3566" s="2">
        <v>20040423</v>
      </c>
      <c r="B3566" s="13">
        <v>10472.84</v>
      </c>
      <c r="C3566" s="2">
        <f t="shared" ref="C3566:C3629" si="280">(B3566-B3565)/B3565</f>
        <v>1.1126830573929777E-3</v>
      </c>
      <c r="D3566" s="21">
        <f t="shared" ca="1" si="276"/>
        <v>7.2873064228611039E-4</v>
      </c>
      <c r="E3566" s="21">
        <f t="shared" ca="1" si="278"/>
        <v>6.3760460695479486E-5</v>
      </c>
      <c r="F3566" s="11">
        <f t="shared" ca="1" si="279"/>
        <v>4.8260242472667239</v>
      </c>
      <c r="G3566" s="10">
        <f t="shared" ca="1" si="277"/>
        <v>1</v>
      </c>
    </row>
    <row r="3567" spans="1:7" x14ac:dyDescent="0.2">
      <c r="A3567" s="2">
        <v>20040426</v>
      </c>
      <c r="B3567" s="13">
        <v>10444.73</v>
      </c>
      <c r="C3567" s="2">
        <f t="shared" si="280"/>
        <v>-2.6840856921332306E-3</v>
      </c>
      <c r="D3567" s="21">
        <f t="shared" ca="1" si="276"/>
        <v>-3.0680381072400978E-3</v>
      </c>
      <c r="E3567" s="21">
        <f t="shared" ca="1" si="278"/>
        <v>6.1463328678593542E-5</v>
      </c>
      <c r="F3567" s="11">
        <f t="shared" ca="1" si="279"/>
        <v>4.7719619628633296</v>
      </c>
      <c r="G3567" s="10">
        <f t="shared" ca="1" si="277"/>
        <v>1</v>
      </c>
    </row>
    <row r="3568" spans="1:7" x14ac:dyDescent="0.2">
      <c r="A3568" s="2">
        <v>20040427</v>
      </c>
      <c r="B3568" s="13">
        <v>10478.16</v>
      </c>
      <c r="C3568" s="2">
        <f t="shared" si="280"/>
        <v>3.2006571735219858E-3</v>
      </c>
      <c r="D3568" s="21">
        <f t="shared" ca="1" si="276"/>
        <v>2.8167047584151186E-3</v>
      </c>
      <c r="E3568" s="21">
        <f t="shared" ca="1" si="278"/>
        <v>5.9609008969386084E-5</v>
      </c>
      <c r="F3568" s="11">
        <f t="shared" ca="1" si="279"/>
        <v>4.7973030379952819</v>
      </c>
      <c r="G3568" s="10">
        <f t="shared" ca="1" si="277"/>
        <v>1</v>
      </c>
    </row>
    <row r="3569" spans="1:7" x14ac:dyDescent="0.2">
      <c r="A3569" s="2">
        <v>20040428</v>
      </c>
      <c r="B3569" s="13">
        <v>10342.6</v>
      </c>
      <c r="C3569" s="2">
        <f t="shared" si="280"/>
        <v>-1.2937385953258921E-2</v>
      </c>
      <c r="D3569" s="21">
        <f t="shared" ca="1" si="276"/>
        <v>-1.3321338368365788E-2</v>
      </c>
      <c r="E3569" s="21">
        <f t="shared" ca="1" si="278"/>
        <v>5.7794113310897438E-5</v>
      </c>
      <c r="F3569" s="11">
        <f t="shared" ca="1" si="279"/>
        <v>3.3440511667495549</v>
      </c>
      <c r="G3569" s="10">
        <f t="shared" ca="1" si="277"/>
        <v>0</v>
      </c>
    </row>
    <row r="3570" spans="1:7" x14ac:dyDescent="0.2">
      <c r="A3570" s="2">
        <v>20040429</v>
      </c>
      <c r="B3570" s="13">
        <v>10272.27</v>
      </c>
      <c r="C3570" s="2">
        <f t="shared" si="280"/>
        <v>-6.8000309399957387E-3</v>
      </c>
      <c r="D3570" s="21">
        <f t="shared" ca="1" si="276"/>
        <v>-7.1839833551026059E-3</v>
      </c>
      <c r="E3570" s="21">
        <f t="shared" ca="1" si="278"/>
        <v>6.2304735764134736E-5</v>
      </c>
      <c r="F3570" s="11">
        <f t="shared" ca="1" si="279"/>
        <v>4.4275656607952154</v>
      </c>
      <c r="G3570" s="10">
        <f t="shared" ca="1" si="277"/>
        <v>1</v>
      </c>
    </row>
    <row r="3571" spans="1:7" x14ac:dyDescent="0.2">
      <c r="A3571" s="2">
        <v>20040430</v>
      </c>
      <c r="B3571" s="13">
        <v>10225.57</v>
      </c>
      <c r="C3571" s="2">
        <f t="shared" si="280"/>
        <v>-4.546220066256117E-3</v>
      </c>
      <c r="D3571" s="21">
        <f t="shared" ca="1" si="276"/>
        <v>-4.9301724813629842E-3</v>
      </c>
      <c r="E3571" s="21">
        <f t="shared" ca="1" si="278"/>
        <v>6.195949750007695E-5</v>
      </c>
      <c r="F3571" s="11">
        <f t="shared" ca="1" si="279"/>
        <v>4.6483657153342204</v>
      </c>
      <c r="G3571" s="10">
        <f t="shared" ca="1" si="277"/>
        <v>1</v>
      </c>
    </row>
    <row r="3572" spans="1:7" x14ac:dyDescent="0.2">
      <c r="A3572" s="2">
        <v>20040503</v>
      </c>
      <c r="B3572" s="13">
        <v>10314</v>
      </c>
      <c r="C3572" s="2">
        <f t="shared" si="280"/>
        <v>8.6479286729248626E-3</v>
      </c>
      <c r="D3572" s="21">
        <f t="shared" ca="1" si="276"/>
        <v>8.2639762578179954E-3</v>
      </c>
      <c r="E3572" s="21">
        <f t="shared" ca="1" si="278"/>
        <v>6.0627745377271096E-5</v>
      </c>
      <c r="F3572" s="11">
        <f t="shared" ca="1" si="279"/>
        <v>4.2921607267301871</v>
      </c>
      <c r="G3572" s="10">
        <f t="shared" ca="1" si="277"/>
        <v>0</v>
      </c>
    </row>
    <row r="3573" spans="1:7" x14ac:dyDescent="0.2">
      <c r="A3573" s="2">
        <v>20040504</v>
      </c>
      <c r="B3573" s="13">
        <v>10317.200000000001</v>
      </c>
      <c r="C3573" s="2">
        <f t="shared" si="280"/>
        <v>3.1025790188100909E-4</v>
      </c>
      <c r="D3573" s="21">
        <f t="shared" ca="1" si="276"/>
        <v>-7.3694513225858204E-5</v>
      </c>
      <c r="E3573" s="21">
        <f t="shared" ca="1" si="278"/>
        <v>6.0980834901114351E-5</v>
      </c>
      <c r="F3573" s="11">
        <f t="shared" ca="1" si="279"/>
        <v>4.8524309331420366</v>
      </c>
      <c r="G3573" s="10">
        <f t="shared" ca="1" si="277"/>
        <v>1</v>
      </c>
    </row>
    <row r="3574" spans="1:7" x14ac:dyDescent="0.2">
      <c r="A3574" s="2">
        <v>20040505</v>
      </c>
      <c r="B3574" s="13">
        <v>10310.950000000001</v>
      </c>
      <c r="C3574" s="2">
        <f t="shared" si="280"/>
        <v>-6.0578451517853682E-4</v>
      </c>
      <c r="D3574" s="21">
        <f t="shared" ca="1" si="276"/>
        <v>-9.8973693028540401E-4</v>
      </c>
      <c r="E3574" s="21">
        <f t="shared" ca="1" si="278"/>
        <v>5.8804997196355683E-5</v>
      </c>
      <c r="F3574" s="11">
        <f t="shared" ca="1" si="279"/>
        <v>4.8623128129973345</v>
      </c>
      <c r="G3574" s="10">
        <f t="shared" ca="1" si="277"/>
        <v>1</v>
      </c>
    </row>
    <row r="3575" spans="1:7" x14ac:dyDescent="0.2">
      <c r="A3575" s="2">
        <v>20040506</v>
      </c>
      <c r="B3575" s="13">
        <v>10241.26</v>
      </c>
      <c r="C3575" s="2">
        <f t="shared" si="280"/>
        <v>-6.7588340550580215E-3</v>
      </c>
      <c r="D3575" s="21">
        <f t="shared" ca="1" si="276"/>
        <v>-7.1427864701648887E-3</v>
      </c>
      <c r="E3575" s="21">
        <f t="shared" ca="1" si="278"/>
        <v>5.6775056971769896E-5</v>
      </c>
      <c r="F3575" s="11">
        <f t="shared" ca="1" si="279"/>
        <v>4.4388949995486993</v>
      </c>
      <c r="G3575" s="10">
        <f t="shared" ca="1" si="277"/>
        <v>1</v>
      </c>
    </row>
    <row r="3576" spans="1:7" x14ac:dyDescent="0.2">
      <c r="A3576" s="2">
        <v>20040507</v>
      </c>
      <c r="B3576" s="13">
        <v>10117.34</v>
      </c>
      <c r="C3576" s="2">
        <f t="shared" si="280"/>
        <v>-1.2100073623753335E-2</v>
      </c>
      <c r="D3576" s="21">
        <f t="shared" ca="1" si="276"/>
        <v>-1.2484026038860202E-2</v>
      </c>
      <c r="E3576" s="21">
        <f t="shared" ca="1" si="278"/>
        <v>5.6687863621544146E-5</v>
      </c>
      <c r="F3576" s="11">
        <f t="shared" ca="1" si="279"/>
        <v>3.5143343571722658</v>
      </c>
      <c r="G3576" s="10">
        <f t="shared" ca="1" si="277"/>
        <v>0</v>
      </c>
    </row>
    <row r="3577" spans="1:7" x14ac:dyDescent="0.2">
      <c r="A3577" s="2">
        <v>20040510</v>
      </c>
      <c r="B3577" s="13">
        <v>9990.02</v>
      </c>
      <c r="C3577" s="2">
        <f t="shared" si="280"/>
        <v>-1.2584335408318758E-2</v>
      </c>
      <c r="D3577" s="21">
        <f t="shared" ca="1" si="276"/>
        <v>-1.2968287823425625E-2</v>
      </c>
      <c r="E3577" s="21">
        <f t="shared" ca="1" si="278"/>
        <v>6.0459918986099118E-5</v>
      </c>
      <c r="F3577" s="11">
        <f t="shared" ca="1" si="279"/>
        <v>3.4659552088259993</v>
      </c>
      <c r="G3577" s="10">
        <f t="shared" ca="1" si="277"/>
        <v>0</v>
      </c>
    </row>
    <row r="3578" spans="1:7" x14ac:dyDescent="0.2">
      <c r="A3578" s="2">
        <v>20040511</v>
      </c>
      <c r="B3578" s="13">
        <v>10019.469999999999</v>
      </c>
      <c r="C3578" s="2">
        <f t="shared" si="280"/>
        <v>2.9479420461619604E-3</v>
      </c>
      <c r="D3578" s="21">
        <f t="shared" ca="1" si="276"/>
        <v>2.5639896310550932E-3</v>
      </c>
      <c r="E3578" s="21">
        <f t="shared" ca="1" si="278"/>
        <v>6.4494378033225542E-5</v>
      </c>
      <c r="F3578" s="11">
        <f t="shared" ca="1" si="279"/>
        <v>4.7735002354933718</v>
      </c>
      <c r="G3578" s="10">
        <f t="shared" ca="1" si="277"/>
        <v>1</v>
      </c>
    </row>
    <row r="3579" spans="1:7" x14ac:dyDescent="0.2">
      <c r="A3579" s="2">
        <v>20040512</v>
      </c>
      <c r="B3579" s="13">
        <v>10045.16</v>
      </c>
      <c r="C3579" s="2">
        <f t="shared" si="280"/>
        <v>2.5640078766641858E-3</v>
      </c>
      <c r="D3579" s="21">
        <f t="shared" ca="1" si="276"/>
        <v>2.1800554615573186E-3</v>
      </c>
      <c r="E3579" s="21">
        <f t="shared" ca="1" si="278"/>
        <v>6.2382328354921391E-5</v>
      </c>
      <c r="F3579" s="11">
        <f t="shared" ca="1" si="279"/>
        <v>4.8030214073649899</v>
      </c>
      <c r="G3579" s="10">
        <f t="shared" ca="1" si="277"/>
        <v>1</v>
      </c>
    </row>
    <row r="3580" spans="1:7" x14ac:dyDescent="0.2">
      <c r="A3580" s="2">
        <v>20040513</v>
      </c>
      <c r="B3580" s="13">
        <v>10010.74</v>
      </c>
      <c r="C3580" s="2">
        <f t="shared" si="280"/>
        <v>-3.4265258094445558E-3</v>
      </c>
      <c r="D3580" s="21">
        <f t="shared" ca="1" si="276"/>
        <v>-3.810478224551423E-3</v>
      </c>
      <c r="E3580" s="21">
        <f t="shared" ca="1" si="278"/>
        <v>6.0310151869776612E-5</v>
      </c>
      <c r="F3580" s="11">
        <f t="shared" ca="1" si="279"/>
        <v>4.7376294324242281</v>
      </c>
      <c r="G3580" s="10">
        <f t="shared" ca="1" si="277"/>
        <v>1</v>
      </c>
    </row>
    <row r="3581" spans="1:7" x14ac:dyDescent="0.2">
      <c r="A3581" s="2">
        <v>20040514</v>
      </c>
      <c r="B3581" s="13">
        <v>10012.870000000001</v>
      </c>
      <c r="C3581" s="2">
        <f t="shared" si="280"/>
        <v>2.1277148342690137E-4</v>
      </c>
      <c r="D3581" s="21">
        <f t="shared" ca="1" si="276"/>
        <v>-1.7118093167996592E-4</v>
      </c>
      <c r="E3581" s="21">
        <f t="shared" ca="1" si="278"/>
        <v>5.8701960887477841E-5</v>
      </c>
      <c r="F3581" s="11">
        <f t="shared" ca="1" si="279"/>
        <v>4.8712691226583029</v>
      </c>
      <c r="G3581" s="10">
        <f t="shared" ca="1" si="277"/>
        <v>1</v>
      </c>
    </row>
    <row r="3582" spans="1:7" x14ac:dyDescent="0.2">
      <c r="A3582" s="2">
        <v>20040517</v>
      </c>
      <c r="B3582" s="13">
        <v>9906.91</v>
      </c>
      <c r="C3582" s="2">
        <f t="shared" si="280"/>
        <v>-1.058238047632706E-2</v>
      </c>
      <c r="D3582" s="21">
        <f t="shared" ca="1" si="276"/>
        <v>-1.0966332891433927E-2</v>
      </c>
      <c r="E3582" s="21">
        <f t="shared" ca="1" si="278"/>
        <v>5.6642289985649003E-5</v>
      </c>
      <c r="F3582" s="11">
        <f t="shared" ca="1" si="279"/>
        <v>3.827798992965731</v>
      </c>
      <c r="G3582" s="10">
        <f t="shared" ca="1" si="277"/>
        <v>0</v>
      </c>
    </row>
    <row r="3583" spans="1:7" x14ac:dyDescent="0.2">
      <c r="A3583" s="2">
        <v>20040518</v>
      </c>
      <c r="B3583" s="13">
        <v>9968.51</v>
      </c>
      <c r="C3583" s="2">
        <f t="shared" si="280"/>
        <v>6.2178822660143643E-3</v>
      </c>
      <c r="D3583" s="21">
        <f t="shared" ca="1" si="276"/>
        <v>5.8339298509074971E-3</v>
      </c>
      <c r="E3583" s="21">
        <f t="shared" ca="1" si="278"/>
        <v>5.91079279811648E-5</v>
      </c>
      <c r="F3583" s="11">
        <f t="shared" ca="1" si="279"/>
        <v>4.5801694278542655</v>
      </c>
      <c r="G3583" s="10">
        <f t="shared" ca="1" si="277"/>
        <v>1</v>
      </c>
    </row>
    <row r="3584" spans="1:7" x14ac:dyDescent="0.2">
      <c r="A3584" s="2">
        <v>20040519</v>
      </c>
      <c r="B3584" s="13">
        <v>9937.7099999999991</v>
      </c>
      <c r="C3584" s="2">
        <f t="shared" si="280"/>
        <v>-3.0897295583794458E-3</v>
      </c>
      <c r="D3584" s="21">
        <f t="shared" ca="1" si="276"/>
        <v>-3.473681973486313E-3</v>
      </c>
      <c r="E3584" s="21">
        <f t="shared" ca="1" si="278"/>
        <v>5.8278158275504113E-5</v>
      </c>
      <c r="F3584" s="11">
        <f t="shared" ca="1" si="279"/>
        <v>4.7716168141632203</v>
      </c>
      <c r="G3584" s="10">
        <f t="shared" ca="1" si="277"/>
        <v>1</v>
      </c>
    </row>
    <row r="3585" spans="1:7" x14ac:dyDescent="0.2">
      <c r="A3585" s="2">
        <v>20040520</v>
      </c>
      <c r="B3585" s="13">
        <v>9937.64</v>
      </c>
      <c r="C3585" s="2">
        <f t="shared" si="280"/>
        <v>-7.0438763054777176E-6</v>
      </c>
      <c r="D3585" s="21">
        <f t="shared" ca="1" si="276"/>
        <v>-3.90996291412345E-4</v>
      </c>
      <c r="E3585" s="21">
        <f t="shared" ca="1" si="278"/>
        <v>5.6682555208235009E-5</v>
      </c>
      <c r="F3585" s="11">
        <f t="shared" ca="1" si="279"/>
        <v>4.8876734851303034</v>
      </c>
      <c r="G3585" s="10">
        <f t="shared" ca="1" si="277"/>
        <v>1</v>
      </c>
    </row>
    <row r="3586" spans="1:7" x14ac:dyDescent="0.2">
      <c r="A3586" s="2">
        <v>20040521</v>
      </c>
      <c r="B3586" s="13">
        <v>9966.74</v>
      </c>
      <c r="C3586" s="2">
        <f t="shared" si="280"/>
        <v>2.9282606333093535E-3</v>
      </c>
      <c r="D3586" s="21">
        <f t="shared" ca="1" si="276"/>
        <v>2.5443082182024864E-3</v>
      </c>
      <c r="E3586" s="21">
        <f t="shared" ca="1" si="278"/>
        <v>5.4729590780087486E-5</v>
      </c>
      <c r="F3586" s="11">
        <f t="shared" ca="1" si="279"/>
        <v>4.8474122081513293</v>
      </c>
      <c r="G3586" s="10">
        <f t="shared" ca="1" si="277"/>
        <v>1</v>
      </c>
    </row>
    <row r="3587" spans="1:7" x14ac:dyDescent="0.2">
      <c r="A3587" s="2">
        <v>20040524</v>
      </c>
      <c r="B3587" s="13">
        <v>9958.43</v>
      </c>
      <c r="C3587" s="2">
        <f t="shared" si="280"/>
        <v>-8.3377312942842805E-4</v>
      </c>
      <c r="D3587" s="21">
        <f t="shared" ca="1" si="276"/>
        <v>-1.2177255445352953E-3</v>
      </c>
      <c r="E3587" s="21">
        <f t="shared" ca="1" si="278"/>
        <v>5.3107847927228687E-5</v>
      </c>
      <c r="F3587" s="11">
        <f t="shared" ca="1" si="279"/>
        <v>4.9076321282051021</v>
      </c>
      <c r="G3587" s="10">
        <f t="shared" ca="1" si="277"/>
        <v>1</v>
      </c>
    </row>
    <row r="3588" spans="1:7" x14ac:dyDescent="0.2">
      <c r="A3588" s="2">
        <v>20040525</v>
      </c>
      <c r="B3588" s="13">
        <v>10117.620000000001</v>
      </c>
      <c r="C3588" s="2">
        <f t="shared" si="280"/>
        <v>1.5985451521976907E-2</v>
      </c>
      <c r="D3588" s="21">
        <f t="shared" ca="1" si="276"/>
        <v>1.560149910687004E-2</v>
      </c>
      <c r="E3588" s="21">
        <f t="shared" ca="1" si="278"/>
        <v>5.1384634708722275E-5</v>
      </c>
      <c r="F3588" s="11">
        <f t="shared" ca="1" si="279"/>
        <v>2.5696074815822061</v>
      </c>
      <c r="G3588" s="10">
        <f t="shared" ca="1" si="277"/>
        <v>0</v>
      </c>
    </row>
    <row r="3589" spans="1:7" x14ac:dyDescent="0.2">
      <c r="A3589" s="2">
        <v>20040526</v>
      </c>
      <c r="B3589" s="13">
        <v>10109.89</v>
      </c>
      <c r="C3589" s="2">
        <f t="shared" si="280"/>
        <v>-7.6401367119948978E-4</v>
      </c>
      <c r="D3589" s="21">
        <f t="shared" ca="1" si="276"/>
        <v>-1.1479660863063571E-3</v>
      </c>
      <c r="E3589" s="21">
        <f t="shared" ca="1" si="278"/>
        <v>5.8644564322092199E-5</v>
      </c>
      <c r="F3589" s="11">
        <f t="shared" ca="1" si="279"/>
        <v>4.8607721278104687</v>
      </c>
      <c r="G3589" s="10">
        <f t="shared" ca="1" si="277"/>
        <v>1</v>
      </c>
    </row>
    <row r="3590" spans="1:7" x14ac:dyDescent="0.2">
      <c r="A3590" s="2">
        <v>20040527</v>
      </c>
      <c r="B3590" s="13">
        <v>10205.200000000001</v>
      </c>
      <c r="C3590" s="2">
        <f t="shared" si="280"/>
        <v>9.4274022763849372E-3</v>
      </c>
      <c r="D3590" s="21">
        <f t="shared" ca="1" si="276"/>
        <v>9.04344986127807E-3</v>
      </c>
      <c r="E3590" s="21">
        <f t="shared" ca="1" si="278"/>
        <v>5.6635178380171273E-5</v>
      </c>
      <c r="F3590" s="11">
        <f t="shared" ca="1" si="279"/>
        <v>4.1674155078138035</v>
      </c>
      <c r="G3590" s="10">
        <f t="shared" ca="1" si="277"/>
        <v>0</v>
      </c>
    </row>
    <row r="3591" spans="1:7" x14ac:dyDescent="0.2">
      <c r="A3591" s="2">
        <v>20040528</v>
      </c>
      <c r="B3591" s="13">
        <v>10188.450000000001</v>
      </c>
      <c r="C3591" s="2">
        <f t="shared" si="280"/>
        <v>-1.6413201113157996E-3</v>
      </c>
      <c r="D3591" s="21">
        <f t="shared" ca="1" si="276"/>
        <v>-2.025272526422667E-3</v>
      </c>
      <c r="E3591" s="21">
        <f t="shared" ca="1" si="278"/>
        <v>5.7686329108293809E-5</v>
      </c>
      <c r="F3591" s="11">
        <f t="shared" ca="1" si="279"/>
        <v>4.8446931709955354</v>
      </c>
      <c r="G3591" s="10">
        <f t="shared" ca="1" si="277"/>
        <v>1</v>
      </c>
    </row>
    <row r="3592" spans="1:7" x14ac:dyDescent="0.2">
      <c r="A3592" s="2">
        <v>20040601</v>
      </c>
      <c r="B3592" s="13">
        <v>10202.65</v>
      </c>
      <c r="C3592" s="2">
        <f t="shared" si="280"/>
        <v>1.3937350627425081E-3</v>
      </c>
      <c r="D3592" s="21">
        <f t="shared" ca="1" si="276"/>
        <v>1.0097826476356407E-3</v>
      </c>
      <c r="E3592" s="21">
        <f t="shared" ca="1" si="278"/>
        <v>5.582778956338833E-5</v>
      </c>
      <c r="F3592" s="11">
        <f t="shared" ca="1" si="279"/>
        <v>4.8874871966039128</v>
      </c>
      <c r="G3592" s="10">
        <f t="shared" ca="1" si="277"/>
        <v>1</v>
      </c>
    </row>
    <row r="3593" spans="1:7" x14ac:dyDescent="0.2">
      <c r="A3593" s="2">
        <v>20040602</v>
      </c>
      <c r="B3593" s="13">
        <v>10262.969999999999</v>
      </c>
      <c r="C3593" s="2">
        <f t="shared" si="280"/>
        <v>5.9121894801840418E-3</v>
      </c>
      <c r="D3593" s="21">
        <f t="shared" ca="1" si="276"/>
        <v>5.5282370650771746E-3</v>
      </c>
      <c r="E3593" s="21">
        <f t="shared" ca="1" si="278"/>
        <v>5.3949941131171152E-5</v>
      </c>
      <c r="F3593" s="11">
        <f t="shared" ca="1" si="279"/>
        <v>4.6304884393703407</v>
      </c>
      <c r="G3593" s="10">
        <f t="shared" ca="1" si="277"/>
        <v>1</v>
      </c>
    </row>
    <row r="3594" spans="1:7" x14ac:dyDescent="0.2">
      <c r="A3594" s="2">
        <v>20040603</v>
      </c>
      <c r="B3594" s="13">
        <v>10195.91</v>
      </c>
      <c r="C3594" s="2">
        <f t="shared" si="280"/>
        <v>-6.5341709076416959E-3</v>
      </c>
      <c r="D3594" s="21">
        <f t="shared" ca="1" si="276"/>
        <v>-6.9181233227485631E-3</v>
      </c>
      <c r="E3594" s="21">
        <f t="shared" ca="1" si="278"/>
        <v>5.3253395179524005E-5</v>
      </c>
      <c r="F3594" s="11">
        <f t="shared" ca="1" si="279"/>
        <v>4.4708594374390707</v>
      </c>
      <c r="G3594" s="10">
        <f t="shared" ca="1" si="277"/>
        <v>1</v>
      </c>
    </row>
    <row r="3595" spans="1:7" x14ac:dyDescent="0.2">
      <c r="A3595" s="2">
        <v>20040604</v>
      </c>
      <c r="B3595" s="13">
        <v>10242.82</v>
      </c>
      <c r="C3595" s="2">
        <f t="shared" si="280"/>
        <v>4.600864464280271E-3</v>
      </c>
      <c r="D3595" s="21">
        <f t="shared" ca="1" si="276"/>
        <v>4.2169120491734038E-3</v>
      </c>
      <c r="E3595" s="21">
        <f t="shared" ca="1" si="278"/>
        <v>5.3228203080679937E-5</v>
      </c>
      <c r="F3595" s="11">
        <f t="shared" ca="1" si="279"/>
        <v>4.7534223136821003</v>
      </c>
      <c r="G3595" s="10">
        <f t="shared" ca="1" si="277"/>
        <v>1</v>
      </c>
    </row>
    <row r="3596" spans="1:7" x14ac:dyDescent="0.2">
      <c r="A3596" s="2">
        <v>20040607</v>
      </c>
      <c r="B3596" s="13">
        <v>10391.08</v>
      </c>
      <c r="C3596" s="2">
        <f t="shared" si="280"/>
        <v>1.4474529475281243E-2</v>
      </c>
      <c r="D3596" s="21">
        <f t="shared" ca="1" si="276"/>
        <v>1.4090577060174376E-2</v>
      </c>
      <c r="E3596" s="21">
        <f t="shared" ca="1" si="278"/>
        <v>5.2098261825873856E-5</v>
      </c>
      <c r="F3596" s="11">
        <f t="shared" ca="1" si="279"/>
        <v>3.0257097739243797</v>
      </c>
      <c r="G3596" s="10">
        <f t="shared" ca="1" si="277"/>
        <v>0</v>
      </c>
    </row>
    <row r="3597" spans="1:7" x14ac:dyDescent="0.2">
      <c r="A3597" s="2">
        <v>20040608</v>
      </c>
      <c r="B3597" s="13">
        <v>10432.52</v>
      </c>
      <c r="C3597" s="2">
        <f t="shared" si="280"/>
        <v>3.98803589232308E-3</v>
      </c>
      <c r="D3597" s="21">
        <f t="shared" ca="1" si="276"/>
        <v>3.6040834772162128E-3</v>
      </c>
      <c r="E3597" s="21">
        <f t="shared" ca="1" si="278"/>
        <v>5.7672419569165787E-5</v>
      </c>
      <c r="F3597" s="11">
        <f t="shared" ca="1" si="279"/>
        <v>4.7677519733432643</v>
      </c>
      <c r="G3597" s="10">
        <f t="shared" ca="1" si="277"/>
        <v>1</v>
      </c>
    </row>
    <row r="3598" spans="1:7" x14ac:dyDescent="0.2">
      <c r="A3598" s="2">
        <v>20040609</v>
      </c>
      <c r="B3598" s="13">
        <v>10368.44</v>
      </c>
      <c r="C3598" s="2">
        <f t="shared" si="280"/>
        <v>-6.1423318622921335E-3</v>
      </c>
      <c r="D3598" s="21">
        <f t="shared" ref="D3598:D3661" ca="1" si="281">(C3598-mu)</f>
        <v>-6.5262842773990007E-3</v>
      </c>
      <c r="E3598" s="21">
        <f t="shared" ca="1" si="278"/>
        <v>5.6141399551764799E-5</v>
      </c>
      <c r="F3598" s="11">
        <f t="shared" ca="1" si="279"/>
        <v>4.5144871725675744</v>
      </c>
      <c r="G3598" s="10">
        <f t="shared" ref="G3598:G3661" ca="1" si="282">IF(AND(C3598&lt;=mu+zvalue*SQRT(E3598),C3598&gt;=mu-zvalue*SQRT(E3598)),1,0)</f>
        <v>1</v>
      </c>
    </row>
    <row r="3599" spans="1:7" x14ac:dyDescent="0.2">
      <c r="A3599" s="2">
        <v>20040610</v>
      </c>
      <c r="B3599" s="13">
        <v>10410.1</v>
      </c>
      <c r="C3599" s="2">
        <f t="shared" si="280"/>
        <v>4.0179622006781979E-3</v>
      </c>
      <c r="D3599" s="21">
        <f t="shared" ca="1" si="281"/>
        <v>3.6340097855713308E-3</v>
      </c>
      <c r="E3599" s="21">
        <f t="shared" ref="E3599:E3662" ca="1" si="283">(1-alpha-beta)*longvar+alpha*D3598^2+beta*E3598</f>
        <v>5.5776387190587666E-5</v>
      </c>
      <c r="F3599" s="11">
        <f t="shared" ref="F3599:F3662" ca="1" si="284">(-0.5)*(LN(E3599)+D3599^2/E3599)</f>
        <v>4.7786963007678604</v>
      </c>
      <c r="G3599" s="10">
        <f t="shared" ca="1" si="282"/>
        <v>1</v>
      </c>
    </row>
    <row r="3600" spans="1:7" x14ac:dyDescent="0.2">
      <c r="A3600" s="2">
        <v>20040614</v>
      </c>
      <c r="B3600" s="13">
        <v>10334.73</v>
      </c>
      <c r="C3600" s="2">
        <f t="shared" si="280"/>
        <v>-7.2400841490476361E-3</v>
      </c>
      <c r="D3600" s="21">
        <f t="shared" ca="1" si="281"/>
        <v>-7.6240365641545033E-3</v>
      </c>
      <c r="E3600" s="21">
        <f t="shared" ca="1" si="283"/>
        <v>5.434925318176317E-5</v>
      </c>
      <c r="F3600" s="11">
        <f t="shared" ca="1" si="284"/>
        <v>4.3752952958217453</v>
      </c>
      <c r="G3600" s="10">
        <f t="shared" ca="1" si="282"/>
        <v>0</v>
      </c>
    </row>
    <row r="3601" spans="1:7" x14ac:dyDescent="0.2">
      <c r="A3601" s="2">
        <v>20040615</v>
      </c>
      <c r="B3601" s="13">
        <v>10380.43</v>
      </c>
      <c r="C3601" s="2">
        <f t="shared" si="280"/>
        <v>4.42198296423813E-3</v>
      </c>
      <c r="D3601" s="21">
        <f t="shared" ca="1" si="281"/>
        <v>4.0380305491312628E-3</v>
      </c>
      <c r="E3601" s="21">
        <f t="shared" ca="1" si="283"/>
        <v>5.4646101743313263E-5</v>
      </c>
      <c r="F3601" s="11">
        <f t="shared" ca="1" si="284"/>
        <v>4.7581227987576087</v>
      </c>
      <c r="G3601" s="10">
        <f t="shared" ca="1" si="282"/>
        <v>1</v>
      </c>
    </row>
    <row r="3602" spans="1:7" x14ac:dyDescent="0.2">
      <c r="A3602" s="2">
        <v>20040616</v>
      </c>
      <c r="B3602" s="13">
        <v>10379.58</v>
      </c>
      <c r="C3602" s="2">
        <f t="shared" si="280"/>
        <v>-8.1884854481015123E-5</v>
      </c>
      <c r="D3602" s="21">
        <f t="shared" ca="1" si="281"/>
        <v>-4.6583726958788243E-4</v>
      </c>
      <c r="E3602" s="21">
        <f t="shared" ca="1" si="283"/>
        <v>5.3390129289942178E-5</v>
      </c>
      <c r="F3602" s="11">
        <f t="shared" ca="1" si="284"/>
        <v>4.9169100852235301</v>
      </c>
      <c r="G3602" s="10">
        <f t="shared" ca="1" si="282"/>
        <v>1</v>
      </c>
    </row>
    <row r="3603" spans="1:7" x14ac:dyDescent="0.2">
      <c r="A3603" s="2">
        <v>20040617</v>
      </c>
      <c r="B3603" s="13">
        <v>10377.52</v>
      </c>
      <c r="C3603" s="2">
        <f t="shared" si="280"/>
        <v>-1.9846660462171791E-4</v>
      </c>
      <c r="D3603" s="21">
        <f t="shared" ca="1" si="281"/>
        <v>-5.8241901972858523E-4</v>
      </c>
      <c r="E3603" s="21">
        <f t="shared" ca="1" si="283"/>
        <v>5.1606087807694642E-5</v>
      </c>
      <c r="F3603" s="11">
        <f t="shared" ca="1" si="284"/>
        <v>4.9326489064265493</v>
      </c>
      <c r="G3603" s="10">
        <f t="shared" ca="1" si="282"/>
        <v>1</v>
      </c>
    </row>
    <row r="3604" spans="1:7" x14ac:dyDescent="0.2">
      <c r="A3604" s="2">
        <v>20040618</v>
      </c>
      <c r="B3604" s="13">
        <v>10416.41</v>
      </c>
      <c r="C3604" s="2">
        <f t="shared" si="280"/>
        <v>3.7475234930888514E-3</v>
      </c>
      <c r="D3604" s="21">
        <f t="shared" ca="1" si="281"/>
        <v>3.3635710779819842E-3</v>
      </c>
      <c r="E3604" s="21">
        <f t="shared" ca="1" si="283"/>
        <v>4.9916795356551908E-5</v>
      </c>
      <c r="F3604" s="11">
        <f t="shared" ca="1" si="284"/>
        <v>4.8392518290033104</v>
      </c>
      <c r="G3604" s="10">
        <f t="shared" ca="1" si="282"/>
        <v>1</v>
      </c>
    </row>
    <row r="3605" spans="1:7" x14ac:dyDescent="0.2">
      <c r="A3605" s="2">
        <v>20040621</v>
      </c>
      <c r="B3605" s="13">
        <v>10371.469999999999</v>
      </c>
      <c r="C3605" s="2">
        <f t="shared" si="280"/>
        <v>-4.3143463054930165E-3</v>
      </c>
      <c r="D3605" s="21">
        <f t="shared" ca="1" si="281"/>
        <v>-4.6982987205998836E-3</v>
      </c>
      <c r="E3605" s="21">
        <f t="shared" ca="1" si="283"/>
        <v>4.8716512560739009E-5</v>
      </c>
      <c r="F3605" s="11">
        <f t="shared" ca="1" si="284"/>
        <v>4.7381905216465281</v>
      </c>
      <c r="G3605" s="10">
        <f t="shared" ca="1" si="282"/>
        <v>1</v>
      </c>
    </row>
    <row r="3606" spans="1:7" x14ac:dyDescent="0.2">
      <c r="A3606" s="2">
        <v>20040622</v>
      </c>
      <c r="B3606" s="13">
        <v>10395.07</v>
      </c>
      <c r="C3606" s="2">
        <f t="shared" si="280"/>
        <v>2.2754730043089712E-3</v>
      </c>
      <c r="D3606" s="21">
        <f t="shared" ca="1" si="281"/>
        <v>1.891520589202104E-3</v>
      </c>
      <c r="E3606" s="21">
        <f t="shared" ca="1" si="283"/>
        <v>4.7972631180273819E-5</v>
      </c>
      <c r="F3606" s="11">
        <f t="shared" ca="1" si="284"/>
        <v>4.9351494119667363</v>
      </c>
      <c r="G3606" s="10">
        <f t="shared" ca="1" si="282"/>
        <v>1</v>
      </c>
    </row>
    <row r="3607" spans="1:7" x14ac:dyDescent="0.2">
      <c r="A3607" s="2">
        <v>20040623</v>
      </c>
      <c r="B3607" s="13">
        <v>10479.57</v>
      </c>
      <c r="C3607" s="2">
        <f t="shared" si="280"/>
        <v>8.1288533891546669E-3</v>
      </c>
      <c r="D3607" s="21">
        <f t="shared" ca="1" si="281"/>
        <v>7.7449009740477998E-3</v>
      </c>
      <c r="E3607" s="21">
        <f t="shared" ca="1" si="283"/>
        <v>4.6586246878621696E-5</v>
      </c>
      <c r="F3607" s="11">
        <f t="shared" ca="1" si="284"/>
        <v>4.3433129034581395</v>
      </c>
      <c r="G3607" s="10">
        <f t="shared" ca="1" si="282"/>
        <v>0</v>
      </c>
    </row>
    <row r="3608" spans="1:7" x14ac:dyDescent="0.2">
      <c r="A3608" s="2">
        <v>20040624</v>
      </c>
      <c r="B3608" s="13">
        <v>10443.81</v>
      </c>
      <c r="C3608" s="2">
        <f t="shared" si="280"/>
        <v>-3.4123537511558414E-3</v>
      </c>
      <c r="D3608" s="21">
        <f t="shared" ca="1" si="281"/>
        <v>-3.7963061662627086E-3</v>
      </c>
      <c r="E3608" s="21">
        <f t="shared" ca="1" si="283"/>
        <v>4.7344134120222076E-5</v>
      </c>
      <c r="F3608" s="11">
        <f t="shared" ca="1" si="284"/>
        <v>4.826829737312945</v>
      </c>
      <c r="G3608" s="10">
        <f t="shared" ca="1" si="282"/>
        <v>1</v>
      </c>
    </row>
    <row r="3609" spans="1:7" x14ac:dyDescent="0.2">
      <c r="A3609" s="2">
        <v>20040625</v>
      </c>
      <c r="B3609" s="13">
        <v>10371.84</v>
      </c>
      <c r="C3609" s="2">
        <f t="shared" si="280"/>
        <v>-6.891163282365281E-3</v>
      </c>
      <c r="D3609" s="21">
        <f t="shared" ca="1" si="281"/>
        <v>-7.2751156974721481E-3</v>
      </c>
      <c r="E3609" s="21">
        <f t="shared" ca="1" si="283"/>
        <v>4.6387934111465731E-5</v>
      </c>
      <c r="F3609" s="11">
        <f t="shared" ca="1" si="284"/>
        <v>4.4187498619919383</v>
      </c>
      <c r="G3609" s="10">
        <f t="shared" ca="1" si="282"/>
        <v>0</v>
      </c>
    </row>
    <row r="3610" spans="1:7" x14ac:dyDescent="0.2">
      <c r="A3610" s="2">
        <v>20040628</v>
      </c>
      <c r="B3610" s="13">
        <v>10357.09</v>
      </c>
      <c r="C3610" s="2">
        <f t="shared" si="280"/>
        <v>-1.4221198938664692E-3</v>
      </c>
      <c r="D3610" s="21">
        <f t="shared" ca="1" si="281"/>
        <v>-1.8060723089733366E-3</v>
      </c>
      <c r="E3610" s="21">
        <f t="shared" ca="1" si="283"/>
        <v>4.68963859034552E-5</v>
      </c>
      <c r="F3610" s="11">
        <f t="shared" ca="1" si="284"/>
        <v>4.9490072693008793</v>
      </c>
      <c r="G3610" s="10">
        <f t="shared" ca="1" si="282"/>
        <v>1</v>
      </c>
    </row>
    <row r="3611" spans="1:7" x14ac:dyDescent="0.2">
      <c r="A3611" s="2">
        <v>20040629</v>
      </c>
      <c r="B3611" s="13">
        <v>10413.43</v>
      </c>
      <c r="C3611" s="2">
        <f t="shared" si="280"/>
        <v>5.4397518994235006E-3</v>
      </c>
      <c r="D3611" s="21">
        <f t="shared" ca="1" si="281"/>
        <v>5.0557994843166334E-3</v>
      </c>
      <c r="E3611" s="21">
        <f t="shared" ca="1" si="283"/>
        <v>4.5552831062934182E-5</v>
      </c>
      <c r="F3611" s="11">
        <f t="shared" ca="1" si="284"/>
        <v>4.7177533611661806</v>
      </c>
      <c r="G3611" s="10">
        <f t="shared" ca="1" si="282"/>
        <v>1</v>
      </c>
    </row>
    <row r="3612" spans="1:7" x14ac:dyDescent="0.2">
      <c r="A3612" s="2">
        <v>20040630</v>
      </c>
      <c r="B3612" s="13">
        <v>10435.48</v>
      </c>
      <c r="C3612" s="2">
        <f t="shared" si="280"/>
        <v>2.1174579365299687E-3</v>
      </c>
      <c r="D3612" s="21">
        <f t="shared" ca="1" si="281"/>
        <v>1.7335055214231015E-3</v>
      </c>
      <c r="E3612" s="21">
        <f t="shared" ca="1" si="283"/>
        <v>4.509722803696061E-5</v>
      </c>
      <c r="F3612" s="11">
        <f t="shared" ca="1" si="284"/>
        <v>4.97002752542216</v>
      </c>
      <c r="G3612" s="10">
        <f t="shared" ca="1" si="282"/>
        <v>1</v>
      </c>
    </row>
    <row r="3613" spans="1:7" x14ac:dyDescent="0.2">
      <c r="A3613" s="2">
        <v>20040701</v>
      </c>
      <c r="B3613" s="13">
        <v>10334.16</v>
      </c>
      <c r="C3613" s="2">
        <f t="shared" si="280"/>
        <v>-9.7091844361734889E-3</v>
      </c>
      <c r="D3613" s="21">
        <f t="shared" ca="1" si="281"/>
        <v>-1.0093136851280356E-2</v>
      </c>
      <c r="E3613" s="21">
        <f t="shared" ca="1" si="283"/>
        <v>4.3835248149333821E-5</v>
      </c>
      <c r="F3613" s="11">
        <f t="shared" ca="1" si="284"/>
        <v>3.8555556060819578</v>
      </c>
      <c r="G3613" s="10">
        <f t="shared" ca="1" si="282"/>
        <v>0</v>
      </c>
    </row>
    <row r="3614" spans="1:7" x14ac:dyDescent="0.2">
      <c r="A3614" s="2">
        <v>20040702</v>
      </c>
      <c r="B3614" s="13">
        <v>10282.83</v>
      </c>
      <c r="C3614" s="2">
        <f t="shared" si="280"/>
        <v>-4.9670219930792563E-3</v>
      </c>
      <c r="D3614" s="21">
        <f t="shared" ca="1" si="281"/>
        <v>-5.3509744081861235E-3</v>
      </c>
      <c r="E3614" s="21">
        <f t="shared" ca="1" si="283"/>
        <v>4.6272601293874656E-5</v>
      </c>
      <c r="F3614" s="11">
        <f t="shared" ca="1" si="284"/>
        <v>4.681086303948347</v>
      </c>
      <c r="G3614" s="10">
        <f t="shared" ca="1" si="282"/>
        <v>1</v>
      </c>
    </row>
    <row r="3615" spans="1:7" x14ac:dyDescent="0.2">
      <c r="A3615" s="2">
        <v>20040706</v>
      </c>
      <c r="B3615" s="13">
        <v>10219.34</v>
      </c>
      <c r="C3615" s="2">
        <f t="shared" si="280"/>
        <v>-6.1743702852230156E-3</v>
      </c>
      <c r="D3615" s="21">
        <f t="shared" ca="1" si="281"/>
        <v>-6.5583227003298827E-3</v>
      </c>
      <c r="E3615" s="21">
        <f t="shared" ca="1" si="283"/>
        <v>4.5893540991747659E-5</v>
      </c>
      <c r="F3615" s="11">
        <f t="shared" ca="1" si="284"/>
        <v>4.525991232590747</v>
      </c>
      <c r="G3615" s="10">
        <f t="shared" ca="1" si="282"/>
        <v>1</v>
      </c>
    </row>
    <row r="3616" spans="1:7" x14ac:dyDescent="0.2">
      <c r="A3616" s="2">
        <v>20040707</v>
      </c>
      <c r="B3616" s="13">
        <v>10240.290000000001</v>
      </c>
      <c r="C3616" s="2">
        <f t="shared" si="280"/>
        <v>2.0500345423482072E-3</v>
      </c>
      <c r="D3616" s="21">
        <f t="shared" ca="1" si="281"/>
        <v>1.66608212724134E-3</v>
      </c>
      <c r="E3616" s="21">
        <f t="shared" ca="1" si="283"/>
        <v>4.606238625936946E-5</v>
      </c>
      <c r="F3616" s="11">
        <f t="shared" ca="1" si="284"/>
        <v>4.9626257318013929</v>
      </c>
      <c r="G3616" s="10">
        <f t="shared" ca="1" si="282"/>
        <v>1</v>
      </c>
    </row>
    <row r="3617" spans="1:7" x14ac:dyDescent="0.2">
      <c r="A3617" s="2">
        <v>20040708</v>
      </c>
      <c r="B3617" s="13">
        <v>10171.56</v>
      </c>
      <c r="C3617" s="2">
        <f t="shared" si="280"/>
        <v>-6.7117239843794835E-3</v>
      </c>
      <c r="D3617" s="21">
        <f t="shared" ca="1" si="281"/>
        <v>-7.0956763994863507E-3</v>
      </c>
      <c r="E3617" s="21">
        <f t="shared" ca="1" si="283"/>
        <v>4.4743150183654773E-5</v>
      </c>
      <c r="F3617" s="11">
        <f t="shared" ca="1" si="284"/>
        <v>4.4446455209255191</v>
      </c>
      <c r="G3617" s="10">
        <f t="shared" ca="1" si="282"/>
        <v>0</v>
      </c>
    </row>
    <row r="3618" spans="1:7" x14ac:dyDescent="0.2">
      <c r="A3618" s="2">
        <v>20040709</v>
      </c>
      <c r="B3618" s="13">
        <v>10213.219999999999</v>
      </c>
      <c r="C3618" s="2">
        <f t="shared" si="280"/>
        <v>4.0957335944535409E-3</v>
      </c>
      <c r="D3618" s="21">
        <f t="shared" ca="1" si="281"/>
        <v>3.7117811793466737E-3</v>
      </c>
      <c r="E3618" s="21">
        <f t="shared" ca="1" si="283"/>
        <v>4.523998939185116E-5</v>
      </c>
      <c r="F3618" s="11">
        <f t="shared" ca="1" si="284"/>
        <v>4.8494953093949578</v>
      </c>
      <c r="G3618" s="10">
        <f t="shared" ca="1" si="282"/>
        <v>1</v>
      </c>
    </row>
    <row r="3619" spans="1:7" x14ac:dyDescent="0.2">
      <c r="A3619" s="2">
        <v>20040712</v>
      </c>
      <c r="B3619" s="13">
        <v>10238.219999999999</v>
      </c>
      <c r="C3619" s="2">
        <f t="shared" si="280"/>
        <v>2.4478078412097262E-3</v>
      </c>
      <c r="D3619" s="21">
        <f t="shared" ca="1" si="281"/>
        <v>2.063855426102859E-3</v>
      </c>
      <c r="E3619" s="21">
        <f t="shared" ca="1" si="283"/>
        <v>4.4366902636039042E-5</v>
      </c>
      <c r="F3619" s="11">
        <f t="shared" ca="1" si="284"/>
        <v>4.9635052844991865</v>
      </c>
      <c r="G3619" s="10">
        <f t="shared" ca="1" si="282"/>
        <v>1</v>
      </c>
    </row>
    <row r="3620" spans="1:7" x14ac:dyDescent="0.2">
      <c r="A3620" s="2">
        <v>20040713</v>
      </c>
      <c r="B3620" s="13">
        <v>10247.59</v>
      </c>
      <c r="C3620" s="2">
        <f t="shared" si="280"/>
        <v>9.1519814967844031E-4</v>
      </c>
      <c r="D3620" s="21">
        <f t="shared" ca="1" si="281"/>
        <v>5.3124573457157302E-4</v>
      </c>
      <c r="E3620" s="21">
        <f t="shared" ca="1" si="283"/>
        <v>4.3187998755557965E-5</v>
      </c>
      <c r="F3620" s="11">
        <f t="shared" ca="1" si="284"/>
        <v>5.0217065875647133</v>
      </c>
      <c r="G3620" s="10">
        <f t="shared" ca="1" si="282"/>
        <v>1</v>
      </c>
    </row>
    <row r="3621" spans="1:7" x14ac:dyDescent="0.2">
      <c r="A3621" s="2">
        <v>20040714</v>
      </c>
      <c r="B3621" s="13">
        <v>10208.799999999999</v>
      </c>
      <c r="C3621" s="2">
        <f t="shared" si="280"/>
        <v>-3.7852802463799657E-3</v>
      </c>
      <c r="D3621" s="21">
        <f t="shared" ca="1" si="281"/>
        <v>-4.1692326614868333E-3</v>
      </c>
      <c r="E3621" s="21">
        <f t="shared" ca="1" si="283"/>
        <v>4.1922484583795687E-5</v>
      </c>
      <c r="F3621" s="11">
        <f t="shared" ca="1" si="284"/>
        <v>4.8325269638653117</v>
      </c>
      <c r="G3621" s="10">
        <f t="shared" ca="1" si="282"/>
        <v>1</v>
      </c>
    </row>
    <row r="3622" spans="1:7" x14ac:dyDescent="0.2">
      <c r="A3622" s="2">
        <v>20040715</v>
      </c>
      <c r="B3622" s="13">
        <v>10163.16</v>
      </c>
      <c r="C3622" s="2">
        <f t="shared" si="280"/>
        <v>-4.4706527701590219E-3</v>
      </c>
      <c r="D3622" s="21">
        <f t="shared" ca="1" si="281"/>
        <v>-4.8546051852658891E-3</v>
      </c>
      <c r="E3622" s="21">
        <f t="shared" ca="1" si="283"/>
        <v>4.1349800305742609E-5</v>
      </c>
      <c r="F3622" s="11">
        <f t="shared" ca="1" si="284"/>
        <v>4.7617480207841831</v>
      </c>
      <c r="G3622" s="10">
        <f t="shared" ca="1" si="282"/>
        <v>1</v>
      </c>
    </row>
    <row r="3623" spans="1:7" x14ac:dyDescent="0.2">
      <c r="A3623" s="2">
        <v>20040716</v>
      </c>
      <c r="B3623" s="13">
        <v>10139.780000000001</v>
      </c>
      <c r="C3623" s="2">
        <f t="shared" si="280"/>
        <v>-2.3004656032178179E-3</v>
      </c>
      <c r="D3623" s="21">
        <f t="shared" ca="1" si="281"/>
        <v>-2.6844180183246851E-3</v>
      </c>
      <c r="E3623" s="21">
        <f t="shared" ca="1" si="283"/>
        <v>4.103351018303247E-5</v>
      </c>
      <c r="F3623" s="11">
        <f t="shared" ca="1" si="284"/>
        <v>4.9627532492600199</v>
      </c>
      <c r="G3623" s="10">
        <f t="shared" ca="1" si="282"/>
        <v>1</v>
      </c>
    </row>
    <row r="3624" spans="1:7" x14ac:dyDescent="0.2">
      <c r="A3624" s="2">
        <v>20040719</v>
      </c>
      <c r="B3624" s="13">
        <v>10094.06</v>
      </c>
      <c r="C3624" s="2">
        <f t="shared" si="280"/>
        <v>-4.5089735674739648E-3</v>
      </c>
      <c r="D3624" s="21">
        <f t="shared" ca="1" si="281"/>
        <v>-4.892925982580832E-3</v>
      </c>
      <c r="E3624" s="21">
        <f t="shared" ca="1" si="283"/>
        <v>4.013159538347644E-5</v>
      </c>
      <c r="F3624" s="11">
        <f t="shared" ca="1" si="284"/>
        <v>4.7633955505610999</v>
      </c>
      <c r="G3624" s="10">
        <f t="shared" ca="1" si="282"/>
        <v>1</v>
      </c>
    </row>
    <row r="3625" spans="1:7" x14ac:dyDescent="0.2">
      <c r="A3625" s="2">
        <v>20040720</v>
      </c>
      <c r="B3625" s="13">
        <v>10149.07</v>
      </c>
      <c r="C3625" s="2">
        <f t="shared" si="280"/>
        <v>5.4497397479309831E-3</v>
      </c>
      <c r="D3625" s="21">
        <f t="shared" ca="1" si="281"/>
        <v>5.0657873328241159E-3</v>
      </c>
      <c r="E3625" s="21">
        <f t="shared" ca="1" si="283"/>
        <v>3.989067011562293E-5</v>
      </c>
      <c r="F3625" s="11">
        <f t="shared" ca="1" si="284"/>
        <v>4.7430273630821658</v>
      </c>
      <c r="G3625" s="10">
        <f t="shared" ca="1" si="282"/>
        <v>1</v>
      </c>
    </row>
    <row r="3626" spans="1:7" x14ac:dyDescent="0.2">
      <c r="A3626" s="2">
        <v>20040721</v>
      </c>
      <c r="B3626" s="13">
        <v>10046.129999999999</v>
      </c>
      <c r="C3626" s="2">
        <f t="shared" si="280"/>
        <v>-1.0142801261593478E-2</v>
      </c>
      <c r="D3626" s="21">
        <f t="shared" ca="1" si="281"/>
        <v>-1.0526753676700345E-2</v>
      </c>
      <c r="E3626" s="21">
        <f t="shared" ca="1" si="283"/>
        <v>3.9725235037876745E-5</v>
      </c>
      <c r="F3626" s="11">
        <f t="shared" ca="1" si="284"/>
        <v>3.6720245530430438</v>
      </c>
      <c r="G3626" s="10">
        <f t="shared" ca="1" si="282"/>
        <v>0</v>
      </c>
    </row>
    <row r="3627" spans="1:7" x14ac:dyDescent="0.2">
      <c r="A3627" s="2">
        <v>20040722</v>
      </c>
      <c r="B3627" s="13">
        <v>10050.33</v>
      </c>
      <c r="C3627" s="2">
        <f t="shared" si="280"/>
        <v>4.1807143646366588E-4</v>
      </c>
      <c r="D3627" s="21">
        <f t="shared" ca="1" si="281"/>
        <v>3.4119021356798589E-5</v>
      </c>
      <c r="E3627" s="21">
        <f t="shared" ca="1" si="283"/>
        <v>4.2699296114840932E-5</v>
      </c>
      <c r="F3627" s="11">
        <f t="shared" ca="1" si="284"/>
        <v>5.0306504296863039</v>
      </c>
      <c r="G3627" s="10">
        <f t="shared" ca="1" si="282"/>
        <v>1</v>
      </c>
    </row>
    <row r="3628" spans="1:7" x14ac:dyDescent="0.2">
      <c r="A3628" s="2">
        <v>20040723</v>
      </c>
      <c r="B3628" s="13">
        <v>9962.2199999999993</v>
      </c>
      <c r="C3628" s="2">
        <f t="shared" si="280"/>
        <v>-8.766876311524157E-3</v>
      </c>
      <c r="D3628" s="21">
        <f t="shared" ca="1" si="281"/>
        <v>-9.1508287266310242E-3</v>
      </c>
      <c r="E3628" s="21">
        <f t="shared" ca="1" si="283"/>
        <v>4.1448170580020121E-5</v>
      </c>
      <c r="F3628" s="11">
        <f t="shared" ca="1" si="284"/>
        <v>4.0353842827299351</v>
      </c>
      <c r="G3628" s="10">
        <f t="shared" ca="1" si="282"/>
        <v>0</v>
      </c>
    </row>
    <row r="3629" spans="1:7" x14ac:dyDescent="0.2">
      <c r="A3629" s="2">
        <v>20040726</v>
      </c>
      <c r="B3629" s="13">
        <v>9961.92</v>
      </c>
      <c r="C3629" s="2">
        <f t="shared" si="280"/>
        <v>-3.0113769822315951E-5</v>
      </c>
      <c r="D3629" s="21">
        <f t="shared" ca="1" si="281"/>
        <v>-4.1406618492918323E-4</v>
      </c>
      <c r="E3629" s="21">
        <f t="shared" ca="1" si="283"/>
        <v>4.3339477294538019E-5</v>
      </c>
      <c r="F3629" s="11">
        <f t="shared" ca="1" si="284"/>
        <v>5.0212453131764327</v>
      </c>
      <c r="G3629" s="10">
        <f t="shared" ca="1" si="282"/>
        <v>1</v>
      </c>
    </row>
    <row r="3630" spans="1:7" x14ac:dyDescent="0.2">
      <c r="A3630" s="2">
        <v>20040727</v>
      </c>
      <c r="B3630" s="13">
        <v>10085.14</v>
      </c>
      <c r="C3630" s="2">
        <f t="shared" ref="C3630:C3693" si="285">(B3630-B3629)/B3629</f>
        <v>1.2369101538659149E-2</v>
      </c>
      <c r="D3630" s="21">
        <f t="shared" ca="1" si="281"/>
        <v>1.1985149123552282E-2</v>
      </c>
      <c r="E3630" s="21">
        <f t="shared" ca="1" si="283"/>
        <v>4.2062226522257303E-5</v>
      </c>
      <c r="F3630" s="11">
        <f t="shared" ca="1" si="284"/>
        <v>3.3306648211034799</v>
      </c>
      <c r="G3630" s="10">
        <f t="shared" ca="1" si="282"/>
        <v>0</v>
      </c>
    </row>
    <row r="3631" spans="1:7" x14ac:dyDescent="0.2">
      <c r="A3631" s="2">
        <v>20040728</v>
      </c>
      <c r="B3631" s="13">
        <v>10117.07</v>
      </c>
      <c r="C3631" s="2">
        <f t="shared" si="285"/>
        <v>3.166044298839708E-3</v>
      </c>
      <c r="D3631" s="21">
        <f t="shared" ca="1" si="281"/>
        <v>2.7820918837328408E-3</v>
      </c>
      <c r="E3631" s="21">
        <f t="shared" ca="1" si="283"/>
        <v>4.6125321058575616E-5</v>
      </c>
      <c r="F3631" s="11">
        <f t="shared" ca="1" si="284"/>
        <v>4.9081720103825512</v>
      </c>
      <c r="G3631" s="10">
        <f t="shared" ca="1" si="282"/>
        <v>1</v>
      </c>
    </row>
    <row r="3632" spans="1:7" x14ac:dyDescent="0.2">
      <c r="A3632" s="2">
        <v>20040729</v>
      </c>
      <c r="B3632" s="13">
        <v>10129.24</v>
      </c>
      <c r="C3632" s="2">
        <f t="shared" si="285"/>
        <v>1.2029174454659375E-3</v>
      </c>
      <c r="D3632" s="21">
        <f t="shared" ca="1" si="281"/>
        <v>8.1896503035907024E-4</v>
      </c>
      <c r="E3632" s="21">
        <f t="shared" ca="1" si="283"/>
        <v>4.4985443598104996E-5</v>
      </c>
      <c r="F3632" s="11">
        <f t="shared" ca="1" si="284"/>
        <v>4.9971311230890043</v>
      </c>
      <c r="G3632" s="10">
        <f t="shared" ca="1" si="282"/>
        <v>1</v>
      </c>
    </row>
    <row r="3633" spans="1:7" x14ac:dyDescent="0.2">
      <c r="A3633" s="2">
        <v>20040730</v>
      </c>
      <c r="B3633" s="13">
        <v>10139.709999999999</v>
      </c>
      <c r="C3633" s="2">
        <f t="shared" si="285"/>
        <v>1.0336412208615203E-3</v>
      </c>
      <c r="D3633" s="21">
        <f t="shared" ca="1" si="281"/>
        <v>6.4968880575465304E-4</v>
      </c>
      <c r="E3633" s="21">
        <f t="shared" ca="1" si="283"/>
        <v>4.3643281249989059E-5</v>
      </c>
      <c r="F3633" s="11">
        <f t="shared" ca="1" si="284"/>
        <v>5.0148948605484449</v>
      </c>
      <c r="G3633" s="10">
        <f t="shared" ca="1" si="282"/>
        <v>1</v>
      </c>
    </row>
    <row r="3634" spans="1:7" x14ac:dyDescent="0.2">
      <c r="A3634" s="2">
        <v>20040802</v>
      </c>
      <c r="B3634" s="13">
        <v>10179.16</v>
      </c>
      <c r="C3634" s="2">
        <f t="shared" si="285"/>
        <v>3.8906438152571158E-3</v>
      </c>
      <c r="D3634" s="21">
        <f t="shared" ca="1" si="281"/>
        <v>3.5066914001502486E-3</v>
      </c>
      <c r="E3634" s="21">
        <f t="shared" ca="1" si="283"/>
        <v>4.235987758025424E-5</v>
      </c>
      <c r="F3634" s="11">
        <f t="shared" ca="1" si="284"/>
        <v>4.8895066813412864</v>
      </c>
      <c r="G3634" s="10">
        <f t="shared" ca="1" si="282"/>
        <v>1</v>
      </c>
    </row>
    <row r="3635" spans="1:7" x14ac:dyDescent="0.2">
      <c r="A3635" s="2">
        <v>20040803</v>
      </c>
      <c r="B3635" s="13">
        <v>10120.24</v>
      </c>
      <c r="C3635" s="2">
        <f t="shared" si="285"/>
        <v>-5.7882968732194083E-3</v>
      </c>
      <c r="D3635" s="21">
        <f t="shared" ca="1" si="281"/>
        <v>-6.1722492883262755E-3</v>
      </c>
      <c r="E3635" s="21">
        <f t="shared" ca="1" si="283"/>
        <v>4.1578058451381411E-5</v>
      </c>
      <c r="F3635" s="11">
        <f t="shared" ca="1" si="284"/>
        <v>4.5858347832343815</v>
      </c>
      <c r="G3635" s="10">
        <f t="shared" ca="1" si="282"/>
        <v>1</v>
      </c>
    </row>
    <row r="3636" spans="1:7" x14ac:dyDescent="0.2">
      <c r="A3636" s="2">
        <v>20040804</v>
      </c>
      <c r="B3636" s="13">
        <v>10126.51</v>
      </c>
      <c r="C3636" s="2">
        <f t="shared" si="285"/>
        <v>6.1955052449353342E-4</v>
      </c>
      <c r="D3636" s="21">
        <f t="shared" ca="1" si="281"/>
        <v>2.3559810938666612E-4</v>
      </c>
      <c r="E3636" s="21">
        <f t="shared" ca="1" si="283"/>
        <v>4.1784494646596515E-5</v>
      </c>
      <c r="F3636" s="11">
        <f t="shared" ca="1" si="284"/>
        <v>5.0408284149998677</v>
      </c>
      <c r="G3636" s="10">
        <f t="shared" ca="1" si="282"/>
        <v>1</v>
      </c>
    </row>
    <row r="3637" spans="1:7" x14ac:dyDescent="0.2">
      <c r="A3637" s="2">
        <v>20040805</v>
      </c>
      <c r="B3637" s="13">
        <v>9963.0300000000007</v>
      </c>
      <c r="C3637" s="2">
        <f t="shared" si="285"/>
        <v>-1.6143765226124259E-2</v>
      </c>
      <c r="D3637" s="21">
        <f t="shared" ca="1" si="281"/>
        <v>-1.6527717641231128E-2</v>
      </c>
      <c r="E3637" s="21">
        <f t="shared" ca="1" si="283"/>
        <v>4.0581647482783355E-5</v>
      </c>
      <c r="F3637" s="11">
        <f t="shared" ca="1" si="284"/>
        <v>1.6904694076242865</v>
      </c>
      <c r="G3637" s="10">
        <f t="shared" ca="1" si="282"/>
        <v>0</v>
      </c>
    </row>
    <row r="3638" spans="1:7" x14ac:dyDescent="0.2">
      <c r="A3638" s="2">
        <v>20040806</v>
      </c>
      <c r="B3638" s="13">
        <v>9815.33</v>
      </c>
      <c r="C3638" s="2">
        <f t="shared" si="285"/>
        <v>-1.4824807312634882E-2</v>
      </c>
      <c r="D3638" s="21">
        <f t="shared" ca="1" si="281"/>
        <v>-1.5208759727741749E-2</v>
      </c>
      <c r="E3638" s="21">
        <f t="shared" ca="1" si="283"/>
        <v>4.9482382255233555E-5</v>
      </c>
      <c r="F3638" s="11">
        <f t="shared" ca="1" si="284"/>
        <v>2.6196870646888648</v>
      </c>
      <c r="G3638" s="10">
        <f t="shared" ca="1" si="282"/>
        <v>0</v>
      </c>
    </row>
    <row r="3639" spans="1:7" x14ac:dyDescent="0.2">
      <c r="A3639" s="2">
        <v>20040809</v>
      </c>
      <c r="B3639" s="13">
        <v>9814.66</v>
      </c>
      <c r="C3639" s="2">
        <f t="shared" si="285"/>
        <v>-6.8260567907556119E-5</v>
      </c>
      <c r="D3639" s="21">
        <f t="shared" ca="1" si="281"/>
        <v>-4.522129830144234E-4</v>
      </c>
      <c r="E3639" s="21">
        <f t="shared" ca="1" si="283"/>
        <v>5.6393594539897891E-5</v>
      </c>
      <c r="F3639" s="11">
        <f t="shared" ca="1" si="284"/>
        <v>4.8897643700682689</v>
      </c>
      <c r="G3639" s="10">
        <f t="shared" ca="1" si="282"/>
        <v>1</v>
      </c>
    </row>
    <row r="3640" spans="1:7" x14ac:dyDescent="0.2">
      <c r="A3640" s="2">
        <v>20040810</v>
      </c>
      <c r="B3640" s="13">
        <v>9944.67</v>
      </c>
      <c r="C3640" s="2">
        <f t="shared" si="285"/>
        <v>1.3246510831755784E-2</v>
      </c>
      <c r="D3640" s="21">
        <f t="shared" ca="1" si="281"/>
        <v>1.2862558416648916E-2</v>
      </c>
      <c r="E3640" s="21">
        <f t="shared" ca="1" si="283"/>
        <v>5.4457146828821397E-5</v>
      </c>
      <c r="F3640" s="11">
        <f t="shared" ca="1" si="284"/>
        <v>3.3900060240604484</v>
      </c>
      <c r="G3640" s="10">
        <f t="shared" ca="1" si="282"/>
        <v>0</v>
      </c>
    </row>
    <row r="3641" spans="1:7" x14ac:dyDescent="0.2">
      <c r="A3641" s="2">
        <v>20040811</v>
      </c>
      <c r="B3641" s="13">
        <v>9938.32</v>
      </c>
      <c r="C3641" s="2">
        <f t="shared" si="285"/>
        <v>-6.3853300310622312E-4</v>
      </c>
      <c r="D3641" s="21">
        <f t="shared" ca="1" si="281"/>
        <v>-1.0224854182130905E-3</v>
      </c>
      <c r="E3641" s="21">
        <f t="shared" ca="1" si="283"/>
        <v>5.8694861513868454E-5</v>
      </c>
      <c r="F3641" s="11">
        <f t="shared" ca="1" si="284"/>
        <v>4.8626731562258145</v>
      </c>
      <c r="G3641" s="10">
        <f t="shared" ca="1" si="282"/>
        <v>1</v>
      </c>
    </row>
    <row r="3642" spans="1:7" x14ac:dyDescent="0.2">
      <c r="A3642" s="2">
        <v>20040812</v>
      </c>
      <c r="B3642" s="13">
        <v>9814.59</v>
      </c>
      <c r="C3642" s="2">
        <f t="shared" si="285"/>
        <v>-1.2449790306611135E-2</v>
      </c>
      <c r="D3642" s="21">
        <f t="shared" ca="1" si="281"/>
        <v>-1.2833742721718002E-2</v>
      </c>
      <c r="E3642" s="21">
        <f t="shared" ca="1" si="283"/>
        <v>5.6672916246271727E-5</v>
      </c>
      <c r="F3642" s="11">
        <f t="shared" ca="1" si="284"/>
        <v>3.4359883337332029</v>
      </c>
      <c r="G3642" s="10">
        <f t="shared" ca="1" si="282"/>
        <v>0</v>
      </c>
    </row>
    <row r="3643" spans="1:7" x14ac:dyDescent="0.2">
      <c r="A3643" s="2">
        <v>20040813</v>
      </c>
      <c r="B3643" s="13">
        <v>9825.35</v>
      </c>
      <c r="C3643" s="2">
        <f t="shared" si="285"/>
        <v>1.0963269988863741E-3</v>
      </c>
      <c r="D3643" s="21">
        <f t="shared" ca="1" si="281"/>
        <v>7.1237458377950682E-4</v>
      </c>
      <c r="E3643" s="21">
        <f t="shared" ca="1" si="283"/>
        <v>6.0771306538447117E-5</v>
      </c>
      <c r="F3643" s="11">
        <f t="shared" ca="1" si="284"/>
        <v>4.8500211006047138</v>
      </c>
      <c r="G3643" s="10">
        <f t="shared" ca="1" si="282"/>
        <v>1</v>
      </c>
    </row>
    <row r="3644" spans="1:7" x14ac:dyDescent="0.2">
      <c r="A3644" s="2">
        <v>20040816</v>
      </c>
      <c r="B3644" s="13">
        <v>9954.5499999999993</v>
      </c>
      <c r="C3644" s="2">
        <f t="shared" si="285"/>
        <v>1.3149658790780878E-2</v>
      </c>
      <c r="D3644" s="21">
        <f t="shared" ca="1" si="281"/>
        <v>1.2765706375674011E-2</v>
      </c>
      <c r="E3644" s="21">
        <f t="shared" ca="1" si="283"/>
        <v>5.8624530075064246E-5</v>
      </c>
      <c r="F3644" s="11">
        <f t="shared" ca="1" si="284"/>
        <v>3.482288988577622</v>
      </c>
      <c r="G3644" s="10">
        <f t="shared" ca="1" si="282"/>
        <v>0</v>
      </c>
    </row>
    <row r="3645" spans="1:7" x14ac:dyDescent="0.2">
      <c r="A3645" s="2">
        <v>20040817</v>
      </c>
      <c r="B3645" s="13">
        <v>9972.83</v>
      </c>
      <c r="C3645" s="2">
        <f t="shared" si="285"/>
        <v>1.8363461934492926E-3</v>
      </c>
      <c r="D3645" s="21">
        <f t="shared" ca="1" si="281"/>
        <v>1.4523937783424254E-3</v>
      </c>
      <c r="E3645" s="21">
        <f t="shared" ca="1" si="283"/>
        <v>6.2560142489190122E-5</v>
      </c>
      <c r="F3645" s="11">
        <f t="shared" ca="1" si="284"/>
        <v>4.822831733965887</v>
      </c>
      <c r="G3645" s="10">
        <f t="shared" ca="1" si="282"/>
        <v>1</v>
      </c>
    </row>
    <row r="3646" spans="1:7" x14ac:dyDescent="0.2">
      <c r="A3646" s="2">
        <v>20040818</v>
      </c>
      <c r="B3646" s="13">
        <v>10083.15</v>
      </c>
      <c r="C3646" s="2">
        <f t="shared" si="285"/>
        <v>1.1062055605078971E-2</v>
      </c>
      <c r="D3646" s="21">
        <f t="shared" ca="1" si="281"/>
        <v>1.0678103189972104E-2</v>
      </c>
      <c r="E3646" s="21">
        <f t="shared" ca="1" si="283"/>
        <v>6.0381775465213341E-5</v>
      </c>
      <c r="F3646" s="11">
        <f t="shared" ca="1" si="284"/>
        <v>3.9132369289976161</v>
      </c>
      <c r="G3646" s="10">
        <f t="shared" ca="1" si="282"/>
        <v>0</v>
      </c>
    </row>
    <row r="3647" spans="1:7" x14ac:dyDescent="0.2">
      <c r="A3647" s="2">
        <v>20040819</v>
      </c>
      <c r="B3647" s="13">
        <v>10040.82</v>
      </c>
      <c r="C3647" s="2">
        <f t="shared" si="285"/>
        <v>-4.198092857886665E-3</v>
      </c>
      <c r="D3647" s="21">
        <f t="shared" ca="1" si="281"/>
        <v>-4.5820452729935322E-3</v>
      </c>
      <c r="E3647" s="21">
        <f t="shared" ca="1" si="283"/>
        <v>6.2428828571201836E-5</v>
      </c>
      <c r="F3647" s="11">
        <f t="shared" ca="1" si="284"/>
        <v>4.6725891028358673</v>
      </c>
      <c r="G3647" s="10">
        <f t="shared" ca="1" si="282"/>
        <v>1</v>
      </c>
    </row>
    <row r="3648" spans="1:7" x14ac:dyDescent="0.2">
      <c r="A3648" s="2">
        <v>20040820</v>
      </c>
      <c r="B3648" s="13">
        <v>10110.14</v>
      </c>
      <c r="C3648" s="2">
        <f t="shared" si="285"/>
        <v>6.9038186124240558E-3</v>
      </c>
      <c r="D3648" s="21">
        <f t="shared" ca="1" si="281"/>
        <v>6.5198661973171887E-3</v>
      </c>
      <c r="E3648" s="21">
        <f t="shared" ca="1" si="283"/>
        <v>6.0951564602170084E-5</v>
      </c>
      <c r="F3648" s="11">
        <f t="shared" ca="1" si="284"/>
        <v>4.5040070332751823</v>
      </c>
      <c r="G3648" s="10">
        <f t="shared" ca="1" si="282"/>
        <v>1</v>
      </c>
    </row>
    <row r="3649" spans="1:7" x14ac:dyDescent="0.2">
      <c r="A3649" s="2">
        <v>20040823</v>
      </c>
      <c r="B3649" s="13">
        <v>10073.049999999999</v>
      </c>
      <c r="C3649" s="2">
        <f t="shared" si="285"/>
        <v>-3.6685941045326918E-3</v>
      </c>
      <c r="D3649" s="21">
        <f t="shared" ca="1" si="281"/>
        <v>-4.0525465196395594E-3</v>
      </c>
      <c r="E3649" s="21">
        <f t="shared" ca="1" si="283"/>
        <v>6.0340125463438841E-5</v>
      </c>
      <c r="F3649" s="11">
        <f t="shared" ca="1" si="284"/>
        <v>4.7216686282335543</v>
      </c>
      <c r="G3649" s="10">
        <f t="shared" ca="1" si="282"/>
        <v>1</v>
      </c>
    </row>
    <row r="3650" spans="1:7" x14ac:dyDescent="0.2">
      <c r="A3650" s="2">
        <v>20040824</v>
      </c>
      <c r="B3650" s="13">
        <v>10098.629999999999</v>
      </c>
      <c r="C3650" s="2">
        <f t="shared" si="285"/>
        <v>2.5394493226976863E-3</v>
      </c>
      <c r="D3650" s="21">
        <f t="shared" ca="1" si="281"/>
        <v>2.1554969075908191E-3</v>
      </c>
      <c r="E3650" s="21">
        <f t="shared" ca="1" si="283"/>
        <v>5.8800409043885887E-5</v>
      </c>
      <c r="F3650" s="11">
        <f t="shared" ca="1" si="284"/>
        <v>4.8311729260185521</v>
      </c>
      <c r="G3650" s="10">
        <f t="shared" ca="1" si="282"/>
        <v>1</v>
      </c>
    </row>
    <row r="3651" spans="1:7" x14ac:dyDescent="0.2">
      <c r="A3651" s="2">
        <v>20040825</v>
      </c>
      <c r="B3651" s="13">
        <v>10181.74</v>
      </c>
      <c r="C3651" s="2">
        <f t="shared" si="285"/>
        <v>8.2298291946531939E-3</v>
      </c>
      <c r="D3651" s="21">
        <f t="shared" ca="1" si="281"/>
        <v>7.8458767795463267E-3</v>
      </c>
      <c r="E3651" s="21">
        <f t="shared" ca="1" si="283"/>
        <v>5.6905527768217785E-5</v>
      </c>
      <c r="F3651" s="11">
        <f t="shared" ca="1" si="284"/>
        <v>4.3461820350051363</v>
      </c>
      <c r="G3651" s="10">
        <f t="shared" ca="1" si="282"/>
        <v>0</v>
      </c>
    </row>
    <row r="3652" spans="1:7" x14ac:dyDescent="0.2">
      <c r="A3652" s="2">
        <v>20040826</v>
      </c>
      <c r="B3652" s="13">
        <v>10173.41</v>
      </c>
      <c r="C3652" s="2">
        <f t="shared" si="285"/>
        <v>-8.1813128207948026E-4</v>
      </c>
      <c r="D3652" s="21">
        <f t="shared" ca="1" si="281"/>
        <v>-1.2020836971863476E-3</v>
      </c>
      <c r="E3652" s="21">
        <f t="shared" ca="1" si="283"/>
        <v>5.7199248633275608E-5</v>
      </c>
      <c r="F3652" s="11">
        <f t="shared" ca="1" si="284"/>
        <v>4.8718535673338019</v>
      </c>
      <c r="G3652" s="10">
        <f t="shared" ca="1" si="282"/>
        <v>1</v>
      </c>
    </row>
    <row r="3653" spans="1:7" x14ac:dyDescent="0.2">
      <c r="A3653" s="2">
        <v>20040827</v>
      </c>
      <c r="B3653" s="13">
        <v>10195.01</v>
      </c>
      <c r="C3653" s="2">
        <f t="shared" si="285"/>
        <v>2.123181902626589E-3</v>
      </c>
      <c r="D3653" s="21">
        <f t="shared" ca="1" si="281"/>
        <v>1.7392294875197218E-3</v>
      </c>
      <c r="E3653" s="21">
        <f t="shared" ca="1" si="283"/>
        <v>5.5267658284765143E-5</v>
      </c>
      <c r="F3653" s="11">
        <f t="shared" ca="1" si="284"/>
        <v>4.8742952427432407</v>
      </c>
      <c r="G3653" s="10">
        <f t="shared" ca="1" si="282"/>
        <v>1</v>
      </c>
    </row>
    <row r="3654" spans="1:7" x14ac:dyDescent="0.2">
      <c r="A3654" s="2">
        <v>20040830</v>
      </c>
      <c r="B3654" s="13">
        <v>10122.52</v>
      </c>
      <c r="C3654" s="2">
        <f t="shared" si="285"/>
        <v>-7.110341235565221E-3</v>
      </c>
      <c r="D3654" s="21">
        <f t="shared" ca="1" si="281"/>
        <v>-7.4942936506720882E-3</v>
      </c>
      <c r="E3654" s="21">
        <f t="shared" ca="1" si="283"/>
        <v>5.3491883924197854E-5</v>
      </c>
      <c r="F3654" s="11">
        <f t="shared" ca="1" si="284"/>
        <v>4.3930093847323048</v>
      </c>
      <c r="G3654" s="10">
        <f t="shared" ca="1" si="282"/>
        <v>0</v>
      </c>
    </row>
    <row r="3655" spans="1:7" x14ac:dyDescent="0.2">
      <c r="A3655" s="2">
        <v>20040831</v>
      </c>
      <c r="B3655" s="13">
        <v>10173.92</v>
      </c>
      <c r="C3655" s="2">
        <f t="shared" si="285"/>
        <v>5.0777869542366558E-3</v>
      </c>
      <c r="D3655" s="21">
        <f t="shared" ca="1" si="281"/>
        <v>4.6938345391297886E-3</v>
      </c>
      <c r="E3655" s="21">
        <f t="shared" ca="1" si="283"/>
        <v>5.3759979438317395E-5</v>
      </c>
      <c r="F3655" s="11">
        <f t="shared" ca="1" si="284"/>
        <v>4.7105790604720283</v>
      </c>
      <c r="G3655" s="10">
        <f t="shared" ca="1" si="282"/>
        <v>1</v>
      </c>
    </row>
    <row r="3656" spans="1:7" x14ac:dyDescent="0.2">
      <c r="A3656" s="2">
        <v>20040901</v>
      </c>
      <c r="B3656" s="13">
        <v>10168.459999999999</v>
      </c>
      <c r="C3656" s="2">
        <f t="shared" si="285"/>
        <v>-5.3666629971544364E-4</v>
      </c>
      <c r="D3656" s="21">
        <f t="shared" ca="1" si="281"/>
        <v>-9.2061871482231094E-4</v>
      </c>
      <c r="E3656" s="21">
        <f t="shared" ca="1" si="283"/>
        <v>5.2759405635227767E-5</v>
      </c>
      <c r="F3656" s="11">
        <f t="shared" ca="1" si="284"/>
        <v>4.916852136684108</v>
      </c>
      <c r="G3656" s="10">
        <f t="shared" ca="1" si="282"/>
        <v>1</v>
      </c>
    </row>
    <row r="3657" spans="1:7" x14ac:dyDescent="0.2">
      <c r="A3657" s="2">
        <v>20040902</v>
      </c>
      <c r="B3657" s="13">
        <v>10290.280000000001</v>
      </c>
      <c r="C3657" s="2">
        <f t="shared" si="285"/>
        <v>1.1980181856446457E-2</v>
      </c>
      <c r="D3657" s="21">
        <f t="shared" ca="1" si="281"/>
        <v>1.1596229441339589E-2</v>
      </c>
      <c r="E3657" s="21">
        <f t="shared" ca="1" si="283"/>
        <v>5.1030458523249606E-5</v>
      </c>
      <c r="F3657" s="11">
        <f t="shared" ca="1" si="284"/>
        <v>3.6239726181655998</v>
      </c>
      <c r="G3657" s="10">
        <f t="shared" ca="1" si="282"/>
        <v>0</v>
      </c>
    </row>
    <row r="3658" spans="1:7" x14ac:dyDescent="0.2">
      <c r="A3658" s="2">
        <v>20040903</v>
      </c>
      <c r="B3658" s="13">
        <v>10260.200000000001</v>
      </c>
      <c r="C3658" s="2">
        <f t="shared" si="285"/>
        <v>-2.9231468920184801E-3</v>
      </c>
      <c r="D3658" s="21">
        <f t="shared" ca="1" si="281"/>
        <v>-3.3070993071253473E-3</v>
      </c>
      <c r="E3658" s="21">
        <f t="shared" ca="1" si="283"/>
        <v>5.4302603923051944E-5</v>
      </c>
      <c r="F3658" s="11">
        <f t="shared" ca="1" si="284"/>
        <v>4.8097658612730054</v>
      </c>
      <c r="G3658" s="10">
        <f t="shared" ca="1" si="282"/>
        <v>1</v>
      </c>
    </row>
    <row r="3659" spans="1:7" x14ac:dyDescent="0.2">
      <c r="A3659" s="2">
        <v>20040907</v>
      </c>
      <c r="B3659" s="13">
        <v>10341.16</v>
      </c>
      <c r="C3659" s="2">
        <f t="shared" si="285"/>
        <v>7.8906843921170266E-3</v>
      </c>
      <c r="D3659" s="21">
        <f t="shared" ca="1" si="281"/>
        <v>7.5067319770101594E-3</v>
      </c>
      <c r="E3659" s="21">
        <f t="shared" ca="1" si="283"/>
        <v>5.2866589543007177E-5</v>
      </c>
      <c r="F3659" s="11">
        <f t="shared" ca="1" si="284"/>
        <v>4.3909145121789752</v>
      </c>
      <c r="G3659" s="10">
        <f t="shared" ca="1" si="282"/>
        <v>0</v>
      </c>
    </row>
    <row r="3660" spans="1:7" x14ac:dyDescent="0.2">
      <c r="A3660" s="2">
        <v>20040908</v>
      </c>
      <c r="B3660" s="13">
        <v>10313.36</v>
      </c>
      <c r="C3660" s="2">
        <f t="shared" si="285"/>
        <v>-2.6882864204788703E-3</v>
      </c>
      <c r="D3660" s="21">
        <f t="shared" ca="1" si="281"/>
        <v>-3.0722388355857375E-3</v>
      </c>
      <c r="E3660" s="21">
        <f t="shared" ca="1" si="283"/>
        <v>5.3173180059519114E-5</v>
      </c>
      <c r="F3660" s="11">
        <f t="shared" ca="1" si="284"/>
        <v>4.8322243373219935</v>
      </c>
      <c r="G3660" s="10">
        <f t="shared" ca="1" si="282"/>
        <v>1</v>
      </c>
    </row>
    <row r="3661" spans="1:7" x14ac:dyDescent="0.2">
      <c r="A3661" s="2">
        <v>20040909</v>
      </c>
      <c r="B3661" s="13">
        <v>10289.1</v>
      </c>
      <c r="C3661" s="2">
        <f t="shared" si="285"/>
        <v>-2.3522886818650971E-3</v>
      </c>
      <c r="D3661" s="21">
        <f t="shared" ca="1" si="281"/>
        <v>-2.7362410969719642E-3</v>
      </c>
      <c r="E3661" s="21">
        <f t="shared" ca="1" si="283"/>
        <v>5.1739210175611196E-5</v>
      </c>
      <c r="F3661" s="11">
        <f t="shared" ca="1" si="284"/>
        <v>4.8622939252060382</v>
      </c>
      <c r="G3661" s="10">
        <f t="shared" ca="1" si="282"/>
        <v>1</v>
      </c>
    </row>
    <row r="3662" spans="1:7" x14ac:dyDescent="0.2">
      <c r="A3662" s="2">
        <v>20040910</v>
      </c>
      <c r="B3662" s="13">
        <v>10313.07</v>
      </c>
      <c r="C3662" s="2">
        <f t="shared" si="285"/>
        <v>2.3296498235996681E-3</v>
      </c>
      <c r="D3662" s="21">
        <f t="shared" ref="D3662:D3725" ca="1" si="286">(C3662-mu)</f>
        <v>1.9456974084928009E-3</v>
      </c>
      <c r="E3662" s="21">
        <f t="shared" ca="1" si="283"/>
        <v>5.0306020232426272E-5</v>
      </c>
      <c r="F3662" s="11">
        <f t="shared" ca="1" si="284"/>
        <v>4.9110658097142483</v>
      </c>
      <c r="G3662" s="10">
        <f t="shared" ref="G3662:G3725" ca="1" si="287">IF(AND(C3662&lt;=mu+zvalue*SQRT(E3662),C3662&gt;=mu-zvalue*SQRT(E3662)),1,0)</f>
        <v>1</v>
      </c>
    </row>
    <row r="3663" spans="1:7" x14ac:dyDescent="0.2">
      <c r="A3663" s="2">
        <v>20040913</v>
      </c>
      <c r="B3663" s="13">
        <v>10314.76</v>
      </c>
      <c r="C3663" s="2">
        <f t="shared" si="285"/>
        <v>1.6386973035192328E-4</v>
      </c>
      <c r="D3663" s="21">
        <f t="shared" ca="1" si="286"/>
        <v>-2.2008268475494402E-4</v>
      </c>
      <c r="E3663" s="21">
        <f t="shared" ref="E3663:E3726" ca="1" si="288">(1-alpha-beta)*longvar+alpha*D3662^2+beta*E3662</f>
        <v>4.880923342484907E-5</v>
      </c>
      <c r="F3663" s="11">
        <f t="shared" ref="F3663:F3726" ca="1" si="289">(-0.5)*(LN(E3663)+D3663^2/E3663)</f>
        <v>4.9632993461522794</v>
      </c>
      <c r="G3663" s="10">
        <f t="shared" ca="1" si="287"/>
        <v>1</v>
      </c>
    </row>
    <row r="3664" spans="1:7" x14ac:dyDescent="0.2">
      <c r="A3664" s="2">
        <v>20040914</v>
      </c>
      <c r="B3664" s="13">
        <v>10318.16</v>
      </c>
      <c r="C3664" s="2">
        <f t="shared" si="285"/>
        <v>3.2962473193749888E-4</v>
      </c>
      <c r="D3664" s="21">
        <f t="shared" ca="1" si="286"/>
        <v>-5.4327683169368417E-5</v>
      </c>
      <c r="E3664" s="21">
        <f t="shared" ca="1" si="288"/>
        <v>4.7250742434024811E-5</v>
      </c>
      <c r="F3664" s="11">
        <f t="shared" ca="1" si="289"/>
        <v>4.9799898633458621</v>
      </c>
      <c r="G3664" s="10">
        <f t="shared" ca="1" si="287"/>
        <v>1</v>
      </c>
    </row>
    <row r="3665" spans="1:7" x14ac:dyDescent="0.2">
      <c r="A3665" s="2">
        <v>20040915</v>
      </c>
      <c r="B3665" s="13">
        <v>10231.36</v>
      </c>
      <c r="C3665" s="2">
        <f t="shared" si="285"/>
        <v>-8.4123525899965964E-3</v>
      </c>
      <c r="D3665" s="21">
        <f t="shared" ca="1" si="286"/>
        <v>-8.7963050051034636E-3</v>
      </c>
      <c r="E3665" s="21">
        <f t="shared" ca="1" si="288"/>
        <v>4.5769423456722034E-5</v>
      </c>
      <c r="F3665" s="11">
        <f t="shared" ca="1" si="289"/>
        <v>4.1506777987257868</v>
      </c>
      <c r="G3665" s="10">
        <f t="shared" ca="1" si="287"/>
        <v>0</v>
      </c>
    </row>
    <row r="3666" spans="1:7" x14ac:dyDescent="0.2">
      <c r="A3666" s="2">
        <v>20040916</v>
      </c>
      <c r="B3666" s="13">
        <v>10244.49</v>
      </c>
      <c r="C3666" s="2">
        <f t="shared" si="285"/>
        <v>1.2833093547680073E-3</v>
      </c>
      <c r="D3666" s="21">
        <f t="shared" ca="1" si="286"/>
        <v>8.9935693966114005E-4</v>
      </c>
      <c r="E3666" s="21">
        <f t="shared" ca="1" si="288"/>
        <v>4.7208149541564921E-5</v>
      </c>
      <c r="F3666" s="11">
        <f t="shared" ca="1" si="289"/>
        <v>4.9719052382744655</v>
      </c>
      <c r="G3666" s="10">
        <f t="shared" ca="1" si="287"/>
        <v>1</v>
      </c>
    </row>
    <row r="3667" spans="1:7" x14ac:dyDescent="0.2">
      <c r="A3667" s="2">
        <v>20040917</v>
      </c>
      <c r="B3667" s="13">
        <v>10284.459999999999</v>
      </c>
      <c r="C3667" s="2">
        <f t="shared" si="285"/>
        <v>3.9016095481570431E-3</v>
      </c>
      <c r="D3667" s="21">
        <f t="shared" ca="1" si="286"/>
        <v>3.5176571330501759E-3</v>
      </c>
      <c r="E3667" s="21">
        <f t="shared" ca="1" si="288"/>
        <v>4.5758619386903594E-5</v>
      </c>
      <c r="F3667" s="11">
        <f t="shared" ca="1" si="289"/>
        <v>4.8608566568764262</v>
      </c>
      <c r="G3667" s="10">
        <f t="shared" ca="1" si="287"/>
        <v>1</v>
      </c>
    </row>
    <row r="3668" spans="1:7" x14ac:dyDescent="0.2">
      <c r="A3668" s="2">
        <v>20040920</v>
      </c>
      <c r="B3668" s="13">
        <v>10204.89</v>
      </c>
      <c r="C3668" s="2">
        <f t="shared" si="285"/>
        <v>-7.7369156961084699E-3</v>
      </c>
      <c r="D3668" s="21">
        <f t="shared" ca="1" si="286"/>
        <v>-8.1208681112153371E-3</v>
      </c>
      <c r="E3668" s="21">
        <f t="shared" ca="1" si="288"/>
        <v>4.4807689213004234E-5</v>
      </c>
      <c r="F3668" s="11">
        <f t="shared" ca="1" si="289"/>
        <v>4.2706593526167982</v>
      </c>
      <c r="G3668" s="10">
        <f t="shared" ca="1" si="287"/>
        <v>0</v>
      </c>
    </row>
    <row r="3669" spans="1:7" x14ac:dyDescent="0.2">
      <c r="A3669" s="2">
        <v>20040921</v>
      </c>
      <c r="B3669" s="13">
        <v>10244.93</v>
      </c>
      <c r="C3669" s="2">
        <f t="shared" si="285"/>
        <v>3.9236091716815056E-3</v>
      </c>
      <c r="D3669" s="21">
        <f t="shared" ca="1" si="286"/>
        <v>3.5396567565746384E-3</v>
      </c>
      <c r="E3669" s="21">
        <f t="shared" ca="1" si="288"/>
        <v>4.587489802385023E-5</v>
      </c>
      <c r="F3669" s="11">
        <f t="shared" ca="1" si="289"/>
        <v>4.8582382230217744</v>
      </c>
      <c r="G3669" s="10">
        <f t="shared" ca="1" si="287"/>
        <v>1</v>
      </c>
    </row>
    <row r="3670" spans="1:7" x14ac:dyDescent="0.2">
      <c r="A3670" s="2">
        <v>20040922</v>
      </c>
      <c r="B3670" s="13">
        <v>10109.18</v>
      </c>
      <c r="C3670" s="2">
        <f t="shared" si="285"/>
        <v>-1.3250456567297189E-2</v>
      </c>
      <c r="D3670" s="21">
        <f t="shared" ca="1" si="286"/>
        <v>-1.3634408982404056E-2</v>
      </c>
      <c r="E3670" s="21">
        <f t="shared" ca="1" si="288"/>
        <v>4.4923794392312981E-5</v>
      </c>
      <c r="F3670" s="11">
        <f t="shared" ca="1" si="289"/>
        <v>2.9362442446631585</v>
      </c>
      <c r="G3670" s="10">
        <f t="shared" ca="1" si="287"/>
        <v>0</v>
      </c>
    </row>
    <row r="3671" spans="1:7" x14ac:dyDescent="0.2">
      <c r="A3671" s="2">
        <v>20040923</v>
      </c>
      <c r="B3671" s="13">
        <v>10038.9</v>
      </c>
      <c r="C3671" s="2">
        <f t="shared" si="285"/>
        <v>-6.9520970049005608E-3</v>
      </c>
      <c r="D3671" s="21">
        <f t="shared" ca="1" si="286"/>
        <v>-7.336049420007428E-3</v>
      </c>
      <c r="E3671" s="21">
        <f t="shared" ca="1" si="288"/>
        <v>5.0395849208187908E-5</v>
      </c>
      <c r="F3671" s="11">
        <f t="shared" ca="1" si="289"/>
        <v>4.413851926047947</v>
      </c>
      <c r="G3671" s="10">
        <f t="shared" ca="1" si="287"/>
        <v>0</v>
      </c>
    </row>
    <row r="3672" spans="1:7" x14ac:dyDescent="0.2">
      <c r="A3672" s="2">
        <v>20040924</v>
      </c>
      <c r="B3672" s="13">
        <v>10047.24</v>
      </c>
      <c r="C3672" s="2">
        <f t="shared" si="285"/>
        <v>8.3076831126917749E-4</v>
      </c>
      <c r="D3672" s="21">
        <f t="shared" ca="1" si="286"/>
        <v>4.468158961623102E-4</v>
      </c>
      <c r="E3672" s="21">
        <f t="shared" ca="1" si="288"/>
        <v>5.0734277607585939E-5</v>
      </c>
      <c r="F3672" s="11">
        <f t="shared" ca="1" si="289"/>
        <v>4.9424868445441037</v>
      </c>
      <c r="G3672" s="10">
        <f t="shared" ca="1" si="287"/>
        <v>1</v>
      </c>
    </row>
    <row r="3673" spans="1:7" x14ac:dyDescent="0.2">
      <c r="A3673" s="2">
        <v>20040927</v>
      </c>
      <c r="B3673" s="13">
        <v>9988.5400000000009</v>
      </c>
      <c r="C3673" s="2">
        <f t="shared" si="285"/>
        <v>-5.8424005000377128E-3</v>
      </c>
      <c r="D3673" s="21">
        <f t="shared" ca="1" si="286"/>
        <v>-6.22635291514458E-3</v>
      </c>
      <c r="E3673" s="21">
        <f t="shared" ca="1" si="288"/>
        <v>4.9083958181978583E-5</v>
      </c>
      <c r="F3673" s="11">
        <f t="shared" ca="1" si="289"/>
        <v>4.5660793631446328</v>
      </c>
      <c r="G3673" s="10">
        <f t="shared" ca="1" si="287"/>
        <v>1</v>
      </c>
    </row>
    <row r="3674" spans="1:7" x14ac:dyDescent="0.2">
      <c r="A3674" s="2">
        <v>20040928</v>
      </c>
      <c r="B3674" s="13">
        <v>10077.4</v>
      </c>
      <c r="C3674" s="2">
        <f t="shared" si="285"/>
        <v>8.8961950395151593E-3</v>
      </c>
      <c r="D3674" s="21">
        <f t="shared" ca="1" si="286"/>
        <v>8.5122426244082922E-3</v>
      </c>
      <c r="E3674" s="21">
        <f t="shared" ca="1" si="288"/>
        <v>4.8935335269340371E-5</v>
      </c>
      <c r="F3674" s="11">
        <f t="shared" ca="1" si="289"/>
        <v>4.2221582344032953</v>
      </c>
      <c r="G3674" s="10">
        <f t="shared" ca="1" si="287"/>
        <v>0</v>
      </c>
    </row>
    <row r="3675" spans="1:7" x14ac:dyDescent="0.2">
      <c r="A3675" s="2">
        <v>20040929</v>
      </c>
      <c r="B3675" s="13">
        <v>10136.24</v>
      </c>
      <c r="C3675" s="2">
        <f t="shared" si="285"/>
        <v>5.8388076289519267E-3</v>
      </c>
      <c r="D3675" s="21">
        <f t="shared" ca="1" si="286"/>
        <v>5.4548552138450595E-3</v>
      </c>
      <c r="E3675" s="21">
        <f t="shared" ca="1" si="288"/>
        <v>5.0033100922923007E-5</v>
      </c>
      <c r="F3675" s="11">
        <f t="shared" ca="1" si="289"/>
        <v>4.6540552787360054</v>
      </c>
      <c r="G3675" s="10">
        <f t="shared" ca="1" si="287"/>
        <v>1</v>
      </c>
    </row>
    <row r="3676" spans="1:7" x14ac:dyDescent="0.2">
      <c r="A3676" s="2">
        <v>20040930</v>
      </c>
      <c r="B3676" s="13">
        <v>10080.27</v>
      </c>
      <c r="C3676" s="2">
        <f t="shared" si="285"/>
        <v>-5.5217713866285078E-3</v>
      </c>
      <c r="D3676" s="21">
        <f t="shared" ca="1" si="286"/>
        <v>-5.905723801735375E-3</v>
      </c>
      <c r="E3676" s="21">
        <f t="shared" ca="1" si="288"/>
        <v>4.9505072663745133E-5</v>
      </c>
      <c r="F3676" s="11">
        <f t="shared" ca="1" si="289"/>
        <v>4.6044550835226685</v>
      </c>
      <c r="G3676" s="10">
        <f t="shared" ca="1" si="287"/>
        <v>1</v>
      </c>
    </row>
    <row r="3677" spans="1:7" x14ac:dyDescent="0.2">
      <c r="A3677" s="2">
        <v>20041001</v>
      </c>
      <c r="B3677" s="13">
        <v>10192.65</v>
      </c>
      <c r="C3677" s="2">
        <f t="shared" si="285"/>
        <v>1.1148510902981686E-2</v>
      </c>
      <c r="D3677" s="21">
        <f t="shared" ca="1" si="286"/>
        <v>1.0764558487874819E-2</v>
      </c>
      <c r="E3677" s="21">
        <f t="shared" ca="1" si="288"/>
        <v>4.9192107126126328E-5</v>
      </c>
      <c r="F3677" s="11">
        <f t="shared" ca="1" si="289"/>
        <v>3.7821009652849558</v>
      </c>
      <c r="G3677" s="10">
        <f t="shared" ca="1" si="287"/>
        <v>0</v>
      </c>
    </row>
    <row r="3678" spans="1:7" x14ac:dyDescent="0.2">
      <c r="A3678" s="2">
        <v>20041004</v>
      </c>
      <c r="B3678" s="13">
        <v>10216.540000000001</v>
      </c>
      <c r="C3678" s="2">
        <f t="shared" si="285"/>
        <v>2.3438458104615813E-3</v>
      </c>
      <c r="D3678" s="21">
        <f t="shared" ca="1" si="286"/>
        <v>1.9598933953547141E-3</v>
      </c>
      <c r="E3678" s="21">
        <f t="shared" ca="1" si="288"/>
        <v>5.1873417866350906E-5</v>
      </c>
      <c r="F3678" s="11">
        <f t="shared" ca="1" si="289"/>
        <v>4.8963274680776063</v>
      </c>
      <c r="G3678" s="10">
        <f t="shared" ca="1" si="287"/>
        <v>1</v>
      </c>
    </row>
    <row r="3679" spans="1:7" x14ac:dyDescent="0.2">
      <c r="A3679" s="2">
        <v>20041005</v>
      </c>
      <c r="B3679" s="13">
        <v>10177.68</v>
      </c>
      <c r="C3679" s="2">
        <f t="shared" si="285"/>
        <v>-3.8036360646559971E-3</v>
      </c>
      <c r="D3679" s="21">
        <f t="shared" ca="1" si="286"/>
        <v>-4.1875884797628648E-3</v>
      </c>
      <c r="E3679" s="21">
        <f t="shared" ca="1" si="288"/>
        <v>5.0299374658620474E-5</v>
      </c>
      <c r="F3679" s="11">
        <f t="shared" ca="1" si="289"/>
        <v>4.7744436952636056</v>
      </c>
      <c r="G3679" s="10">
        <f t="shared" ca="1" si="287"/>
        <v>1</v>
      </c>
    </row>
    <row r="3680" spans="1:7" x14ac:dyDescent="0.2">
      <c r="A3680" s="2">
        <v>20041006</v>
      </c>
      <c r="B3680" s="13">
        <v>10239.92</v>
      </c>
      <c r="C3680" s="2">
        <f t="shared" si="285"/>
        <v>6.1153425928109134E-3</v>
      </c>
      <c r="D3680" s="21">
        <f t="shared" ca="1" si="286"/>
        <v>5.7313901777040462E-3</v>
      </c>
      <c r="E3680" s="21">
        <f t="shared" ca="1" si="288"/>
        <v>4.9308541402900338E-5</v>
      </c>
      <c r="F3680" s="11">
        <f t="shared" ca="1" si="289"/>
        <v>4.6256118607794869</v>
      </c>
      <c r="G3680" s="10">
        <f t="shared" ca="1" si="287"/>
        <v>1</v>
      </c>
    </row>
    <row r="3681" spans="1:7" x14ac:dyDescent="0.2">
      <c r="A3681" s="2">
        <v>20041007</v>
      </c>
      <c r="B3681" s="13">
        <v>10125.4</v>
      </c>
      <c r="C3681" s="2">
        <f t="shared" si="285"/>
        <v>-1.1183681122508813E-2</v>
      </c>
      <c r="D3681" s="21">
        <f t="shared" ca="1" si="286"/>
        <v>-1.156763353761568E-2</v>
      </c>
      <c r="E3681" s="21">
        <f t="shared" ca="1" si="288"/>
        <v>4.8930918125088557E-5</v>
      </c>
      <c r="F3681" s="11">
        <f t="shared" ca="1" si="289"/>
        <v>3.5952131758353945</v>
      </c>
      <c r="G3681" s="10">
        <f t="shared" ca="1" si="287"/>
        <v>0</v>
      </c>
    </row>
    <row r="3682" spans="1:7" x14ac:dyDescent="0.2">
      <c r="A3682" s="2">
        <v>20041008</v>
      </c>
      <c r="B3682" s="13">
        <v>10055.200000000001</v>
      </c>
      <c r="C3682" s="2">
        <f t="shared" si="285"/>
        <v>-6.9330594346888926E-3</v>
      </c>
      <c r="D3682" s="21">
        <f t="shared" ca="1" si="286"/>
        <v>-7.3170118497957598E-3</v>
      </c>
      <c r="E3682" s="21">
        <f t="shared" ca="1" si="288"/>
        <v>5.2284922669399681E-5</v>
      </c>
      <c r="F3682" s="11">
        <f t="shared" ca="1" si="289"/>
        <v>4.4174117609846011</v>
      </c>
      <c r="G3682" s="10">
        <f t="shared" ca="1" si="287"/>
        <v>0</v>
      </c>
    </row>
    <row r="3683" spans="1:7" x14ac:dyDescent="0.2">
      <c r="A3683" s="2">
        <v>20041011</v>
      </c>
      <c r="B3683" s="13">
        <v>10081.969999999999</v>
      </c>
      <c r="C3683" s="2">
        <f t="shared" si="285"/>
        <v>2.6623040814701465E-3</v>
      </c>
      <c r="D3683" s="21">
        <f t="shared" ca="1" si="286"/>
        <v>2.2783516663632793E-3</v>
      </c>
      <c r="E3683" s="21">
        <f t="shared" ca="1" si="288"/>
        <v>5.2517524422551255E-5</v>
      </c>
      <c r="F3683" s="11">
        <f t="shared" ca="1" si="289"/>
        <v>4.8777613067357501</v>
      </c>
      <c r="G3683" s="10">
        <f t="shared" ca="1" si="287"/>
        <v>1</v>
      </c>
    </row>
    <row r="3684" spans="1:7" x14ac:dyDescent="0.2">
      <c r="A3684" s="2">
        <v>20041012</v>
      </c>
      <c r="B3684" s="13">
        <v>10077.18</v>
      </c>
      <c r="C3684" s="2">
        <f t="shared" si="285"/>
        <v>-4.7510555972682465E-4</v>
      </c>
      <c r="D3684" s="21">
        <f t="shared" ca="1" si="286"/>
        <v>-8.5905797483369194E-4</v>
      </c>
      <c r="E3684" s="21">
        <f t="shared" ca="1" si="288"/>
        <v>5.0960526631938897E-5</v>
      </c>
      <c r="F3684" s="11">
        <f t="shared" ca="1" si="289"/>
        <v>4.9349888980855958</v>
      </c>
      <c r="G3684" s="10">
        <f t="shared" ca="1" si="287"/>
        <v>1</v>
      </c>
    </row>
    <row r="3685" spans="1:7" x14ac:dyDescent="0.2">
      <c r="A3685" s="2">
        <v>20041013</v>
      </c>
      <c r="B3685" s="13">
        <v>10002.33</v>
      </c>
      <c r="C3685" s="2">
        <f t="shared" si="285"/>
        <v>-7.4276732181027191E-3</v>
      </c>
      <c r="D3685" s="21">
        <f t="shared" ca="1" si="286"/>
        <v>-7.8116256332095863E-3</v>
      </c>
      <c r="E3685" s="21">
        <f t="shared" ca="1" si="288"/>
        <v>4.931855675422278E-5</v>
      </c>
      <c r="F3685" s="11">
        <f t="shared" ca="1" si="289"/>
        <v>4.339958672963351</v>
      </c>
      <c r="G3685" s="10">
        <f t="shared" ca="1" si="287"/>
        <v>0</v>
      </c>
    </row>
    <row r="3686" spans="1:7" x14ac:dyDescent="0.2">
      <c r="A3686" s="2">
        <v>20041014</v>
      </c>
      <c r="B3686" s="13">
        <v>9894.4500000000007</v>
      </c>
      <c r="C3686" s="2">
        <f t="shared" si="285"/>
        <v>-1.0785486981533223E-2</v>
      </c>
      <c r="D3686" s="21">
        <f t="shared" ca="1" si="286"/>
        <v>-1.116943939664009E-2</v>
      </c>
      <c r="E3686" s="21">
        <f t="shared" ca="1" si="288"/>
        <v>4.997638475668056E-5</v>
      </c>
      <c r="F3686" s="11">
        <f t="shared" ca="1" si="289"/>
        <v>3.7038267112696985</v>
      </c>
      <c r="G3686" s="10">
        <f t="shared" ca="1" si="287"/>
        <v>0</v>
      </c>
    </row>
    <row r="3687" spans="1:7" x14ac:dyDescent="0.2">
      <c r="A3687" s="2">
        <v>20041015</v>
      </c>
      <c r="B3687" s="13">
        <v>9933.3799999999992</v>
      </c>
      <c r="C3687" s="2">
        <f t="shared" si="285"/>
        <v>3.9345289530998157E-3</v>
      </c>
      <c r="D3687" s="21">
        <f t="shared" ca="1" si="286"/>
        <v>3.5505765379929485E-3</v>
      </c>
      <c r="E3687" s="21">
        <f t="shared" ca="1" si="288"/>
        <v>5.2944575897141173E-5</v>
      </c>
      <c r="F3687" s="11">
        <f t="shared" ca="1" si="289"/>
        <v>4.8040778350210855</v>
      </c>
      <c r="G3687" s="10">
        <f t="shared" ca="1" si="287"/>
        <v>1</v>
      </c>
    </row>
    <row r="3688" spans="1:7" x14ac:dyDescent="0.2">
      <c r="A3688" s="2">
        <v>20041018</v>
      </c>
      <c r="B3688" s="13">
        <v>9956.32</v>
      </c>
      <c r="C3688" s="2">
        <f t="shared" si="285"/>
        <v>2.3093851236941011E-3</v>
      </c>
      <c r="D3688" s="21">
        <f t="shared" ca="1" si="286"/>
        <v>1.925432708587234E-3</v>
      </c>
      <c r="E3688" s="21">
        <f t="shared" ca="1" si="288"/>
        <v>5.1638661942431724E-5</v>
      </c>
      <c r="F3688" s="11">
        <f t="shared" ca="1" si="289"/>
        <v>4.8997234841467305</v>
      </c>
      <c r="G3688" s="10">
        <f t="shared" ca="1" si="287"/>
        <v>1</v>
      </c>
    </row>
    <row r="3689" spans="1:7" x14ac:dyDescent="0.2">
      <c r="A3689" s="2">
        <v>20041019</v>
      </c>
      <c r="B3689" s="13">
        <v>9897.6200000000008</v>
      </c>
      <c r="C3689" s="2">
        <f t="shared" si="285"/>
        <v>-5.8957526475644523E-3</v>
      </c>
      <c r="D3689" s="21">
        <f t="shared" ca="1" si="286"/>
        <v>-6.2797050626713195E-3</v>
      </c>
      <c r="E3689" s="21">
        <f t="shared" ca="1" si="288"/>
        <v>5.0071571708123729E-5</v>
      </c>
      <c r="F3689" s="11">
        <f t="shared" ca="1" si="289"/>
        <v>4.5572452890503792</v>
      </c>
      <c r="G3689" s="10">
        <f t="shared" ca="1" si="287"/>
        <v>1</v>
      </c>
    </row>
    <row r="3690" spans="1:7" x14ac:dyDescent="0.2">
      <c r="A3690" s="2">
        <v>20041020</v>
      </c>
      <c r="B3690" s="13">
        <v>9886.93</v>
      </c>
      <c r="C3690" s="2">
        <f t="shared" si="285"/>
        <v>-1.0800576300161562E-3</v>
      </c>
      <c r="D3690" s="21">
        <f t="shared" ca="1" si="286"/>
        <v>-1.4640100451230233E-3</v>
      </c>
      <c r="E3690" s="21">
        <f t="shared" ca="1" si="288"/>
        <v>4.9897520132114544E-5</v>
      </c>
      <c r="F3690" s="11">
        <f t="shared" ca="1" si="289"/>
        <v>4.9312923527104502</v>
      </c>
      <c r="G3690" s="10">
        <f t="shared" ca="1" si="287"/>
        <v>1</v>
      </c>
    </row>
    <row r="3691" spans="1:7" x14ac:dyDescent="0.2">
      <c r="A3691" s="2">
        <v>20041021</v>
      </c>
      <c r="B3691" s="13">
        <v>9865.76</v>
      </c>
      <c r="C3691" s="2">
        <f t="shared" si="285"/>
        <v>-2.1412106690347835E-3</v>
      </c>
      <c r="D3691" s="21">
        <f t="shared" ca="1" si="286"/>
        <v>-2.5251630841416507E-3</v>
      </c>
      <c r="E3691" s="21">
        <f t="shared" ca="1" si="288"/>
        <v>4.8361005085626466E-5</v>
      </c>
      <c r="F3691" s="11">
        <f t="shared" ca="1" si="289"/>
        <v>4.9024828567300869</v>
      </c>
      <c r="G3691" s="10">
        <f t="shared" ca="1" si="287"/>
        <v>1</v>
      </c>
    </row>
    <row r="3692" spans="1:7" x14ac:dyDescent="0.2">
      <c r="A3692" s="2">
        <v>20041022</v>
      </c>
      <c r="B3692" s="13">
        <v>9757.81</v>
      </c>
      <c r="C3692" s="2">
        <f t="shared" si="285"/>
        <v>-1.0941883848786178E-2</v>
      </c>
      <c r="D3692" s="21">
        <f t="shared" ca="1" si="286"/>
        <v>-1.1325836263893045E-2</v>
      </c>
      <c r="E3692" s="21">
        <f t="shared" ca="1" si="288"/>
        <v>4.7057882172162272E-5</v>
      </c>
      <c r="F3692" s="11">
        <f t="shared" ca="1" si="289"/>
        <v>3.6191215498825198</v>
      </c>
      <c r="G3692" s="10">
        <f t="shared" ca="1" si="287"/>
        <v>0</v>
      </c>
    </row>
    <row r="3693" spans="1:7" x14ac:dyDescent="0.2">
      <c r="A3693" s="2">
        <v>20041025</v>
      </c>
      <c r="B3693" s="13">
        <v>9749.99</v>
      </c>
      <c r="C3693" s="2">
        <f t="shared" si="285"/>
        <v>-8.0140933262686084E-4</v>
      </c>
      <c r="D3693" s="21">
        <f t="shared" ca="1" si="286"/>
        <v>-1.185361747733728E-3</v>
      </c>
      <c r="E3693" s="21">
        <f t="shared" ca="1" si="288"/>
        <v>5.0303091332139323E-5</v>
      </c>
      <c r="F3693" s="11">
        <f t="shared" ca="1" si="289"/>
        <v>4.9347558481625375</v>
      </c>
      <c r="G3693" s="10">
        <f t="shared" ca="1" si="287"/>
        <v>1</v>
      </c>
    </row>
    <row r="3694" spans="1:7" x14ac:dyDescent="0.2">
      <c r="A3694" s="2">
        <v>20041026</v>
      </c>
      <c r="B3694" s="13">
        <v>9888.48</v>
      </c>
      <c r="C3694" s="2">
        <f t="shared" ref="C3694:C3757" si="290">(B3694-B3693)/B3693</f>
        <v>1.4204117132427805E-2</v>
      </c>
      <c r="D3694" s="21">
        <f t="shared" ca="1" si="286"/>
        <v>1.3820164717320938E-2</v>
      </c>
      <c r="E3694" s="21">
        <f t="shared" ca="1" si="288"/>
        <v>4.8718911823219452E-5</v>
      </c>
      <c r="F3694" s="11">
        <f t="shared" ca="1" si="289"/>
        <v>3.0045285019872381</v>
      </c>
      <c r="G3694" s="10">
        <f t="shared" ca="1" si="287"/>
        <v>0</v>
      </c>
    </row>
    <row r="3695" spans="1:7" x14ac:dyDescent="0.2">
      <c r="A3695" s="2">
        <v>20041027</v>
      </c>
      <c r="B3695" s="13">
        <v>10002.030000000001</v>
      </c>
      <c r="C3695" s="2">
        <f t="shared" si="290"/>
        <v>1.1483059074802305E-2</v>
      </c>
      <c r="D3695" s="21">
        <f t="shared" ca="1" si="286"/>
        <v>1.1099106659695438E-2</v>
      </c>
      <c r="E3695" s="21">
        <f t="shared" ca="1" si="288"/>
        <v>5.4186500586032017E-5</v>
      </c>
      <c r="F3695" s="11">
        <f t="shared" ca="1" si="289"/>
        <v>3.7748155834499029</v>
      </c>
      <c r="G3695" s="10">
        <f t="shared" ca="1" si="287"/>
        <v>0</v>
      </c>
    </row>
    <row r="3696" spans="1:7" x14ac:dyDescent="0.2">
      <c r="A3696" s="2">
        <v>20041028</v>
      </c>
      <c r="B3696" s="13">
        <v>10004.540000000001</v>
      </c>
      <c r="C3696" s="2">
        <f t="shared" si="290"/>
        <v>2.5094905734138152E-4</v>
      </c>
      <c r="D3696" s="21">
        <f t="shared" ca="1" si="286"/>
        <v>-1.3300335776548578E-4</v>
      </c>
      <c r="E3696" s="21">
        <f t="shared" ca="1" si="288"/>
        <v>5.6884108385263546E-5</v>
      </c>
      <c r="F3696" s="11">
        <f t="shared" ca="1" si="289"/>
        <v>4.8870917823981079</v>
      </c>
      <c r="G3696" s="10">
        <f t="shared" ca="1" si="287"/>
        <v>1</v>
      </c>
    </row>
    <row r="3697" spans="1:7" x14ac:dyDescent="0.2">
      <c r="A3697" s="2">
        <v>20041029</v>
      </c>
      <c r="B3697" s="13">
        <v>10027.469999999999</v>
      </c>
      <c r="C3697" s="2">
        <f t="shared" si="290"/>
        <v>2.2919594504093609E-3</v>
      </c>
      <c r="D3697" s="21">
        <f t="shared" ca="1" si="286"/>
        <v>1.9080070353024938E-3</v>
      </c>
      <c r="E3697" s="21">
        <f t="shared" ca="1" si="288"/>
        <v>5.4915976209119772E-5</v>
      </c>
      <c r="F3697" s="11">
        <f t="shared" ca="1" si="289"/>
        <v>4.8717071144091015</v>
      </c>
      <c r="G3697" s="10">
        <f t="shared" ca="1" si="287"/>
        <v>1</v>
      </c>
    </row>
    <row r="3698" spans="1:7" x14ac:dyDescent="0.2">
      <c r="A3698" s="2">
        <v>20041101</v>
      </c>
      <c r="B3698" s="13">
        <v>10054.39</v>
      </c>
      <c r="C3698" s="2">
        <f t="shared" si="290"/>
        <v>2.6846253342069411E-3</v>
      </c>
      <c r="D3698" s="21">
        <f t="shared" ca="1" si="286"/>
        <v>2.300672919100074E-3</v>
      </c>
      <c r="E3698" s="21">
        <f t="shared" ca="1" si="288"/>
        <v>5.3180629204447092E-5</v>
      </c>
      <c r="F3698" s="11">
        <f t="shared" ca="1" si="289"/>
        <v>4.871142908410568</v>
      </c>
      <c r="G3698" s="10">
        <f t="shared" ca="1" si="287"/>
        <v>1</v>
      </c>
    </row>
    <row r="3699" spans="1:7" x14ac:dyDescent="0.2">
      <c r="A3699" s="2">
        <v>20041102</v>
      </c>
      <c r="B3699" s="13">
        <v>10035.73</v>
      </c>
      <c r="C3699" s="2">
        <f t="shared" si="290"/>
        <v>-1.8559057287413612E-3</v>
      </c>
      <c r="D3699" s="21">
        <f t="shared" ca="1" si="286"/>
        <v>-2.2398581438482284E-3</v>
      </c>
      <c r="E3699" s="21">
        <f t="shared" ca="1" si="288"/>
        <v>5.1593843148751872E-5</v>
      </c>
      <c r="F3699" s="11">
        <f t="shared" ca="1" si="289"/>
        <v>4.8874343073148836</v>
      </c>
      <c r="G3699" s="10">
        <f t="shared" ca="1" si="287"/>
        <v>1</v>
      </c>
    </row>
    <row r="3700" spans="1:7" x14ac:dyDescent="0.2">
      <c r="A3700" s="2">
        <v>20041103</v>
      </c>
      <c r="B3700" s="13">
        <v>10137.049999999999</v>
      </c>
      <c r="C3700" s="2">
        <f t="shared" si="290"/>
        <v>1.009592725192883E-2</v>
      </c>
      <c r="D3700" s="21">
        <f t="shared" ca="1" si="286"/>
        <v>9.7119748368219624E-3</v>
      </c>
      <c r="E3700" s="21">
        <f t="shared" ca="1" si="288"/>
        <v>5.0077179289248041E-5</v>
      </c>
      <c r="F3700" s="11">
        <f t="shared" ca="1" si="289"/>
        <v>4.0092017302109566</v>
      </c>
      <c r="G3700" s="10">
        <f t="shared" ca="1" si="287"/>
        <v>0</v>
      </c>
    </row>
    <row r="3701" spans="1:7" x14ac:dyDescent="0.2">
      <c r="A3701" s="2">
        <v>20041104</v>
      </c>
      <c r="B3701" s="13">
        <v>10314.76</v>
      </c>
      <c r="C3701" s="2">
        <f t="shared" si="290"/>
        <v>1.7530741191964225E-2</v>
      </c>
      <c r="D3701" s="21">
        <f t="shared" ca="1" si="286"/>
        <v>1.7146788776857356E-2</v>
      </c>
      <c r="E3701" s="21">
        <f t="shared" ca="1" si="288"/>
        <v>5.1921162779382685E-5</v>
      </c>
      <c r="F3701" s="11">
        <f t="shared" ca="1" si="289"/>
        <v>2.101557483061423</v>
      </c>
      <c r="G3701" s="10">
        <f t="shared" ca="1" si="287"/>
        <v>0</v>
      </c>
    </row>
    <row r="3702" spans="1:7" x14ac:dyDescent="0.2">
      <c r="A3702" s="2">
        <v>20041105</v>
      </c>
      <c r="B3702" s="13">
        <v>10387.540000000001</v>
      </c>
      <c r="C3702" s="2">
        <f t="shared" si="290"/>
        <v>7.0559082324746919E-3</v>
      </c>
      <c r="D3702" s="21">
        <f t="shared" ca="1" si="286"/>
        <v>6.6719558173678247E-3</v>
      </c>
      <c r="E3702" s="21">
        <f t="shared" ca="1" si="288"/>
        <v>6.1014805200947431E-5</v>
      </c>
      <c r="F3702" s="11">
        <f t="shared" ca="1" si="289"/>
        <v>4.4874085411546698</v>
      </c>
      <c r="G3702" s="10">
        <f t="shared" ca="1" si="287"/>
        <v>1</v>
      </c>
    </row>
    <row r="3703" spans="1:7" x14ac:dyDescent="0.2">
      <c r="A3703" s="2">
        <v>20041108</v>
      </c>
      <c r="B3703" s="13">
        <v>10391.31</v>
      </c>
      <c r="C3703" s="2">
        <f t="shared" si="290"/>
        <v>3.6293482383688698E-4</v>
      </c>
      <c r="D3703" s="21">
        <f t="shared" ca="1" si="286"/>
        <v>-2.1017591269980316E-5</v>
      </c>
      <c r="E3703" s="21">
        <f t="shared" ca="1" si="288"/>
        <v>6.0473943294973886E-5</v>
      </c>
      <c r="F3703" s="11">
        <f t="shared" ca="1" si="289"/>
        <v>4.8566453352102945</v>
      </c>
      <c r="G3703" s="10">
        <f t="shared" ca="1" si="287"/>
        <v>1</v>
      </c>
    </row>
    <row r="3704" spans="1:7" x14ac:dyDescent="0.2">
      <c r="A3704" s="2">
        <v>20041109</v>
      </c>
      <c r="B3704" s="13">
        <v>10386.370000000001</v>
      </c>
      <c r="C3704" s="2">
        <f t="shared" si="290"/>
        <v>-4.7539723095535506E-4</v>
      </c>
      <c r="D3704" s="21">
        <f t="shared" ca="1" si="286"/>
        <v>-8.593496460622223E-4</v>
      </c>
      <c r="E3704" s="21">
        <f t="shared" ca="1" si="288"/>
        <v>5.8323565944003518E-5</v>
      </c>
      <c r="F3704" s="11">
        <f t="shared" ca="1" si="289"/>
        <v>4.8684212596700291</v>
      </c>
      <c r="G3704" s="10">
        <f t="shared" ca="1" si="287"/>
        <v>1</v>
      </c>
    </row>
    <row r="3705" spans="1:7" x14ac:dyDescent="0.2">
      <c r="A3705" s="2">
        <v>20041110</v>
      </c>
      <c r="B3705" s="13">
        <v>10385.48</v>
      </c>
      <c r="C3705" s="2">
        <f t="shared" si="290"/>
        <v>-8.5689225398405492E-5</v>
      </c>
      <c r="D3705" s="21">
        <f t="shared" ca="1" si="286"/>
        <v>-4.6964164050527276E-4</v>
      </c>
      <c r="E3705" s="21">
        <f t="shared" ca="1" si="288"/>
        <v>5.630911591347329E-5</v>
      </c>
      <c r="F3705" s="11">
        <f t="shared" ca="1" si="289"/>
        <v>4.8903685554685357</v>
      </c>
      <c r="G3705" s="10">
        <f t="shared" ca="1" si="287"/>
        <v>1</v>
      </c>
    </row>
    <row r="3706" spans="1:7" x14ac:dyDescent="0.2">
      <c r="A3706" s="2">
        <v>20041111</v>
      </c>
      <c r="B3706" s="13">
        <v>10469.84</v>
      </c>
      <c r="C3706" s="2">
        <f t="shared" si="290"/>
        <v>8.1228792506461509E-3</v>
      </c>
      <c r="D3706" s="21">
        <f t="shared" ca="1" si="286"/>
        <v>7.7389268355392837E-3</v>
      </c>
      <c r="E3706" s="21">
        <f t="shared" ca="1" si="288"/>
        <v>5.4377532804112378E-5</v>
      </c>
      <c r="F3706" s="11">
        <f t="shared" ca="1" si="289"/>
        <v>4.3590836623204643</v>
      </c>
      <c r="G3706" s="10">
        <f t="shared" ca="1" si="287"/>
        <v>0</v>
      </c>
    </row>
    <row r="3707" spans="1:7" x14ac:dyDescent="0.2">
      <c r="A3707" s="2">
        <v>20041112</v>
      </c>
      <c r="B3707" s="13">
        <v>10539.01</v>
      </c>
      <c r="C3707" s="2">
        <f t="shared" si="290"/>
        <v>6.6065957072887526E-3</v>
      </c>
      <c r="D3707" s="21">
        <f t="shared" ca="1" si="286"/>
        <v>6.2226432921818854E-3</v>
      </c>
      <c r="E3707" s="21">
        <f t="shared" ca="1" si="288"/>
        <v>5.4737854845735446E-5</v>
      </c>
      <c r="F3707" s="11">
        <f t="shared" ca="1" si="289"/>
        <v>4.5527799785366305</v>
      </c>
      <c r="G3707" s="10">
        <f t="shared" ca="1" si="287"/>
        <v>1</v>
      </c>
    </row>
    <row r="3708" spans="1:7" x14ac:dyDescent="0.2">
      <c r="A3708" s="2">
        <v>20041115</v>
      </c>
      <c r="B3708" s="13">
        <v>10550.24</v>
      </c>
      <c r="C3708" s="2">
        <f t="shared" si="290"/>
        <v>1.0655649819100242E-3</v>
      </c>
      <c r="D3708" s="21">
        <f t="shared" ca="1" si="286"/>
        <v>6.8161256680315688E-4</v>
      </c>
      <c r="E3708" s="21">
        <f t="shared" ca="1" si="288"/>
        <v>5.4301501280224944E-5</v>
      </c>
      <c r="F3708" s="11">
        <f t="shared" ca="1" si="289"/>
        <v>4.9062014149968878</v>
      </c>
      <c r="G3708" s="10">
        <f t="shared" ca="1" si="287"/>
        <v>1</v>
      </c>
    </row>
    <row r="3709" spans="1:7" x14ac:dyDescent="0.2">
      <c r="A3709" s="2">
        <v>20041116</v>
      </c>
      <c r="B3709" s="13">
        <v>10487.65</v>
      </c>
      <c r="C3709" s="2">
        <f t="shared" si="290"/>
        <v>-5.9325664629430374E-3</v>
      </c>
      <c r="D3709" s="21">
        <f t="shared" ca="1" si="286"/>
        <v>-6.3165188780499046E-3</v>
      </c>
      <c r="E3709" s="21">
        <f t="shared" ca="1" si="288"/>
        <v>5.2480457554398103E-5</v>
      </c>
      <c r="F3709" s="11">
        <f t="shared" ca="1" si="289"/>
        <v>4.5474084860831665</v>
      </c>
      <c r="G3709" s="10">
        <f t="shared" ca="1" si="287"/>
        <v>1</v>
      </c>
    </row>
    <row r="3710" spans="1:7" x14ac:dyDescent="0.2">
      <c r="A3710" s="2">
        <v>20041117</v>
      </c>
      <c r="B3710" s="13">
        <v>10549.57</v>
      </c>
      <c r="C3710" s="2">
        <f t="shared" si="290"/>
        <v>5.9040871882642988E-3</v>
      </c>
      <c r="D3710" s="21">
        <f t="shared" ca="1" si="286"/>
        <v>5.5201347731574316E-3</v>
      </c>
      <c r="E3710" s="21">
        <f t="shared" ca="1" si="288"/>
        <v>5.2201591262786721E-5</v>
      </c>
      <c r="F3710" s="11">
        <f t="shared" ca="1" si="289"/>
        <v>4.6383313660511076</v>
      </c>
      <c r="G3710" s="10">
        <f t="shared" ca="1" si="287"/>
        <v>1</v>
      </c>
    </row>
    <row r="3711" spans="1:7" x14ac:dyDescent="0.2">
      <c r="A3711" s="2">
        <v>20041118</v>
      </c>
      <c r="B3711" s="13">
        <v>10572.55</v>
      </c>
      <c r="C3711" s="2">
        <f t="shared" si="290"/>
        <v>2.1782878354283221E-3</v>
      </c>
      <c r="D3711" s="21">
        <f t="shared" ca="1" si="286"/>
        <v>1.7943354203214549E-3</v>
      </c>
      <c r="E3711" s="21">
        <f t="shared" ca="1" si="288"/>
        <v>5.1590203205336746E-5</v>
      </c>
      <c r="F3711" s="11">
        <f t="shared" ca="1" si="289"/>
        <v>4.9048853993871475</v>
      </c>
      <c r="G3711" s="10">
        <f t="shared" ca="1" si="287"/>
        <v>1</v>
      </c>
    </row>
    <row r="3712" spans="1:7" x14ac:dyDescent="0.2">
      <c r="A3712" s="2">
        <v>20041119</v>
      </c>
      <c r="B3712" s="13">
        <v>10456.91</v>
      </c>
      <c r="C3712" s="2">
        <f t="shared" si="290"/>
        <v>-1.0937758629658826E-2</v>
      </c>
      <c r="D3712" s="21">
        <f t="shared" ca="1" si="286"/>
        <v>-1.1321711044765693E-2</v>
      </c>
      <c r="E3712" s="21">
        <f t="shared" ca="1" si="288"/>
        <v>5.0007632716836936E-5</v>
      </c>
      <c r="F3712" s="11">
        <f t="shared" ca="1" si="289"/>
        <v>3.670051689317896</v>
      </c>
      <c r="G3712" s="10">
        <f t="shared" ca="1" si="287"/>
        <v>0</v>
      </c>
    </row>
    <row r="3713" spans="1:7" x14ac:dyDescent="0.2">
      <c r="A3713" s="2">
        <v>20041122</v>
      </c>
      <c r="B3713" s="13">
        <v>10489.42</v>
      </c>
      <c r="C3713" s="2">
        <f t="shared" si="290"/>
        <v>3.1089490107498504E-3</v>
      </c>
      <c r="D3713" s="21">
        <f t="shared" ca="1" si="286"/>
        <v>2.7249965956429832E-3</v>
      </c>
      <c r="E3713" s="21">
        <f t="shared" ca="1" si="288"/>
        <v>5.3100177584859188E-5</v>
      </c>
      <c r="F3713" s="11">
        <f t="shared" ca="1" si="289"/>
        <v>4.8517444118722981</v>
      </c>
      <c r="G3713" s="10">
        <f t="shared" ca="1" si="287"/>
        <v>1</v>
      </c>
    </row>
    <row r="3714" spans="1:7" x14ac:dyDescent="0.2">
      <c r="A3714" s="2">
        <v>20041123</v>
      </c>
      <c r="B3714" s="13">
        <v>10492.6</v>
      </c>
      <c r="C3714" s="2">
        <f t="shared" si="290"/>
        <v>3.0316261528285558E-4</v>
      </c>
      <c r="D3714" s="21">
        <f t="shared" ca="1" si="286"/>
        <v>-8.0789799824011711E-5</v>
      </c>
      <c r="E3714" s="21">
        <f t="shared" ca="1" si="288"/>
        <v>5.1595877740049137E-5</v>
      </c>
      <c r="F3714" s="11">
        <f t="shared" ca="1" si="289"/>
        <v>4.9359711376161908</v>
      </c>
      <c r="G3714" s="10">
        <f t="shared" ca="1" si="287"/>
        <v>1</v>
      </c>
    </row>
    <row r="3715" spans="1:7" x14ac:dyDescent="0.2">
      <c r="A3715" s="2">
        <v>20041124</v>
      </c>
      <c r="B3715" s="13">
        <v>10520.31</v>
      </c>
      <c r="C3715" s="2">
        <f t="shared" si="290"/>
        <v>2.6409088309855638E-3</v>
      </c>
      <c r="D3715" s="21">
        <f t="shared" ca="1" si="286"/>
        <v>2.2569564158786966E-3</v>
      </c>
      <c r="E3715" s="21">
        <f t="shared" ca="1" si="288"/>
        <v>4.9894868414096025E-5</v>
      </c>
      <c r="F3715" s="11">
        <f t="shared" ca="1" si="289"/>
        <v>4.9017503456819922</v>
      </c>
      <c r="G3715" s="10">
        <f t="shared" ca="1" si="287"/>
        <v>1</v>
      </c>
    </row>
    <row r="3716" spans="1:7" x14ac:dyDescent="0.2">
      <c r="A3716" s="2">
        <v>20041126</v>
      </c>
      <c r="B3716" s="13">
        <v>10522.23</v>
      </c>
      <c r="C3716" s="2">
        <f t="shared" si="290"/>
        <v>1.8250412773008332E-4</v>
      </c>
      <c r="D3716" s="21">
        <f t="shared" ca="1" si="286"/>
        <v>-2.0144828737678398E-4</v>
      </c>
      <c r="E3716" s="21">
        <f t="shared" ca="1" si="288"/>
        <v>4.8466983542963964E-5</v>
      </c>
      <c r="F3716" s="11">
        <f t="shared" ca="1" si="289"/>
        <v>4.9668952216905407</v>
      </c>
      <c r="G3716" s="10">
        <f t="shared" ca="1" si="287"/>
        <v>1</v>
      </c>
    </row>
    <row r="3717" spans="1:7" x14ac:dyDescent="0.2">
      <c r="A3717" s="2">
        <v>20041129</v>
      </c>
      <c r="B3717" s="13">
        <v>10475.9</v>
      </c>
      <c r="C3717" s="2">
        <f t="shared" si="290"/>
        <v>-4.40305904736923E-3</v>
      </c>
      <c r="D3717" s="21">
        <f t="shared" ca="1" si="286"/>
        <v>-4.7870114624760972E-3</v>
      </c>
      <c r="E3717" s="21">
        <f t="shared" ca="1" si="288"/>
        <v>4.6925518245185422E-5</v>
      </c>
      <c r="F3717" s="11">
        <f t="shared" ca="1" si="289"/>
        <v>4.7393058385101527</v>
      </c>
      <c r="G3717" s="10">
        <f t="shared" ca="1" si="287"/>
        <v>1</v>
      </c>
    </row>
    <row r="3718" spans="1:7" x14ac:dyDescent="0.2">
      <c r="A3718" s="2">
        <v>20041130</v>
      </c>
      <c r="B3718" s="13">
        <v>10428.02</v>
      </c>
      <c r="C3718" s="2">
        <f t="shared" si="290"/>
        <v>-4.5704903635963691E-3</v>
      </c>
      <c r="D3718" s="21">
        <f t="shared" ca="1" si="286"/>
        <v>-4.9544427787032363E-3</v>
      </c>
      <c r="E3718" s="21">
        <f t="shared" ca="1" si="288"/>
        <v>4.6303186099819888E-5</v>
      </c>
      <c r="F3718" s="11">
        <f t="shared" ca="1" si="289"/>
        <v>4.7250871040014886</v>
      </c>
      <c r="G3718" s="10">
        <f t="shared" ca="1" si="287"/>
        <v>1</v>
      </c>
    </row>
    <row r="3719" spans="1:7" x14ac:dyDescent="0.2">
      <c r="A3719" s="2">
        <v>20041201</v>
      </c>
      <c r="B3719" s="13">
        <v>10590.22</v>
      </c>
      <c r="C3719" s="2">
        <f t="shared" si="290"/>
        <v>1.5554247114984331E-2</v>
      </c>
      <c r="D3719" s="21">
        <f t="shared" ca="1" si="286"/>
        <v>1.5170294699877464E-2</v>
      </c>
      <c r="E3719" s="21">
        <f t="shared" ca="1" si="288"/>
        <v>4.5772313561515391E-5</v>
      </c>
      <c r="F3719" s="11">
        <f t="shared" ca="1" si="289"/>
        <v>2.4819740342213787</v>
      </c>
      <c r="G3719" s="10">
        <f t="shared" ca="1" si="287"/>
        <v>0</v>
      </c>
    </row>
    <row r="3720" spans="1:7" x14ac:dyDescent="0.2">
      <c r="A3720" s="2">
        <v>20041202</v>
      </c>
      <c r="B3720" s="13">
        <v>10585.12</v>
      </c>
      <c r="C3720" s="2">
        <f t="shared" si="290"/>
        <v>-4.8157639784617744E-4</v>
      </c>
      <c r="D3720" s="21">
        <f t="shared" ca="1" si="286"/>
        <v>-8.6552881295304468E-4</v>
      </c>
      <c r="E3720" s="21">
        <f t="shared" ca="1" si="288"/>
        <v>5.282825051137107E-5</v>
      </c>
      <c r="F3720" s="11">
        <f t="shared" ca="1" si="289"/>
        <v>4.9171418950731809</v>
      </c>
      <c r="G3720" s="10">
        <f t="shared" ca="1" si="287"/>
        <v>1</v>
      </c>
    </row>
    <row r="3721" spans="1:7" x14ac:dyDescent="0.2">
      <c r="A3721" s="2">
        <v>20041203</v>
      </c>
      <c r="B3721" s="13">
        <v>10592.21</v>
      </c>
      <c r="C3721" s="2">
        <f t="shared" si="290"/>
        <v>6.6980818356318357E-4</v>
      </c>
      <c r="D3721" s="21">
        <f t="shared" ca="1" si="286"/>
        <v>2.8585576845631627E-4</v>
      </c>
      <c r="E3721" s="21">
        <f t="shared" ca="1" si="288"/>
        <v>5.1092202222726003E-5</v>
      </c>
      <c r="F3721" s="11">
        <f t="shared" ca="1" si="289"/>
        <v>4.9401396681530896</v>
      </c>
      <c r="G3721" s="10">
        <f t="shared" ca="1" si="287"/>
        <v>1</v>
      </c>
    </row>
    <row r="3722" spans="1:7" x14ac:dyDescent="0.2">
      <c r="A3722" s="2">
        <v>20041206</v>
      </c>
      <c r="B3722" s="13">
        <v>10547.06</v>
      </c>
      <c r="C3722" s="2">
        <f t="shared" si="290"/>
        <v>-4.262566546546909E-3</v>
      </c>
      <c r="D3722" s="21">
        <f t="shared" ca="1" si="286"/>
        <v>-4.6465189616537762E-3</v>
      </c>
      <c r="E3722" s="21">
        <f t="shared" ca="1" si="288"/>
        <v>4.941943874697262E-5</v>
      </c>
      <c r="F3722" s="11">
        <f t="shared" ca="1" si="289"/>
        <v>4.7391456430640027</v>
      </c>
      <c r="G3722" s="10">
        <f t="shared" ca="1" si="287"/>
        <v>1</v>
      </c>
    </row>
    <row r="3723" spans="1:7" x14ac:dyDescent="0.2">
      <c r="A3723" s="2">
        <v>20041207</v>
      </c>
      <c r="B3723" s="13">
        <v>10440.58</v>
      </c>
      <c r="C3723" s="2">
        <f t="shared" si="290"/>
        <v>-1.0095704395348046E-2</v>
      </c>
      <c r="D3723" s="21">
        <f t="shared" ca="1" si="286"/>
        <v>-1.0479656810454914E-2</v>
      </c>
      <c r="E3723" s="21">
        <f t="shared" ca="1" si="288"/>
        <v>4.8622203266028652E-5</v>
      </c>
      <c r="F3723" s="11">
        <f t="shared" ca="1" si="289"/>
        <v>3.8363627065770856</v>
      </c>
      <c r="G3723" s="10">
        <f t="shared" ca="1" si="287"/>
        <v>0</v>
      </c>
    </row>
    <row r="3724" spans="1:7" x14ac:dyDescent="0.2">
      <c r="A3724" s="2">
        <v>20041208</v>
      </c>
      <c r="B3724" s="13">
        <v>10494.23</v>
      </c>
      <c r="C3724" s="2">
        <f t="shared" si="290"/>
        <v>5.1386034109215809E-3</v>
      </c>
      <c r="D3724" s="21">
        <f t="shared" ca="1" si="286"/>
        <v>4.7546509958147137E-3</v>
      </c>
      <c r="E3724" s="21">
        <f t="shared" ca="1" si="288"/>
        <v>5.1109784174868129E-5</v>
      </c>
      <c r="F3724" s="11">
        <f t="shared" ca="1" si="289"/>
        <v>4.7196090027128283</v>
      </c>
      <c r="G3724" s="10">
        <f t="shared" ca="1" si="287"/>
        <v>1</v>
      </c>
    </row>
    <row r="3725" spans="1:7" x14ac:dyDescent="0.2">
      <c r="A3725" s="2">
        <v>20041209</v>
      </c>
      <c r="B3725" s="13">
        <v>10552.82</v>
      </c>
      <c r="C3725" s="2">
        <f t="shared" si="290"/>
        <v>5.5830680288120379E-3</v>
      </c>
      <c r="D3725" s="21">
        <f t="shared" ca="1" si="286"/>
        <v>5.1991156137051707E-3</v>
      </c>
      <c r="E3725" s="21">
        <f t="shared" ca="1" si="288"/>
        <v>5.0264414528923108E-5</v>
      </c>
      <c r="F3725" s="11">
        <f t="shared" ca="1" si="289"/>
        <v>4.6802205140292088</v>
      </c>
      <c r="G3725" s="10">
        <f t="shared" ca="1" si="287"/>
        <v>1</v>
      </c>
    </row>
    <row r="3726" spans="1:7" x14ac:dyDescent="0.2">
      <c r="A3726" s="2">
        <v>20041210</v>
      </c>
      <c r="B3726" s="13">
        <v>10543.22</v>
      </c>
      <c r="C3726" s="2">
        <f t="shared" si="290"/>
        <v>-9.0970944259452578E-4</v>
      </c>
      <c r="D3726" s="21">
        <f t="shared" ref="D3726:D3789" ca="1" si="291">(C3726-mu)</f>
        <v>-1.2936618577013932E-3</v>
      </c>
      <c r="E3726" s="21">
        <f t="shared" ca="1" si="288"/>
        <v>4.9624494185760277E-5</v>
      </c>
      <c r="F3726" s="11">
        <f t="shared" ca="1" si="289"/>
        <v>4.9386507584096071</v>
      </c>
      <c r="G3726" s="10">
        <f t="shared" ref="G3726:G3789" ca="1" si="292">IF(AND(C3726&lt;=mu+zvalue*SQRT(E3726),C3726&gt;=mu-zvalue*SQRT(E3726)),1,0)</f>
        <v>1</v>
      </c>
    </row>
    <row r="3727" spans="1:7" x14ac:dyDescent="0.2">
      <c r="A3727" s="2">
        <v>20041213</v>
      </c>
      <c r="B3727" s="13">
        <v>10638.32</v>
      </c>
      <c r="C3727" s="2">
        <f t="shared" si="290"/>
        <v>9.0200147582996815E-3</v>
      </c>
      <c r="D3727" s="21">
        <f t="shared" ca="1" si="291"/>
        <v>8.6360623431928144E-3</v>
      </c>
      <c r="E3727" s="21">
        <f t="shared" ref="E3727:E3790" ca="1" si="293">(1-alpha-beta)*longvar+alpha*D3726^2+beta*E3726</f>
        <v>4.8084517554203984E-5</v>
      </c>
      <c r="F3727" s="11">
        <f t="shared" ref="F3727:F3790" ca="1" si="294">(-0.5)*(LN(E3727)+D3727^2/E3727)</f>
        <v>4.1957493054851307</v>
      </c>
      <c r="G3727" s="10">
        <f t="shared" ca="1" si="292"/>
        <v>0</v>
      </c>
    </row>
    <row r="3728" spans="1:7" x14ac:dyDescent="0.2">
      <c r="A3728" s="2">
        <v>20041214</v>
      </c>
      <c r="B3728" s="13">
        <v>10676.45</v>
      </c>
      <c r="C3728" s="2">
        <f t="shared" si="290"/>
        <v>3.5842125448380027E-3</v>
      </c>
      <c r="D3728" s="21">
        <f t="shared" ca="1" si="291"/>
        <v>3.2002601297311355E-3</v>
      </c>
      <c r="E3728" s="21">
        <f t="shared" ca="1" si="293"/>
        <v>4.9303403741961927E-5</v>
      </c>
      <c r="F3728" s="11">
        <f t="shared" ca="1" si="294"/>
        <v>4.85489504908508</v>
      </c>
      <c r="G3728" s="10">
        <f t="shared" ca="1" si="292"/>
        <v>1</v>
      </c>
    </row>
    <row r="3729" spans="1:7" x14ac:dyDescent="0.2">
      <c r="A3729" s="2">
        <v>20041215</v>
      </c>
      <c r="B3729" s="13">
        <v>10691.45</v>
      </c>
      <c r="C3729" s="2">
        <f t="shared" si="290"/>
        <v>1.4049613869778811E-3</v>
      </c>
      <c r="D3729" s="21">
        <f t="shared" ca="1" si="291"/>
        <v>1.0210089718710137E-3</v>
      </c>
      <c r="E3729" s="21">
        <f t="shared" ca="1" si="293"/>
        <v>4.8094735322244965E-5</v>
      </c>
      <c r="F3729" s="11">
        <f t="shared" ca="1" si="294"/>
        <v>4.9603313581259885</v>
      </c>
      <c r="G3729" s="10">
        <f t="shared" ca="1" si="292"/>
        <v>1</v>
      </c>
    </row>
    <row r="3730" spans="1:7" x14ac:dyDescent="0.2">
      <c r="A3730" s="2">
        <v>20041216</v>
      </c>
      <c r="B3730" s="13">
        <v>10705.64</v>
      </c>
      <c r="C3730" s="2">
        <f t="shared" si="290"/>
        <v>1.3272287669117556E-3</v>
      </c>
      <c r="D3730" s="21">
        <f t="shared" ca="1" si="291"/>
        <v>9.4327635180488833E-4</v>
      </c>
      <c r="E3730" s="21">
        <f t="shared" ca="1" si="293"/>
        <v>4.6608942984529443E-5</v>
      </c>
      <c r="F3730" s="11">
        <f t="shared" ca="1" si="294"/>
        <v>4.977314003268793</v>
      </c>
      <c r="G3730" s="10">
        <f t="shared" ca="1" si="292"/>
        <v>1</v>
      </c>
    </row>
    <row r="3731" spans="1:7" x14ac:dyDescent="0.2">
      <c r="A3731" s="2">
        <v>20041217</v>
      </c>
      <c r="B3731" s="13">
        <v>10649.92</v>
      </c>
      <c r="C3731" s="2">
        <f t="shared" si="290"/>
        <v>-5.2047332060483394E-3</v>
      </c>
      <c r="D3731" s="21">
        <f t="shared" ca="1" si="291"/>
        <v>-5.5886856211552066E-3</v>
      </c>
      <c r="E3731" s="21">
        <f t="shared" ca="1" si="293"/>
        <v>4.5192702727618965E-5</v>
      </c>
      <c r="F3731" s="11">
        <f t="shared" ca="1" si="294"/>
        <v>4.656729386299256</v>
      </c>
      <c r="G3731" s="10">
        <f t="shared" ca="1" si="292"/>
        <v>1</v>
      </c>
    </row>
    <row r="3732" spans="1:7" x14ac:dyDescent="0.2">
      <c r="A3732" s="2">
        <v>20041220</v>
      </c>
      <c r="B3732" s="13">
        <v>10661.6</v>
      </c>
      <c r="C3732" s="2">
        <f t="shared" si="290"/>
        <v>1.0967218533097236E-3</v>
      </c>
      <c r="D3732" s="21">
        <f t="shared" ca="1" si="291"/>
        <v>7.127694382028563E-4</v>
      </c>
      <c r="E3732" s="21">
        <f t="shared" ca="1" si="293"/>
        <v>4.4963899034361052E-5</v>
      </c>
      <c r="F3732" s="11">
        <f t="shared" ca="1" si="294"/>
        <v>4.9991758927959289</v>
      </c>
      <c r="G3732" s="10">
        <f t="shared" ca="1" si="292"/>
        <v>1</v>
      </c>
    </row>
    <row r="3733" spans="1:7" x14ac:dyDescent="0.2">
      <c r="A3733" s="2">
        <v>20041221</v>
      </c>
      <c r="B3733" s="13">
        <v>10759.43</v>
      </c>
      <c r="C3733" s="2">
        <f t="shared" si="290"/>
        <v>9.1759210625046821E-3</v>
      </c>
      <c r="D3733" s="21">
        <f t="shared" ca="1" si="291"/>
        <v>8.7919686473978149E-3</v>
      </c>
      <c r="E3733" s="21">
        <f t="shared" ca="1" si="293"/>
        <v>4.3616845213784132E-5</v>
      </c>
      <c r="F3733" s="11">
        <f t="shared" ca="1" si="294"/>
        <v>4.1339227908854665</v>
      </c>
      <c r="G3733" s="10">
        <f t="shared" ca="1" si="292"/>
        <v>0</v>
      </c>
    </row>
    <row r="3734" spans="1:7" x14ac:dyDescent="0.2">
      <c r="A3734" s="2">
        <v>20041222</v>
      </c>
      <c r="B3734" s="13">
        <v>10815.89</v>
      </c>
      <c r="C3734" s="2">
        <f t="shared" si="290"/>
        <v>5.2474898763223629E-3</v>
      </c>
      <c r="D3734" s="21">
        <f t="shared" ca="1" si="291"/>
        <v>4.8635374612154957E-3</v>
      </c>
      <c r="E3734" s="21">
        <f t="shared" ca="1" si="293"/>
        <v>4.5161666394714276E-5</v>
      </c>
      <c r="F3734" s="11">
        <f t="shared" ca="1" si="294"/>
        <v>4.7407496063607759</v>
      </c>
      <c r="G3734" s="10">
        <f t="shared" ca="1" si="292"/>
        <v>1</v>
      </c>
    </row>
    <row r="3735" spans="1:7" x14ac:dyDescent="0.2">
      <c r="A3735" s="2">
        <v>20041223</v>
      </c>
      <c r="B3735" s="13">
        <v>10827.12</v>
      </c>
      <c r="C3735" s="2">
        <f t="shared" si="290"/>
        <v>1.038287186722626E-3</v>
      </c>
      <c r="D3735" s="21">
        <f t="shared" ca="1" si="291"/>
        <v>6.5433477161575871E-4</v>
      </c>
      <c r="E3735" s="21">
        <f t="shared" ca="1" si="293"/>
        <v>4.4655724687715149E-5</v>
      </c>
      <c r="F3735" s="11">
        <f t="shared" ca="1" si="294"/>
        <v>5.0034700802318453</v>
      </c>
      <c r="G3735" s="10">
        <f t="shared" ca="1" si="292"/>
        <v>1</v>
      </c>
    </row>
    <row r="3736" spans="1:7" x14ac:dyDescent="0.2">
      <c r="A3736" s="2">
        <v>20041227</v>
      </c>
      <c r="B3736" s="13">
        <v>10776.13</v>
      </c>
      <c r="C3736" s="2">
        <f t="shared" si="290"/>
        <v>-4.7094702931159528E-3</v>
      </c>
      <c r="D3736" s="21">
        <f t="shared" ca="1" si="291"/>
        <v>-5.09342270822282E-3</v>
      </c>
      <c r="E3736" s="21">
        <f t="shared" ca="1" si="293"/>
        <v>4.3321323950853197E-5</v>
      </c>
      <c r="F3736" s="11">
        <f t="shared" ca="1" si="294"/>
        <v>4.7240080175013404</v>
      </c>
      <c r="G3736" s="10">
        <f t="shared" ca="1" si="292"/>
        <v>1</v>
      </c>
    </row>
    <row r="3737" spans="1:7" x14ac:dyDescent="0.2">
      <c r="A3737" s="2">
        <v>20041228</v>
      </c>
      <c r="B3737" s="13">
        <v>10854.54</v>
      </c>
      <c r="C3737" s="2">
        <f t="shared" si="290"/>
        <v>7.276267082895407E-3</v>
      </c>
      <c r="D3737" s="21">
        <f t="shared" ca="1" si="291"/>
        <v>6.8923146677885398E-3</v>
      </c>
      <c r="E3737" s="21">
        <f t="shared" ca="1" si="293"/>
        <v>4.2992654765455584E-5</v>
      </c>
      <c r="F3737" s="11">
        <f t="shared" ca="1" si="294"/>
        <v>4.474774155907185</v>
      </c>
      <c r="G3737" s="10">
        <f t="shared" ca="1" si="292"/>
        <v>0</v>
      </c>
    </row>
    <row r="3738" spans="1:7" x14ac:dyDescent="0.2">
      <c r="A3738" s="2">
        <v>20041229</v>
      </c>
      <c r="B3738" s="13">
        <v>10829.19</v>
      </c>
      <c r="C3738" s="2">
        <f t="shared" si="290"/>
        <v>-2.3354283092604901E-3</v>
      </c>
      <c r="D3738" s="21">
        <f t="shared" ca="1" si="291"/>
        <v>-2.7193807243673573E-3</v>
      </c>
      <c r="E3738" s="21">
        <f t="shared" ca="1" si="293"/>
        <v>4.3473450392272796E-5</v>
      </c>
      <c r="F3738" s="11">
        <f t="shared" ca="1" si="294"/>
        <v>4.936627798211771</v>
      </c>
      <c r="G3738" s="10">
        <f t="shared" ca="1" si="292"/>
        <v>1</v>
      </c>
    </row>
    <row r="3739" spans="1:7" x14ac:dyDescent="0.2">
      <c r="A3739" s="2">
        <v>20041230</v>
      </c>
      <c r="B3739" s="13">
        <v>10800.3</v>
      </c>
      <c r="C3739" s="2">
        <f t="shared" si="290"/>
        <v>-2.6677895576678622E-3</v>
      </c>
      <c r="D3739" s="21">
        <f t="shared" ca="1" si="291"/>
        <v>-3.0517419727747294E-3</v>
      </c>
      <c r="E3739" s="21">
        <f t="shared" ca="1" si="293"/>
        <v>4.2455045552598409E-5</v>
      </c>
      <c r="F3739" s="11">
        <f t="shared" ca="1" si="294"/>
        <v>4.9238501558645673</v>
      </c>
      <c r="G3739" s="10">
        <f t="shared" ca="1" si="292"/>
        <v>1</v>
      </c>
    </row>
    <row r="3740" spans="1:7" x14ac:dyDescent="0.2">
      <c r="A3740" s="2">
        <v>20041231</v>
      </c>
      <c r="B3740" s="13">
        <v>10783.01</v>
      </c>
      <c r="C3740" s="2">
        <f t="shared" si="290"/>
        <v>-1.6008814569964775E-3</v>
      </c>
      <c r="D3740" s="21">
        <f t="shared" ca="1" si="291"/>
        <v>-1.9848338721033449E-3</v>
      </c>
      <c r="E3740" s="21">
        <f t="shared" ca="1" si="293"/>
        <v>4.1558693944881238E-5</v>
      </c>
      <c r="F3740" s="11">
        <f t="shared" ca="1" si="294"/>
        <v>4.9968042994278736</v>
      </c>
      <c r="G3740" s="10">
        <f t="shared" ca="1" si="292"/>
        <v>1</v>
      </c>
    </row>
    <row r="3741" spans="1:7" x14ac:dyDescent="0.2">
      <c r="A3741" s="2">
        <v>20050103</v>
      </c>
      <c r="B3741" s="13">
        <v>10729.43</v>
      </c>
      <c r="C3741" s="2">
        <f t="shared" si="290"/>
        <v>-4.9689279709468808E-3</v>
      </c>
      <c r="D3741" s="21">
        <f t="shared" ca="1" si="291"/>
        <v>-5.352880386053748E-3</v>
      </c>
      <c r="E3741" s="21">
        <f t="shared" ca="1" si="293"/>
        <v>4.0510093745224735E-5</v>
      </c>
      <c r="F3741" s="11">
        <f t="shared" ca="1" si="294"/>
        <v>4.7033230391520515</v>
      </c>
      <c r="G3741" s="10">
        <f t="shared" ca="1" si="292"/>
        <v>1</v>
      </c>
    </row>
    <row r="3742" spans="1:7" x14ac:dyDescent="0.2">
      <c r="A3742" s="2">
        <v>20050104</v>
      </c>
      <c r="B3742" s="13">
        <v>10630.78</v>
      </c>
      <c r="C3742" s="2">
        <f t="shared" si="290"/>
        <v>-9.1943374438343533E-3</v>
      </c>
      <c r="D3742" s="21">
        <f t="shared" ca="1" si="291"/>
        <v>-9.5782898589412205E-3</v>
      </c>
      <c r="E3742" s="21">
        <f t="shared" ca="1" si="293"/>
        <v>4.042331078917457E-5</v>
      </c>
      <c r="F3742" s="11">
        <f t="shared" ca="1" si="294"/>
        <v>3.9232656939091721</v>
      </c>
      <c r="G3742" s="10">
        <f t="shared" ca="1" si="292"/>
        <v>0</v>
      </c>
    </row>
    <row r="3743" spans="1:7" x14ac:dyDescent="0.2">
      <c r="A3743" s="2">
        <v>20050105</v>
      </c>
      <c r="B3743" s="13">
        <v>10597.83</v>
      </c>
      <c r="C3743" s="2">
        <f t="shared" si="290"/>
        <v>-3.099490347839079E-3</v>
      </c>
      <c r="D3743" s="21">
        <f t="shared" ca="1" si="291"/>
        <v>-3.4834427629459462E-3</v>
      </c>
      <c r="E3743" s="21">
        <f t="shared" ca="1" si="293"/>
        <v>4.2660859002404325E-5</v>
      </c>
      <c r="F3743" s="11">
        <f t="shared" ca="1" si="294"/>
        <v>4.8888953068549483</v>
      </c>
      <c r="G3743" s="10">
        <f t="shared" ca="1" si="292"/>
        <v>1</v>
      </c>
    </row>
    <row r="3744" spans="1:7" x14ac:dyDescent="0.2">
      <c r="A3744" s="2">
        <v>20050106</v>
      </c>
      <c r="B3744" s="13">
        <v>10622.88</v>
      </c>
      <c r="C3744" s="2">
        <f t="shared" si="290"/>
        <v>2.3636914349446322E-3</v>
      </c>
      <c r="D3744" s="21">
        <f t="shared" ca="1" si="291"/>
        <v>1.979739019837765E-3</v>
      </c>
      <c r="E3744" s="21">
        <f t="shared" ca="1" si="293"/>
        <v>4.1857837307634722E-5</v>
      </c>
      <c r="F3744" s="11">
        <f t="shared" ca="1" si="294"/>
        <v>4.9937981581398869</v>
      </c>
      <c r="G3744" s="10">
        <f t="shared" ca="1" si="292"/>
        <v>1</v>
      </c>
    </row>
    <row r="3745" spans="1:7" x14ac:dyDescent="0.2">
      <c r="A3745" s="2">
        <v>20050107</v>
      </c>
      <c r="B3745" s="13">
        <v>10603.96</v>
      </c>
      <c r="C3745" s="2">
        <f t="shared" si="290"/>
        <v>-1.7810612564577661E-3</v>
      </c>
      <c r="D3745" s="21">
        <f t="shared" ca="1" si="291"/>
        <v>-2.1650136715646333E-3</v>
      </c>
      <c r="E3745" s="21">
        <f t="shared" ca="1" si="293"/>
        <v>4.0793360597453394E-5</v>
      </c>
      <c r="F3745" s="11">
        <f t="shared" ca="1" si="294"/>
        <v>4.9960440526977479</v>
      </c>
      <c r="G3745" s="10">
        <f t="shared" ca="1" si="292"/>
        <v>1</v>
      </c>
    </row>
    <row r="3746" spans="1:7" x14ac:dyDescent="0.2">
      <c r="A3746" s="2">
        <v>20050110</v>
      </c>
      <c r="B3746" s="13">
        <v>10621.03</v>
      </c>
      <c r="C3746" s="2">
        <f t="shared" si="290"/>
        <v>1.6097759704866417E-3</v>
      </c>
      <c r="D3746" s="21">
        <f t="shared" ca="1" si="291"/>
        <v>1.2258235553797743E-3</v>
      </c>
      <c r="E3746" s="21">
        <f t="shared" ca="1" si="293"/>
        <v>3.9810973785925526E-5</v>
      </c>
      <c r="F3746" s="11">
        <f t="shared" ca="1" si="294"/>
        <v>5.0468117542097133</v>
      </c>
      <c r="G3746" s="10">
        <f t="shared" ca="1" si="292"/>
        <v>1</v>
      </c>
    </row>
    <row r="3747" spans="1:7" x14ac:dyDescent="0.2">
      <c r="A3747" s="2">
        <v>20050111</v>
      </c>
      <c r="B3747" s="13">
        <v>10556.22</v>
      </c>
      <c r="C3747" s="2">
        <f t="shared" si="290"/>
        <v>-6.1020447169437718E-3</v>
      </c>
      <c r="D3747" s="21">
        <f t="shared" ca="1" si="291"/>
        <v>-6.4859971320506389E-3</v>
      </c>
      <c r="E3747" s="21">
        <f t="shared" ca="1" si="293"/>
        <v>3.8761181443573027E-5</v>
      </c>
      <c r="F3747" s="11">
        <f t="shared" ca="1" si="294"/>
        <v>4.536387278891155</v>
      </c>
      <c r="G3747" s="10">
        <f t="shared" ca="1" si="292"/>
        <v>0</v>
      </c>
    </row>
    <row r="3748" spans="1:7" x14ac:dyDescent="0.2">
      <c r="A3748" s="2">
        <v>20050112</v>
      </c>
      <c r="B3748" s="13">
        <v>10617.78</v>
      </c>
      <c r="C3748" s="2">
        <f t="shared" si="290"/>
        <v>5.831632914054587E-3</v>
      </c>
      <c r="D3748" s="21">
        <f t="shared" ca="1" si="291"/>
        <v>5.4476804989477198E-3</v>
      </c>
      <c r="E3748" s="21">
        <f t="shared" ca="1" si="293"/>
        <v>3.9256163272332007E-5</v>
      </c>
      <c r="F3748" s="11">
        <f t="shared" ca="1" si="294"/>
        <v>4.6947066111129354</v>
      </c>
      <c r="G3748" s="10">
        <f t="shared" ca="1" si="292"/>
        <v>1</v>
      </c>
    </row>
    <row r="3749" spans="1:7" x14ac:dyDescent="0.2">
      <c r="A3749" s="2">
        <v>20050113</v>
      </c>
      <c r="B3749" s="13">
        <v>10505.83</v>
      </c>
      <c r="C3749" s="2">
        <f t="shared" si="290"/>
        <v>-1.0543635298527632E-2</v>
      </c>
      <c r="D3749" s="21">
        <f t="shared" ca="1" si="291"/>
        <v>-1.0927587713634499E-2</v>
      </c>
      <c r="E3749" s="21">
        <f t="shared" ca="1" si="293"/>
        <v>3.9270467456312823E-5</v>
      </c>
      <c r="F3749" s="11">
        <f t="shared" ca="1" si="294"/>
        <v>3.5521375354310099</v>
      </c>
      <c r="G3749" s="10">
        <f t="shared" ca="1" si="292"/>
        <v>0</v>
      </c>
    </row>
    <row r="3750" spans="1:7" x14ac:dyDescent="0.2">
      <c r="A3750" s="2">
        <v>20050114</v>
      </c>
      <c r="B3750" s="13">
        <v>10558</v>
      </c>
      <c r="C3750" s="2">
        <f t="shared" si="290"/>
        <v>4.9658142193429811E-3</v>
      </c>
      <c r="D3750" s="21">
        <f t="shared" ca="1" si="291"/>
        <v>4.5818618042361139E-3</v>
      </c>
      <c r="E3750" s="21">
        <f t="shared" ca="1" si="293"/>
        <v>4.2583758795326575E-5</v>
      </c>
      <c r="F3750" s="11">
        <f t="shared" ca="1" si="294"/>
        <v>4.7855227523722315</v>
      </c>
      <c r="G3750" s="10">
        <f t="shared" ca="1" si="292"/>
        <v>1</v>
      </c>
    </row>
    <row r="3751" spans="1:7" x14ac:dyDescent="0.2">
      <c r="A3751" s="2">
        <v>20050118</v>
      </c>
      <c r="B3751" s="13">
        <v>10628.79</v>
      </c>
      <c r="C3751" s="2">
        <f t="shared" si="290"/>
        <v>6.7048683462777869E-3</v>
      </c>
      <c r="D3751" s="21">
        <f t="shared" ca="1" si="291"/>
        <v>6.3209159311709198E-3</v>
      </c>
      <c r="E3751" s="21">
        <f t="shared" ca="1" si="293"/>
        <v>4.211040161653645E-5</v>
      </c>
      <c r="F3751" s="11">
        <f t="shared" ca="1" si="294"/>
        <v>4.5632122925031666</v>
      </c>
      <c r="G3751" s="10">
        <f t="shared" ca="1" si="292"/>
        <v>1</v>
      </c>
    </row>
    <row r="3752" spans="1:7" x14ac:dyDescent="0.2">
      <c r="A3752" s="2">
        <v>20050119</v>
      </c>
      <c r="B3752" s="13">
        <v>10539.97</v>
      </c>
      <c r="C3752" s="2">
        <f t="shared" si="290"/>
        <v>-8.3565485817295778E-3</v>
      </c>
      <c r="D3752" s="21">
        <f t="shared" ca="1" si="291"/>
        <v>-8.740500996836445E-3</v>
      </c>
      <c r="E3752" s="21">
        <f t="shared" ca="1" si="293"/>
        <v>4.2358203182285636E-5</v>
      </c>
      <c r="F3752" s="11">
        <f t="shared" ca="1" si="294"/>
        <v>4.1328848231217972</v>
      </c>
      <c r="G3752" s="10">
        <f t="shared" ca="1" si="292"/>
        <v>0</v>
      </c>
    </row>
    <row r="3753" spans="1:7" x14ac:dyDescent="0.2">
      <c r="A3753" s="2">
        <v>20050120</v>
      </c>
      <c r="B3753" s="13">
        <v>10471.469999999999</v>
      </c>
      <c r="C3753" s="2">
        <f t="shared" si="290"/>
        <v>-6.4990697316975286E-3</v>
      </c>
      <c r="D3753" s="21">
        <f t="shared" ca="1" si="291"/>
        <v>-6.8830221468043958E-3</v>
      </c>
      <c r="E3753" s="21">
        <f t="shared" ca="1" si="293"/>
        <v>4.3933518308333984E-5</v>
      </c>
      <c r="F3753" s="11">
        <f t="shared" ca="1" si="294"/>
        <v>4.4772382703356115</v>
      </c>
      <c r="G3753" s="10">
        <f t="shared" ca="1" si="292"/>
        <v>0</v>
      </c>
    </row>
    <row r="3754" spans="1:7" x14ac:dyDescent="0.2">
      <c r="A3754" s="2">
        <v>20050121</v>
      </c>
      <c r="B3754" s="13">
        <v>10392.99</v>
      </c>
      <c r="C3754" s="2">
        <f t="shared" si="290"/>
        <v>-7.4946497483160974E-3</v>
      </c>
      <c r="D3754" s="21">
        <f t="shared" ca="1" si="291"/>
        <v>-7.8786021634229646E-3</v>
      </c>
      <c r="E3754" s="21">
        <f t="shared" ca="1" si="293"/>
        <v>4.4362008275529093E-5</v>
      </c>
      <c r="F3754" s="11">
        <f t="shared" ca="1" si="294"/>
        <v>4.3119517269012571</v>
      </c>
      <c r="G3754" s="10">
        <f t="shared" ca="1" si="292"/>
        <v>0</v>
      </c>
    </row>
    <row r="3755" spans="1:7" x14ac:dyDescent="0.2">
      <c r="A3755" s="2">
        <v>20050124</v>
      </c>
      <c r="B3755" s="13">
        <v>10368.61</v>
      </c>
      <c r="C3755" s="2">
        <f t="shared" si="290"/>
        <v>-2.345811936699564E-3</v>
      </c>
      <c r="D3755" s="21">
        <f t="shared" ca="1" si="291"/>
        <v>-2.7297643518064312E-3</v>
      </c>
      <c r="E3755" s="21">
        <f t="shared" ca="1" si="293"/>
        <v>4.5309232280300215E-5</v>
      </c>
      <c r="F3755" s="11">
        <f t="shared" ca="1" si="294"/>
        <v>4.9187692417267206</v>
      </c>
      <c r="G3755" s="10">
        <f t="shared" ca="1" si="292"/>
        <v>1</v>
      </c>
    </row>
    <row r="3756" spans="1:7" x14ac:dyDescent="0.2">
      <c r="A3756" s="2">
        <v>20050125</v>
      </c>
      <c r="B3756" s="13">
        <v>10461.56</v>
      </c>
      <c r="C3756" s="2">
        <f t="shared" si="290"/>
        <v>8.9645574479123909E-3</v>
      </c>
      <c r="D3756" s="21">
        <f t="shared" ca="1" si="291"/>
        <v>8.5806050328055238E-3</v>
      </c>
      <c r="E3756" s="21">
        <f t="shared" ca="1" si="293"/>
        <v>4.4200035245428819E-5</v>
      </c>
      <c r="F3756" s="11">
        <f t="shared" ca="1" si="294"/>
        <v>4.1805109923148418</v>
      </c>
      <c r="G3756" s="10">
        <f t="shared" ca="1" si="292"/>
        <v>0</v>
      </c>
    </row>
    <row r="3757" spans="1:7" x14ac:dyDescent="0.2">
      <c r="A3757" s="2">
        <v>20050126</v>
      </c>
      <c r="B3757" s="13">
        <v>10498.59</v>
      </c>
      <c r="C3757" s="2">
        <f t="shared" si="290"/>
        <v>3.539625065477869E-3</v>
      </c>
      <c r="D3757" s="21">
        <f t="shared" ca="1" si="291"/>
        <v>3.1556726503710018E-3</v>
      </c>
      <c r="E3757" s="21">
        <f t="shared" ca="1" si="293"/>
        <v>4.5580329374355197E-5</v>
      </c>
      <c r="F3757" s="11">
        <f t="shared" ca="1" si="294"/>
        <v>4.8887784756228836</v>
      </c>
      <c r="G3757" s="10">
        <f t="shared" ca="1" si="292"/>
        <v>1</v>
      </c>
    </row>
    <row r="3758" spans="1:7" x14ac:dyDescent="0.2">
      <c r="A3758" s="2">
        <v>20050127</v>
      </c>
      <c r="B3758" s="13">
        <v>10467.4</v>
      </c>
      <c r="C3758" s="2">
        <f t="shared" ref="C3758:C3821" si="295">(B3758-B3757)/B3757</f>
        <v>-2.9708751365660063E-3</v>
      </c>
      <c r="D3758" s="21">
        <f t="shared" ca="1" si="291"/>
        <v>-3.3548275516728735E-3</v>
      </c>
      <c r="E3758" s="21">
        <f t="shared" ca="1" si="293"/>
        <v>4.4549591583003867E-5</v>
      </c>
      <c r="F3758" s="11">
        <f t="shared" ca="1" si="294"/>
        <v>4.8831353674134785</v>
      </c>
      <c r="G3758" s="10">
        <f t="shared" ca="1" si="292"/>
        <v>1</v>
      </c>
    </row>
    <row r="3759" spans="1:7" x14ac:dyDescent="0.2">
      <c r="A3759" s="2">
        <v>20050128</v>
      </c>
      <c r="B3759" s="13">
        <v>10427.200000000001</v>
      </c>
      <c r="C3759" s="2">
        <f t="shared" si="295"/>
        <v>-3.8404952519249204E-3</v>
      </c>
      <c r="D3759" s="21">
        <f t="shared" ca="1" si="291"/>
        <v>-4.2244476670317875E-3</v>
      </c>
      <c r="E3759" s="21">
        <f t="shared" ca="1" si="293"/>
        <v>4.3618677329208591E-5</v>
      </c>
      <c r="F3759" s="11">
        <f t="shared" ca="1" si="294"/>
        <v>4.815444710006612</v>
      </c>
      <c r="G3759" s="10">
        <f t="shared" ca="1" si="292"/>
        <v>1</v>
      </c>
    </row>
    <row r="3760" spans="1:7" x14ac:dyDescent="0.2">
      <c r="A3760" s="2">
        <v>20050131</v>
      </c>
      <c r="B3760" s="13">
        <v>10489.94</v>
      </c>
      <c r="C3760" s="2">
        <f t="shared" si="295"/>
        <v>6.0169556544422071E-3</v>
      </c>
      <c r="D3760" s="21">
        <f t="shared" ca="1" si="291"/>
        <v>5.6330032393353399E-3</v>
      </c>
      <c r="E3760" s="21">
        <f t="shared" ca="1" si="293"/>
        <v>4.2977224228670569E-5</v>
      </c>
      <c r="F3760" s="11">
        <f t="shared" ca="1" si="294"/>
        <v>4.6582626701972165</v>
      </c>
      <c r="G3760" s="10">
        <f t="shared" ca="1" si="292"/>
        <v>1</v>
      </c>
    </row>
    <row r="3761" spans="1:7" x14ac:dyDescent="0.2">
      <c r="A3761" s="2">
        <v>20050201</v>
      </c>
      <c r="B3761" s="13">
        <v>10551.94</v>
      </c>
      <c r="C3761" s="2">
        <f t="shared" si="295"/>
        <v>5.910424654478481E-3</v>
      </c>
      <c r="D3761" s="21">
        <f t="shared" ca="1" si="291"/>
        <v>5.5264722393716138E-3</v>
      </c>
      <c r="E3761" s="21">
        <f t="shared" ca="1" si="293"/>
        <v>4.2878789592557277E-5</v>
      </c>
      <c r="F3761" s="11">
        <f t="shared" ca="1" si="294"/>
        <v>4.6724244056005366</v>
      </c>
      <c r="G3761" s="10">
        <f t="shared" ca="1" si="292"/>
        <v>1</v>
      </c>
    </row>
    <row r="3762" spans="1:7" x14ac:dyDescent="0.2">
      <c r="A3762" s="2">
        <v>20050202</v>
      </c>
      <c r="B3762" s="13">
        <v>10596.79</v>
      </c>
      <c r="C3762" s="2">
        <f t="shared" si="295"/>
        <v>4.2504032433846629E-3</v>
      </c>
      <c r="D3762" s="21">
        <f t="shared" ca="1" si="291"/>
        <v>3.8664508282777958E-3</v>
      </c>
      <c r="E3762" s="21">
        <f t="shared" ca="1" si="293"/>
        <v>4.2741619439234277E-5</v>
      </c>
      <c r="F3762" s="11">
        <f t="shared" ca="1" si="294"/>
        <v>4.855287151042587</v>
      </c>
      <c r="G3762" s="10">
        <f t="shared" ca="1" si="292"/>
        <v>1</v>
      </c>
    </row>
    <row r="3763" spans="1:7" x14ac:dyDescent="0.2">
      <c r="A3763" s="2">
        <v>20050203</v>
      </c>
      <c r="B3763" s="13">
        <v>10593.1</v>
      </c>
      <c r="C3763" s="2">
        <f t="shared" si="295"/>
        <v>-3.4821865866932429E-4</v>
      </c>
      <c r="D3763" s="21">
        <f t="shared" ca="1" si="291"/>
        <v>-7.3217107377619153E-4</v>
      </c>
      <c r="E3763" s="21">
        <f t="shared" ca="1" si="293"/>
        <v>4.2038027032271813E-5</v>
      </c>
      <c r="F3763" s="11">
        <f t="shared" ca="1" si="294"/>
        <v>5.0320919057542364</v>
      </c>
      <c r="G3763" s="10">
        <f t="shared" ca="1" si="292"/>
        <v>1</v>
      </c>
    </row>
    <row r="3764" spans="1:7" x14ac:dyDescent="0.2">
      <c r="A3764" s="2">
        <v>20050204</v>
      </c>
      <c r="B3764" s="13">
        <v>10716.13</v>
      </c>
      <c r="C3764" s="2">
        <f t="shared" si="295"/>
        <v>1.1614163936902212E-2</v>
      </c>
      <c r="D3764" s="21">
        <f t="shared" ca="1" si="291"/>
        <v>1.1230211521795345E-2</v>
      </c>
      <c r="E3764" s="21">
        <f t="shared" ca="1" si="293"/>
        <v>4.0840024906488488E-5</v>
      </c>
      <c r="F3764" s="11">
        <f t="shared" ca="1" si="294"/>
        <v>3.5088792429450582</v>
      </c>
      <c r="G3764" s="10">
        <f t="shared" ca="1" si="292"/>
        <v>0</v>
      </c>
    </row>
    <row r="3765" spans="1:7" x14ac:dyDescent="0.2">
      <c r="A3765" s="2">
        <v>20050207</v>
      </c>
      <c r="B3765" s="13">
        <v>10715.76</v>
      </c>
      <c r="C3765" s="2">
        <f t="shared" si="295"/>
        <v>-3.4527390018503079E-5</v>
      </c>
      <c r="D3765" s="21">
        <f t="shared" ca="1" si="291"/>
        <v>-4.1847980512537037E-4</v>
      </c>
      <c r="E3765" s="21">
        <f t="shared" ca="1" si="293"/>
        <v>4.43204839361818E-5</v>
      </c>
      <c r="F3765" s="11">
        <f t="shared" ca="1" si="294"/>
        <v>5.0100561277012439</v>
      </c>
      <c r="G3765" s="10">
        <f t="shared" ca="1" si="292"/>
        <v>1</v>
      </c>
    </row>
    <row r="3766" spans="1:7" x14ac:dyDescent="0.2">
      <c r="A3766" s="2">
        <v>20050208</v>
      </c>
      <c r="B3766" s="13">
        <v>10724.63</v>
      </c>
      <c r="C3766" s="2">
        <f t="shared" si="295"/>
        <v>8.2775276788571049E-4</v>
      </c>
      <c r="D3766" s="21">
        <f t="shared" ca="1" si="291"/>
        <v>4.4380035277884319E-4</v>
      </c>
      <c r="E3766" s="21">
        <f t="shared" ca="1" si="293"/>
        <v>4.2993738834207634E-5</v>
      </c>
      <c r="F3766" s="11">
        <f t="shared" ca="1" si="294"/>
        <v>5.0249374791063213</v>
      </c>
      <c r="G3766" s="10">
        <f t="shared" ca="1" si="292"/>
        <v>1</v>
      </c>
    </row>
    <row r="3767" spans="1:7" x14ac:dyDescent="0.2">
      <c r="A3767" s="2">
        <v>20050209</v>
      </c>
      <c r="B3767" s="13">
        <v>10664.11</v>
      </c>
      <c r="C3767" s="2">
        <f t="shared" si="295"/>
        <v>-5.6430851227500271E-3</v>
      </c>
      <c r="D3767" s="21">
        <f t="shared" ca="1" si="291"/>
        <v>-6.0270375378568943E-3</v>
      </c>
      <c r="E3767" s="21">
        <f t="shared" ca="1" si="293"/>
        <v>4.1734917056246598E-5</v>
      </c>
      <c r="F3767" s="11">
        <f t="shared" ca="1" si="294"/>
        <v>4.6068968864317359</v>
      </c>
      <c r="G3767" s="10">
        <f t="shared" ca="1" si="292"/>
        <v>1</v>
      </c>
    </row>
    <row r="3768" spans="1:7" x14ac:dyDescent="0.2">
      <c r="A3768" s="2">
        <v>20050210</v>
      </c>
      <c r="B3768" s="13">
        <v>10749.61</v>
      </c>
      <c r="C3768" s="2">
        <f t="shared" si="295"/>
        <v>8.0175467057260284E-3</v>
      </c>
      <c r="D3768" s="21">
        <f t="shared" ca="1" si="291"/>
        <v>7.6335942906191612E-3</v>
      </c>
      <c r="E3768" s="21">
        <f t="shared" ca="1" si="293"/>
        <v>4.1868277317862487E-5</v>
      </c>
      <c r="F3768" s="11">
        <f t="shared" ca="1" si="294"/>
        <v>4.3445971108396462</v>
      </c>
      <c r="G3768" s="10">
        <f t="shared" ca="1" si="292"/>
        <v>0</v>
      </c>
    </row>
    <row r="3769" spans="1:7" x14ac:dyDescent="0.2">
      <c r="A3769" s="2">
        <v>20050211</v>
      </c>
      <c r="B3769" s="13">
        <v>10796.01</v>
      </c>
      <c r="C3769" s="2">
        <f t="shared" si="295"/>
        <v>4.3164356660380827E-3</v>
      </c>
      <c r="D3769" s="21">
        <f t="shared" ca="1" si="291"/>
        <v>3.9324832509312155E-3</v>
      </c>
      <c r="E3769" s="21">
        <f t="shared" ca="1" si="293"/>
        <v>4.2801904917731337E-5</v>
      </c>
      <c r="F3769" s="11">
        <f t="shared" ca="1" si="294"/>
        <v>4.8488128498479028</v>
      </c>
      <c r="G3769" s="10">
        <f t="shared" ca="1" si="292"/>
        <v>1</v>
      </c>
    </row>
    <row r="3770" spans="1:7" x14ac:dyDescent="0.2">
      <c r="A3770" s="2">
        <v>20050214</v>
      </c>
      <c r="B3770" s="13">
        <v>10791.13</v>
      </c>
      <c r="C3770" s="2">
        <f t="shared" si="295"/>
        <v>-4.5201884770401456E-4</v>
      </c>
      <c r="D3770" s="21">
        <f t="shared" ca="1" si="291"/>
        <v>-8.359712628108818E-4</v>
      </c>
      <c r="E3770" s="21">
        <f t="shared" ca="1" si="293"/>
        <v>4.2114199454688426E-5</v>
      </c>
      <c r="F3770" s="11">
        <f t="shared" ca="1" si="294"/>
        <v>5.0292657389768083</v>
      </c>
      <c r="G3770" s="10">
        <f t="shared" ca="1" si="292"/>
        <v>1</v>
      </c>
    </row>
    <row r="3771" spans="1:7" x14ac:dyDescent="0.2">
      <c r="A3771" s="2">
        <v>20050215</v>
      </c>
      <c r="B3771" s="13">
        <v>10837.32</v>
      </c>
      <c r="C3771" s="2">
        <f t="shared" si="295"/>
        <v>4.2803673016635433E-3</v>
      </c>
      <c r="D3771" s="21">
        <f t="shared" ca="1" si="291"/>
        <v>3.8964148865566761E-3</v>
      </c>
      <c r="E3771" s="21">
        <f t="shared" ca="1" si="293"/>
        <v>4.0918329205711936E-5</v>
      </c>
      <c r="F3771" s="11">
        <f t="shared" ca="1" si="294"/>
        <v>4.8664497422192783</v>
      </c>
      <c r="G3771" s="10">
        <f t="shared" ca="1" si="292"/>
        <v>1</v>
      </c>
    </row>
    <row r="3772" spans="1:7" x14ac:dyDescent="0.2">
      <c r="A3772" s="2">
        <v>20050216</v>
      </c>
      <c r="B3772" s="13">
        <v>10834.88</v>
      </c>
      <c r="C3772" s="2">
        <f t="shared" si="295"/>
        <v>-2.2514791479817051E-4</v>
      </c>
      <c r="D3772" s="21">
        <f t="shared" ca="1" si="291"/>
        <v>-6.0910032990503776E-4</v>
      </c>
      <c r="E3772" s="21">
        <f t="shared" ca="1" si="293"/>
        <v>4.031553101609501E-5</v>
      </c>
      <c r="F3772" s="11">
        <f t="shared" ca="1" si="294"/>
        <v>5.0547856448526405</v>
      </c>
      <c r="G3772" s="10">
        <f t="shared" ca="1" si="292"/>
        <v>1</v>
      </c>
    </row>
    <row r="3773" spans="1:7" x14ac:dyDescent="0.2">
      <c r="A3773" s="2">
        <v>20050217</v>
      </c>
      <c r="B3773" s="13">
        <v>10754.26</v>
      </c>
      <c r="C3773" s="2">
        <f t="shared" si="295"/>
        <v>-7.440783838861066E-3</v>
      </c>
      <c r="D3773" s="21">
        <f t="shared" ca="1" si="291"/>
        <v>-7.824736253967934E-3</v>
      </c>
      <c r="E3773" s="21">
        <f t="shared" ca="1" si="293"/>
        <v>3.9198600572129036E-5</v>
      </c>
      <c r="F3773" s="11">
        <f t="shared" ca="1" si="294"/>
        <v>4.2924566525691663</v>
      </c>
      <c r="G3773" s="10">
        <f t="shared" ca="1" si="292"/>
        <v>0</v>
      </c>
    </row>
    <row r="3774" spans="1:7" x14ac:dyDescent="0.2">
      <c r="A3774" s="2">
        <v>20050218</v>
      </c>
      <c r="B3774" s="13">
        <v>10785.22</v>
      </c>
      <c r="C3774" s="2">
        <f t="shared" si="295"/>
        <v>2.878859168366687E-3</v>
      </c>
      <c r="D3774" s="21">
        <f t="shared" ca="1" si="291"/>
        <v>2.4949067532598198E-3</v>
      </c>
      <c r="E3774" s="21">
        <f t="shared" ca="1" si="293"/>
        <v>4.0375938786565953E-5</v>
      </c>
      <c r="F3774" s="11">
        <f t="shared" ca="1" si="294"/>
        <v>4.9815557240619928</v>
      </c>
      <c r="G3774" s="10">
        <f t="shared" ca="1" si="292"/>
        <v>1</v>
      </c>
    </row>
    <row r="3775" spans="1:7" x14ac:dyDescent="0.2">
      <c r="A3775" s="2">
        <v>20050222</v>
      </c>
      <c r="B3775" s="13">
        <v>10611.2</v>
      </c>
      <c r="C3775" s="2">
        <f t="shared" si="295"/>
        <v>-1.6135044069569154E-2</v>
      </c>
      <c r="D3775" s="21">
        <f t="shared" ca="1" si="291"/>
        <v>-1.6518996484676023E-2</v>
      </c>
      <c r="E3775" s="21">
        <f t="shared" ca="1" si="293"/>
        <v>3.9471197786528985E-5</v>
      </c>
      <c r="F3775" s="11">
        <f t="shared" ca="1" si="294"/>
        <v>1.6133068262813648</v>
      </c>
      <c r="G3775" s="10">
        <f t="shared" ca="1" si="292"/>
        <v>0</v>
      </c>
    </row>
    <row r="3776" spans="1:7" x14ac:dyDescent="0.2">
      <c r="A3776" s="2">
        <v>20050223</v>
      </c>
      <c r="B3776" s="13">
        <v>10673.79</v>
      </c>
      <c r="C3776" s="2">
        <f t="shared" si="295"/>
        <v>5.8984846200241386E-3</v>
      </c>
      <c r="D3776" s="21">
        <f t="shared" ca="1" si="291"/>
        <v>5.5145322049172715E-3</v>
      </c>
      <c r="E3776" s="21">
        <f t="shared" ca="1" si="293"/>
        <v>4.8417512752805785E-5</v>
      </c>
      <c r="F3776" s="11">
        <f t="shared" ca="1" si="294"/>
        <v>4.6537845496346399</v>
      </c>
      <c r="G3776" s="10">
        <f t="shared" ca="1" si="292"/>
        <v>1</v>
      </c>
    </row>
    <row r="3777" spans="1:7" x14ac:dyDescent="0.2">
      <c r="A3777" s="2">
        <v>20050224</v>
      </c>
      <c r="B3777" s="13">
        <v>10748.79</v>
      </c>
      <c r="C3777" s="2">
        <f t="shared" si="295"/>
        <v>7.0265575770180966E-3</v>
      </c>
      <c r="D3777" s="21">
        <f t="shared" ca="1" si="291"/>
        <v>6.6426051619112294E-3</v>
      </c>
      <c r="E3777" s="21">
        <f t="shared" ca="1" si="293"/>
        <v>4.7995289152796057E-5</v>
      </c>
      <c r="F3777" s="11">
        <f t="shared" ca="1" si="294"/>
        <v>4.5125316157161439</v>
      </c>
      <c r="G3777" s="10">
        <f t="shared" ca="1" si="292"/>
        <v>1</v>
      </c>
    </row>
    <row r="3778" spans="1:7" x14ac:dyDescent="0.2">
      <c r="A3778" s="2">
        <v>20050225</v>
      </c>
      <c r="B3778" s="13">
        <v>10841.6</v>
      </c>
      <c r="C3778" s="2">
        <f t="shared" si="295"/>
        <v>8.6344602508747013E-3</v>
      </c>
      <c r="D3778" s="21">
        <f t="shared" ca="1" si="291"/>
        <v>8.2505078357678341E-3</v>
      </c>
      <c r="E3778" s="21">
        <f t="shared" ca="1" si="293"/>
        <v>4.8098718779772863E-5</v>
      </c>
      <c r="F3778" s="11">
        <f t="shared" ca="1" si="294"/>
        <v>4.2635111599113715</v>
      </c>
      <c r="G3778" s="10">
        <f t="shared" ca="1" si="292"/>
        <v>0</v>
      </c>
    </row>
    <row r="3779" spans="1:7" x14ac:dyDescent="0.2">
      <c r="A3779" s="2">
        <v>20050228</v>
      </c>
      <c r="B3779" s="13">
        <v>10766.23</v>
      </c>
      <c r="C3779" s="2">
        <f t="shared" si="295"/>
        <v>-6.9519259149941701E-3</v>
      </c>
      <c r="D3779" s="21">
        <f t="shared" ca="1" si="291"/>
        <v>-7.3358783301010373E-3</v>
      </c>
      <c r="E3779" s="21">
        <f t="shared" ca="1" si="293"/>
        <v>4.9077476964167907E-5</v>
      </c>
      <c r="F3779" s="11">
        <f t="shared" ca="1" si="294"/>
        <v>4.4127882876492492</v>
      </c>
      <c r="G3779" s="10">
        <f t="shared" ca="1" si="292"/>
        <v>0</v>
      </c>
    </row>
    <row r="3780" spans="1:7" x14ac:dyDescent="0.2">
      <c r="A3780" s="2">
        <v>20050301</v>
      </c>
      <c r="B3780" s="13">
        <v>10830</v>
      </c>
      <c r="C3780" s="2">
        <f t="shared" si="295"/>
        <v>5.9231504435629219E-3</v>
      </c>
      <c r="D3780" s="21">
        <f t="shared" ca="1" si="291"/>
        <v>5.5391980284560547E-3</v>
      </c>
      <c r="E3780" s="21">
        <f t="shared" ca="1" si="293"/>
        <v>4.9482509944357572E-5</v>
      </c>
      <c r="F3780" s="11">
        <f t="shared" ca="1" si="294"/>
        <v>4.6469096841494437</v>
      </c>
      <c r="G3780" s="10">
        <f t="shared" ca="1" si="292"/>
        <v>1</v>
      </c>
    </row>
    <row r="3781" spans="1:7" x14ac:dyDescent="0.2">
      <c r="A3781" s="2">
        <v>20050302</v>
      </c>
      <c r="B3781" s="13">
        <v>10811.97</v>
      </c>
      <c r="C3781" s="2">
        <f t="shared" si="295"/>
        <v>-1.6648199445983985E-3</v>
      </c>
      <c r="D3781" s="21">
        <f t="shared" ca="1" si="291"/>
        <v>-2.0487723597052659E-3</v>
      </c>
      <c r="E3781" s="21">
        <f t="shared" ca="1" si="293"/>
        <v>4.9016433578764776E-5</v>
      </c>
      <c r="F3781" s="11">
        <f t="shared" ca="1" si="294"/>
        <v>4.9188605203946185</v>
      </c>
      <c r="G3781" s="10">
        <f t="shared" ca="1" si="292"/>
        <v>1</v>
      </c>
    </row>
    <row r="3782" spans="1:7" x14ac:dyDescent="0.2">
      <c r="A3782" s="2">
        <v>20050303</v>
      </c>
      <c r="B3782" s="13">
        <v>10833.03</v>
      </c>
      <c r="C3782" s="2">
        <f t="shared" si="295"/>
        <v>1.9478411427335917E-3</v>
      </c>
      <c r="D3782" s="21">
        <f t="shared" ca="1" si="291"/>
        <v>1.5638887276267243E-3</v>
      </c>
      <c r="E3782" s="21">
        <f t="shared" ca="1" si="293"/>
        <v>4.760002740739175E-5</v>
      </c>
      <c r="F3782" s="11">
        <f t="shared" ca="1" si="294"/>
        <v>4.9506479955109679</v>
      </c>
      <c r="G3782" s="10">
        <f t="shared" ca="1" si="292"/>
        <v>1</v>
      </c>
    </row>
    <row r="3783" spans="1:7" x14ac:dyDescent="0.2">
      <c r="A3783" s="2">
        <v>20050304</v>
      </c>
      <c r="B3783" s="13">
        <v>10940.55</v>
      </c>
      <c r="C3783" s="2">
        <f t="shared" si="295"/>
        <v>9.9252009825504597E-3</v>
      </c>
      <c r="D3783" s="21">
        <f t="shared" ca="1" si="291"/>
        <v>9.5412485674435926E-3</v>
      </c>
      <c r="E3783" s="21">
        <f t="shared" ca="1" si="293"/>
        <v>4.6190863879175988E-5</v>
      </c>
      <c r="F3783" s="11">
        <f t="shared" ca="1" si="294"/>
        <v>4.0059375319202992</v>
      </c>
      <c r="G3783" s="10">
        <f t="shared" ca="1" si="292"/>
        <v>0</v>
      </c>
    </row>
    <row r="3784" spans="1:7" x14ac:dyDescent="0.2">
      <c r="A3784" s="2">
        <v>20050307</v>
      </c>
      <c r="B3784" s="13">
        <v>10936.86</v>
      </c>
      <c r="C3784" s="2">
        <f t="shared" si="295"/>
        <v>-3.3727737636578514E-4</v>
      </c>
      <c r="D3784" s="21">
        <f t="shared" ca="1" si="291"/>
        <v>-7.2122979147265249E-4</v>
      </c>
      <c r="E3784" s="21">
        <f t="shared" ca="1" si="293"/>
        <v>4.8110587476154649E-5</v>
      </c>
      <c r="F3784" s="11">
        <f t="shared" ca="1" si="294"/>
        <v>4.96559813791845</v>
      </c>
      <c r="G3784" s="10">
        <f t="shared" ca="1" si="292"/>
        <v>1</v>
      </c>
    </row>
    <row r="3785" spans="1:7" x14ac:dyDescent="0.2">
      <c r="A3785" s="2">
        <v>20050308</v>
      </c>
      <c r="B3785" s="13">
        <v>10912.62</v>
      </c>
      <c r="C3785" s="2">
        <f t="shared" si="295"/>
        <v>-2.2163582600490252E-3</v>
      </c>
      <c r="D3785" s="21">
        <f t="shared" ca="1" si="291"/>
        <v>-2.6003106751558923E-3</v>
      </c>
      <c r="E3785" s="21">
        <f t="shared" ca="1" si="293"/>
        <v>4.6604787771188996E-5</v>
      </c>
      <c r="F3785" s="11">
        <f t="shared" ca="1" si="294"/>
        <v>4.9143615695438871</v>
      </c>
      <c r="G3785" s="10">
        <f t="shared" ca="1" si="292"/>
        <v>1</v>
      </c>
    </row>
    <row r="3786" spans="1:7" x14ac:dyDescent="0.2">
      <c r="A3786" s="2">
        <v>20050309</v>
      </c>
      <c r="B3786" s="13">
        <v>10805.62</v>
      </c>
      <c r="C3786" s="2">
        <f t="shared" si="295"/>
        <v>-9.805161363632197E-3</v>
      </c>
      <c r="D3786" s="21">
        <f t="shared" ca="1" si="291"/>
        <v>-1.0189113778739064E-2</v>
      </c>
      <c r="E3786" s="21">
        <f t="shared" ca="1" si="293"/>
        <v>4.5404675733245469E-5</v>
      </c>
      <c r="F3786" s="11">
        <f t="shared" ca="1" si="294"/>
        <v>3.8566949973955271</v>
      </c>
      <c r="G3786" s="10">
        <f t="shared" ca="1" si="292"/>
        <v>0</v>
      </c>
    </row>
    <row r="3787" spans="1:7" x14ac:dyDescent="0.2">
      <c r="A3787" s="2">
        <v>20050310</v>
      </c>
      <c r="B3787" s="13">
        <v>10851.51</v>
      </c>
      <c r="C3787" s="2">
        <f t="shared" si="295"/>
        <v>4.2468641318128362E-3</v>
      </c>
      <c r="D3787" s="21">
        <f t="shared" ca="1" si="291"/>
        <v>3.862911716705969E-3</v>
      </c>
      <c r="E3787" s="21">
        <f t="shared" ca="1" si="293"/>
        <v>4.7834211933606037E-5</v>
      </c>
      <c r="F3787" s="11">
        <f t="shared" ca="1" si="294"/>
        <v>4.8179075840422456</v>
      </c>
      <c r="G3787" s="10">
        <f t="shared" ca="1" si="292"/>
        <v>1</v>
      </c>
    </row>
    <row r="3788" spans="1:7" x14ac:dyDescent="0.2">
      <c r="A3788" s="2">
        <v>20050311</v>
      </c>
      <c r="B3788" s="13">
        <v>10774.36</v>
      </c>
      <c r="C3788" s="2">
        <f t="shared" si="295"/>
        <v>-7.1096096303647728E-3</v>
      </c>
      <c r="D3788" s="21">
        <f t="shared" ca="1" si="291"/>
        <v>-7.49356204547164E-3</v>
      </c>
      <c r="E3788" s="21">
        <f t="shared" ca="1" si="293"/>
        <v>4.6871977701621051E-5</v>
      </c>
      <c r="F3788" s="11">
        <f t="shared" ca="1" si="294"/>
        <v>4.3850362848227489</v>
      </c>
      <c r="G3788" s="10">
        <f t="shared" ca="1" si="292"/>
        <v>0</v>
      </c>
    </row>
    <row r="3789" spans="1:7" x14ac:dyDescent="0.2">
      <c r="A3789" s="2">
        <v>20050314</v>
      </c>
      <c r="B3789" s="13">
        <v>10804.51</v>
      </c>
      <c r="C3789" s="2">
        <f t="shared" si="295"/>
        <v>2.7983100620361336E-3</v>
      </c>
      <c r="D3789" s="21">
        <f t="shared" ca="1" si="291"/>
        <v>2.4143576469292665E-3</v>
      </c>
      <c r="E3789" s="21">
        <f t="shared" ca="1" si="293"/>
        <v>4.7474573241940813E-5</v>
      </c>
      <c r="F3789" s="11">
        <f t="shared" ca="1" si="294"/>
        <v>4.9162660941673106</v>
      </c>
      <c r="G3789" s="10">
        <f t="shared" ca="1" si="292"/>
        <v>1</v>
      </c>
    </row>
    <row r="3790" spans="1:7" x14ac:dyDescent="0.2">
      <c r="A3790" s="2">
        <v>20050315</v>
      </c>
      <c r="B3790" s="13">
        <v>10745.1</v>
      </c>
      <c r="C3790" s="2">
        <f t="shared" si="295"/>
        <v>-5.4986297388775474E-3</v>
      </c>
      <c r="D3790" s="21">
        <f t="shared" ref="D3790:D3853" ca="1" si="296">(C3790-mu)</f>
        <v>-5.8825821539844145E-3</v>
      </c>
      <c r="E3790" s="21">
        <f t="shared" ca="1" si="293"/>
        <v>4.6196169083679603E-5</v>
      </c>
      <c r="F3790" s="11">
        <f t="shared" ca="1" si="294"/>
        <v>4.6167652565815871</v>
      </c>
      <c r="G3790" s="10">
        <f t="shared" ref="G3790:G3853" ca="1" si="297">IF(AND(C3790&lt;=mu+zvalue*SQRT(E3790),C3790&gt;=mu-zvalue*SQRT(E3790)),1,0)</f>
        <v>1</v>
      </c>
    </row>
    <row r="3791" spans="1:7" x14ac:dyDescent="0.2">
      <c r="A3791" s="2">
        <v>20050316</v>
      </c>
      <c r="B3791" s="13">
        <v>10633.07</v>
      </c>
      <c r="C3791" s="2">
        <f t="shared" si="295"/>
        <v>-1.0426147732454854E-2</v>
      </c>
      <c r="D3791" s="21">
        <f t="shared" ca="1" si="296"/>
        <v>-1.0810100147561721E-2</v>
      </c>
      <c r="E3791" s="21">
        <f t="shared" ref="E3791:E3854" ca="1" si="298">(1-alpha-beta)*longvar+alpha*D3790^2+beta*E3790</f>
        <v>4.6040570705058244E-5</v>
      </c>
      <c r="F3791" s="11">
        <f t="shared" ref="F3791:F3854" ca="1" si="299">(-0.5)*(LN(E3791)+D3791^2/E3791)</f>
        <v>3.723914546547598</v>
      </c>
      <c r="G3791" s="10">
        <f t="shared" ca="1" si="297"/>
        <v>0</v>
      </c>
    </row>
    <row r="3792" spans="1:7" x14ac:dyDescent="0.2">
      <c r="A3792" s="2">
        <v>20050317</v>
      </c>
      <c r="B3792" s="13">
        <v>10626.35</v>
      </c>
      <c r="C3792" s="2">
        <f t="shared" si="295"/>
        <v>-6.3199057280722735E-4</v>
      </c>
      <c r="D3792" s="21">
        <f t="shared" ca="1" si="296"/>
        <v>-1.0159429879140946E-3</v>
      </c>
      <c r="E3792" s="21">
        <f t="shared" ca="1" si="298"/>
        <v>4.8917448633732187E-5</v>
      </c>
      <c r="F3792" s="11">
        <f t="shared" ca="1" si="299"/>
        <v>4.9521383852776921</v>
      </c>
      <c r="G3792" s="10">
        <f t="shared" ca="1" si="297"/>
        <v>1</v>
      </c>
    </row>
    <row r="3793" spans="1:7" x14ac:dyDescent="0.2">
      <c r="A3793" s="2">
        <v>20050318</v>
      </c>
      <c r="B3793" s="13">
        <v>10629.67</v>
      </c>
      <c r="C3793" s="2">
        <f t="shared" si="295"/>
        <v>3.1243089113380503E-4</v>
      </c>
      <c r="D3793" s="21">
        <f t="shared" ca="1" si="296"/>
        <v>-7.1521523973062267E-5</v>
      </c>
      <c r="E3793" s="21">
        <f t="shared" ca="1" si="298"/>
        <v>4.7389655504948712E-5</v>
      </c>
      <c r="F3793" s="11">
        <f t="shared" ca="1" si="299"/>
        <v>4.9784993247476805</v>
      </c>
      <c r="G3793" s="10">
        <f t="shared" ca="1" si="297"/>
        <v>1</v>
      </c>
    </row>
    <row r="3794" spans="1:7" x14ac:dyDescent="0.2">
      <c r="A3794" s="2">
        <v>20050321</v>
      </c>
      <c r="B3794" s="13">
        <v>10565.39</v>
      </c>
      <c r="C3794" s="2">
        <f t="shared" si="295"/>
        <v>-6.0472244199491288E-3</v>
      </c>
      <c r="D3794" s="21">
        <f t="shared" ca="1" si="296"/>
        <v>-6.431176835055996E-3</v>
      </c>
      <c r="E3794" s="21">
        <f t="shared" ca="1" si="298"/>
        <v>4.5901388437501361E-5</v>
      </c>
      <c r="F3794" s="11">
        <f t="shared" ca="1" si="299"/>
        <v>4.5439761754508137</v>
      </c>
      <c r="G3794" s="10">
        <f t="shared" ca="1" si="297"/>
        <v>1</v>
      </c>
    </row>
    <row r="3795" spans="1:7" x14ac:dyDescent="0.2">
      <c r="A3795" s="2">
        <v>20050322</v>
      </c>
      <c r="B3795" s="13">
        <v>10470.51</v>
      </c>
      <c r="C3795" s="2">
        <f t="shared" si="295"/>
        <v>-8.9802648080193163E-3</v>
      </c>
      <c r="D3795" s="21">
        <f t="shared" ca="1" si="296"/>
        <v>-9.3642172231261835E-3</v>
      </c>
      <c r="E3795" s="21">
        <f t="shared" ca="1" si="298"/>
        <v>4.6009105912779062E-5</v>
      </c>
      <c r="F3795" s="11">
        <f t="shared" ca="1" si="299"/>
        <v>4.0403876862582369</v>
      </c>
      <c r="G3795" s="10">
        <f t="shared" ca="1" si="297"/>
        <v>0</v>
      </c>
    </row>
    <row r="3796" spans="1:7" x14ac:dyDescent="0.2">
      <c r="A3796" s="2">
        <v>20050323</v>
      </c>
      <c r="B3796" s="13">
        <v>10456.02</v>
      </c>
      <c r="C3796" s="2">
        <f t="shared" si="295"/>
        <v>-1.3838867447717239E-3</v>
      </c>
      <c r="D3796" s="21">
        <f t="shared" ca="1" si="296"/>
        <v>-1.7678391598785911E-3</v>
      </c>
      <c r="E3796" s="21">
        <f t="shared" ca="1" si="298"/>
        <v>4.7814954818272035E-5</v>
      </c>
      <c r="F3796" s="11">
        <f t="shared" ca="1" si="299"/>
        <v>4.9414053221435541</v>
      </c>
      <c r="G3796" s="10">
        <f t="shared" ca="1" si="297"/>
        <v>1</v>
      </c>
    </row>
    <row r="3797" spans="1:7" x14ac:dyDescent="0.2">
      <c r="A3797" s="2">
        <v>20050324</v>
      </c>
      <c r="B3797" s="13">
        <v>10442.870000000001</v>
      </c>
      <c r="C3797" s="2">
        <f t="shared" si="295"/>
        <v>-1.2576487038088713E-3</v>
      </c>
      <c r="D3797" s="21">
        <f t="shared" ca="1" si="296"/>
        <v>-1.6416011189157387E-3</v>
      </c>
      <c r="E3797" s="21">
        <f t="shared" ca="1" si="298"/>
        <v>4.6419904713018562E-5</v>
      </c>
      <c r="F3797" s="11">
        <f t="shared" ca="1" si="299"/>
        <v>4.9598641793956739</v>
      </c>
      <c r="G3797" s="10">
        <f t="shared" ca="1" si="297"/>
        <v>1</v>
      </c>
    </row>
    <row r="3798" spans="1:7" x14ac:dyDescent="0.2">
      <c r="A3798" s="2">
        <v>20050328</v>
      </c>
      <c r="B3798" s="13">
        <v>10485.65</v>
      </c>
      <c r="C3798" s="2">
        <f t="shared" si="295"/>
        <v>4.0965749836968986E-3</v>
      </c>
      <c r="D3798" s="21">
        <f t="shared" ca="1" si="296"/>
        <v>3.7126225685900315E-3</v>
      </c>
      <c r="E3798" s="21">
        <f t="shared" ca="1" si="298"/>
        <v>4.5079604053395424E-5</v>
      </c>
      <c r="F3798" s="11">
        <f t="shared" ca="1" si="299"/>
        <v>4.8506600309654697</v>
      </c>
      <c r="G3798" s="10">
        <f t="shared" ca="1" si="297"/>
        <v>1</v>
      </c>
    </row>
    <row r="3799" spans="1:7" x14ac:dyDescent="0.2">
      <c r="A3799" s="2">
        <v>20050329</v>
      </c>
      <c r="B3799" s="13">
        <v>10405.700000000001</v>
      </c>
      <c r="C3799" s="2">
        <f t="shared" si="295"/>
        <v>-7.6247061460185022E-3</v>
      </c>
      <c r="D3799" s="21">
        <f t="shared" ca="1" si="296"/>
        <v>-8.0086585611253702E-3</v>
      </c>
      <c r="E3799" s="21">
        <f t="shared" ca="1" si="298"/>
        <v>4.4214860950902802E-5</v>
      </c>
      <c r="F3799" s="11">
        <f t="shared" ca="1" si="299"/>
        <v>4.2879187563092058</v>
      </c>
      <c r="G3799" s="10">
        <f t="shared" ca="1" si="297"/>
        <v>0</v>
      </c>
    </row>
    <row r="3800" spans="1:7" x14ac:dyDescent="0.2">
      <c r="A3800" s="2">
        <v>20050330</v>
      </c>
      <c r="B3800" s="13">
        <v>10540.93</v>
      </c>
      <c r="C3800" s="2">
        <f t="shared" si="295"/>
        <v>1.2995761938168461E-2</v>
      </c>
      <c r="D3800" s="21">
        <f t="shared" ca="1" si="296"/>
        <v>1.2611809523061594E-2</v>
      </c>
      <c r="E3800" s="21">
        <f t="shared" ca="1" si="298"/>
        <v>4.5245508436122575E-5</v>
      </c>
      <c r="F3800" s="11">
        <f t="shared" ca="1" si="299"/>
        <v>3.2439850215940789</v>
      </c>
      <c r="G3800" s="10">
        <f t="shared" ca="1" si="297"/>
        <v>0</v>
      </c>
    </row>
    <row r="3801" spans="1:7" x14ac:dyDescent="0.2">
      <c r="A3801" s="2">
        <v>20050331</v>
      </c>
      <c r="B3801" s="13">
        <v>10503.76</v>
      </c>
      <c r="C3801" s="2">
        <f t="shared" si="295"/>
        <v>-3.5262543248081595E-3</v>
      </c>
      <c r="D3801" s="21">
        <f t="shared" ca="1" si="296"/>
        <v>-3.9102067399150271E-3</v>
      </c>
      <c r="E3801" s="21">
        <f t="shared" ca="1" si="298"/>
        <v>4.9714357177048929E-5</v>
      </c>
      <c r="F3801" s="11">
        <f t="shared" ca="1" si="299"/>
        <v>4.8008327290940427</v>
      </c>
      <c r="G3801" s="10">
        <f t="shared" ca="1" si="297"/>
        <v>1</v>
      </c>
    </row>
    <row r="3802" spans="1:7" x14ac:dyDescent="0.2">
      <c r="A3802" s="2">
        <v>20050401</v>
      </c>
      <c r="B3802" s="13">
        <v>10404.299999999999</v>
      </c>
      <c r="C3802" s="2">
        <f t="shared" si="295"/>
        <v>-9.4689901520980061E-3</v>
      </c>
      <c r="D3802" s="21">
        <f t="shared" ca="1" si="296"/>
        <v>-9.8529425672048733E-3</v>
      </c>
      <c r="E3802" s="21">
        <f t="shared" ca="1" si="298"/>
        <v>4.8670524168433416E-5</v>
      </c>
      <c r="F3802" s="11">
        <f t="shared" ca="1" si="299"/>
        <v>3.9678953703709166</v>
      </c>
      <c r="G3802" s="10">
        <f t="shared" ca="1" si="297"/>
        <v>0</v>
      </c>
    </row>
    <row r="3803" spans="1:7" x14ac:dyDescent="0.2">
      <c r="A3803" s="2">
        <v>20050404</v>
      </c>
      <c r="B3803" s="13">
        <v>10421.14</v>
      </c>
      <c r="C3803" s="2">
        <f t="shared" si="295"/>
        <v>1.6185615562796293E-3</v>
      </c>
      <c r="D3803" s="21">
        <f t="shared" ca="1" si="296"/>
        <v>1.2346091411727621E-3</v>
      </c>
      <c r="E3803" s="21">
        <f t="shared" ca="1" si="298"/>
        <v>5.0687088088925475E-5</v>
      </c>
      <c r="F3803" s="11">
        <f t="shared" ca="1" si="299"/>
        <v>4.9298836997946092</v>
      </c>
      <c r="G3803" s="10">
        <f t="shared" ca="1" si="297"/>
        <v>1</v>
      </c>
    </row>
    <row r="3804" spans="1:7" x14ac:dyDescent="0.2">
      <c r="A3804" s="2">
        <v>20050405</v>
      </c>
      <c r="B3804" s="13">
        <v>10458.459999999999</v>
      </c>
      <c r="C3804" s="2">
        <f t="shared" si="295"/>
        <v>3.581182097160168E-3</v>
      </c>
      <c r="D3804" s="21">
        <f t="shared" ca="1" si="296"/>
        <v>3.1972296820533008E-3</v>
      </c>
      <c r="E3804" s="21">
        <f t="shared" ca="1" si="298"/>
        <v>4.9087864413526678E-5</v>
      </c>
      <c r="F3804" s="11">
        <f t="shared" ca="1" si="299"/>
        <v>4.8568271086036399</v>
      </c>
      <c r="G3804" s="10">
        <f t="shared" ca="1" si="297"/>
        <v>1</v>
      </c>
    </row>
    <row r="3805" spans="1:7" x14ac:dyDescent="0.2">
      <c r="A3805" s="2">
        <v>20050406</v>
      </c>
      <c r="B3805" s="13">
        <v>10486.02</v>
      </c>
      <c r="C3805" s="2">
        <f t="shared" si="295"/>
        <v>2.6351872072945073E-3</v>
      </c>
      <c r="D3805" s="21">
        <f t="shared" ca="1" si="296"/>
        <v>2.2512347921876401E-3</v>
      </c>
      <c r="E3805" s="21">
        <f t="shared" ca="1" si="298"/>
        <v>4.7889387296071639E-5</v>
      </c>
      <c r="F3805" s="11">
        <f t="shared" ca="1" si="299"/>
        <v>4.9203941099110002</v>
      </c>
      <c r="G3805" s="10">
        <f t="shared" ca="1" si="297"/>
        <v>1</v>
      </c>
    </row>
    <row r="3806" spans="1:7" x14ac:dyDescent="0.2">
      <c r="A3806" s="2">
        <v>20050407</v>
      </c>
      <c r="B3806" s="13">
        <v>10546.32</v>
      </c>
      <c r="C3806" s="2">
        <f t="shared" si="295"/>
        <v>5.7505135408857959E-3</v>
      </c>
      <c r="D3806" s="21">
        <f t="shared" ca="1" si="296"/>
        <v>5.3665611257789287E-3</v>
      </c>
      <c r="E3806" s="21">
        <f t="shared" ca="1" si="298"/>
        <v>4.6562011878231904E-5</v>
      </c>
      <c r="F3806" s="11">
        <f t="shared" ca="1" si="299"/>
        <v>4.6780980183204388</v>
      </c>
      <c r="G3806" s="10">
        <f t="shared" ca="1" si="297"/>
        <v>1</v>
      </c>
    </row>
    <row r="3807" spans="1:7" x14ac:dyDescent="0.2">
      <c r="A3807" s="2">
        <v>20050408</v>
      </c>
      <c r="B3807" s="13">
        <v>10461.34</v>
      </c>
      <c r="C3807" s="2">
        <f t="shared" si="295"/>
        <v>-8.0577869816200881E-3</v>
      </c>
      <c r="D3807" s="21">
        <f t="shared" ca="1" si="296"/>
        <v>-8.4417393967269553E-3</v>
      </c>
      <c r="E3807" s="21">
        <f t="shared" ca="1" si="298"/>
        <v>4.6174452963640407E-5</v>
      </c>
      <c r="F3807" s="11">
        <f t="shared" ca="1" si="299"/>
        <v>4.219871032000774</v>
      </c>
      <c r="G3807" s="10">
        <f t="shared" ca="1" si="297"/>
        <v>0</v>
      </c>
    </row>
    <row r="3808" spans="1:7" x14ac:dyDescent="0.2">
      <c r="A3808" s="2">
        <v>20050411</v>
      </c>
      <c r="B3808" s="13">
        <v>10448.56</v>
      </c>
      <c r="C3808" s="2">
        <f t="shared" si="295"/>
        <v>-1.2216408223038975E-3</v>
      </c>
      <c r="D3808" s="21">
        <f t="shared" ca="1" si="296"/>
        <v>-1.6055932374107649E-3</v>
      </c>
      <c r="E3808" s="21">
        <f t="shared" ca="1" si="298"/>
        <v>4.7367938909646553E-5</v>
      </c>
      <c r="F3808" s="11">
        <f t="shared" ca="1" si="299"/>
        <v>4.9515707196635272</v>
      </c>
      <c r="G3808" s="10">
        <f t="shared" ca="1" si="297"/>
        <v>1</v>
      </c>
    </row>
    <row r="3809" spans="1:7" x14ac:dyDescent="0.2">
      <c r="A3809" s="2">
        <v>20050412</v>
      </c>
      <c r="B3809" s="13">
        <v>10507.97</v>
      </c>
      <c r="C3809" s="2">
        <f t="shared" si="295"/>
        <v>5.6859509827191365E-3</v>
      </c>
      <c r="D3809" s="21">
        <f t="shared" ca="1" si="296"/>
        <v>5.3019985676122693E-3</v>
      </c>
      <c r="E3809" s="21">
        <f t="shared" ca="1" si="298"/>
        <v>4.5975377366546546E-5</v>
      </c>
      <c r="F3809" s="11">
        <f t="shared" ca="1" si="299"/>
        <v>4.687982245407138</v>
      </c>
      <c r="G3809" s="10">
        <f t="shared" ca="1" si="297"/>
        <v>1</v>
      </c>
    </row>
    <row r="3810" spans="1:7" x14ac:dyDescent="0.2">
      <c r="A3810" s="2">
        <v>20050413</v>
      </c>
      <c r="B3810" s="13">
        <v>10403.93</v>
      </c>
      <c r="C3810" s="2">
        <f t="shared" si="295"/>
        <v>-9.9010560555463194E-3</v>
      </c>
      <c r="D3810" s="21">
        <f t="shared" ca="1" si="296"/>
        <v>-1.0285008470653187E-2</v>
      </c>
      <c r="E3810" s="21">
        <f t="shared" ca="1" si="298"/>
        <v>4.5592168492273356E-5</v>
      </c>
      <c r="F3810" s="11">
        <f t="shared" ca="1" si="299"/>
        <v>3.8378042994603287</v>
      </c>
      <c r="G3810" s="10">
        <f t="shared" ca="1" si="297"/>
        <v>0</v>
      </c>
    </row>
    <row r="3811" spans="1:7" x14ac:dyDescent="0.2">
      <c r="A3811" s="2">
        <v>20050414</v>
      </c>
      <c r="B3811" s="13">
        <v>10278.75</v>
      </c>
      <c r="C3811" s="2">
        <f t="shared" si="295"/>
        <v>-1.2031991756961099E-2</v>
      </c>
      <c r="D3811" s="21">
        <f t="shared" ca="1" si="296"/>
        <v>-1.2415944172067966E-2</v>
      </c>
      <c r="E3811" s="21">
        <f t="shared" ca="1" si="298"/>
        <v>4.80844155344967E-5</v>
      </c>
      <c r="F3811" s="11">
        <f t="shared" ca="1" si="299"/>
        <v>3.3683070643545401</v>
      </c>
      <c r="G3811" s="10">
        <f t="shared" ca="1" si="297"/>
        <v>0</v>
      </c>
    </row>
    <row r="3812" spans="1:7" x14ac:dyDescent="0.2">
      <c r="A3812" s="2">
        <v>20050415</v>
      </c>
      <c r="B3812" s="13">
        <v>10087.51</v>
      </c>
      <c r="C3812" s="2">
        <f t="shared" si="295"/>
        <v>-1.8605375167213892E-2</v>
      </c>
      <c r="D3812" s="21">
        <f t="shared" ca="1" si="296"/>
        <v>-1.8989327582320761E-2</v>
      </c>
      <c r="E3812" s="21">
        <f t="shared" ca="1" si="298"/>
        <v>5.2229385366169467E-5</v>
      </c>
      <c r="F3812" s="11">
        <f t="shared" ca="1" si="299"/>
        <v>1.4779050187463252</v>
      </c>
      <c r="G3812" s="10">
        <f t="shared" ca="1" si="297"/>
        <v>0</v>
      </c>
    </row>
    <row r="3813" spans="1:7" x14ac:dyDescent="0.2">
      <c r="A3813" s="2">
        <v>20050418</v>
      </c>
      <c r="B3813" s="13">
        <v>10071.25</v>
      </c>
      <c r="C3813" s="2">
        <f t="shared" si="295"/>
        <v>-1.6118943128681129E-3</v>
      </c>
      <c r="D3813" s="21">
        <f t="shared" ca="1" si="296"/>
        <v>-1.9958467279749801E-3</v>
      </c>
      <c r="E3813" s="21">
        <f t="shared" ca="1" si="298"/>
        <v>6.3755778332806004E-5</v>
      </c>
      <c r="F3813" s="11">
        <f t="shared" ca="1" si="299"/>
        <v>4.7989858147476916</v>
      </c>
      <c r="G3813" s="10">
        <f t="shared" ca="1" si="297"/>
        <v>1</v>
      </c>
    </row>
    <row r="3814" spans="1:7" x14ac:dyDescent="0.2">
      <c r="A3814" s="2">
        <v>20050419</v>
      </c>
      <c r="B3814" s="13">
        <v>10127.41</v>
      </c>
      <c r="C3814" s="2">
        <f t="shared" si="295"/>
        <v>5.5762690827851416E-3</v>
      </c>
      <c r="D3814" s="21">
        <f t="shared" ca="1" si="296"/>
        <v>5.1923166676782744E-3</v>
      </c>
      <c r="E3814" s="21">
        <f t="shared" ca="1" si="298"/>
        <v>6.1585832349393064E-5</v>
      </c>
      <c r="F3814" s="11">
        <f t="shared" ca="1" si="299"/>
        <v>4.6286566066512576</v>
      </c>
      <c r="G3814" s="10">
        <f t="shared" ca="1" si="297"/>
        <v>1</v>
      </c>
    </row>
    <row r="3815" spans="1:7" x14ac:dyDescent="0.2">
      <c r="A3815" s="2">
        <v>20050420</v>
      </c>
      <c r="B3815" s="13">
        <v>10012.36</v>
      </c>
      <c r="C3815" s="2">
        <f t="shared" si="295"/>
        <v>-1.1360258940834752E-2</v>
      </c>
      <c r="D3815" s="21">
        <f t="shared" ca="1" si="296"/>
        <v>-1.1744211355941619E-2</v>
      </c>
      <c r="E3815" s="21">
        <f t="shared" ca="1" si="298"/>
        <v>6.037055979814832E-5</v>
      </c>
      <c r="F3815" s="11">
        <f t="shared" ca="1" si="299"/>
        <v>3.7151720345376571</v>
      </c>
      <c r="G3815" s="10">
        <f t="shared" ca="1" si="297"/>
        <v>0</v>
      </c>
    </row>
    <row r="3816" spans="1:7" x14ac:dyDescent="0.2">
      <c r="A3816" s="2">
        <v>20050421</v>
      </c>
      <c r="B3816" s="13">
        <v>10218.6</v>
      </c>
      <c r="C3816" s="2">
        <f t="shared" si="295"/>
        <v>2.0598540204307451E-2</v>
      </c>
      <c r="D3816" s="21">
        <f t="shared" ca="1" si="296"/>
        <v>2.0214587789200582E-2</v>
      </c>
      <c r="E3816" s="21">
        <f t="shared" ca="1" si="298"/>
        <v>6.3297194653680002E-5</v>
      </c>
      <c r="F3816" s="11">
        <f t="shared" ca="1" si="299"/>
        <v>1.6059700817413263</v>
      </c>
      <c r="G3816" s="10">
        <f t="shared" ca="1" si="297"/>
        <v>0</v>
      </c>
    </row>
    <row r="3817" spans="1:7" x14ac:dyDescent="0.2">
      <c r="A3817" s="2">
        <v>20050422</v>
      </c>
      <c r="B3817" s="13">
        <v>10157.709999999999</v>
      </c>
      <c r="C3817" s="2">
        <f t="shared" si="295"/>
        <v>-5.9587419020219242E-3</v>
      </c>
      <c r="D3817" s="21">
        <f t="shared" ca="1" si="296"/>
        <v>-6.3426943171287914E-3</v>
      </c>
      <c r="E3817" s="21">
        <f t="shared" ca="1" si="298"/>
        <v>7.6029994232146224E-5</v>
      </c>
      <c r="F3817" s="11">
        <f t="shared" ca="1" si="299"/>
        <v>4.4776261834483133</v>
      </c>
      <c r="G3817" s="10">
        <f t="shared" ca="1" si="297"/>
        <v>1</v>
      </c>
    </row>
    <row r="3818" spans="1:7" x14ac:dyDescent="0.2">
      <c r="A3818" s="2">
        <v>20050425</v>
      </c>
      <c r="B3818" s="13">
        <v>10242.469999999999</v>
      </c>
      <c r="C3818" s="2">
        <f t="shared" si="295"/>
        <v>8.3444004603400006E-3</v>
      </c>
      <c r="D3818" s="21">
        <f t="shared" ca="1" si="296"/>
        <v>7.9604480452331334E-3</v>
      </c>
      <c r="E3818" s="21">
        <f t="shared" ca="1" si="298"/>
        <v>7.4571933828810247E-5</v>
      </c>
      <c r="F3818" s="11">
        <f t="shared" ca="1" si="299"/>
        <v>4.3269899092811031</v>
      </c>
      <c r="G3818" s="10">
        <f t="shared" ca="1" si="297"/>
        <v>1</v>
      </c>
    </row>
    <row r="3819" spans="1:7" x14ac:dyDescent="0.2">
      <c r="A3819" s="2">
        <v>20050426</v>
      </c>
      <c r="B3819" s="13">
        <v>10151.129999999999</v>
      </c>
      <c r="C3819" s="2">
        <f t="shared" si="295"/>
        <v>-8.9177708111422491E-3</v>
      </c>
      <c r="D3819" s="21">
        <f t="shared" ca="1" si="296"/>
        <v>-9.3017232262491163E-3</v>
      </c>
      <c r="E3819" s="21">
        <f t="shared" ca="1" si="298"/>
        <v>7.4038497211421922E-5</v>
      </c>
      <c r="F3819" s="11">
        <f t="shared" ca="1" si="299"/>
        <v>4.1711581783886293</v>
      </c>
      <c r="G3819" s="10">
        <f t="shared" ca="1" si="297"/>
        <v>0</v>
      </c>
    </row>
    <row r="3820" spans="1:7" x14ac:dyDescent="0.2">
      <c r="A3820" s="2">
        <v>20050427</v>
      </c>
      <c r="B3820" s="13">
        <v>10198.799999999999</v>
      </c>
      <c r="C3820" s="2">
        <f t="shared" si="295"/>
        <v>4.6960289150074991E-3</v>
      </c>
      <c r="D3820" s="21">
        <f t="shared" ca="1" si="296"/>
        <v>4.3120764999006319E-3</v>
      </c>
      <c r="E3820" s="21">
        <f t="shared" ca="1" si="298"/>
        <v>7.4383435401087034E-5</v>
      </c>
      <c r="F3820" s="11">
        <f t="shared" ca="1" si="299"/>
        <v>4.6281511115946889</v>
      </c>
      <c r="G3820" s="10">
        <f t="shared" ca="1" si="297"/>
        <v>1</v>
      </c>
    </row>
    <row r="3821" spans="1:7" x14ac:dyDescent="0.2">
      <c r="A3821" s="2">
        <v>20050428</v>
      </c>
      <c r="B3821" s="13">
        <v>10070.370000000001</v>
      </c>
      <c r="C3821" s="2">
        <f t="shared" si="295"/>
        <v>-1.2592657959759822E-2</v>
      </c>
      <c r="D3821" s="21">
        <f t="shared" ca="1" si="296"/>
        <v>-1.2976610374866689E-2</v>
      </c>
      <c r="E3821" s="21">
        <f t="shared" ca="1" si="298"/>
        <v>7.2213090004611817E-5</v>
      </c>
      <c r="F3821" s="11">
        <f t="shared" ca="1" si="299"/>
        <v>3.6020035296414172</v>
      </c>
      <c r="G3821" s="10">
        <f t="shared" ca="1" si="297"/>
        <v>0</v>
      </c>
    </row>
    <row r="3822" spans="1:7" x14ac:dyDescent="0.2">
      <c r="A3822" s="2">
        <v>20050429</v>
      </c>
      <c r="B3822" s="13">
        <v>10192.51</v>
      </c>
      <c r="C3822" s="2">
        <f t="shared" ref="C3822:C3885" si="300">(B3822-B3821)/B3821</f>
        <v>1.2128650685128689E-2</v>
      </c>
      <c r="D3822" s="21">
        <f t="shared" ca="1" si="296"/>
        <v>1.1744698270021822E-2</v>
      </c>
      <c r="E3822" s="21">
        <f t="shared" ca="1" si="298"/>
        <v>7.5660892300395645E-5</v>
      </c>
      <c r="F3822" s="11">
        <f t="shared" ca="1" si="299"/>
        <v>3.8330708408476011</v>
      </c>
      <c r="G3822" s="10">
        <f t="shared" ca="1" si="297"/>
        <v>0</v>
      </c>
    </row>
    <row r="3823" spans="1:7" x14ac:dyDescent="0.2">
      <c r="A3823" s="2">
        <v>20050502</v>
      </c>
      <c r="B3823" s="13">
        <v>10251.700000000001</v>
      </c>
      <c r="C3823" s="2">
        <f t="shared" si="300"/>
        <v>5.8072054871666067E-3</v>
      </c>
      <c r="D3823" s="21">
        <f t="shared" ca="1" si="296"/>
        <v>5.4232530720597395E-3</v>
      </c>
      <c r="E3823" s="21">
        <f t="shared" ca="1" si="298"/>
        <v>7.7814404761509869E-5</v>
      </c>
      <c r="F3823" s="11">
        <f t="shared" ca="1" si="299"/>
        <v>4.5416059469773025</v>
      </c>
      <c r="G3823" s="10">
        <f t="shared" ca="1" si="297"/>
        <v>1</v>
      </c>
    </row>
    <row r="3824" spans="1:7" x14ac:dyDescent="0.2">
      <c r="A3824" s="2">
        <v>20050503</v>
      </c>
      <c r="B3824" s="13">
        <v>10256.950000000001</v>
      </c>
      <c r="C3824" s="2">
        <f t="shared" si="300"/>
        <v>5.1211018660319749E-4</v>
      </c>
      <c r="D3824" s="21">
        <f t="shared" ca="1" si="296"/>
        <v>1.281577714963302E-4</v>
      </c>
      <c r="E3824" s="21">
        <f t="shared" ca="1" si="298"/>
        <v>7.5868270114700111E-5</v>
      </c>
      <c r="F3824" s="11">
        <f t="shared" ca="1" si="299"/>
        <v>4.7431477617879061</v>
      </c>
      <c r="G3824" s="10">
        <f t="shared" ca="1" si="297"/>
        <v>1</v>
      </c>
    </row>
    <row r="3825" spans="1:7" x14ac:dyDescent="0.2">
      <c r="A3825" s="2">
        <v>20050504</v>
      </c>
      <c r="B3825" s="13">
        <v>10384.64</v>
      </c>
      <c r="C3825" s="2">
        <f t="shared" si="300"/>
        <v>1.2449119865066973E-2</v>
      </c>
      <c r="D3825" s="21">
        <f t="shared" ca="1" si="296"/>
        <v>1.2065167449960106E-2</v>
      </c>
      <c r="E3825" s="21">
        <f t="shared" ca="1" si="298"/>
        <v>7.2939676411993312E-5</v>
      </c>
      <c r="F3825" s="11">
        <f t="shared" ca="1" si="299"/>
        <v>3.7650714011070257</v>
      </c>
      <c r="G3825" s="10">
        <f t="shared" ca="1" si="297"/>
        <v>0</v>
      </c>
    </row>
    <row r="3826" spans="1:7" x14ac:dyDescent="0.2">
      <c r="A3826" s="2">
        <v>20050505</v>
      </c>
      <c r="B3826" s="13">
        <v>10340.379999999999</v>
      </c>
      <c r="C3826" s="2">
        <f t="shared" si="300"/>
        <v>-4.2620639714039408E-3</v>
      </c>
      <c r="D3826" s="21">
        <f t="shared" ca="1" si="296"/>
        <v>-4.6460163865108079E-3</v>
      </c>
      <c r="E3826" s="21">
        <f t="shared" ca="1" si="298"/>
        <v>7.5511436569584197E-5</v>
      </c>
      <c r="F3826" s="11">
        <f t="shared" ca="1" si="299"/>
        <v>4.6026847472492864</v>
      </c>
      <c r="G3826" s="10">
        <f t="shared" ca="1" si="297"/>
        <v>1</v>
      </c>
    </row>
    <row r="3827" spans="1:7" x14ac:dyDescent="0.2">
      <c r="A3827" s="2">
        <v>20050506</v>
      </c>
      <c r="B3827" s="13">
        <v>10345.4</v>
      </c>
      <c r="C3827" s="2">
        <f t="shared" si="300"/>
        <v>4.854753887188321E-4</v>
      </c>
      <c r="D3827" s="21">
        <f t="shared" ca="1" si="296"/>
        <v>1.0152297361196481E-4</v>
      </c>
      <c r="E3827" s="21">
        <f t="shared" ca="1" si="298"/>
        <v>7.3394026596322891E-5</v>
      </c>
      <c r="F3827" s="11">
        <f t="shared" ca="1" si="299"/>
        <v>4.7597637872871674</v>
      </c>
      <c r="G3827" s="10">
        <f t="shared" ca="1" si="297"/>
        <v>1</v>
      </c>
    </row>
    <row r="3828" spans="1:7" x14ac:dyDescent="0.2">
      <c r="A3828" s="2">
        <v>20050509</v>
      </c>
      <c r="B3828" s="13">
        <v>10384.34</v>
      </c>
      <c r="C3828" s="2">
        <f t="shared" si="300"/>
        <v>3.7639917257912222E-3</v>
      </c>
      <c r="D3828" s="21">
        <f t="shared" ca="1" si="296"/>
        <v>3.380039310684355E-3</v>
      </c>
      <c r="E3828" s="21">
        <f t="shared" ca="1" si="298"/>
        <v>7.0590380736726123E-5</v>
      </c>
      <c r="F3828" s="11">
        <f t="shared" ca="1" si="299"/>
        <v>4.6983860803295787</v>
      </c>
      <c r="G3828" s="10">
        <f t="shared" ca="1" si="297"/>
        <v>1</v>
      </c>
    </row>
    <row r="3829" spans="1:7" x14ac:dyDescent="0.2">
      <c r="A3829" s="2">
        <v>20050510</v>
      </c>
      <c r="B3829" s="13">
        <v>10281.11</v>
      </c>
      <c r="C3829" s="2">
        <f t="shared" si="300"/>
        <v>-9.9409302854104892E-3</v>
      </c>
      <c r="D3829" s="21">
        <f t="shared" ca="1" si="296"/>
        <v>-1.0324882700517356E-2</v>
      </c>
      <c r="E3829" s="21">
        <f t="shared" ca="1" si="298"/>
        <v>6.8348298148405355E-5</v>
      </c>
      <c r="F3829" s="11">
        <f t="shared" ca="1" si="299"/>
        <v>4.0155942977365129</v>
      </c>
      <c r="G3829" s="10">
        <f t="shared" ca="1" si="297"/>
        <v>0</v>
      </c>
    </row>
    <row r="3830" spans="1:7" x14ac:dyDescent="0.2">
      <c r="A3830" s="2">
        <v>20050511</v>
      </c>
      <c r="B3830" s="13">
        <v>10300.25</v>
      </c>
      <c r="C3830" s="2">
        <f t="shared" si="300"/>
        <v>1.8616666877408585E-3</v>
      </c>
      <c r="D3830" s="21">
        <f t="shared" ca="1" si="296"/>
        <v>1.4777142726339911E-3</v>
      </c>
      <c r="E3830" s="21">
        <f t="shared" ca="1" si="298"/>
        <v>6.9719524249545401E-5</v>
      </c>
      <c r="F3830" s="11">
        <f t="shared" ca="1" si="299"/>
        <v>4.7698549086150894</v>
      </c>
      <c r="G3830" s="10">
        <f t="shared" ca="1" si="297"/>
        <v>1</v>
      </c>
    </row>
    <row r="3831" spans="1:7" x14ac:dyDescent="0.2">
      <c r="A3831" s="2">
        <v>20050512</v>
      </c>
      <c r="B3831" s="13">
        <v>10189.48</v>
      </c>
      <c r="C3831" s="2">
        <f t="shared" si="300"/>
        <v>-1.0754107910002227E-2</v>
      </c>
      <c r="D3831" s="21">
        <f t="shared" ca="1" si="296"/>
        <v>-1.1138060325109094E-2</v>
      </c>
      <c r="E3831" s="21">
        <f t="shared" ca="1" si="298"/>
        <v>6.7181689906430114E-5</v>
      </c>
      <c r="F3831" s="11">
        <f t="shared" ca="1" si="299"/>
        <v>3.8807647394730176</v>
      </c>
      <c r="G3831" s="10">
        <f t="shared" ca="1" si="297"/>
        <v>0</v>
      </c>
    </row>
    <row r="3832" spans="1:7" x14ac:dyDescent="0.2">
      <c r="A3832" s="2">
        <v>20050513</v>
      </c>
      <c r="B3832" s="13">
        <v>10140.120000000001</v>
      </c>
      <c r="C3832" s="2">
        <f t="shared" si="300"/>
        <v>-4.8442118734222713E-3</v>
      </c>
      <c r="D3832" s="21">
        <f t="shared" ca="1" si="296"/>
        <v>-5.2281642885291385E-3</v>
      </c>
      <c r="E3832" s="21">
        <f t="shared" ca="1" si="298"/>
        <v>6.9253719190154556E-5</v>
      </c>
      <c r="F3832" s="11">
        <f t="shared" ca="1" si="299"/>
        <v>4.5915222046896789</v>
      </c>
      <c r="G3832" s="10">
        <f t="shared" ca="1" si="297"/>
        <v>1</v>
      </c>
    </row>
    <row r="3833" spans="1:7" x14ac:dyDescent="0.2">
      <c r="A3833" s="2">
        <v>20050516</v>
      </c>
      <c r="B3833" s="13">
        <v>10252.290000000001</v>
      </c>
      <c r="C3833" s="2">
        <f t="shared" si="300"/>
        <v>1.1061999266280879E-2</v>
      </c>
      <c r="D3833" s="21">
        <f t="shared" ca="1" si="296"/>
        <v>1.0678046851174012E-2</v>
      </c>
      <c r="E3833" s="21">
        <f t="shared" ca="1" si="298"/>
        <v>6.7664261784400602E-5</v>
      </c>
      <c r="F3833" s="11">
        <f t="shared" ca="1" si="299"/>
        <v>3.957928886368665</v>
      </c>
      <c r="G3833" s="10">
        <f t="shared" ca="1" si="297"/>
        <v>0</v>
      </c>
    </row>
    <row r="3834" spans="1:7" x14ac:dyDescent="0.2">
      <c r="A3834" s="2">
        <v>20050517</v>
      </c>
      <c r="B3834" s="13">
        <v>10331.879999999999</v>
      </c>
      <c r="C3834" s="2">
        <f t="shared" si="300"/>
        <v>7.7631436488821834E-3</v>
      </c>
      <c r="D3834" s="21">
        <f t="shared" ca="1" si="296"/>
        <v>7.3791912337753162E-3</v>
      </c>
      <c r="E3834" s="21">
        <f t="shared" ca="1" si="298"/>
        <v>6.9342847266615782E-5</v>
      </c>
      <c r="F3834" s="11">
        <f t="shared" ca="1" si="299"/>
        <v>4.3955916219779745</v>
      </c>
      <c r="G3834" s="10">
        <f t="shared" ca="1" si="297"/>
        <v>1</v>
      </c>
    </row>
    <row r="3835" spans="1:7" x14ac:dyDescent="0.2">
      <c r="A3835" s="2">
        <v>20050518</v>
      </c>
      <c r="B3835" s="13">
        <v>10464.450000000001</v>
      </c>
      <c r="C3835" s="2">
        <f t="shared" si="300"/>
        <v>1.283115947920432E-2</v>
      </c>
      <c r="D3835" s="21">
        <f t="shared" ca="1" si="296"/>
        <v>1.2447207064097453E-2</v>
      </c>
      <c r="E3835" s="21">
        <f t="shared" ca="1" si="298"/>
        <v>6.8746085050790855E-5</v>
      </c>
      <c r="F3835" s="11">
        <f t="shared" ca="1" si="299"/>
        <v>3.6656960252408171</v>
      </c>
      <c r="G3835" s="10">
        <f t="shared" ca="1" si="297"/>
        <v>0</v>
      </c>
    </row>
    <row r="3836" spans="1:7" x14ac:dyDescent="0.2">
      <c r="A3836" s="2">
        <v>20050519</v>
      </c>
      <c r="B3836" s="13">
        <v>10493.19</v>
      </c>
      <c r="C3836" s="2">
        <f t="shared" si="300"/>
        <v>2.7464415234436383E-3</v>
      </c>
      <c r="D3836" s="21">
        <f t="shared" ca="1" si="296"/>
        <v>2.3624891083367711E-3</v>
      </c>
      <c r="E3836" s="21">
        <f t="shared" ca="1" si="298"/>
        <v>7.1874356676520021E-5</v>
      </c>
      <c r="F3836" s="11">
        <f t="shared" ca="1" si="299"/>
        <v>4.7314683413016221</v>
      </c>
      <c r="G3836" s="10">
        <f t="shared" ca="1" si="297"/>
        <v>1</v>
      </c>
    </row>
    <row r="3837" spans="1:7" x14ac:dyDescent="0.2">
      <c r="A3837" s="2">
        <v>20050520</v>
      </c>
      <c r="B3837" s="13">
        <v>10471.91</v>
      </c>
      <c r="C3837" s="2">
        <f t="shared" si="300"/>
        <v>-2.0279819578222307E-3</v>
      </c>
      <c r="D3837" s="21">
        <f t="shared" ca="1" si="296"/>
        <v>-2.4119343729290979E-3</v>
      </c>
      <c r="E3837" s="21">
        <f t="shared" ca="1" si="298"/>
        <v>6.9352448576135163E-5</v>
      </c>
      <c r="F3837" s="11">
        <f t="shared" ca="1" si="299"/>
        <v>4.7462135137446513</v>
      </c>
      <c r="G3837" s="10">
        <f t="shared" ca="1" si="297"/>
        <v>1</v>
      </c>
    </row>
    <row r="3838" spans="1:7" x14ac:dyDescent="0.2">
      <c r="A3838" s="2">
        <v>20050523</v>
      </c>
      <c r="B3838" s="13">
        <v>10523.56</v>
      </c>
      <c r="C3838" s="2">
        <f t="shared" si="300"/>
        <v>4.9322425421914088E-3</v>
      </c>
      <c r="D3838" s="21">
        <f t="shared" ca="1" si="296"/>
        <v>4.5482901270845416E-3</v>
      </c>
      <c r="E3838" s="21">
        <f t="shared" ca="1" si="298"/>
        <v>6.69668054398069E-5</v>
      </c>
      <c r="F3838" s="11">
        <f t="shared" ca="1" si="299"/>
        <v>4.6512000548205092</v>
      </c>
      <c r="G3838" s="10">
        <f t="shared" ca="1" si="297"/>
        <v>1</v>
      </c>
    </row>
    <row r="3839" spans="1:7" x14ac:dyDescent="0.2">
      <c r="A3839" s="2">
        <v>20050524</v>
      </c>
      <c r="B3839" s="13">
        <v>10503.68</v>
      </c>
      <c r="C3839" s="2">
        <f t="shared" si="300"/>
        <v>-1.8890945649570297E-3</v>
      </c>
      <c r="D3839" s="21">
        <f t="shared" ca="1" si="296"/>
        <v>-2.2730469800638971E-3</v>
      </c>
      <c r="E3839" s="21">
        <f t="shared" ca="1" si="298"/>
        <v>6.5248630828974936E-5</v>
      </c>
      <c r="F3839" s="11">
        <f t="shared" ca="1" si="299"/>
        <v>4.7790600198146889</v>
      </c>
      <c r="G3839" s="10">
        <f t="shared" ca="1" si="297"/>
        <v>1</v>
      </c>
    </row>
    <row r="3840" spans="1:7" x14ac:dyDescent="0.2">
      <c r="A3840" s="2">
        <v>20050525</v>
      </c>
      <c r="B3840" s="13">
        <v>10457.799999999999</v>
      </c>
      <c r="C3840" s="2">
        <f t="shared" si="300"/>
        <v>-4.367992932001072E-3</v>
      </c>
      <c r="D3840" s="21">
        <f t="shared" ca="1" si="296"/>
        <v>-4.7519453471079392E-3</v>
      </c>
      <c r="E3840" s="21">
        <f t="shared" ca="1" si="298"/>
        <v>6.3046674365811937E-5</v>
      </c>
      <c r="F3840" s="11">
        <f t="shared" ca="1" si="299"/>
        <v>4.6567361329547534</v>
      </c>
      <c r="G3840" s="10">
        <f t="shared" ca="1" si="297"/>
        <v>1</v>
      </c>
    </row>
    <row r="3841" spans="1:7" x14ac:dyDescent="0.2">
      <c r="A3841" s="2">
        <v>20050526</v>
      </c>
      <c r="B3841" s="13">
        <v>10537.6</v>
      </c>
      <c r="C3841" s="2">
        <f t="shared" si="300"/>
        <v>7.630668018130113E-3</v>
      </c>
      <c r="D3841" s="21">
        <f t="shared" ca="1" si="296"/>
        <v>7.2467156030232458E-3</v>
      </c>
      <c r="E3841" s="21">
        <f t="shared" ca="1" si="298"/>
        <v>6.1596467689878075E-5</v>
      </c>
      <c r="F3841" s="11">
        <f t="shared" ca="1" si="299"/>
        <v>4.4211713718160448</v>
      </c>
      <c r="G3841" s="10">
        <f t="shared" ca="1" si="297"/>
        <v>1</v>
      </c>
    </row>
    <row r="3842" spans="1:7" x14ac:dyDescent="0.2">
      <c r="A3842" s="2">
        <v>20050527</v>
      </c>
      <c r="B3842" s="13">
        <v>10542.55</v>
      </c>
      <c r="C3842" s="2">
        <f t="shared" si="300"/>
        <v>4.6974643182497991E-4</v>
      </c>
      <c r="D3842" s="21">
        <f t="shared" ca="1" si="296"/>
        <v>8.5794016718112611E-5</v>
      </c>
      <c r="E3842" s="21">
        <f t="shared" ca="1" si="298"/>
        <v>6.1320349306240416E-5</v>
      </c>
      <c r="F3842" s="11">
        <f t="shared" ca="1" si="299"/>
        <v>4.8496393860587634</v>
      </c>
      <c r="G3842" s="10">
        <f t="shared" ca="1" si="297"/>
        <v>1</v>
      </c>
    </row>
    <row r="3843" spans="1:7" x14ac:dyDescent="0.2">
      <c r="A3843" s="2">
        <v>20050531</v>
      </c>
      <c r="B3843" s="13">
        <v>10467.48</v>
      </c>
      <c r="C3843" s="2">
        <f t="shared" si="300"/>
        <v>-7.1206681495463347E-3</v>
      </c>
      <c r="D3843" s="21">
        <f t="shared" ca="1" si="296"/>
        <v>-7.5046205646532018E-3</v>
      </c>
      <c r="E3843" s="21">
        <f t="shared" ca="1" si="298"/>
        <v>5.9127406415552415E-5</v>
      </c>
      <c r="F3843" s="11">
        <f t="shared" ca="1" si="299"/>
        <v>4.3916539872391391</v>
      </c>
      <c r="G3843" s="10">
        <f t="shared" ca="1" si="297"/>
        <v>1</v>
      </c>
    </row>
    <row r="3844" spans="1:7" x14ac:dyDescent="0.2">
      <c r="A3844" s="2">
        <v>20050601</v>
      </c>
      <c r="B3844" s="13">
        <v>10549.87</v>
      </c>
      <c r="C3844" s="2">
        <f t="shared" si="300"/>
        <v>7.8710444156569904E-3</v>
      </c>
      <c r="D3844" s="21">
        <f t="shared" ca="1" si="296"/>
        <v>7.4870920005501232E-3</v>
      </c>
      <c r="E3844" s="21">
        <f t="shared" ca="1" si="298"/>
        <v>5.911609465881908E-5</v>
      </c>
      <c r="F3844" s="11">
        <f t="shared" ca="1" si="299"/>
        <v>4.3938811246343095</v>
      </c>
      <c r="G3844" s="10">
        <f t="shared" ca="1" si="297"/>
        <v>1</v>
      </c>
    </row>
    <row r="3845" spans="1:7" x14ac:dyDescent="0.2">
      <c r="A3845" s="2">
        <v>20050602</v>
      </c>
      <c r="B3845" s="13">
        <v>10553.49</v>
      </c>
      <c r="C3845" s="2">
        <f t="shared" si="300"/>
        <v>3.4313219025438051E-4</v>
      </c>
      <c r="D3845" s="21">
        <f t="shared" ca="1" si="296"/>
        <v>-4.0820224852486787E-5</v>
      </c>
      <c r="E3845" s="21">
        <f t="shared" ca="1" si="298"/>
        <v>5.9095692170681979E-5</v>
      </c>
      <c r="F3845" s="11">
        <f t="shared" ca="1" si="299"/>
        <v>4.8681621651187754</v>
      </c>
      <c r="G3845" s="10">
        <f t="shared" ca="1" si="297"/>
        <v>1</v>
      </c>
    </row>
    <row r="3846" spans="1:7" x14ac:dyDescent="0.2">
      <c r="A3846" s="2">
        <v>20050603</v>
      </c>
      <c r="B3846" s="13">
        <v>10460.969999999999</v>
      </c>
      <c r="C3846" s="2">
        <f t="shared" si="300"/>
        <v>-8.7667681496832271E-3</v>
      </c>
      <c r="D3846" s="21">
        <f t="shared" ca="1" si="296"/>
        <v>-9.1507205647900942E-3</v>
      </c>
      <c r="E3846" s="21">
        <f t="shared" ca="1" si="298"/>
        <v>5.7015086026799388E-5</v>
      </c>
      <c r="F3846" s="11">
        <f t="shared" ca="1" si="299"/>
        <v>4.1517681129142563</v>
      </c>
      <c r="G3846" s="10">
        <f t="shared" ca="1" si="297"/>
        <v>0</v>
      </c>
    </row>
    <row r="3847" spans="1:7" x14ac:dyDescent="0.2">
      <c r="A3847" s="2">
        <v>20050606</v>
      </c>
      <c r="B3847" s="13">
        <v>10467.030000000001</v>
      </c>
      <c r="C3847" s="2">
        <f t="shared" si="300"/>
        <v>5.7929618381481925E-4</v>
      </c>
      <c r="D3847" s="21">
        <f t="shared" ca="1" si="296"/>
        <v>1.9534376870795195E-4</v>
      </c>
      <c r="E3847" s="21">
        <f t="shared" ca="1" si="298"/>
        <v>5.8118784572488074E-5</v>
      </c>
      <c r="F3847" s="11">
        <f t="shared" ca="1" si="299"/>
        <v>4.8761825297466475</v>
      </c>
      <c r="G3847" s="10">
        <f t="shared" ca="1" si="297"/>
        <v>1</v>
      </c>
    </row>
    <row r="3848" spans="1:7" x14ac:dyDescent="0.2">
      <c r="A3848" s="2">
        <v>20050607</v>
      </c>
      <c r="B3848" s="13">
        <v>10483.07</v>
      </c>
      <c r="C3848" s="2">
        <f t="shared" si="300"/>
        <v>1.5324308805839911E-3</v>
      </c>
      <c r="D3848" s="21">
        <f t="shared" ca="1" si="296"/>
        <v>1.1484784654771239E-3</v>
      </c>
      <c r="E3848" s="21">
        <f t="shared" ca="1" si="298"/>
        <v>5.6088942413207845E-5</v>
      </c>
      <c r="F3848" s="11">
        <f t="shared" ca="1" si="299"/>
        <v>4.88252779925803</v>
      </c>
      <c r="G3848" s="10">
        <f t="shared" ca="1" si="297"/>
        <v>1</v>
      </c>
    </row>
    <row r="3849" spans="1:7" x14ac:dyDescent="0.2">
      <c r="A3849" s="2">
        <v>20050608</v>
      </c>
      <c r="B3849" s="13">
        <v>10476.86</v>
      </c>
      <c r="C3849" s="2">
        <f t="shared" si="300"/>
        <v>-5.9238371965455983E-4</v>
      </c>
      <c r="D3849" s="21">
        <f t="shared" ca="1" si="296"/>
        <v>-9.7633613476142713E-4</v>
      </c>
      <c r="E3849" s="21">
        <f t="shared" ca="1" si="298"/>
        <v>5.4208889492620449E-5</v>
      </c>
      <c r="F3849" s="11">
        <f t="shared" ca="1" si="299"/>
        <v>4.9025406117047821</v>
      </c>
      <c r="G3849" s="10">
        <f t="shared" ca="1" si="297"/>
        <v>1</v>
      </c>
    </row>
    <row r="3850" spans="1:7" x14ac:dyDescent="0.2">
      <c r="A3850" s="2">
        <v>20050609</v>
      </c>
      <c r="B3850" s="13">
        <v>10503.02</v>
      </c>
      <c r="C3850" s="2">
        <f t="shared" si="300"/>
        <v>2.4969313324793739E-3</v>
      </c>
      <c r="D3850" s="21">
        <f t="shared" ca="1" si="296"/>
        <v>2.1129789173725067E-3</v>
      </c>
      <c r="E3850" s="21">
        <f t="shared" ca="1" si="298"/>
        <v>5.2410499046998856E-5</v>
      </c>
      <c r="F3850" s="11">
        <f t="shared" ca="1" si="299"/>
        <v>4.8856084382715954</v>
      </c>
      <c r="G3850" s="10">
        <f t="shared" ca="1" si="297"/>
        <v>1</v>
      </c>
    </row>
    <row r="3851" spans="1:7" x14ac:dyDescent="0.2">
      <c r="A3851" s="2">
        <v>20050610</v>
      </c>
      <c r="B3851" s="13">
        <v>10512.63</v>
      </c>
      <c r="C3851" s="2">
        <f t="shared" si="300"/>
        <v>9.1497493101972218E-4</v>
      </c>
      <c r="D3851" s="21">
        <f t="shared" ca="1" si="296"/>
        <v>5.3102251591285489E-4</v>
      </c>
      <c r="E3851" s="21">
        <f t="shared" ca="1" si="298"/>
        <v>5.0832211827675826E-5</v>
      </c>
      <c r="F3851" s="11">
        <f t="shared" ca="1" si="299"/>
        <v>4.940716473333965</v>
      </c>
      <c r="G3851" s="10">
        <f t="shared" ca="1" si="297"/>
        <v>1</v>
      </c>
    </row>
    <row r="3852" spans="1:7" x14ac:dyDescent="0.2">
      <c r="A3852" s="2">
        <v>20050613</v>
      </c>
      <c r="B3852" s="13">
        <v>10522.56</v>
      </c>
      <c r="C3852" s="2">
        <f t="shared" si="300"/>
        <v>9.4457809320791194E-4</v>
      </c>
      <c r="D3852" s="21">
        <f t="shared" ca="1" si="296"/>
        <v>5.6062567810104464E-4</v>
      </c>
      <c r="E3852" s="21">
        <f t="shared" ca="1" si="298"/>
        <v>4.9179965680382424E-5</v>
      </c>
      <c r="F3852" s="11">
        <f t="shared" ca="1" si="299"/>
        <v>4.9568166909393971</v>
      </c>
      <c r="G3852" s="10">
        <f t="shared" ca="1" si="297"/>
        <v>1</v>
      </c>
    </row>
    <row r="3853" spans="1:7" x14ac:dyDescent="0.2">
      <c r="A3853" s="2">
        <v>20050614</v>
      </c>
      <c r="B3853" s="13">
        <v>10547.57</v>
      </c>
      <c r="C3853" s="2">
        <f t="shared" si="300"/>
        <v>2.3767980415412429E-3</v>
      </c>
      <c r="D3853" s="21">
        <f t="shared" ca="1" si="296"/>
        <v>1.9928456264343758E-3</v>
      </c>
      <c r="E3853" s="21">
        <f t="shared" ca="1" si="298"/>
        <v>4.7612495534223021E-5</v>
      </c>
      <c r="F3853" s="11">
        <f t="shared" ca="1" si="299"/>
        <v>4.9345018677658459</v>
      </c>
      <c r="G3853" s="10">
        <f t="shared" ca="1" si="297"/>
        <v>1</v>
      </c>
    </row>
    <row r="3854" spans="1:7" x14ac:dyDescent="0.2">
      <c r="A3854" s="2">
        <v>20050615</v>
      </c>
      <c r="B3854" s="13">
        <v>10566.37</v>
      </c>
      <c r="C3854" s="2">
        <f t="shared" si="300"/>
        <v>1.7824010648899312E-3</v>
      </c>
      <c r="D3854" s="21">
        <f t="shared" ref="D3854:D3917" ca="1" si="301">(C3854-mu)</f>
        <v>1.3984486497830638E-3</v>
      </c>
      <c r="E3854" s="21">
        <f t="shared" ca="1" si="298"/>
        <v>4.6258803367885653E-5</v>
      </c>
      <c r="F3854" s="11">
        <f t="shared" ca="1" si="299"/>
        <v>4.9694911526139673</v>
      </c>
      <c r="G3854" s="10">
        <f t="shared" ref="G3854:G3917" ca="1" si="302">IF(AND(C3854&lt;=mu+zvalue*SQRT(E3854),C3854&gt;=mu-zvalue*SQRT(E3854)),1,0)</f>
        <v>1</v>
      </c>
    </row>
    <row r="3855" spans="1:7" x14ac:dyDescent="0.2">
      <c r="A3855" s="2">
        <v>20050616</v>
      </c>
      <c r="B3855" s="13">
        <v>10578.65</v>
      </c>
      <c r="C3855" s="2">
        <f t="shared" si="300"/>
        <v>1.1621777393749069E-3</v>
      </c>
      <c r="D3855" s="21">
        <f t="shared" ca="1" si="301"/>
        <v>7.7822532426803962E-4</v>
      </c>
      <c r="E3855" s="21">
        <f t="shared" ref="E3855:E3918" ca="1" si="303">(1-alpha-beta)*longvar+alpha*D3854^2+beta*E3854</f>
        <v>4.489947136519795E-5</v>
      </c>
      <c r="F3855" s="11">
        <f t="shared" ref="F3855:F3918" ca="1" si="304">(-0.5)*(LN(E3855)+D3855^2/E3855)</f>
        <v>4.9987979278440635</v>
      </c>
      <c r="G3855" s="10">
        <f t="shared" ca="1" si="302"/>
        <v>1</v>
      </c>
    </row>
    <row r="3856" spans="1:7" x14ac:dyDescent="0.2">
      <c r="A3856" s="2">
        <v>20050617</v>
      </c>
      <c r="B3856" s="13">
        <v>10623.07</v>
      </c>
      <c r="C3856" s="2">
        <f t="shared" si="300"/>
        <v>4.1990235048895725E-3</v>
      </c>
      <c r="D3856" s="21">
        <f t="shared" ca="1" si="301"/>
        <v>3.8150710897827053E-3</v>
      </c>
      <c r="E3856" s="21">
        <f t="shared" ca="1" si="303"/>
        <v>4.3559265677495907E-5</v>
      </c>
      <c r="F3856" s="11">
        <f t="shared" ca="1" si="304"/>
        <v>4.8536255007508808</v>
      </c>
      <c r="G3856" s="10">
        <f t="shared" ca="1" si="302"/>
        <v>1</v>
      </c>
    </row>
    <row r="3857" spans="1:7" x14ac:dyDescent="0.2">
      <c r="A3857" s="2">
        <v>20050620</v>
      </c>
      <c r="B3857" s="13">
        <v>10609.1</v>
      </c>
      <c r="C3857" s="2">
        <f t="shared" si="300"/>
        <v>-1.3150624066300368E-3</v>
      </c>
      <c r="D3857" s="21">
        <f t="shared" ca="1" si="301"/>
        <v>-1.6990148217369042E-3</v>
      </c>
      <c r="E3857" s="21">
        <f t="shared" ca="1" si="303"/>
        <v>4.279979540441919E-5</v>
      </c>
      <c r="F3857" s="11">
        <f t="shared" ca="1" si="304"/>
        <v>4.9957658939563405</v>
      </c>
      <c r="G3857" s="10">
        <f t="shared" ca="1" si="302"/>
        <v>1</v>
      </c>
    </row>
    <row r="3858" spans="1:7" x14ac:dyDescent="0.2">
      <c r="A3858" s="2">
        <v>20050621</v>
      </c>
      <c r="B3858" s="13">
        <v>10599.67</v>
      </c>
      <c r="C3858" s="2">
        <f t="shared" si="300"/>
        <v>-8.8885956395926989E-4</v>
      </c>
      <c r="D3858" s="21">
        <f t="shared" ca="1" si="301"/>
        <v>-1.2728119790661372E-3</v>
      </c>
      <c r="E3858" s="21">
        <f t="shared" ca="1" si="303"/>
        <v>4.1649689982079197E-5</v>
      </c>
      <c r="F3858" s="11">
        <f t="shared" ca="1" si="304"/>
        <v>5.0236597882679774</v>
      </c>
      <c r="G3858" s="10">
        <f t="shared" ca="1" si="302"/>
        <v>1</v>
      </c>
    </row>
    <row r="3859" spans="1:7" x14ac:dyDescent="0.2">
      <c r="A3859" s="2">
        <v>20050622</v>
      </c>
      <c r="B3859" s="13">
        <v>10587.93</v>
      </c>
      <c r="C3859" s="2">
        <f t="shared" si="300"/>
        <v>-1.1075816511268541E-3</v>
      </c>
      <c r="D3859" s="21">
        <f t="shared" ca="1" si="301"/>
        <v>-1.4915340662337213E-3</v>
      </c>
      <c r="E3859" s="21">
        <f t="shared" ca="1" si="303"/>
        <v>4.05111936403102E-5</v>
      </c>
      <c r="F3859" s="11">
        <f t="shared" ca="1" si="304"/>
        <v>5.0295085972934519</v>
      </c>
      <c r="G3859" s="10">
        <f t="shared" ca="1" si="302"/>
        <v>1</v>
      </c>
    </row>
    <row r="3860" spans="1:7" x14ac:dyDescent="0.2">
      <c r="A3860" s="2">
        <v>20050623</v>
      </c>
      <c r="B3860" s="13">
        <v>10421.44</v>
      </c>
      <c r="C3860" s="2">
        <f t="shared" si="300"/>
        <v>-1.5724508945563466E-2</v>
      </c>
      <c r="D3860" s="21">
        <f t="shared" ca="1" si="301"/>
        <v>-1.6108461360670335E-2</v>
      </c>
      <c r="E3860" s="21">
        <f t="shared" ca="1" si="303"/>
        <v>3.9452527266482409E-5</v>
      </c>
      <c r="F3860" s="11">
        <f t="shared" ca="1" si="304"/>
        <v>1.7816649656842101</v>
      </c>
      <c r="G3860" s="10">
        <f t="shared" ca="1" si="302"/>
        <v>0</v>
      </c>
    </row>
    <row r="3861" spans="1:7" x14ac:dyDescent="0.2">
      <c r="A3861" s="2">
        <v>20050624</v>
      </c>
      <c r="B3861" s="13">
        <v>10297.83</v>
      </c>
      <c r="C3861" s="2">
        <f t="shared" si="300"/>
        <v>-1.1861124758190861E-2</v>
      </c>
      <c r="D3861" s="21">
        <f t="shared" ca="1" si="301"/>
        <v>-1.2245077173297729E-2</v>
      </c>
      <c r="E3861" s="21">
        <f t="shared" ca="1" si="303"/>
        <v>4.7907239631979354E-5</v>
      </c>
      <c r="F3861" s="11">
        <f t="shared" ca="1" si="304"/>
        <v>3.4082027962176262</v>
      </c>
      <c r="G3861" s="10">
        <f t="shared" ca="1" si="302"/>
        <v>0</v>
      </c>
    </row>
    <row r="3862" spans="1:7" x14ac:dyDescent="0.2">
      <c r="A3862" s="2">
        <v>20050627</v>
      </c>
      <c r="B3862" s="13">
        <v>10290.780000000001</v>
      </c>
      <c r="C3862" s="2">
        <f t="shared" si="300"/>
        <v>-6.8461025283960526E-4</v>
      </c>
      <c r="D3862" s="21">
        <f t="shared" ca="1" si="301"/>
        <v>-1.0685626679464726E-3</v>
      </c>
      <c r="E3862" s="21">
        <f t="shared" ca="1" si="303"/>
        <v>5.1906225733022072E-5</v>
      </c>
      <c r="F3862" s="11">
        <f t="shared" ca="1" si="304"/>
        <v>4.9220369765538763</v>
      </c>
      <c r="G3862" s="10">
        <f t="shared" ca="1" si="302"/>
        <v>1</v>
      </c>
    </row>
    <row r="3863" spans="1:7" x14ac:dyDescent="0.2">
      <c r="A3863" s="2">
        <v>20050628</v>
      </c>
      <c r="B3863" s="13">
        <v>10405.629999999999</v>
      </c>
      <c r="C3863" s="2">
        <f t="shared" si="300"/>
        <v>1.1160475687945766E-2</v>
      </c>
      <c r="D3863" s="21">
        <f t="shared" ca="1" si="301"/>
        <v>1.0776523272838899E-2</v>
      </c>
      <c r="E3863" s="21">
        <f t="shared" ca="1" si="303"/>
        <v>5.0231262733183748E-5</v>
      </c>
      <c r="F3863" s="11">
        <f t="shared" ca="1" si="304"/>
        <v>3.7934486802122591</v>
      </c>
      <c r="G3863" s="10">
        <f t="shared" ca="1" si="302"/>
        <v>0</v>
      </c>
    </row>
    <row r="3864" spans="1:7" x14ac:dyDescent="0.2">
      <c r="A3864" s="2">
        <v>20050629</v>
      </c>
      <c r="B3864" s="13">
        <v>10374.48</v>
      </c>
      <c r="C3864" s="2">
        <f t="shared" si="300"/>
        <v>-2.9935717491396136E-3</v>
      </c>
      <c r="D3864" s="21">
        <f t="shared" ca="1" si="301"/>
        <v>-3.3775241642464808E-3</v>
      </c>
      <c r="E3864" s="21">
        <f t="shared" ca="1" si="303"/>
        <v>5.286947959340525E-5</v>
      </c>
      <c r="F3864" s="11">
        <f t="shared" ca="1" si="304"/>
        <v>4.815956958637547</v>
      </c>
      <c r="G3864" s="10">
        <f t="shared" ca="1" si="302"/>
        <v>1</v>
      </c>
    </row>
    <row r="3865" spans="1:7" x14ac:dyDescent="0.2">
      <c r="A3865" s="2">
        <v>20050630</v>
      </c>
      <c r="B3865" s="13">
        <v>10274.969999999999</v>
      </c>
      <c r="C3865" s="2">
        <f t="shared" si="300"/>
        <v>-9.5918060471464808E-3</v>
      </c>
      <c r="D3865" s="21">
        <f t="shared" ca="1" si="301"/>
        <v>-9.9757584622533479E-3</v>
      </c>
      <c r="E3865" s="21">
        <f t="shared" ca="1" si="303"/>
        <v>5.1523278246565858E-5</v>
      </c>
      <c r="F3865" s="11">
        <f t="shared" ca="1" si="304"/>
        <v>3.9710025439960823</v>
      </c>
      <c r="G3865" s="10">
        <f t="shared" ca="1" si="302"/>
        <v>0</v>
      </c>
    </row>
    <row r="3866" spans="1:7" x14ac:dyDescent="0.2">
      <c r="A3866" s="2">
        <v>20050701</v>
      </c>
      <c r="B3866" s="13">
        <v>10303.44</v>
      </c>
      <c r="C3866" s="2">
        <f t="shared" si="300"/>
        <v>2.7708110096672949E-3</v>
      </c>
      <c r="D3866" s="21">
        <f t="shared" ca="1" si="301"/>
        <v>2.3868585945604277E-3</v>
      </c>
      <c r="E3866" s="21">
        <f t="shared" ca="1" si="303"/>
        <v>5.3485069884314719E-5</v>
      </c>
      <c r="F3866" s="11">
        <f t="shared" ca="1" si="304"/>
        <v>4.8647952738148676</v>
      </c>
      <c r="G3866" s="10">
        <f t="shared" ca="1" si="302"/>
        <v>1</v>
      </c>
    </row>
    <row r="3867" spans="1:7" x14ac:dyDescent="0.2">
      <c r="A3867" s="2">
        <v>20050705</v>
      </c>
      <c r="B3867" s="13">
        <v>10371.799999999999</v>
      </c>
      <c r="C3867" s="2">
        <f t="shared" si="300"/>
        <v>6.6346773504770019E-3</v>
      </c>
      <c r="D3867" s="21">
        <f t="shared" ca="1" si="301"/>
        <v>6.2507249353701347E-3</v>
      </c>
      <c r="E3867" s="21">
        <f t="shared" ca="1" si="303"/>
        <v>5.1897737788807771E-5</v>
      </c>
      <c r="F3867" s="11">
        <f t="shared" ca="1" si="304"/>
        <v>4.5566893031820683</v>
      </c>
      <c r="G3867" s="10">
        <f t="shared" ca="1" si="302"/>
        <v>1</v>
      </c>
    </row>
    <row r="3868" spans="1:7" x14ac:dyDescent="0.2">
      <c r="A3868" s="2">
        <v>20050706</v>
      </c>
      <c r="B3868" s="13">
        <v>10270.68</v>
      </c>
      <c r="C3868" s="2">
        <f t="shared" si="300"/>
        <v>-9.7495131028364403E-3</v>
      </c>
      <c r="D3868" s="21">
        <f t="shared" ca="1" si="301"/>
        <v>-1.0133465517943308E-2</v>
      </c>
      <c r="E3868" s="21">
        <f t="shared" ca="1" si="303"/>
        <v>5.1617946818242574E-5</v>
      </c>
      <c r="F3868" s="11">
        <f t="shared" ca="1" si="304"/>
        <v>3.9411362618823764</v>
      </c>
      <c r="G3868" s="10">
        <f t="shared" ca="1" si="302"/>
        <v>0</v>
      </c>
    </row>
    <row r="3869" spans="1:7" x14ac:dyDescent="0.2">
      <c r="A3869" s="2">
        <v>20050707</v>
      </c>
      <c r="B3869" s="13">
        <v>10302.290000000001</v>
      </c>
      <c r="C3869" s="2">
        <f t="shared" si="300"/>
        <v>3.0776930057211968E-3</v>
      </c>
      <c r="D3869" s="21">
        <f t="shared" ca="1" si="301"/>
        <v>2.6937405906143296E-3</v>
      </c>
      <c r="E3869" s="21">
        <f t="shared" ca="1" si="303"/>
        <v>5.3691565825564779E-5</v>
      </c>
      <c r="F3869" s="11">
        <f t="shared" ca="1" si="304"/>
        <v>4.8485539608728789</v>
      </c>
      <c r="G3869" s="10">
        <f t="shared" ca="1" si="302"/>
        <v>1</v>
      </c>
    </row>
    <row r="3870" spans="1:7" x14ac:dyDescent="0.2">
      <c r="A3870" s="2">
        <v>20050708</v>
      </c>
      <c r="B3870" s="13">
        <v>10449.14</v>
      </c>
      <c r="C3870" s="2">
        <f t="shared" si="300"/>
        <v>1.4254112435196304E-2</v>
      </c>
      <c r="D3870" s="21">
        <f t="shared" ca="1" si="301"/>
        <v>1.3870160020089436E-2</v>
      </c>
      <c r="E3870" s="21">
        <f t="shared" ca="1" si="303"/>
        <v>5.215111949502795E-5</v>
      </c>
      <c r="F3870" s="11">
        <f t="shared" ca="1" si="304"/>
        <v>3.0862221552996849</v>
      </c>
      <c r="G3870" s="10">
        <f t="shared" ca="1" si="302"/>
        <v>0</v>
      </c>
    </row>
    <row r="3871" spans="1:7" x14ac:dyDescent="0.2">
      <c r="A3871" s="2">
        <v>20050711</v>
      </c>
      <c r="B3871" s="13">
        <v>10519.72</v>
      </c>
      <c r="C3871" s="2">
        <f t="shared" si="300"/>
        <v>6.7546228684848639E-3</v>
      </c>
      <c r="D3871" s="21">
        <f t="shared" ca="1" si="301"/>
        <v>6.3706704533779968E-3</v>
      </c>
      <c r="E3871" s="21">
        <f t="shared" ca="1" si="303"/>
        <v>5.7495978038258025E-5</v>
      </c>
      <c r="F3871" s="11">
        <f t="shared" ca="1" si="304"/>
        <v>4.5289562054443842</v>
      </c>
      <c r="G3871" s="10">
        <f t="shared" ca="1" si="302"/>
        <v>1</v>
      </c>
    </row>
    <row r="3872" spans="1:7" x14ac:dyDescent="0.2">
      <c r="A3872" s="2">
        <v>20050712</v>
      </c>
      <c r="B3872" s="13">
        <v>10513.89</v>
      </c>
      <c r="C3872" s="2">
        <f t="shared" si="300"/>
        <v>-5.5419726000311103E-4</v>
      </c>
      <c r="D3872" s="21">
        <f t="shared" ca="1" si="301"/>
        <v>-9.3814967510997833E-4</v>
      </c>
      <c r="E3872" s="21">
        <f t="shared" ca="1" si="303"/>
        <v>5.6988638254013901E-5</v>
      </c>
      <c r="F3872" s="11">
        <f t="shared" ca="1" si="304"/>
        <v>4.8786073871378708</v>
      </c>
      <c r="G3872" s="10">
        <f t="shared" ca="1" si="302"/>
        <v>1</v>
      </c>
    </row>
    <row r="3873" spans="1:7" x14ac:dyDescent="0.2">
      <c r="A3873" s="2">
        <v>20050713</v>
      </c>
      <c r="B3873" s="13">
        <v>10557.39</v>
      </c>
      <c r="C3873" s="2">
        <f t="shared" si="300"/>
        <v>4.1373839749131863E-3</v>
      </c>
      <c r="D3873" s="21">
        <f t="shared" ca="1" si="301"/>
        <v>3.7534315598063191E-3</v>
      </c>
      <c r="E3873" s="21">
        <f t="shared" ca="1" si="303"/>
        <v>5.5046931115242595E-5</v>
      </c>
      <c r="F3873" s="11">
        <f t="shared" ca="1" si="304"/>
        <v>4.7756964279754781</v>
      </c>
      <c r="G3873" s="10">
        <f t="shared" ca="1" si="302"/>
        <v>1</v>
      </c>
    </row>
    <row r="3874" spans="1:7" x14ac:dyDescent="0.2">
      <c r="A3874" s="2">
        <v>20050714</v>
      </c>
      <c r="B3874" s="13">
        <v>10628.88</v>
      </c>
      <c r="C3874" s="2">
        <f t="shared" si="300"/>
        <v>6.7715600162539967E-3</v>
      </c>
      <c r="D3874" s="21">
        <f t="shared" ca="1" si="301"/>
        <v>6.3876076011471295E-3</v>
      </c>
      <c r="E3874" s="21">
        <f t="shared" ca="1" si="303"/>
        <v>5.3689141348985868E-5</v>
      </c>
      <c r="F3874" s="11">
        <f t="shared" ca="1" si="304"/>
        <v>4.5361705357323636</v>
      </c>
      <c r="G3874" s="10">
        <f t="shared" ca="1" si="302"/>
        <v>1</v>
      </c>
    </row>
    <row r="3875" spans="1:7" x14ac:dyDescent="0.2">
      <c r="A3875" s="2">
        <v>20050715</v>
      </c>
      <c r="B3875" s="13">
        <v>10640.83</v>
      </c>
      <c r="C3875" s="2">
        <f t="shared" si="300"/>
        <v>1.1242953161575565E-3</v>
      </c>
      <c r="D3875" s="21">
        <f t="shared" ca="1" si="301"/>
        <v>7.403429010506892E-4</v>
      </c>
      <c r="E3875" s="21">
        <f t="shared" ca="1" si="303"/>
        <v>5.3382336650280811E-5</v>
      </c>
      <c r="F3875" s="11">
        <f t="shared" ca="1" si="304"/>
        <v>4.9138815286638247</v>
      </c>
      <c r="G3875" s="10">
        <f t="shared" ca="1" si="302"/>
        <v>1</v>
      </c>
    </row>
    <row r="3876" spans="1:7" x14ac:dyDescent="0.2">
      <c r="A3876" s="2">
        <v>20050718</v>
      </c>
      <c r="B3876" s="13">
        <v>10574.99</v>
      </c>
      <c r="C3876" s="2">
        <f t="shared" si="300"/>
        <v>-6.1874872542837488E-3</v>
      </c>
      <c r="D3876" s="21">
        <f t="shared" ca="1" si="301"/>
        <v>-6.571439669390616E-3</v>
      </c>
      <c r="E3876" s="21">
        <f t="shared" ca="1" si="303"/>
        <v>5.1610864644841838E-5</v>
      </c>
      <c r="F3876" s="11">
        <f t="shared" ca="1" si="304"/>
        <v>4.5175294023418635</v>
      </c>
      <c r="G3876" s="10">
        <f t="shared" ca="1" si="302"/>
        <v>1</v>
      </c>
    </row>
    <row r="3877" spans="1:7" x14ac:dyDescent="0.2">
      <c r="A3877" s="2">
        <v>20050719</v>
      </c>
      <c r="B3877" s="13">
        <v>10646.56</v>
      </c>
      <c r="C3877" s="2">
        <f t="shared" si="300"/>
        <v>6.7678550996265446E-3</v>
      </c>
      <c r="D3877" s="21">
        <f t="shared" ca="1" si="301"/>
        <v>6.3839026845196774E-3</v>
      </c>
      <c r="E3877" s="21">
        <f t="shared" ca="1" si="303"/>
        <v>5.149680155524487E-5</v>
      </c>
      <c r="F3877" s="11">
        <f t="shared" ca="1" si="304"/>
        <v>4.541298878366212</v>
      </c>
      <c r="G3877" s="10">
        <f t="shared" ca="1" si="302"/>
        <v>1</v>
      </c>
    </row>
    <row r="3878" spans="1:7" x14ac:dyDescent="0.2">
      <c r="A3878" s="2">
        <v>20050720</v>
      </c>
      <c r="B3878" s="13">
        <v>10689.15</v>
      </c>
      <c r="C3878" s="2">
        <f t="shared" si="300"/>
        <v>4.0003531657173911E-3</v>
      </c>
      <c r="D3878" s="21">
        <f t="shared" ca="1" si="301"/>
        <v>3.6164007506105239E-3</v>
      </c>
      <c r="E3878" s="21">
        <f t="shared" ca="1" si="303"/>
        <v>5.129916810585342E-5</v>
      </c>
      <c r="F3878" s="11">
        <f t="shared" ca="1" si="304"/>
        <v>4.8114466029565319</v>
      </c>
      <c r="G3878" s="10">
        <f t="shared" ca="1" si="302"/>
        <v>1</v>
      </c>
    </row>
    <row r="3879" spans="1:7" x14ac:dyDescent="0.2">
      <c r="A3879" s="2">
        <v>20050721</v>
      </c>
      <c r="B3879" s="13">
        <v>10627.77</v>
      </c>
      <c r="C3879" s="2">
        <f t="shared" si="300"/>
        <v>-5.7422713686307329E-3</v>
      </c>
      <c r="D3879" s="21">
        <f t="shared" ca="1" si="301"/>
        <v>-6.1262237837376001E-3</v>
      </c>
      <c r="E3879" s="21">
        <f t="shared" ca="1" si="303"/>
        <v>5.0093843335413232E-5</v>
      </c>
      <c r="F3879" s="11">
        <f t="shared" ca="1" si="304"/>
        <v>4.5762031240706014</v>
      </c>
      <c r="G3879" s="10">
        <f t="shared" ca="1" si="302"/>
        <v>1</v>
      </c>
    </row>
    <row r="3880" spans="1:7" x14ac:dyDescent="0.2">
      <c r="A3880" s="2">
        <v>20050722</v>
      </c>
      <c r="B3880" s="13">
        <v>10651.18</v>
      </c>
      <c r="C3880" s="2">
        <f t="shared" si="300"/>
        <v>2.2027198556235084E-3</v>
      </c>
      <c r="D3880" s="21">
        <f t="shared" ca="1" si="301"/>
        <v>1.8187674405166412E-3</v>
      </c>
      <c r="E3880" s="21">
        <f t="shared" ca="1" si="303"/>
        <v>4.9848648764185461E-5</v>
      </c>
      <c r="F3880" s="11">
        <f t="shared" ca="1" si="304"/>
        <v>4.920079998527024</v>
      </c>
      <c r="G3880" s="10">
        <f t="shared" ca="1" si="302"/>
        <v>1</v>
      </c>
    </row>
    <row r="3881" spans="1:7" x14ac:dyDescent="0.2">
      <c r="A3881" s="2">
        <v>20050725</v>
      </c>
      <c r="B3881" s="13">
        <v>10596.48</v>
      </c>
      <c r="C3881" s="2">
        <f t="shared" si="300"/>
        <v>-5.1355812219867399E-3</v>
      </c>
      <c r="D3881" s="21">
        <f t="shared" ca="1" si="301"/>
        <v>-5.5195336370936071E-3</v>
      </c>
      <c r="E3881" s="21">
        <f t="shared" ca="1" si="303"/>
        <v>4.8357430128962048E-5</v>
      </c>
      <c r="F3881" s="11">
        <f t="shared" ca="1" si="304"/>
        <v>4.6534446071531885</v>
      </c>
      <c r="G3881" s="10">
        <f t="shared" ca="1" si="302"/>
        <v>1</v>
      </c>
    </row>
    <row r="3882" spans="1:7" x14ac:dyDescent="0.2">
      <c r="A3882" s="2">
        <v>20050726</v>
      </c>
      <c r="B3882" s="13">
        <v>10579.77</v>
      </c>
      <c r="C3882" s="2">
        <f t="shared" si="300"/>
        <v>-1.5769387570211172E-3</v>
      </c>
      <c r="D3882" s="21">
        <f t="shared" ca="1" si="301"/>
        <v>-1.9608911721279844E-3</v>
      </c>
      <c r="E3882" s="21">
        <f t="shared" ca="1" si="303"/>
        <v>4.7940275419104581E-5</v>
      </c>
      <c r="F3882" s="11">
        <f t="shared" ca="1" si="304"/>
        <v>4.9326743288824542</v>
      </c>
      <c r="G3882" s="10">
        <f t="shared" ca="1" si="302"/>
        <v>1</v>
      </c>
    </row>
    <row r="3883" spans="1:7" x14ac:dyDescent="0.2">
      <c r="A3883" s="2">
        <v>20050727</v>
      </c>
      <c r="B3883" s="13">
        <v>10637.09</v>
      </c>
      <c r="C3883" s="2">
        <f t="shared" si="300"/>
        <v>5.4178871563370194E-3</v>
      </c>
      <c r="D3883" s="21">
        <f t="shared" ca="1" si="301"/>
        <v>5.0339347412301522E-3</v>
      </c>
      <c r="E3883" s="21">
        <f t="shared" ca="1" si="303"/>
        <v>4.6565355036386397E-5</v>
      </c>
      <c r="F3883" s="11">
        <f t="shared" ca="1" si="304"/>
        <v>4.715230816930629</v>
      </c>
      <c r="G3883" s="10">
        <f t="shared" ca="1" si="302"/>
        <v>1</v>
      </c>
    </row>
    <row r="3884" spans="1:7" x14ac:dyDescent="0.2">
      <c r="A3884" s="2">
        <v>20050728</v>
      </c>
      <c r="B3884" s="13">
        <v>10705.55</v>
      </c>
      <c r="C3884" s="2">
        <f t="shared" si="300"/>
        <v>6.435970740117751E-3</v>
      </c>
      <c r="D3884" s="21">
        <f t="shared" ca="1" si="301"/>
        <v>6.0520183250108838E-3</v>
      </c>
      <c r="E3884" s="21">
        <f t="shared" ca="1" si="303"/>
        <v>4.6050415894660007E-5</v>
      </c>
      <c r="F3884" s="11">
        <f t="shared" ca="1" si="304"/>
        <v>4.5952039827491644</v>
      </c>
      <c r="G3884" s="10">
        <f t="shared" ca="1" si="302"/>
        <v>1</v>
      </c>
    </row>
    <row r="3885" spans="1:7" x14ac:dyDescent="0.2">
      <c r="A3885" s="2">
        <v>20050729</v>
      </c>
      <c r="B3885" s="13">
        <v>10640.91</v>
      </c>
      <c r="C3885" s="2">
        <f t="shared" si="300"/>
        <v>-6.0379896408871495E-3</v>
      </c>
      <c r="D3885" s="21">
        <f t="shared" ca="1" si="301"/>
        <v>-6.4219420559940166E-3</v>
      </c>
      <c r="E3885" s="21">
        <f t="shared" ca="1" si="303"/>
        <v>4.5976549314736962E-5</v>
      </c>
      <c r="F3885" s="11">
        <f t="shared" ca="1" si="304"/>
        <v>4.5451854659368358</v>
      </c>
      <c r="G3885" s="10">
        <f t="shared" ca="1" si="302"/>
        <v>1</v>
      </c>
    </row>
    <row r="3886" spans="1:7" x14ac:dyDescent="0.2">
      <c r="A3886" s="2">
        <v>20050801</v>
      </c>
      <c r="B3886" s="13">
        <v>10623.15</v>
      </c>
      <c r="C3886" s="2">
        <f t="shared" ref="C3886:C3949" si="305">(B3886-B3885)/B3885</f>
        <v>-1.6690301863280695E-3</v>
      </c>
      <c r="D3886" s="21">
        <f t="shared" ca="1" si="301"/>
        <v>-2.0529826014349366E-3</v>
      </c>
      <c r="E3886" s="21">
        <f t="shared" ca="1" si="303"/>
        <v>4.6076099727864256E-5</v>
      </c>
      <c r="F3886" s="11">
        <f t="shared" ca="1" si="304"/>
        <v>4.9468713925792729</v>
      </c>
      <c r="G3886" s="10">
        <f t="shared" ca="1" si="302"/>
        <v>1</v>
      </c>
    </row>
    <row r="3887" spans="1:7" x14ac:dyDescent="0.2">
      <c r="A3887" s="2">
        <v>20050802</v>
      </c>
      <c r="B3887" s="13">
        <v>10683.74</v>
      </c>
      <c r="C3887" s="2">
        <f t="shared" si="305"/>
        <v>5.703581329455025E-3</v>
      </c>
      <c r="D3887" s="21">
        <f t="shared" ca="1" si="301"/>
        <v>5.3196289143481578E-3</v>
      </c>
      <c r="E3887" s="21">
        <f t="shared" ca="1" si="303"/>
        <v>4.4809081039407373E-5</v>
      </c>
      <c r="F3887" s="11">
        <f t="shared" ca="1" si="304"/>
        <v>4.6907829400564331</v>
      </c>
      <c r="G3887" s="10">
        <f t="shared" ca="1" si="302"/>
        <v>1</v>
      </c>
    </row>
    <row r="3888" spans="1:7" x14ac:dyDescent="0.2">
      <c r="A3888" s="2">
        <v>20050803</v>
      </c>
      <c r="B3888" s="13">
        <v>10697.59</v>
      </c>
      <c r="C3888" s="2">
        <f t="shared" si="305"/>
        <v>1.296362509757853E-3</v>
      </c>
      <c r="D3888" s="21">
        <f t="shared" ca="1" si="301"/>
        <v>9.1241009465098573E-4</v>
      </c>
      <c r="E3888" s="21">
        <f t="shared" ca="1" si="303"/>
        <v>4.4491761466919546E-5</v>
      </c>
      <c r="F3888" s="11">
        <f t="shared" ca="1" si="304"/>
        <v>5.000747683974903</v>
      </c>
      <c r="G3888" s="10">
        <f t="shared" ca="1" si="302"/>
        <v>1</v>
      </c>
    </row>
    <row r="3889" spans="1:7" x14ac:dyDescent="0.2">
      <c r="A3889" s="2">
        <v>20050804</v>
      </c>
      <c r="B3889" s="13">
        <v>10610.1</v>
      </c>
      <c r="C3889" s="2">
        <f t="shared" si="305"/>
        <v>-8.1784775823339449E-3</v>
      </c>
      <c r="D3889" s="21">
        <f t="shared" ca="1" si="301"/>
        <v>-8.5624299974408121E-3</v>
      </c>
      <c r="E3889" s="21">
        <f t="shared" ca="1" si="303"/>
        <v>4.3180523904531855E-5</v>
      </c>
      <c r="F3889" s="11">
        <f t="shared" ca="1" si="304"/>
        <v>4.1761221264537953</v>
      </c>
      <c r="G3889" s="10">
        <f t="shared" ca="1" si="302"/>
        <v>0</v>
      </c>
    </row>
    <row r="3890" spans="1:7" x14ac:dyDescent="0.2">
      <c r="A3890" s="2">
        <v>20050805</v>
      </c>
      <c r="B3890" s="13">
        <v>10558.03</v>
      </c>
      <c r="C3890" s="2">
        <f t="shared" si="305"/>
        <v>-4.9075880528929704E-3</v>
      </c>
      <c r="D3890" s="21">
        <f t="shared" ca="1" si="301"/>
        <v>-5.2915404679998376E-3</v>
      </c>
      <c r="E3890" s="21">
        <f t="shared" ca="1" si="303"/>
        <v>4.4600938281255893E-5</v>
      </c>
      <c r="F3890" s="11">
        <f t="shared" ca="1" si="304"/>
        <v>4.6949785989720931</v>
      </c>
      <c r="G3890" s="10">
        <f t="shared" ca="1" si="302"/>
        <v>1</v>
      </c>
    </row>
    <row r="3891" spans="1:7" x14ac:dyDescent="0.2">
      <c r="A3891" s="2">
        <v>20050808</v>
      </c>
      <c r="B3891" s="13">
        <v>10536.93</v>
      </c>
      <c r="C3891" s="2">
        <f t="shared" si="305"/>
        <v>-1.9984788828976961E-3</v>
      </c>
      <c r="D3891" s="21">
        <f t="shared" ca="1" si="301"/>
        <v>-2.3824312980045633E-3</v>
      </c>
      <c r="E3891" s="21">
        <f t="shared" ca="1" si="303"/>
        <v>4.4283188854125734E-5</v>
      </c>
      <c r="F3891" s="11">
        <f t="shared" ca="1" si="304"/>
        <v>4.9483654312611236</v>
      </c>
      <c r="G3891" s="10">
        <f t="shared" ca="1" si="302"/>
        <v>1</v>
      </c>
    </row>
    <row r="3892" spans="1:7" x14ac:dyDescent="0.2">
      <c r="A3892" s="2">
        <v>20050809</v>
      </c>
      <c r="B3892" s="13">
        <v>10615.67</v>
      </c>
      <c r="C3892" s="2">
        <f t="shared" si="305"/>
        <v>7.4727648375760092E-3</v>
      </c>
      <c r="D3892" s="21">
        <f t="shared" ca="1" si="301"/>
        <v>7.088812422469142E-3</v>
      </c>
      <c r="E3892" s="21">
        <f t="shared" ca="1" si="303"/>
        <v>4.3160606512136433E-5</v>
      </c>
      <c r="F3892" s="11">
        <f t="shared" ca="1" si="304"/>
        <v>4.4431485109693192</v>
      </c>
      <c r="G3892" s="10">
        <f t="shared" ca="1" si="302"/>
        <v>0</v>
      </c>
    </row>
    <row r="3893" spans="1:7" x14ac:dyDescent="0.2">
      <c r="A3893" s="2">
        <v>20050810</v>
      </c>
      <c r="B3893" s="13">
        <v>10594.41</v>
      </c>
      <c r="C3893" s="2">
        <f t="shared" si="305"/>
        <v>-2.0026997824913752E-3</v>
      </c>
      <c r="D3893" s="21">
        <f t="shared" ca="1" si="301"/>
        <v>-2.3866521975982424E-3</v>
      </c>
      <c r="E3893" s="21">
        <f t="shared" ca="1" si="303"/>
        <v>4.3733926954817445E-5</v>
      </c>
      <c r="F3893" s="11">
        <f t="shared" ca="1" si="304"/>
        <v>4.9535708881052027</v>
      </c>
      <c r="G3893" s="10">
        <f t="shared" ca="1" si="302"/>
        <v>1</v>
      </c>
    </row>
    <row r="3894" spans="1:7" x14ac:dyDescent="0.2">
      <c r="A3894" s="2">
        <v>20050811</v>
      </c>
      <c r="B3894" s="13">
        <v>10685.89</v>
      </c>
      <c r="C3894" s="2">
        <f t="shared" si="305"/>
        <v>8.6347422839025082E-3</v>
      </c>
      <c r="D3894" s="21">
        <f t="shared" ca="1" si="301"/>
        <v>8.250789868795641E-3</v>
      </c>
      <c r="E3894" s="21">
        <f t="shared" ca="1" si="303"/>
        <v>4.2639872161890691E-5</v>
      </c>
      <c r="F3894" s="11">
        <f t="shared" ca="1" si="304"/>
        <v>4.2330989252025901</v>
      </c>
      <c r="G3894" s="10">
        <f t="shared" ca="1" si="302"/>
        <v>0</v>
      </c>
    </row>
    <row r="3895" spans="1:7" x14ac:dyDescent="0.2">
      <c r="A3895" s="2">
        <v>20050812</v>
      </c>
      <c r="B3895" s="13">
        <v>10600.3</v>
      </c>
      <c r="C3895" s="2">
        <f t="shared" si="305"/>
        <v>-8.0096276491710243E-3</v>
      </c>
      <c r="D3895" s="21">
        <f t="shared" ca="1" si="301"/>
        <v>-8.3935800642778915E-3</v>
      </c>
      <c r="E3895" s="21">
        <f t="shared" ca="1" si="303"/>
        <v>4.3894966326519362E-5</v>
      </c>
      <c r="F3895" s="11">
        <f t="shared" ca="1" si="304"/>
        <v>4.2143467354899045</v>
      </c>
      <c r="G3895" s="10">
        <f t="shared" ca="1" si="302"/>
        <v>0</v>
      </c>
    </row>
    <row r="3896" spans="1:7" x14ac:dyDescent="0.2">
      <c r="A3896" s="2">
        <v>20050815</v>
      </c>
      <c r="B3896" s="13">
        <v>10634.38</v>
      </c>
      <c r="C3896" s="2">
        <f t="shared" si="305"/>
        <v>3.2150033489618153E-3</v>
      </c>
      <c r="D3896" s="21">
        <f t="shared" ca="1" si="301"/>
        <v>2.8310509338549481E-3</v>
      </c>
      <c r="E3896" s="21">
        <f t="shared" ca="1" si="303"/>
        <v>4.5173958538644741E-5</v>
      </c>
      <c r="F3896" s="11">
        <f t="shared" ca="1" si="304"/>
        <v>4.913783939660874</v>
      </c>
      <c r="G3896" s="10">
        <f t="shared" ca="1" si="302"/>
        <v>1</v>
      </c>
    </row>
    <row r="3897" spans="1:7" x14ac:dyDescent="0.2">
      <c r="A3897" s="2">
        <v>20050816</v>
      </c>
      <c r="B3897" s="13">
        <v>10513.45</v>
      </c>
      <c r="C3897" s="2">
        <f t="shared" si="305"/>
        <v>-1.1371607935770443E-2</v>
      </c>
      <c r="D3897" s="21">
        <f t="shared" ca="1" si="301"/>
        <v>-1.175556035087731E-2</v>
      </c>
      <c r="E3897" s="21">
        <f t="shared" ca="1" si="303"/>
        <v>4.4092316217093523E-5</v>
      </c>
      <c r="F3897" s="11">
        <f t="shared" ca="1" si="304"/>
        <v>3.4475231535198141</v>
      </c>
      <c r="G3897" s="10">
        <f t="shared" ca="1" si="302"/>
        <v>0</v>
      </c>
    </row>
    <row r="3898" spans="1:7" x14ac:dyDescent="0.2">
      <c r="A3898" s="2">
        <v>20050817</v>
      </c>
      <c r="B3898" s="13">
        <v>10550.71</v>
      </c>
      <c r="C3898" s="2">
        <f t="shared" si="305"/>
        <v>3.5440316927362945E-3</v>
      </c>
      <c r="D3898" s="21">
        <f t="shared" ca="1" si="301"/>
        <v>3.1600792776294274E-3</v>
      </c>
      <c r="E3898" s="21">
        <f t="shared" ca="1" si="303"/>
        <v>4.7852279755415274E-5</v>
      </c>
      <c r="F3898" s="11">
        <f t="shared" ca="1" si="304"/>
        <v>4.8693528967414919</v>
      </c>
      <c r="G3898" s="10">
        <f t="shared" ca="1" si="302"/>
        <v>1</v>
      </c>
    </row>
    <row r="3899" spans="1:7" x14ac:dyDescent="0.2">
      <c r="A3899" s="2">
        <v>20050818</v>
      </c>
      <c r="B3899" s="13">
        <v>10554.92</v>
      </c>
      <c r="C3899" s="2">
        <f t="shared" si="305"/>
        <v>3.9902527886757824E-4</v>
      </c>
      <c r="D3899" s="21">
        <f t="shared" ca="1" si="301"/>
        <v>1.507286376071094E-5</v>
      </c>
      <c r="E3899" s="21">
        <f t="shared" ca="1" si="303"/>
        <v>4.6707626646730984E-5</v>
      </c>
      <c r="F3899" s="11">
        <f t="shared" ca="1" si="304"/>
        <v>4.9857991155080486</v>
      </c>
      <c r="G3899" s="10">
        <f t="shared" ca="1" si="302"/>
        <v>1</v>
      </c>
    </row>
    <row r="3900" spans="1:7" x14ac:dyDescent="0.2">
      <c r="A3900" s="2">
        <v>20050819</v>
      </c>
      <c r="B3900" s="13">
        <v>10559.23</v>
      </c>
      <c r="C3900" s="2">
        <f t="shared" si="305"/>
        <v>4.0834037586258263E-4</v>
      </c>
      <c r="D3900" s="21">
        <f t="shared" ca="1" si="301"/>
        <v>2.4387960755715336E-5</v>
      </c>
      <c r="E3900" s="21">
        <f t="shared" ca="1" si="303"/>
        <v>4.5253683898449972E-5</v>
      </c>
      <c r="F3900" s="11">
        <f t="shared" ca="1" si="304"/>
        <v>5.0016066679675877</v>
      </c>
      <c r="G3900" s="10">
        <f t="shared" ca="1" si="302"/>
        <v>1</v>
      </c>
    </row>
    <row r="3901" spans="1:7" x14ac:dyDescent="0.2">
      <c r="A3901" s="2">
        <v>20050822</v>
      </c>
      <c r="B3901" s="13">
        <v>10569.89</v>
      </c>
      <c r="C3901" s="2">
        <f t="shared" si="305"/>
        <v>1.0095433095026678E-3</v>
      </c>
      <c r="D3901" s="21">
        <f t="shared" ca="1" si="301"/>
        <v>6.2559089439580046E-4</v>
      </c>
      <c r="E3901" s="21">
        <f t="shared" ca="1" si="303"/>
        <v>4.3873310109146097E-5</v>
      </c>
      <c r="F3901" s="11">
        <f t="shared" ca="1" si="304"/>
        <v>5.0126420364581303</v>
      </c>
      <c r="G3901" s="10">
        <f t="shared" ca="1" si="302"/>
        <v>1</v>
      </c>
    </row>
    <row r="3902" spans="1:7" x14ac:dyDescent="0.2">
      <c r="A3902" s="2">
        <v>20050823</v>
      </c>
      <c r="B3902" s="13">
        <v>10519.58</v>
      </c>
      <c r="C3902" s="2">
        <f t="shared" si="305"/>
        <v>-4.759746790174684E-3</v>
      </c>
      <c r="D3902" s="21">
        <f t="shared" ca="1" si="301"/>
        <v>-5.1436992052815511E-3</v>
      </c>
      <c r="E3902" s="21">
        <f t="shared" ca="1" si="303"/>
        <v>4.2577139149934843E-5</v>
      </c>
      <c r="F3902" s="11">
        <f t="shared" ca="1" si="304"/>
        <v>4.7213941104238062</v>
      </c>
      <c r="G3902" s="10">
        <f t="shared" ca="1" si="302"/>
        <v>1</v>
      </c>
    </row>
    <row r="3903" spans="1:7" x14ac:dyDescent="0.2">
      <c r="A3903" s="2">
        <v>20050824</v>
      </c>
      <c r="B3903" s="13">
        <v>10434.870000000001</v>
      </c>
      <c r="C3903" s="2">
        <f t="shared" si="305"/>
        <v>-8.0526028605703969E-3</v>
      </c>
      <c r="D3903" s="21">
        <f t="shared" ca="1" si="301"/>
        <v>-8.4365552756772641E-3</v>
      </c>
      <c r="E3903" s="21">
        <f t="shared" ca="1" si="303"/>
        <v>4.2305044444693032E-5</v>
      </c>
      <c r="F3903" s="11">
        <f t="shared" ca="1" si="304"/>
        <v>4.1940848787944471</v>
      </c>
      <c r="G3903" s="10">
        <f t="shared" ca="1" si="302"/>
        <v>0</v>
      </c>
    </row>
    <row r="3904" spans="1:7" x14ac:dyDescent="0.2">
      <c r="A3904" s="2">
        <v>20050825</v>
      </c>
      <c r="B3904" s="13">
        <v>10450.629999999999</v>
      </c>
      <c r="C3904" s="2">
        <f t="shared" si="305"/>
        <v>1.5103206843974479E-3</v>
      </c>
      <c r="D3904" s="21">
        <f t="shared" ca="1" si="301"/>
        <v>1.1263682692905807E-3</v>
      </c>
      <c r="E3904" s="21">
        <f t="shared" ca="1" si="303"/>
        <v>4.3691067546211706E-5</v>
      </c>
      <c r="F3904" s="11">
        <f t="shared" ca="1" si="304"/>
        <v>5.0046643916304365</v>
      </c>
      <c r="G3904" s="10">
        <f t="shared" ca="1" si="302"/>
        <v>1</v>
      </c>
    </row>
    <row r="3905" spans="1:7" x14ac:dyDescent="0.2">
      <c r="A3905" s="2">
        <v>20050826</v>
      </c>
      <c r="B3905" s="13">
        <v>10397.290000000001</v>
      </c>
      <c r="C3905" s="2">
        <f t="shared" si="305"/>
        <v>-5.1039985149219074E-3</v>
      </c>
      <c r="D3905" s="21">
        <f t="shared" ca="1" si="301"/>
        <v>-5.4879509300287746E-3</v>
      </c>
      <c r="E3905" s="21">
        <f t="shared" ca="1" si="303"/>
        <v>4.2436377677501129E-5</v>
      </c>
      <c r="F3905" s="11">
        <f t="shared" ca="1" si="304"/>
        <v>4.67889631227224</v>
      </c>
      <c r="G3905" s="10">
        <f t="shared" ca="1" si="302"/>
        <v>1</v>
      </c>
    </row>
    <row r="3906" spans="1:7" x14ac:dyDescent="0.2">
      <c r="A3906" s="2">
        <v>20050829</v>
      </c>
      <c r="B3906" s="13">
        <v>10463.049999999999</v>
      </c>
      <c r="C3906" s="2">
        <f t="shared" si="305"/>
        <v>6.3247250004566952E-3</v>
      </c>
      <c r="D3906" s="21">
        <f t="shared" ca="1" si="301"/>
        <v>5.940772585349828E-3</v>
      </c>
      <c r="E3906" s="21">
        <f t="shared" ca="1" si="303"/>
        <v>4.2305987404422212E-5</v>
      </c>
      <c r="F3906" s="11">
        <f t="shared" ca="1" si="304"/>
        <v>4.6181776811134228</v>
      </c>
      <c r="G3906" s="10">
        <f t="shared" ca="1" si="302"/>
        <v>1</v>
      </c>
    </row>
    <row r="3907" spans="1:7" x14ac:dyDescent="0.2">
      <c r="A3907" s="2">
        <v>20050830</v>
      </c>
      <c r="B3907" s="13">
        <v>10412.82</v>
      </c>
      <c r="C3907" s="2">
        <f t="shared" si="305"/>
        <v>-4.800703427776754E-3</v>
      </c>
      <c r="D3907" s="21">
        <f t="shared" ca="1" si="301"/>
        <v>-5.1846558428836212E-3</v>
      </c>
      <c r="E3907" s="21">
        <f t="shared" ca="1" si="303"/>
        <v>4.2372493783898881E-5</v>
      </c>
      <c r="F3907" s="11">
        <f t="shared" ca="1" si="304"/>
        <v>4.7173109243255702</v>
      </c>
      <c r="G3907" s="10">
        <f t="shared" ca="1" si="302"/>
        <v>1</v>
      </c>
    </row>
    <row r="3908" spans="1:7" x14ac:dyDescent="0.2">
      <c r="A3908" s="2">
        <v>20050831</v>
      </c>
      <c r="B3908" s="13">
        <v>10481.6</v>
      </c>
      <c r="C3908" s="2">
        <f t="shared" si="305"/>
        <v>6.6053192122787737E-3</v>
      </c>
      <c r="D3908" s="21">
        <f t="shared" ca="1" si="301"/>
        <v>6.2213667971719065E-3</v>
      </c>
      <c r="E3908" s="21">
        <f t="shared" ca="1" si="303"/>
        <v>4.2126307144036146E-5</v>
      </c>
      <c r="F3908" s="11">
        <f t="shared" ca="1" si="304"/>
        <v>4.57802199173896</v>
      </c>
      <c r="G3908" s="10">
        <f t="shared" ca="1" si="302"/>
        <v>1</v>
      </c>
    </row>
    <row r="3909" spans="1:7" x14ac:dyDescent="0.2">
      <c r="A3909" s="2">
        <v>20050901</v>
      </c>
      <c r="B3909" s="13">
        <v>10459.629999999999</v>
      </c>
      <c r="C3909" s="2">
        <f t="shared" si="305"/>
        <v>-2.0960540375516297E-3</v>
      </c>
      <c r="D3909" s="21">
        <f t="shared" ca="1" si="301"/>
        <v>-2.4800064526584969E-3</v>
      </c>
      <c r="E3909" s="21">
        <f t="shared" ca="1" si="303"/>
        <v>4.2327391820515272E-5</v>
      </c>
      <c r="F3909" s="11">
        <f t="shared" ca="1" si="304"/>
        <v>4.9623849657482095</v>
      </c>
      <c r="G3909" s="10">
        <f t="shared" ca="1" si="302"/>
        <v>1</v>
      </c>
    </row>
    <row r="3910" spans="1:7" x14ac:dyDescent="0.2">
      <c r="A3910" s="2">
        <v>20050902</v>
      </c>
      <c r="B3910" s="13">
        <v>10447.370000000001</v>
      </c>
      <c r="C3910" s="2">
        <f t="shared" si="305"/>
        <v>-1.1721255914404621E-3</v>
      </c>
      <c r="D3910" s="21">
        <f t="shared" ca="1" si="301"/>
        <v>-1.5560780065473293E-3</v>
      </c>
      <c r="E3910" s="21">
        <f t="shared" ca="1" si="303"/>
        <v>4.1321200363905432E-5</v>
      </c>
      <c r="F3910" s="11">
        <f t="shared" ca="1" si="304"/>
        <v>5.017767959169201</v>
      </c>
      <c r="G3910" s="10">
        <f t="shared" ca="1" si="302"/>
        <v>1</v>
      </c>
    </row>
    <row r="3911" spans="1:7" x14ac:dyDescent="0.2">
      <c r="A3911" s="2">
        <v>20050906</v>
      </c>
      <c r="B3911" s="13">
        <v>10589.24</v>
      </c>
      <c r="C3911" s="2">
        <f t="shared" si="305"/>
        <v>1.3579494169345872E-2</v>
      </c>
      <c r="D3911" s="21">
        <f t="shared" ca="1" si="301"/>
        <v>1.3195541754239004E-2</v>
      </c>
      <c r="E3911" s="21">
        <f t="shared" ca="1" si="303"/>
        <v>4.022878866554938E-5</v>
      </c>
      <c r="F3911" s="11">
        <f t="shared" ca="1" si="304"/>
        <v>2.8963131427528137</v>
      </c>
      <c r="G3911" s="10">
        <f t="shared" ca="1" si="302"/>
        <v>0</v>
      </c>
    </row>
    <row r="3912" spans="1:7" x14ac:dyDescent="0.2">
      <c r="A3912" s="2">
        <v>20050907</v>
      </c>
      <c r="B3912" s="13">
        <v>10633.5</v>
      </c>
      <c r="C3912" s="2">
        <f t="shared" si="305"/>
        <v>4.1797145026461029E-3</v>
      </c>
      <c r="D3912" s="21">
        <f t="shared" ca="1" si="301"/>
        <v>3.7957620875392357E-3</v>
      </c>
      <c r="E3912" s="21">
        <f t="shared" ca="1" si="303"/>
        <v>4.5505385922384943E-5</v>
      </c>
      <c r="F3912" s="11">
        <f t="shared" ca="1" si="304"/>
        <v>4.8405310923709761</v>
      </c>
      <c r="G3912" s="10">
        <f t="shared" ca="1" si="302"/>
        <v>1</v>
      </c>
    </row>
    <row r="3913" spans="1:7" x14ac:dyDescent="0.2">
      <c r="A3913" s="2">
        <v>20050908</v>
      </c>
      <c r="B3913" s="13">
        <v>10595.93</v>
      </c>
      <c r="C3913" s="2">
        <f t="shared" si="305"/>
        <v>-3.533173461230988E-3</v>
      </c>
      <c r="D3913" s="21">
        <f t="shared" ca="1" si="301"/>
        <v>-3.9171258763378552E-3</v>
      </c>
      <c r="E3913" s="21">
        <f t="shared" ca="1" si="303"/>
        <v>4.4642056897972218E-5</v>
      </c>
      <c r="F3913" s="11">
        <f t="shared" ca="1" si="304"/>
        <v>4.8365625997015487</v>
      </c>
      <c r="G3913" s="10">
        <f t="shared" ca="1" si="302"/>
        <v>1</v>
      </c>
    </row>
    <row r="3914" spans="1:7" x14ac:dyDescent="0.2">
      <c r="A3914" s="2">
        <v>20050909</v>
      </c>
      <c r="B3914" s="13">
        <v>10678.56</v>
      </c>
      <c r="C3914" s="2">
        <f t="shared" si="305"/>
        <v>7.798277263062251E-3</v>
      </c>
      <c r="D3914" s="21">
        <f t="shared" ca="1" si="301"/>
        <v>7.4143248479553838E-3</v>
      </c>
      <c r="E3914" s="21">
        <f t="shared" ca="1" si="303"/>
        <v>4.3856824728879057E-5</v>
      </c>
      <c r="F3914" s="11">
        <f t="shared" ca="1" si="304"/>
        <v>4.3905665203514612</v>
      </c>
      <c r="G3914" s="10">
        <f t="shared" ca="1" si="302"/>
        <v>0</v>
      </c>
    </row>
    <row r="3915" spans="1:7" x14ac:dyDescent="0.2">
      <c r="A3915" s="2">
        <v>20050912</v>
      </c>
      <c r="B3915" s="13">
        <v>10682.94</v>
      </c>
      <c r="C3915" s="2">
        <f t="shared" si="305"/>
        <v>4.101676630557883E-4</v>
      </c>
      <c r="D3915" s="21">
        <f t="shared" ca="1" si="301"/>
        <v>2.6215247948921004E-5</v>
      </c>
      <c r="E3915" s="21">
        <f t="shared" ca="1" si="303"/>
        <v>4.4568520888350909E-5</v>
      </c>
      <c r="F3915" s="11">
        <f t="shared" ca="1" si="304"/>
        <v>5.0092336689913513</v>
      </c>
      <c r="G3915" s="10">
        <f t="shared" ca="1" si="302"/>
        <v>1</v>
      </c>
    </row>
    <row r="3916" spans="1:7" x14ac:dyDescent="0.2">
      <c r="A3916" s="2">
        <v>20050913</v>
      </c>
      <c r="B3916" s="13">
        <v>10597.44</v>
      </c>
      <c r="C3916" s="2">
        <f t="shared" si="305"/>
        <v>-8.0034147903105327E-3</v>
      </c>
      <c r="D3916" s="21">
        <f t="shared" ca="1" si="301"/>
        <v>-8.3873672054173998E-3</v>
      </c>
      <c r="E3916" s="21">
        <f t="shared" ca="1" si="303"/>
        <v>4.3222813121485813E-5</v>
      </c>
      <c r="F3916" s="11">
        <f t="shared" ca="1" si="304"/>
        <v>4.2107886667123422</v>
      </c>
      <c r="G3916" s="10">
        <f t="shared" ca="1" si="302"/>
        <v>0</v>
      </c>
    </row>
    <row r="3917" spans="1:7" x14ac:dyDescent="0.2">
      <c r="A3917" s="2">
        <v>20050914</v>
      </c>
      <c r="B3917" s="13">
        <v>10558.75</v>
      </c>
      <c r="C3917" s="2">
        <f t="shared" si="305"/>
        <v>-3.6508817223782825E-3</v>
      </c>
      <c r="D3917" s="21">
        <f t="shared" ca="1" si="301"/>
        <v>-4.0348341374851502E-3</v>
      </c>
      <c r="E3917" s="21">
        <f t="shared" ca="1" si="303"/>
        <v>4.4531976049485719E-5</v>
      </c>
      <c r="F3917" s="11">
        <f t="shared" ca="1" si="304"/>
        <v>4.8268628039378978</v>
      </c>
      <c r="G3917" s="10">
        <f t="shared" ca="1" si="302"/>
        <v>1</v>
      </c>
    </row>
    <row r="3918" spans="1:7" x14ac:dyDescent="0.2">
      <c r="A3918" s="2">
        <v>20050915</v>
      </c>
      <c r="B3918" s="13">
        <v>10558.75</v>
      </c>
      <c r="C3918" s="2">
        <f t="shared" si="305"/>
        <v>0</v>
      </c>
      <c r="D3918" s="21">
        <f t="shared" ref="D3918:D3981" ca="1" si="306">(C3918-mu)</f>
        <v>-3.839524151068673E-4</v>
      </c>
      <c r="E3918" s="21">
        <f t="shared" ca="1" si="303"/>
        <v>4.3786731679744127E-5</v>
      </c>
      <c r="F3918" s="11">
        <f t="shared" ca="1" si="304"/>
        <v>5.0164064776199018</v>
      </c>
      <c r="G3918" s="10">
        <f t="shared" ref="G3918:G3981" ca="1" si="307">IF(AND(C3918&lt;=mu+zvalue*SQRT(E3918),C3918&gt;=mu-zvalue*SQRT(E3918)),1,0)</f>
        <v>1</v>
      </c>
    </row>
    <row r="3919" spans="1:7" x14ac:dyDescent="0.2">
      <c r="A3919" s="2">
        <v>20050916</v>
      </c>
      <c r="B3919" s="13">
        <v>10641.94</v>
      </c>
      <c r="C3919" s="2">
        <f t="shared" si="305"/>
        <v>7.8787735290636214E-3</v>
      </c>
      <c r="D3919" s="21">
        <f t="shared" ca="1" si="306"/>
        <v>7.4948211139567542E-3</v>
      </c>
      <c r="E3919" s="21">
        <f t="shared" ref="E3919:E3982" ca="1" si="308">(1-alpha-beta)*longvar+alpha*D3918^2+beta*E3918</f>
        <v>4.24859704862091E-5</v>
      </c>
      <c r="F3919" s="11">
        <f t="shared" ref="F3919:F3982" ca="1" si="309">(-0.5)*(LN(E3919)+D3919^2/E3919)</f>
        <v>4.3720989979266403</v>
      </c>
      <c r="G3919" s="10">
        <f t="shared" ca="1" si="307"/>
        <v>0</v>
      </c>
    </row>
    <row r="3920" spans="1:7" x14ac:dyDescent="0.2">
      <c r="A3920" s="2">
        <v>20050919</v>
      </c>
      <c r="B3920" s="13">
        <v>10557.63</v>
      </c>
      <c r="C3920" s="2">
        <f t="shared" si="305"/>
        <v>-7.9224276776603993E-3</v>
      </c>
      <c r="D3920" s="21">
        <f t="shared" ca="1" si="306"/>
        <v>-8.3063800927672665E-3</v>
      </c>
      <c r="E3920" s="21">
        <f t="shared" ca="1" si="308"/>
        <v>4.3311149510072745E-5</v>
      </c>
      <c r="F3920" s="11">
        <f t="shared" ca="1" si="309"/>
        <v>4.2270353492495021</v>
      </c>
      <c r="G3920" s="10">
        <f t="shared" ca="1" si="307"/>
        <v>0</v>
      </c>
    </row>
    <row r="3921" spans="1:7" x14ac:dyDescent="0.2">
      <c r="A3921" s="2">
        <v>20050920</v>
      </c>
      <c r="B3921" s="13">
        <v>10481.52</v>
      </c>
      <c r="C3921" s="2">
        <f t="shared" si="305"/>
        <v>-7.2090042935771355E-3</v>
      </c>
      <c r="D3921" s="21">
        <f t="shared" ca="1" si="306"/>
        <v>-7.5929567086840026E-3</v>
      </c>
      <c r="E3921" s="21">
        <f t="shared" ca="1" si="308"/>
        <v>4.4566128864959841E-5</v>
      </c>
      <c r="F3921" s="11">
        <f t="shared" ca="1" si="309"/>
        <v>4.3624430021028795</v>
      </c>
      <c r="G3921" s="10">
        <f t="shared" ca="1" si="307"/>
        <v>0</v>
      </c>
    </row>
    <row r="3922" spans="1:7" x14ac:dyDescent="0.2">
      <c r="A3922" s="2">
        <v>20050921</v>
      </c>
      <c r="B3922" s="13">
        <v>10378.030000000001</v>
      </c>
      <c r="C3922" s="2">
        <f t="shared" si="305"/>
        <v>-9.8735679557926496E-3</v>
      </c>
      <c r="D3922" s="21">
        <f t="shared" ca="1" si="306"/>
        <v>-1.0257520370899517E-2</v>
      </c>
      <c r="E3922" s="21">
        <f t="shared" ca="1" si="308"/>
        <v>4.5340518005590648E-5</v>
      </c>
      <c r="F3922" s="11">
        <f t="shared" ca="1" si="309"/>
        <v>3.8403600585180699</v>
      </c>
      <c r="G3922" s="10">
        <f t="shared" ca="1" si="307"/>
        <v>0</v>
      </c>
    </row>
    <row r="3923" spans="1:7" x14ac:dyDescent="0.2">
      <c r="A3923" s="2">
        <v>20050922</v>
      </c>
      <c r="B3923" s="13">
        <v>10422.049999999999</v>
      </c>
      <c r="C3923" s="2">
        <f t="shared" si="305"/>
        <v>4.2416527992305492E-3</v>
      </c>
      <c r="D3923" s="21">
        <f t="shared" ca="1" si="306"/>
        <v>3.857700384123682E-3</v>
      </c>
      <c r="E3923" s="21">
        <f t="shared" ca="1" si="308"/>
        <v>4.782473204008077E-5</v>
      </c>
      <c r="F3923" s="11">
        <f t="shared" ca="1" si="309"/>
        <v>4.8183964141535105</v>
      </c>
      <c r="G3923" s="10">
        <f t="shared" ca="1" si="307"/>
        <v>1</v>
      </c>
    </row>
    <row r="3924" spans="1:7" x14ac:dyDescent="0.2">
      <c r="A3924" s="2">
        <v>20050923</v>
      </c>
      <c r="B3924" s="13">
        <v>10419.59</v>
      </c>
      <c r="C3924" s="2">
        <f t="shared" si="305"/>
        <v>-2.3603801555347815E-4</v>
      </c>
      <c r="D3924" s="21">
        <f t="shared" ca="1" si="306"/>
        <v>-6.1999043066034544E-4</v>
      </c>
      <c r="E3924" s="21">
        <f t="shared" ca="1" si="308"/>
        <v>4.6861497899691112E-5</v>
      </c>
      <c r="F3924" s="11">
        <f t="shared" ca="1" si="309"/>
        <v>4.9800557585250571</v>
      </c>
      <c r="G3924" s="10">
        <f t="shared" ca="1" si="307"/>
        <v>1</v>
      </c>
    </row>
    <row r="3925" spans="1:7" x14ac:dyDescent="0.2">
      <c r="A3925" s="2">
        <v>20050926</v>
      </c>
      <c r="B3925" s="13">
        <v>10443.629999999999</v>
      </c>
      <c r="C3925" s="2">
        <f t="shared" si="305"/>
        <v>2.3071925094940446E-3</v>
      </c>
      <c r="D3925" s="21">
        <f t="shared" ca="1" si="306"/>
        <v>1.9232400943871774E-3</v>
      </c>
      <c r="E3925" s="21">
        <f t="shared" ca="1" si="308"/>
        <v>4.5413897022691634E-5</v>
      </c>
      <c r="F3925" s="11">
        <f t="shared" ca="1" si="309"/>
        <v>4.9591224040154582</v>
      </c>
      <c r="G3925" s="10">
        <f t="shared" ca="1" si="307"/>
        <v>1</v>
      </c>
    </row>
    <row r="3926" spans="1:7" x14ac:dyDescent="0.2">
      <c r="A3926" s="2">
        <v>20050927</v>
      </c>
      <c r="B3926" s="13">
        <v>10456.209999999999</v>
      </c>
      <c r="C3926" s="2">
        <f t="shared" si="305"/>
        <v>1.2045620153145916E-3</v>
      </c>
      <c r="D3926" s="21">
        <f t="shared" ca="1" si="306"/>
        <v>8.2060960020772426E-4</v>
      </c>
      <c r="E3926" s="21">
        <f t="shared" ca="1" si="308"/>
        <v>4.4161409391200695E-5</v>
      </c>
      <c r="F3926" s="11">
        <f t="shared" ca="1" si="309"/>
        <v>5.0062053153912114</v>
      </c>
      <c r="G3926" s="10">
        <f t="shared" ca="1" si="307"/>
        <v>1</v>
      </c>
    </row>
    <row r="3927" spans="1:7" x14ac:dyDescent="0.2">
      <c r="A3927" s="2">
        <v>20050928</v>
      </c>
      <c r="B3927" s="13">
        <v>10473.08</v>
      </c>
      <c r="C3927" s="2">
        <f t="shared" si="305"/>
        <v>1.6133952933233746E-3</v>
      </c>
      <c r="D3927" s="21">
        <f t="shared" ca="1" si="306"/>
        <v>1.2294428782165072E-3</v>
      </c>
      <c r="E3927" s="21">
        <f t="shared" ca="1" si="308"/>
        <v>4.2861034356089332E-5</v>
      </c>
      <c r="F3927" s="11">
        <f t="shared" ca="1" si="309"/>
        <v>5.0111408042932588</v>
      </c>
      <c r="G3927" s="10">
        <f t="shared" ca="1" si="307"/>
        <v>1</v>
      </c>
    </row>
    <row r="3928" spans="1:7" x14ac:dyDescent="0.2">
      <c r="A3928" s="2">
        <v>20050929</v>
      </c>
      <c r="B3928" s="13">
        <v>10552.78</v>
      </c>
      <c r="C3928" s="2">
        <f t="shared" si="305"/>
        <v>7.6099867469742169E-3</v>
      </c>
      <c r="D3928" s="21">
        <f t="shared" ca="1" si="306"/>
        <v>7.2260343318673497E-3</v>
      </c>
      <c r="E3928" s="21">
        <f t="shared" ca="1" si="308"/>
        <v>4.165726521372919E-5</v>
      </c>
      <c r="F3928" s="11">
        <f t="shared" ca="1" si="309"/>
        <v>4.4162891070922861</v>
      </c>
      <c r="G3928" s="10">
        <f t="shared" ca="1" si="307"/>
        <v>0</v>
      </c>
    </row>
    <row r="3929" spans="1:7" x14ac:dyDescent="0.2">
      <c r="A3929" s="2">
        <v>20050930</v>
      </c>
      <c r="B3929" s="13">
        <v>10568.7</v>
      </c>
      <c r="C3929" s="2">
        <f t="shared" si="305"/>
        <v>1.5086072106118076E-3</v>
      </c>
      <c r="D3929" s="21">
        <f t="shared" ca="1" si="306"/>
        <v>1.1246547955049402E-3</v>
      </c>
      <c r="E3929" s="21">
        <f t="shared" ca="1" si="308"/>
        <v>4.2378871318394761E-5</v>
      </c>
      <c r="F3929" s="11">
        <f t="shared" ca="1" si="309"/>
        <v>5.0195072172945085</v>
      </c>
      <c r="G3929" s="10">
        <f t="shared" ca="1" si="307"/>
        <v>1</v>
      </c>
    </row>
    <row r="3930" spans="1:7" x14ac:dyDescent="0.2">
      <c r="A3930" s="2">
        <v>20051003</v>
      </c>
      <c r="B3930" s="13">
        <v>10535.48</v>
      </c>
      <c r="C3930" s="2">
        <f t="shared" si="305"/>
        <v>-3.1432437291247896E-3</v>
      </c>
      <c r="D3930" s="21">
        <f t="shared" ca="1" si="306"/>
        <v>-3.5271961442316568E-3</v>
      </c>
      <c r="E3930" s="21">
        <f t="shared" ca="1" si="308"/>
        <v>4.119042405774659E-5</v>
      </c>
      <c r="F3930" s="11">
        <f t="shared" ca="1" si="309"/>
        <v>4.8976328996854583</v>
      </c>
      <c r="G3930" s="10">
        <f t="shared" ca="1" si="307"/>
        <v>1</v>
      </c>
    </row>
    <row r="3931" spans="1:7" x14ac:dyDescent="0.2">
      <c r="A3931" s="2">
        <v>20051004</v>
      </c>
      <c r="B3931" s="13">
        <v>10441.11</v>
      </c>
      <c r="C3931" s="2">
        <f t="shared" si="305"/>
        <v>-8.957351729584128E-3</v>
      </c>
      <c r="D3931" s="21">
        <f t="shared" ca="1" si="306"/>
        <v>-9.3413041446909952E-3</v>
      </c>
      <c r="E3931" s="21">
        <f t="shared" ca="1" si="308"/>
        <v>4.0473071485378791E-5</v>
      </c>
      <c r="F3931" s="11">
        <f t="shared" ca="1" si="309"/>
        <v>3.9794365938503371</v>
      </c>
      <c r="G3931" s="10">
        <f t="shared" ca="1" si="307"/>
        <v>0</v>
      </c>
    </row>
    <row r="3932" spans="1:7" x14ac:dyDescent="0.2">
      <c r="A3932" s="2">
        <v>20051005</v>
      </c>
      <c r="B3932" s="13">
        <v>10317.36</v>
      </c>
      <c r="C3932" s="2">
        <f t="shared" si="305"/>
        <v>-1.1852188129423021E-2</v>
      </c>
      <c r="D3932" s="21">
        <f t="shared" ca="1" si="306"/>
        <v>-1.2236140544529888E-2</v>
      </c>
      <c r="E3932" s="21">
        <f t="shared" ca="1" si="308"/>
        <v>4.2543229785366647E-5</v>
      </c>
      <c r="F3932" s="11">
        <f t="shared" ca="1" si="309"/>
        <v>3.2728361363444063</v>
      </c>
      <c r="G3932" s="10">
        <f t="shared" ca="1" si="307"/>
        <v>0</v>
      </c>
    </row>
    <row r="3933" spans="1:7" x14ac:dyDescent="0.2">
      <c r="A3933" s="2">
        <v>20051006</v>
      </c>
      <c r="B3933" s="13">
        <v>10287.1</v>
      </c>
      <c r="C3933" s="2">
        <f t="shared" si="305"/>
        <v>-2.9329208247071167E-3</v>
      </c>
      <c r="D3933" s="21">
        <f t="shared" ca="1" si="306"/>
        <v>-3.3168732398139839E-3</v>
      </c>
      <c r="E3933" s="21">
        <f t="shared" ca="1" si="308"/>
        <v>4.6805538004506942E-5</v>
      </c>
      <c r="F3933" s="11">
        <f t="shared" ca="1" si="309"/>
        <v>4.8672294461405601</v>
      </c>
      <c r="G3933" s="10">
        <f t="shared" ca="1" si="307"/>
        <v>1</v>
      </c>
    </row>
    <row r="3934" spans="1:7" x14ac:dyDescent="0.2">
      <c r="A3934" s="2">
        <v>20051007</v>
      </c>
      <c r="B3934" s="13">
        <v>10292.31</v>
      </c>
      <c r="C3934" s="2">
        <f t="shared" si="305"/>
        <v>5.0645954642213325E-4</v>
      </c>
      <c r="D3934" s="21">
        <f t="shared" ca="1" si="306"/>
        <v>1.2250713131526595E-4</v>
      </c>
      <c r="E3934" s="21">
        <f t="shared" ca="1" si="308"/>
        <v>4.5751183343807031E-5</v>
      </c>
      <c r="F3934" s="11">
        <f t="shared" ca="1" si="309"/>
        <v>4.9959824329842331</v>
      </c>
      <c r="G3934" s="10">
        <f t="shared" ca="1" si="307"/>
        <v>1</v>
      </c>
    </row>
    <row r="3935" spans="1:7" x14ac:dyDescent="0.2">
      <c r="A3935" s="2">
        <v>20051010</v>
      </c>
      <c r="B3935" s="13">
        <v>10238.76</v>
      </c>
      <c r="C3935" s="2">
        <f t="shared" si="305"/>
        <v>-5.2029136316336447E-3</v>
      </c>
      <c r="D3935" s="21">
        <f t="shared" ca="1" si="306"/>
        <v>-5.5868660467405119E-3</v>
      </c>
      <c r="E3935" s="21">
        <f t="shared" ca="1" si="308"/>
        <v>4.434617089318821E-5</v>
      </c>
      <c r="F3935" s="11">
        <f t="shared" ca="1" si="309"/>
        <v>4.6598168719477036</v>
      </c>
      <c r="G3935" s="10">
        <f t="shared" ca="1" si="307"/>
        <v>1</v>
      </c>
    </row>
    <row r="3936" spans="1:7" x14ac:dyDescent="0.2">
      <c r="A3936" s="2">
        <v>20051011</v>
      </c>
      <c r="B3936" s="13">
        <v>10253.17</v>
      </c>
      <c r="C3936" s="2">
        <f t="shared" si="305"/>
        <v>1.4073969894791804E-3</v>
      </c>
      <c r="D3936" s="21">
        <f t="shared" ca="1" si="306"/>
        <v>1.0234445743723133E-3</v>
      </c>
      <c r="E3936" s="21">
        <f t="shared" ca="1" si="308"/>
        <v>4.415944577998169E-5</v>
      </c>
      <c r="F3936" s="11">
        <f t="shared" ca="1" si="309"/>
        <v>5.0019921165040246</v>
      </c>
      <c r="G3936" s="10">
        <f t="shared" ca="1" si="307"/>
        <v>1</v>
      </c>
    </row>
    <row r="3937" spans="1:7" x14ac:dyDescent="0.2">
      <c r="A3937" s="2">
        <v>20051012</v>
      </c>
      <c r="B3937" s="13">
        <v>10216.9</v>
      </c>
      <c r="C3937" s="2">
        <f t="shared" si="305"/>
        <v>-3.5374425665428777E-3</v>
      </c>
      <c r="D3937" s="21">
        <f t="shared" ca="1" si="306"/>
        <v>-3.9213949816497449E-3</v>
      </c>
      <c r="E3937" s="21">
        <f t="shared" ca="1" si="308"/>
        <v>4.2872924139992781E-5</v>
      </c>
      <c r="F3937" s="11">
        <f t="shared" ca="1" si="309"/>
        <v>4.8492987883879968</v>
      </c>
      <c r="G3937" s="10">
        <f t="shared" ca="1" si="307"/>
        <v>1</v>
      </c>
    </row>
    <row r="3938" spans="1:7" x14ac:dyDescent="0.2">
      <c r="A3938" s="2">
        <v>20051013</v>
      </c>
      <c r="B3938" s="13">
        <v>10216.59</v>
      </c>
      <c r="C3938" s="2">
        <f t="shared" si="305"/>
        <v>-3.0341884524610274E-5</v>
      </c>
      <c r="D3938" s="21">
        <f t="shared" ca="1" si="306"/>
        <v>-4.1429429963147756E-4</v>
      </c>
      <c r="E3938" s="21">
        <f t="shared" ca="1" si="308"/>
        <v>4.2178423489896676E-5</v>
      </c>
      <c r="F3938" s="11">
        <f t="shared" ca="1" si="309"/>
        <v>5.0347661928490677</v>
      </c>
      <c r="G3938" s="10">
        <f t="shared" ca="1" si="307"/>
        <v>1</v>
      </c>
    </row>
    <row r="3939" spans="1:7" x14ac:dyDescent="0.2">
      <c r="A3939" s="2">
        <v>20051014</v>
      </c>
      <c r="B3939" s="13">
        <v>10287.34</v>
      </c>
      <c r="C3939" s="2">
        <f t="shared" si="305"/>
        <v>6.9250111827919101E-3</v>
      </c>
      <c r="D3939" s="21">
        <f t="shared" ca="1" si="306"/>
        <v>6.5410587676850429E-3</v>
      </c>
      <c r="E3939" s="21">
        <f t="shared" ca="1" si="308"/>
        <v>4.0959917760319766E-5</v>
      </c>
      <c r="F3939" s="11">
        <f t="shared" ca="1" si="309"/>
        <v>4.5291739210927568</v>
      </c>
      <c r="G3939" s="10">
        <f t="shared" ca="1" si="307"/>
        <v>0</v>
      </c>
    </row>
    <row r="3940" spans="1:7" x14ac:dyDescent="0.2">
      <c r="A3940" s="2">
        <v>20051017</v>
      </c>
      <c r="B3940" s="13">
        <v>10348.1</v>
      </c>
      <c r="C3940" s="2">
        <f t="shared" si="305"/>
        <v>5.9062887004804176E-3</v>
      </c>
      <c r="D3940" s="21">
        <f t="shared" ca="1" si="306"/>
        <v>5.5223362853735504E-3</v>
      </c>
      <c r="E3940" s="21">
        <f t="shared" ca="1" si="308"/>
        <v>4.1370040837539397E-5</v>
      </c>
      <c r="F3940" s="11">
        <f t="shared" ca="1" si="309"/>
        <v>4.6778985023953261</v>
      </c>
      <c r="G3940" s="10">
        <f t="shared" ca="1" si="307"/>
        <v>1</v>
      </c>
    </row>
    <row r="3941" spans="1:7" x14ac:dyDescent="0.2">
      <c r="A3941" s="2">
        <v>20051018</v>
      </c>
      <c r="B3941" s="13">
        <v>10285.26</v>
      </c>
      <c r="C3941" s="2">
        <f t="shared" si="305"/>
        <v>-6.0726123636223213E-3</v>
      </c>
      <c r="D3941" s="21">
        <f t="shared" ca="1" si="306"/>
        <v>-6.4565647787291885E-3</v>
      </c>
      <c r="E3941" s="21">
        <f t="shared" ca="1" si="308"/>
        <v>4.1307518408653457E-5</v>
      </c>
      <c r="F3941" s="11">
        <f t="shared" ca="1" si="309"/>
        <v>4.5426368746845815</v>
      </c>
      <c r="G3941" s="10">
        <f t="shared" ca="1" si="307"/>
        <v>0</v>
      </c>
    </row>
    <row r="3942" spans="1:7" x14ac:dyDescent="0.2">
      <c r="A3942" s="2">
        <v>20051019</v>
      </c>
      <c r="B3942" s="13">
        <v>10414.129999999999</v>
      </c>
      <c r="C3942" s="2">
        <f t="shared" si="305"/>
        <v>1.2529581167612582E-2</v>
      </c>
      <c r="D3942" s="21">
        <f t="shared" ca="1" si="306"/>
        <v>1.2145628752505714E-2</v>
      </c>
      <c r="E3942" s="21">
        <f t="shared" ca="1" si="308"/>
        <v>4.165967274868547E-5</v>
      </c>
      <c r="F3942" s="11">
        <f t="shared" ca="1" si="309"/>
        <v>3.2724957308537892</v>
      </c>
      <c r="G3942" s="10">
        <f t="shared" ca="1" si="307"/>
        <v>0</v>
      </c>
    </row>
    <row r="3943" spans="1:7" x14ac:dyDescent="0.2">
      <c r="A3943" s="2">
        <v>20051020</v>
      </c>
      <c r="B3943" s="13">
        <v>10281.1</v>
      </c>
      <c r="C3943" s="2">
        <f t="shared" si="305"/>
        <v>-1.2773990722220564E-2</v>
      </c>
      <c r="D3943" s="21">
        <f t="shared" ca="1" si="306"/>
        <v>-1.3157943137327431E-2</v>
      </c>
      <c r="E3943" s="21">
        <f t="shared" ca="1" si="308"/>
        <v>4.588553113627179E-5</v>
      </c>
      <c r="F3943" s="11">
        <f t="shared" ca="1" si="309"/>
        <v>3.1081219669302396</v>
      </c>
      <c r="G3943" s="10">
        <f t="shared" ca="1" si="307"/>
        <v>0</v>
      </c>
    </row>
    <row r="3944" spans="1:7" x14ac:dyDescent="0.2">
      <c r="A3944" s="2">
        <v>20051021</v>
      </c>
      <c r="B3944" s="13">
        <v>10215.219999999999</v>
      </c>
      <c r="C3944" s="2">
        <f t="shared" si="305"/>
        <v>-6.4078746437638981E-3</v>
      </c>
      <c r="D3944" s="21">
        <f t="shared" ca="1" si="306"/>
        <v>-6.7918270588707653E-3</v>
      </c>
      <c r="E3944" s="21">
        <f t="shared" ca="1" si="308"/>
        <v>5.0839516475864787E-5</v>
      </c>
      <c r="F3944" s="11">
        <f t="shared" ca="1" si="309"/>
        <v>4.489746463042688</v>
      </c>
      <c r="G3944" s="10">
        <f t="shared" ca="1" si="307"/>
        <v>1</v>
      </c>
    </row>
    <row r="3945" spans="1:7" x14ac:dyDescent="0.2">
      <c r="A3945" s="2">
        <v>20051024</v>
      </c>
      <c r="B3945" s="13">
        <v>10385</v>
      </c>
      <c r="C3945" s="2">
        <f t="shared" si="305"/>
        <v>1.6620297947572412E-2</v>
      </c>
      <c r="D3945" s="21">
        <f t="shared" ca="1" si="306"/>
        <v>1.6236345532465543E-2</v>
      </c>
      <c r="E3945" s="21">
        <f t="shared" ca="1" si="308"/>
        <v>5.0872772446790386E-5</v>
      </c>
      <c r="F3945" s="11">
        <f t="shared" ca="1" si="309"/>
        <v>2.3521286053819193</v>
      </c>
      <c r="G3945" s="10">
        <f t="shared" ca="1" si="307"/>
        <v>0</v>
      </c>
    </row>
    <row r="3946" spans="1:7" x14ac:dyDescent="0.2">
      <c r="A3946" s="2">
        <v>20051025</v>
      </c>
      <c r="B3946" s="13">
        <v>10377.870000000001</v>
      </c>
      <c r="C3946" s="2">
        <f t="shared" si="305"/>
        <v>-6.8656716417902738E-4</v>
      </c>
      <c r="D3946" s="21">
        <f t="shared" ca="1" si="306"/>
        <v>-1.0705195792858947E-3</v>
      </c>
      <c r="E3946" s="21">
        <f t="shared" ca="1" si="308"/>
        <v>5.8901833088364716E-5</v>
      </c>
      <c r="F3946" s="11">
        <f t="shared" ca="1" si="309"/>
        <v>4.8600910191852487</v>
      </c>
      <c r="G3946" s="10">
        <f t="shared" ca="1" si="307"/>
        <v>1</v>
      </c>
    </row>
    <row r="3947" spans="1:7" x14ac:dyDescent="0.2">
      <c r="A3947" s="2">
        <v>20051026</v>
      </c>
      <c r="B3947" s="13">
        <v>10344.98</v>
      </c>
      <c r="C3947" s="2">
        <f t="shared" si="305"/>
        <v>-3.169243785092821E-3</v>
      </c>
      <c r="D3947" s="21">
        <f t="shared" ca="1" si="306"/>
        <v>-3.5531962001996882E-3</v>
      </c>
      <c r="E3947" s="21">
        <f t="shared" ca="1" si="308"/>
        <v>5.6873113935335514E-5</v>
      </c>
      <c r="F3947" s="11">
        <f t="shared" ca="1" si="309"/>
        <v>4.7763494429689679</v>
      </c>
      <c r="G3947" s="10">
        <f t="shared" ca="1" si="307"/>
        <v>1</v>
      </c>
    </row>
    <row r="3948" spans="1:7" x14ac:dyDescent="0.2">
      <c r="A3948" s="2">
        <v>20051027</v>
      </c>
      <c r="B3948" s="13">
        <v>10229.950000000001</v>
      </c>
      <c r="C3948" s="2">
        <f t="shared" si="305"/>
        <v>-1.1119402840798034E-2</v>
      </c>
      <c r="D3948" s="21">
        <f t="shared" ca="1" si="306"/>
        <v>-1.1503355255904901E-2</v>
      </c>
      <c r="E3948" s="21">
        <f t="shared" ca="1" si="308"/>
        <v>5.5369138251001838E-5</v>
      </c>
      <c r="F3948" s="11">
        <f t="shared" ca="1" si="309"/>
        <v>3.7057897731165239</v>
      </c>
      <c r="G3948" s="10">
        <f t="shared" ca="1" si="307"/>
        <v>0</v>
      </c>
    </row>
    <row r="3949" spans="1:7" x14ac:dyDescent="0.2">
      <c r="A3949" s="2">
        <v>20051028</v>
      </c>
      <c r="B3949" s="13">
        <v>10402.77</v>
      </c>
      <c r="C3949" s="2">
        <f t="shared" si="305"/>
        <v>1.6893533203974576E-2</v>
      </c>
      <c r="D3949" s="21">
        <f t="shared" ca="1" si="306"/>
        <v>1.6509580788867707E-2</v>
      </c>
      <c r="E3949" s="21">
        <f t="shared" ca="1" si="308"/>
        <v>5.8342899961422291E-5</v>
      </c>
      <c r="F3949" s="11">
        <f t="shared" ca="1" si="309"/>
        <v>2.5386873193985617</v>
      </c>
      <c r="G3949" s="10">
        <f t="shared" ca="1" si="307"/>
        <v>0</v>
      </c>
    </row>
    <row r="3950" spans="1:7" x14ac:dyDescent="0.2">
      <c r="A3950" s="2">
        <v>20051031</v>
      </c>
      <c r="B3950" s="13">
        <v>10440.07</v>
      </c>
      <c r="C3950" s="2">
        <f t="shared" ref="C3950:C4013" si="310">(B3950-B3949)/B3949</f>
        <v>3.5855834551758109E-3</v>
      </c>
      <c r="D3950" s="21">
        <f t="shared" ca="1" si="306"/>
        <v>3.2016310400689437E-3</v>
      </c>
      <c r="E3950" s="21">
        <f t="shared" ca="1" si="308"/>
        <v>6.6323053764560331E-5</v>
      </c>
      <c r="F3950" s="11">
        <f t="shared" ca="1" si="309"/>
        <v>4.7332098926740738</v>
      </c>
      <c r="G3950" s="10">
        <f t="shared" ca="1" si="307"/>
        <v>1</v>
      </c>
    </row>
    <row r="3951" spans="1:7" x14ac:dyDescent="0.2">
      <c r="A3951" s="2">
        <v>20051101</v>
      </c>
      <c r="B3951" s="13">
        <v>10406.77</v>
      </c>
      <c r="C3951" s="2">
        <f t="shared" si="310"/>
        <v>-3.1896337859802924E-3</v>
      </c>
      <c r="D3951" s="21">
        <f t="shared" ca="1" si="306"/>
        <v>-3.5735862010871596E-3</v>
      </c>
      <c r="E3951" s="21">
        <f t="shared" ca="1" si="308"/>
        <v>6.4253678370480025E-5</v>
      </c>
      <c r="F3951" s="11">
        <f t="shared" ca="1" si="309"/>
        <v>4.7269600161610432</v>
      </c>
      <c r="G3951" s="10">
        <f t="shared" ca="1" si="307"/>
        <v>1</v>
      </c>
    </row>
    <row r="3952" spans="1:7" x14ac:dyDescent="0.2">
      <c r="A3952" s="2">
        <v>20051102</v>
      </c>
      <c r="B3952" s="13">
        <v>10472.73</v>
      </c>
      <c r="C3952" s="2">
        <f t="shared" si="310"/>
        <v>6.3381817797452163E-3</v>
      </c>
      <c r="D3952" s="21">
        <f t="shared" ca="1" si="306"/>
        <v>5.9542293646383491E-3</v>
      </c>
      <c r="E3952" s="21">
        <f t="shared" ca="1" si="308"/>
        <v>6.2381660991151256E-5</v>
      </c>
      <c r="F3952" s="11">
        <f t="shared" ca="1" si="309"/>
        <v>4.5569587945163921</v>
      </c>
      <c r="G3952" s="10">
        <f t="shared" ca="1" si="307"/>
        <v>1</v>
      </c>
    </row>
    <row r="3953" spans="1:7" x14ac:dyDescent="0.2">
      <c r="A3953" s="2">
        <v>20051103</v>
      </c>
      <c r="B3953" s="13">
        <v>10522.59</v>
      </c>
      <c r="C3953" s="2">
        <f t="shared" si="310"/>
        <v>4.7609362601729044E-3</v>
      </c>
      <c r="D3953" s="21">
        <f t="shared" ca="1" si="306"/>
        <v>4.3769838450660372E-3</v>
      </c>
      <c r="E3953" s="21">
        <f t="shared" ca="1" si="308"/>
        <v>6.1438418428811799E-5</v>
      </c>
      <c r="F3953" s="11">
        <f t="shared" ca="1" si="309"/>
        <v>4.6928254900910433</v>
      </c>
      <c r="G3953" s="10">
        <f t="shared" ca="1" si="307"/>
        <v>1</v>
      </c>
    </row>
    <row r="3954" spans="1:7" x14ac:dyDescent="0.2">
      <c r="A3954" s="2">
        <v>20051104</v>
      </c>
      <c r="B3954" s="13">
        <v>10530.76</v>
      </c>
      <c r="C3954" s="2">
        <f t="shared" si="310"/>
        <v>7.7642481556347565E-4</v>
      </c>
      <c r="D3954" s="21">
        <f t="shared" ca="1" si="306"/>
        <v>3.9247240045660835E-4</v>
      </c>
      <c r="E3954" s="21">
        <f t="shared" ca="1" si="308"/>
        <v>5.9943704373797128E-5</v>
      </c>
      <c r="F3954" s="11">
        <f t="shared" ca="1" si="309"/>
        <v>4.8597675212653142</v>
      </c>
      <c r="G3954" s="10">
        <f t="shared" ca="1" si="307"/>
        <v>1</v>
      </c>
    </row>
    <row r="3955" spans="1:7" x14ac:dyDescent="0.2">
      <c r="A3955" s="2">
        <v>20051107</v>
      </c>
      <c r="B3955" s="13">
        <v>10586.23</v>
      </c>
      <c r="C3955" s="2">
        <f t="shared" si="310"/>
        <v>5.2674260927035978E-3</v>
      </c>
      <c r="D3955" s="21">
        <f t="shared" ca="1" si="306"/>
        <v>4.8834736775967306E-3</v>
      </c>
      <c r="E3955" s="21">
        <f t="shared" ca="1" si="308"/>
        <v>5.7825799861564755E-5</v>
      </c>
      <c r="F3955" s="11">
        <f t="shared" ca="1" si="309"/>
        <v>4.6728294986182428</v>
      </c>
      <c r="G3955" s="10">
        <f t="shared" ca="1" si="307"/>
        <v>1</v>
      </c>
    </row>
    <row r="3956" spans="1:7" x14ac:dyDescent="0.2">
      <c r="A3956" s="2">
        <v>20051108</v>
      </c>
      <c r="B3956" s="13">
        <v>10539.72</v>
      </c>
      <c r="C3956" s="2">
        <f t="shared" si="310"/>
        <v>-4.3934431804334706E-3</v>
      </c>
      <c r="D3956" s="21">
        <f t="shared" ca="1" si="306"/>
        <v>-4.7773955955403378E-3</v>
      </c>
      <c r="E3956" s="21">
        <f t="shared" ca="1" si="308"/>
        <v>5.6686320904015721E-5</v>
      </c>
      <c r="F3956" s="11">
        <f t="shared" ca="1" si="309"/>
        <v>4.6876747387024142</v>
      </c>
      <c r="G3956" s="10">
        <f t="shared" ca="1" si="307"/>
        <v>1</v>
      </c>
    </row>
    <row r="3957" spans="1:7" x14ac:dyDescent="0.2">
      <c r="A3957" s="2">
        <v>20051109</v>
      </c>
      <c r="B3957" s="13">
        <v>10546.21</v>
      </c>
      <c r="C3957" s="2">
        <f t="shared" si="310"/>
        <v>6.1576588372364558E-4</v>
      </c>
      <c r="D3957" s="21">
        <f t="shared" ca="1" si="306"/>
        <v>2.3181346861677829E-4</v>
      </c>
      <c r="E3957" s="21">
        <f t="shared" ca="1" si="308"/>
        <v>5.5566804638360474E-5</v>
      </c>
      <c r="F3957" s="11">
        <f t="shared" ca="1" si="309"/>
        <v>4.8984787474930798</v>
      </c>
      <c r="G3957" s="10">
        <f t="shared" ca="1" si="307"/>
        <v>1</v>
      </c>
    </row>
    <row r="3958" spans="1:7" x14ac:dyDescent="0.2">
      <c r="A3958" s="2">
        <v>20051110</v>
      </c>
      <c r="B3958" s="13">
        <v>10640.1</v>
      </c>
      <c r="C3958" s="2">
        <f t="shared" si="310"/>
        <v>8.9027242962164844E-3</v>
      </c>
      <c r="D3958" s="21">
        <f t="shared" ca="1" si="306"/>
        <v>8.5187718811096172E-3</v>
      </c>
      <c r="E3958" s="21">
        <f t="shared" ca="1" si="308"/>
        <v>5.3666640825377494E-5</v>
      </c>
      <c r="F3958" s="11">
        <f t="shared" ca="1" si="309"/>
        <v>4.2402460408453173</v>
      </c>
      <c r="G3958" s="10">
        <f t="shared" ca="1" si="307"/>
        <v>0</v>
      </c>
    </row>
    <row r="3959" spans="1:7" x14ac:dyDescent="0.2">
      <c r="A3959" s="2">
        <v>20051111</v>
      </c>
      <c r="B3959" s="13">
        <v>10686.04</v>
      </c>
      <c r="C3959" s="2">
        <f t="shared" si="310"/>
        <v>4.3176285937162719E-3</v>
      </c>
      <c r="D3959" s="21">
        <f t="shared" ca="1" si="306"/>
        <v>3.9336761786094047E-3</v>
      </c>
      <c r="E3959" s="21">
        <f t="shared" ca="1" si="308"/>
        <v>5.4529137186248234E-5</v>
      </c>
      <c r="F3959" s="11">
        <f t="shared" ca="1" si="309"/>
        <v>4.7665019980650811</v>
      </c>
      <c r="G3959" s="10">
        <f t="shared" ca="1" si="307"/>
        <v>1</v>
      </c>
    </row>
    <row r="3960" spans="1:7" x14ac:dyDescent="0.2">
      <c r="A3960" s="2">
        <v>20051114</v>
      </c>
      <c r="B3960" s="13">
        <v>10697.17</v>
      </c>
      <c r="C3960" s="2">
        <f t="shared" si="310"/>
        <v>1.0415457924543795E-3</v>
      </c>
      <c r="D3960" s="21">
        <f t="shared" ca="1" si="306"/>
        <v>6.5759337734751222E-4</v>
      </c>
      <c r="E3960" s="21">
        <f t="shared" ca="1" si="308"/>
        <v>5.324849223859641E-5</v>
      </c>
      <c r="F3960" s="11">
        <f t="shared" ca="1" si="309"/>
        <v>4.9162100526342583</v>
      </c>
      <c r="G3960" s="10">
        <f t="shared" ca="1" si="307"/>
        <v>1</v>
      </c>
    </row>
    <row r="3961" spans="1:7" x14ac:dyDescent="0.2">
      <c r="A3961" s="2">
        <v>20051115</v>
      </c>
      <c r="B3961" s="13">
        <v>10686.44</v>
      </c>
      <c r="C3961" s="2">
        <f t="shared" si="310"/>
        <v>-1.0030690360160271E-3</v>
      </c>
      <c r="D3961" s="21">
        <f t="shared" ca="1" si="306"/>
        <v>-1.3870214511228942E-3</v>
      </c>
      <c r="E3961" s="21">
        <f t="shared" ca="1" si="308"/>
        <v>5.147953776333902E-5</v>
      </c>
      <c r="F3961" s="11">
        <f t="shared" ca="1" si="309"/>
        <v>4.9184777062927498</v>
      </c>
      <c r="G3961" s="10">
        <f t="shared" ca="1" si="307"/>
        <v>1</v>
      </c>
    </row>
    <row r="3962" spans="1:7" x14ac:dyDescent="0.2">
      <c r="A3962" s="2">
        <v>20051116</v>
      </c>
      <c r="B3962" s="13">
        <v>10674.76</v>
      </c>
      <c r="C3962" s="2">
        <f t="shared" si="310"/>
        <v>-1.0929738996335815E-3</v>
      </c>
      <c r="D3962" s="21">
        <f t="shared" ca="1" si="306"/>
        <v>-1.4769263147404489E-3</v>
      </c>
      <c r="E3962" s="21">
        <f t="shared" ca="1" si="308"/>
        <v>4.985491663948712E-5</v>
      </c>
      <c r="F3962" s="11">
        <f t="shared" ca="1" si="309"/>
        <v>4.9313201268907196</v>
      </c>
      <c r="G3962" s="10">
        <f t="shared" ca="1" si="307"/>
        <v>1</v>
      </c>
    </row>
    <row r="3963" spans="1:7" x14ac:dyDescent="0.2">
      <c r="A3963" s="2">
        <v>20051117</v>
      </c>
      <c r="B3963" s="13">
        <v>10720.22</v>
      </c>
      <c r="C3963" s="2">
        <f t="shared" si="310"/>
        <v>4.2586437540515316E-3</v>
      </c>
      <c r="D3963" s="21">
        <f t="shared" ca="1" si="306"/>
        <v>3.8746913389446644E-3</v>
      </c>
      <c r="E3963" s="21">
        <f t="shared" ca="1" si="308"/>
        <v>4.8321953726578107E-5</v>
      </c>
      <c r="F3963" s="11">
        <f t="shared" ca="1" si="309"/>
        <v>4.8134664047721243</v>
      </c>
      <c r="G3963" s="10">
        <f t="shared" ca="1" si="307"/>
        <v>1</v>
      </c>
    </row>
    <row r="3964" spans="1:7" x14ac:dyDescent="0.2">
      <c r="A3964" s="2">
        <v>20051118</v>
      </c>
      <c r="B3964" s="13">
        <v>10766.33</v>
      </c>
      <c r="C3964" s="2">
        <f t="shared" si="310"/>
        <v>4.3012176988905622E-3</v>
      </c>
      <c r="D3964" s="21">
        <f t="shared" ca="1" si="306"/>
        <v>3.917265283783695E-3</v>
      </c>
      <c r="E3964" s="21">
        <f t="shared" ca="1" si="308"/>
        <v>4.7338396075764607E-5</v>
      </c>
      <c r="F3964" s="11">
        <f t="shared" ca="1" si="309"/>
        <v>4.8170170283562515</v>
      </c>
      <c r="G3964" s="10">
        <f t="shared" ca="1" si="307"/>
        <v>1</v>
      </c>
    </row>
    <row r="3965" spans="1:7" x14ac:dyDescent="0.2">
      <c r="A3965" s="2">
        <v>20051121</v>
      </c>
      <c r="B3965" s="13">
        <v>10820.28</v>
      </c>
      <c r="C3965" s="2">
        <f t="shared" si="310"/>
        <v>5.0109926037935609E-3</v>
      </c>
      <c r="D3965" s="21">
        <f t="shared" ca="1" si="306"/>
        <v>4.6270401886866937E-3</v>
      </c>
      <c r="E3965" s="21">
        <f t="shared" ca="1" si="308"/>
        <v>4.6416795380947124E-5</v>
      </c>
      <c r="F3965" s="11">
        <f t="shared" ca="1" si="309"/>
        <v>4.7583022468958633</v>
      </c>
      <c r="G3965" s="10">
        <f t="shared" ca="1" si="307"/>
        <v>1</v>
      </c>
    </row>
    <row r="3966" spans="1:7" x14ac:dyDescent="0.2">
      <c r="A3966" s="2">
        <v>20051122</v>
      </c>
      <c r="B3966" s="13">
        <v>10871.43</v>
      </c>
      <c r="C3966" s="2">
        <f t="shared" si="310"/>
        <v>4.7272344153755389E-3</v>
      </c>
      <c r="D3966" s="21">
        <f t="shared" ca="1" si="306"/>
        <v>4.3432820002686718E-3</v>
      </c>
      <c r="E3966" s="21">
        <f t="shared" ca="1" si="308"/>
        <v>4.5764822258317605E-5</v>
      </c>
      <c r="F3966" s="11">
        <f t="shared" ca="1" si="309"/>
        <v>4.7898991786520906</v>
      </c>
      <c r="G3966" s="10">
        <f t="shared" ca="1" si="307"/>
        <v>1</v>
      </c>
    </row>
    <row r="3967" spans="1:7" x14ac:dyDescent="0.2">
      <c r="A3967" s="2">
        <v>20051123</v>
      </c>
      <c r="B3967" s="13">
        <v>10916.09</v>
      </c>
      <c r="C3967" s="2">
        <f t="shared" si="310"/>
        <v>4.1080152289073154E-3</v>
      </c>
      <c r="D3967" s="21">
        <f t="shared" ca="1" si="306"/>
        <v>3.7240628138004482E-3</v>
      </c>
      <c r="E3967" s="21">
        <f t="shared" ca="1" si="308"/>
        <v>4.5052233780954063E-5</v>
      </c>
      <c r="F3967" s="11">
        <f t="shared" ca="1" si="309"/>
        <v>4.849926612357077</v>
      </c>
      <c r="G3967" s="10">
        <f t="shared" ca="1" si="307"/>
        <v>1</v>
      </c>
    </row>
    <row r="3968" spans="1:7" x14ac:dyDescent="0.2">
      <c r="A3968" s="2">
        <v>20051125</v>
      </c>
      <c r="B3968" s="13">
        <v>10931.62</v>
      </c>
      <c r="C3968" s="2">
        <f t="shared" si="310"/>
        <v>1.4226705716058271E-3</v>
      </c>
      <c r="D3968" s="21">
        <f t="shared" ca="1" si="306"/>
        <v>1.0387181564989597E-3</v>
      </c>
      <c r="E3968" s="21">
        <f t="shared" ca="1" si="308"/>
        <v>4.4192003797939746E-5</v>
      </c>
      <c r="F3968" s="11">
        <f t="shared" ca="1" si="309"/>
        <v>5.0012759872883361</v>
      </c>
      <c r="G3968" s="10">
        <f t="shared" ca="1" si="307"/>
        <v>1</v>
      </c>
    </row>
    <row r="3969" spans="1:7" x14ac:dyDescent="0.2">
      <c r="A3969" s="2">
        <v>20051128</v>
      </c>
      <c r="B3969" s="13">
        <v>10890.72</v>
      </c>
      <c r="C3969" s="2">
        <f t="shared" si="310"/>
        <v>-3.7414399695563376E-3</v>
      </c>
      <c r="D3969" s="21">
        <f t="shared" ca="1" si="306"/>
        <v>-4.1253923846632052E-3</v>
      </c>
      <c r="E3969" s="21">
        <f t="shared" ca="1" si="308"/>
        <v>4.2904993222513635E-5</v>
      </c>
      <c r="F3969" s="11">
        <f t="shared" ca="1" si="309"/>
        <v>4.8299292188330227</v>
      </c>
      <c r="G3969" s="10">
        <f t="shared" ca="1" si="307"/>
        <v>1</v>
      </c>
    </row>
    <row r="3970" spans="1:7" x14ac:dyDescent="0.2">
      <c r="A3970" s="2">
        <v>20051129</v>
      </c>
      <c r="B3970" s="13">
        <v>10888.16</v>
      </c>
      <c r="C3970" s="2">
        <f t="shared" si="310"/>
        <v>-2.3506251193672144E-4</v>
      </c>
      <c r="D3970" s="21">
        <f t="shared" ca="1" si="306"/>
        <v>-6.1901492704358879E-4</v>
      </c>
      <c r="E3970" s="21">
        <f t="shared" ca="1" si="308"/>
        <v>4.226923188053164E-5</v>
      </c>
      <c r="F3970" s="11">
        <f t="shared" ca="1" si="309"/>
        <v>5.0311929524519563</v>
      </c>
      <c r="G3970" s="10">
        <f t="shared" ca="1" si="307"/>
        <v>1</v>
      </c>
    </row>
    <row r="3971" spans="1:7" x14ac:dyDescent="0.2">
      <c r="A3971" s="2">
        <v>20051130</v>
      </c>
      <c r="B3971" s="13">
        <v>10805.87</v>
      </c>
      <c r="C3971" s="2">
        <f t="shared" si="310"/>
        <v>-7.5577508045435639E-3</v>
      </c>
      <c r="D3971" s="21">
        <f t="shared" ca="1" si="306"/>
        <v>-7.9417032196504311E-3</v>
      </c>
      <c r="E3971" s="21">
        <f t="shared" ca="1" si="308"/>
        <v>4.1053910809185046E-5</v>
      </c>
      <c r="F3971" s="11">
        <f t="shared" ca="1" si="309"/>
        <v>4.2821679911080235</v>
      </c>
      <c r="G3971" s="10">
        <f t="shared" ca="1" si="307"/>
        <v>0</v>
      </c>
    </row>
    <row r="3972" spans="1:7" x14ac:dyDescent="0.2">
      <c r="A3972" s="2">
        <v>20051201</v>
      </c>
      <c r="B3972" s="13">
        <v>10912.57</v>
      </c>
      <c r="C3972" s="2">
        <f t="shared" si="310"/>
        <v>9.874262784949189E-3</v>
      </c>
      <c r="D3972" s="21">
        <f t="shared" ca="1" si="306"/>
        <v>9.4903103698423218E-3</v>
      </c>
      <c r="E3972" s="21">
        <f t="shared" ca="1" si="308"/>
        <v>4.2205200978363888E-5</v>
      </c>
      <c r="F3972" s="11">
        <f t="shared" ca="1" si="309"/>
        <v>3.9694824590457758</v>
      </c>
      <c r="G3972" s="10">
        <f t="shared" ca="1" si="307"/>
        <v>0</v>
      </c>
    </row>
    <row r="3973" spans="1:7" x14ac:dyDescent="0.2">
      <c r="A3973" s="2">
        <v>20051202</v>
      </c>
      <c r="B3973" s="13">
        <v>10877.51</v>
      </c>
      <c r="C3973" s="2">
        <f t="shared" si="310"/>
        <v>-3.2128087150872335E-3</v>
      </c>
      <c r="D3973" s="21">
        <f t="shared" ca="1" si="306"/>
        <v>-3.5967611301941007E-3</v>
      </c>
      <c r="E3973" s="21">
        <f t="shared" ca="1" si="308"/>
        <v>4.4290912818353271E-5</v>
      </c>
      <c r="F3973" s="11">
        <f t="shared" ca="1" si="309"/>
        <v>4.8663232481417147</v>
      </c>
      <c r="G3973" s="10">
        <f t="shared" ca="1" si="307"/>
        <v>1</v>
      </c>
    </row>
    <row r="3974" spans="1:7" x14ac:dyDescent="0.2">
      <c r="A3974" s="2">
        <v>20051205</v>
      </c>
      <c r="B3974" s="13">
        <v>10835.01</v>
      </c>
      <c r="C3974" s="2">
        <f t="shared" si="310"/>
        <v>-3.907144190168522E-3</v>
      </c>
      <c r="D3974" s="21">
        <f t="shared" ca="1" si="306"/>
        <v>-4.2910966052753892E-3</v>
      </c>
      <c r="E3974" s="21">
        <f t="shared" ca="1" si="308"/>
        <v>4.3434928766619776E-5</v>
      </c>
      <c r="F3974" s="11">
        <f t="shared" ca="1" si="309"/>
        <v>4.81015669518876</v>
      </c>
      <c r="G3974" s="10">
        <f t="shared" ca="1" si="307"/>
        <v>1</v>
      </c>
    </row>
    <row r="3975" spans="1:7" x14ac:dyDescent="0.2">
      <c r="A3975" s="2">
        <v>20051206</v>
      </c>
      <c r="B3975" s="13">
        <v>10856.86</v>
      </c>
      <c r="C3975" s="2">
        <f t="shared" si="310"/>
        <v>2.0166109675948951E-3</v>
      </c>
      <c r="D3975" s="21">
        <f t="shared" ca="1" si="306"/>
        <v>1.6326585524880279E-3</v>
      </c>
      <c r="E3975" s="21">
        <f t="shared" ca="1" si="308"/>
        <v>4.2823641443800724E-5</v>
      </c>
      <c r="F3975" s="11">
        <f t="shared" ca="1" si="309"/>
        <v>4.998087427512024</v>
      </c>
      <c r="G3975" s="10">
        <f t="shared" ca="1" si="307"/>
        <v>1</v>
      </c>
    </row>
    <row r="3976" spans="1:7" x14ac:dyDescent="0.2">
      <c r="A3976" s="2">
        <v>20051207</v>
      </c>
      <c r="B3976" s="13">
        <v>10810.91</v>
      </c>
      <c r="C3976" s="2">
        <f t="shared" si="310"/>
        <v>-4.2323471058851939E-3</v>
      </c>
      <c r="D3976" s="21">
        <f t="shared" ca="1" si="306"/>
        <v>-4.616299520992061E-3</v>
      </c>
      <c r="E3976" s="21">
        <f t="shared" ca="1" si="308"/>
        <v>4.1664200239898392E-5</v>
      </c>
      <c r="F3976" s="11">
        <f t="shared" ca="1" si="309"/>
        <v>4.7871963592472015</v>
      </c>
      <c r="G3976" s="10">
        <f t="shared" ca="1" si="307"/>
        <v>1</v>
      </c>
    </row>
    <row r="3977" spans="1:7" x14ac:dyDescent="0.2">
      <c r="A3977" s="2">
        <v>20051208</v>
      </c>
      <c r="B3977" s="13">
        <v>10755.12</v>
      </c>
      <c r="C3977" s="2">
        <f t="shared" si="310"/>
        <v>-5.1605276521587036E-3</v>
      </c>
      <c r="D3977" s="21">
        <f t="shared" ca="1" si="306"/>
        <v>-5.5444800672655708E-3</v>
      </c>
      <c r="E3977" s="21">
        <f t="shared" ca="1" si="308"/>
        <v>4.124901178459691E-5</v>
      </c>
      <c r="F3977" s="11">
        <f t="shared" ca="1" si="309"/>
        <v>4.6753114502648607</v>
      </c>
      <c r="G3977" s="10">
        <f t="shared" ca="1" si="307"/>
        <v>1</v>
      </c>
    </row>
    <row r="3978" spans="1:7" x14ac:dyDescent="0.2">
      <c r="A3978" s="2">
        <v>20051209</v>
      </c>
      <c r="B3978" s="13">
        <v>10778.58</v>
      </c>
      <c r="C3978" s="2">
        <f t="shared" si="310"/>
        <v>2.1812866802043236E-3</v>
      </c>
      <c r="D3978" s="21">
        <f t="shared" ca="1" si="306"/>
        <v>1.7973342650974564E-3</v>
      </c>
      <c r="E3978" s="21">
        <f t="shared" ca="1" si="308"/>
        <v>4.1201623582369085E-5</v>
      </c>
      <c r="F3978" s="11">
        <f t="shared" ca="1" si="309"/>
        <v>5.0093139819450654</v>
      </c>
      <c r="G3978" s="10">
        <f t="shared" ca="1" si="307"/>
        <v>1</v>
      </c>
    </row>
    <row r="3979" spans="1:7" x14ac:dyDescent="0.2">
      <c r="A3979" s="2">
        <v>20051212</v>
      </c>
      <c r="B3979" s="13">
        <v>10767.77</v>
      </c>
      <c r="C3979" s="2">
        <f t="shared" si="310"/>
        <v>-1.0029150407567129E-3</v>
      </c>
      <c r="D3979" s="21">
        <f t="shared" ca="1" si="306"/>
        <v>-1.3868674558635804E-3</v>
      </c>
      <c r="E3979" s="21">
        <f t="shared" ca="1" si="308"/>
        <v>4.0145010820907419E-5</v>
      </c>
      <c r="F3979" s="11">
        <f t="shared" ca="1" si="309"/>
        <v>5.0375505234271669</v>
      </c>
      <c r="G3979" s="10">
        <f t="shared" ca="1" si="307"/>
        <v>1</v>
      </c>
    </row>
    <row r="3980" spans="1:7" x14ac:dyDescent="0.2">
      <c r="A3980" s="2">
        <v>20051213</v>
      </c>
      <c r="B3980" s="13">
        <v>10823.72</v>
      </c>
      <c r="C3980" s="2">
        <f t="shared" si="310"/>
        <v>5.19606195154604E-3</v>
      </c>
      <c r="D3980" s="21">
        <f t="shared" ca="1" si="306"/>
        <v>4.8121095364391728E-3</v>
      </c>
      <c r="E3980" s="21">
        <f t="shared" ca="1" si="308"/>
        <v>3.9093791439497875E-5</v>
      </c>
      <c r="F3980" s="11">
        <f t="shared" ca="1" si="309"/>
        <v>4.7786087942137927</v>
      </c>
      <c r="G3980" s="10">
        <f t="shared" ca="1" si="307"/>
        <v>1</v>
      </c>
    </row>
    <row r="3981" spans="1:7" x14ac:dyDescent="0.2">
      <c r="A3981" s="2">
        <v>20051214</v>
      </c>
      <c r="B3981" s="13">
        <v>10883.51</v>
      </c>
      <c r="C3981" s="2">
        <f t="shared" si="310"/>
        <v>5.5239788168948267E-3</v>
      </c>
      <c r="D3981" s="21">
        <f t="shared" ca="1" si="306"/>
        <v>5.1400264017879595E-3</v>
      </c>
      <c r="E3981" s="21">
        <f t="shared" ca="1" si="308"/>
        <v>3.8876527960729489E-5</v>
      </c>
      <c r="F3981" s="11">
        <f t="shared" ca="1" si="309"/>
        <v>4.7377678771547203</v>
      </c>
      <c r="G3981" s="10">
        <f t="shared" ca="1" si="307"/>
        <v>1</v>
      </c>
    </row>
    <row r="3982" spans="1:7" x14ac:dyDescent="0.2">
      <c r="A3982" s="2">
        <v>20051215</v>
      </c>
      <c r="B3982" s="13">
        <v>10881.67</v>
      </c>
      <c r="C3982" s="2">
        <f t="shared" si="310"/>
        <v>-1.6906310556062754E-4</v>
      </c>
      <c r="D3982" s="21">
        <f t="shared" ref="D3982:D4045" ca="1" si="311">(C3982-mu)</f>
        <v>-5.5301552066749481E-4</v>
      </c>
      <c r="E3982" s="21">
        <f t="shared" ca="1" si="308"/>
        <v>3.8790259521380609E-5</v>
      </c>
      <c r="F3982" s="11">
        <f t="shared" ca="1" si="309"/>
        <v>5.0747286445913389</v>
      </c>
      <c r="G3982" s="10">
        <f t="shared" ref="G3982:G4045" ca="1" si="312">IF(AND(C3982&lt;=mu+zvalue*SQRT(E3982),C3982&gt;=mu-zvalue*SQRT(E3982)),1,0)</f>
        <v>1</v>
      </c>
    </row>
    <row r="3983" spans="1:7" x14ac:dyDescent="0.2">
      <c r="A3983" s="2">
        <v>20051216</v>
      </c>
      <c r="B3983" s="13">
        <v>10875.59</v>
      </c>
      <c r="C3983" s="2">
        <f t="shared" si="310"/>
        <v>-5.5873776727284759E-4</v>
      </c>
      <c r="D3983" s="21">
        <f t="shared" ca="1" si="311"/>
        <v>-9.4269018237971489E-4</v>
      </c>
      <c r="E3983" s="21">
        <f t="shared" ref="E3983:E4046" ca="1" si="313">(1-alpha-beta)*longvar+alpha*D3982^2+beta*E3982</f>
        <v>3.7748096390773725E-5</v>
      </c>
      <c r="F3983" s="11">
        <f t="shared" ref="F3983:F4046" ca="1" si="314">(-0.5)*(LN(E3983)+D3983^2/E3983)</f>
        <v>5.0805167671286124</v>
      </c>
      <c r="G3983" s="10">
        <f t="shared" ca="1" si="312"/>
        <v>1</v>
      </c>
    </row>
    <row r="3984" spans="1:7" x14ac:dyDescent="0.2">
      <c r="A3984" s="2">
        <v>20051219</v>
      </c>
      <c r="B3984" s="13">
        <v>10836.53</v>
      </c>
      <c r="C3984" s="2">
        <f t="shared" si="310"/>
        <v>-3.5915292871466736E-3</v>
      </c>
      <c r="D3984" s="21">
        <f t="shared" ca="1" si="311"/>
        <v>-3.9754817022535412E-3</v>
      </c>
      <c r="E3984" s="21">
        <f t="shared" ca="1" si="313"/>
        <v>3.6780088629586475E-5</v>
      </c>
      <c r="F3984" s="11">
        <f t="shared" ca="1" si="314"/>
        <v>4.8904262755634766</v>
      </c>
      <c r="G3984" s="10">
        <f t="shared" ca="1" si="312"/>
        <v>1</v>
      </c>
    </row>
    <row r="3985" spans="1:7" x14ac:dyDescent="0.2">
      <c r="A3985" s="2">
        <v>20051220</v>
      </c>
      <c r="B3985" s="13">
        <v>10805.55</v>
      </c>
      <c r="C3985" s="2">
        <f t="shared" si="310"/>
        <v>-2.8588487274064096E-3</v>
      </c>
      <c r="D3985" s="21">
        <f t="shared" ca="1" si="311"/>
        <v>-3.2428011425132768E-3</v>
      </c>
      <c r="E3985" s="21">
        <f t="shared" ca="1" si="313"/>
        <v>3.6409532341187689E-5</v>
      </c>
      <c r="F3985" s="11">
        <f t="shared" ca="1" si="314"/>
        <v>4.9659305451865992</v>
      </c>
      <c r="G3985" s="10">
        <f t="shared" ca="1" si="312"/>
        <v>1</v>
      </c>
    </row>
    <row r="3986" spans="1:7" x14ac:dyDescent="0.2">
      <c r="A3986" s="2">
        <v>20051221</v>
      </c>
      <c r="B3986" s="13">
        <v>10833.73</v>
      </c>
      <c r="C3986" s="2">
        <f t="shared" si="310"/>
        <v>2.6079190786216615E-3</v>
      </c>
      <c r="D3986" s="21">
        <f t="shared" ca="1" si="311"/>
        <v>2.2239666635147943E-3</v>
      </c>
      <c r="E3986" s="21">
        <f t="shared" ca="1" si="313"/>
        <v>3.5863248049029666E-5</v>
      </c>
      <c r="F3986" s="11">
        <f t="shared" ca="1" si="314"/>
        <v>5.048941985880731</v>
      </c>
      <c r="G3986" s="10">
        <f t="shared" ca="1" si="312"/>
        <v>1</v>
      </c>
    </row>
    <row r="3987" spans="1:7" x14ac:dyDescent="0.2">
      <c r="A3987" s="2">
        <v>20051222</v>
      </c>
      <c r="B3987" s="13">
        <v>10889.44</v>
      </c>
      <c r="C3987" s="2">
        <f t="shared" si="310"/>
        <v>5.1422732521487014E-3</v>
      </c>
      <c r="D3987" s="21">
        <f t="shared" ca="1" si="311"/>
        <v>4.7583208370418342E-3</v>
      </c>
      <c r="E3987" s="21">
        <f t="shared" ca="1" si="313"/>
        <v>3.5139791705732213E-5</v>
      </c>
      <c r="F3987" s="11">
        <f t="shared" ca="1" si="314"/>
        <v>4.8059232697091145</v>
      </c>
      <c r="G3987" s="10">
        <f t="shared" ca="1" si="312"/>
        <v>1</v>
      </c>
    </row>
    <row r="3988" spans="1:7" x14ac:dyDescent="0.2">
      <c r="A3988" s="2">
        <v>20051223</v>
      </c>
      <c r="B3988" s="13">
        <v>10883.27</v>
      </c>
      <c r="C3988" s="2">
        <f t="shared" si="310"/>
        <v>-5.6660397596203964E-4</v>
      </c>
      <c r="D3988" s="21">
        <f t="shared" ca="1" si="311"/>
        <v>-9.5055639106890694E-4</v>
      </c>
      <c r="E3988" s="21">
        <f t="shared" ca="1" si="313"/>
        <v>3.5103632979113534E-5</v>
      </c>
      <c r="F3988" s="11">
        <f t="shared" ca="1" si="314"/>
        <v>5.1157331078790778</v>
      </c>
      <c r="G3988" s="10">
        <f t="shared" ca="1" si="312"/>
        <v>1</v>
      </c>
    </row>
    <row r="3989" spans="1:7" x14ac:dyDescent="0.2">
      <c r="A3989" s="2">
        <v>20051227</v>
      </c>
      <c r="B3989" s="13">
        <v>10777.77</v>
      </c>
      <c r="C3989" s="2">
        <f t="shared" si="310"/>
        <v>-9.6937776973281004E-3</v>
      </c>
      <c r="D3989" s="21">
        <f t="shared" ca="1" si="311"/>
        <v>-1.0077730112434968E-2</v>
      </c>
      <c r="E3989" s="21">
        <f t="shared" ca="1" si="313"/>
        <v>3.4269957122226066E-5</v>
      </c>
      <c r="F3989" s="11">
        <f t="shared" ca="1" si="314"/>
        <v>3.6588470090313558</v>
      </c>
      <c r="G3989" s="10">
        <f t="shared" ca="1" si="312"/>
        <v>0</v>
      </c>
    </row>
    <row r="3990" spans="1:7" x14ac:dyDescent="0.2">
      <c r="A3990" s="2">
        <v>20051228</v>
      </c>
      <c r="B3990" s="13">
        <v>10796.26</v>
      </c>
      <c r="C3990" s="2">
        <f t="shared" si="310"/>
        <v>1.7155682483482001E-3</v>
      </c>
      <c r="D3990" s="21">
        <f t="shared" ca="1" si="311"/>
        <v>1.3316158332413327E-3</v>
      </c>
      <c r="E3990" s="21">
        <f t="shared" ca="1" si="313"/>
        <v>3.7179794033851986E-5</v>
      </c>
      <c r="F3990" s="11">
        <f t="shared" ca="1" si="314"/>
        <v>5.0760262619656675</v>
      </c>
      <c r="G3990" s="10">
        <f t="shared" ca="1" si="312"/>
        <v>1</v>
      </c>
    </row>
    <row r="3991" spans="1:7" x14ac:dyDescent="0.2">
      <c r="A3991" s="2">
        <v>20051229</v>
      </c>
      <c r="B3991" s="13">
        <v>10784.82</v>
      </c>
      <c r="C3991" s="2">
        <f t="shared" si="310"/>
        <v>-1.0596262038891717E-3</v>
      </c>
      <c r="D3991" s="21">
        <f t="shared" ca="1" si="311"/>
        <v>-1.4435786189960389E-3</v>
      </c>
      <c r="E3991" s="21">
        <f t="shared" ca="1" si="313"/>
        <v>3.6273062807249774E-5</v>
      </c>
      <c r="F3991" s="11">
        <f t="shared" ca="1" si="314"/>
        <v>5.0834921438538716</v>
      </c>
      <c r="G3991" s="10">
        <f t="shared" ca="1" si="312"/>
        <v>1</v>
      </c>
    </row>
    <row r="3992" spans="1:7" x14ac:dyDescent="0.2">
      <c r="A3992" s="2">
        <v>20051230</v>
      </c>
      <c r="B3992" s="13">
        <v>10717.5</v>
      </c>
      <c r="C3992" s="2">
        <f t="shared" si="310"/>
        <v>-6.2421069614513464E-3</v>
      </c>
      <c r="D3992" s="21">
        <f t="shared" ca="1" si="311"/>
        <v>-6.6260593765582135E-3</v>
      </c>
      <c r="E3992" s="21">
        <f t="shared" ca="1" si="313"/>
        <v>3.5423629073798962E-5</v>
      </c>
      <c r="F3992" s="11">
        <f t="shared" ca="1" si="314"/>
        <v>4.5043570275662725</v>
      </c>
      <c r="G3992" s="10">
        <f t="shared" ca="1" si="312"/>
        <v>0</v>
      </c>
    </row>
    <row r="3993" spans="1:7" x14ac:dyDescent="0.2">
      <c r="A3993" s="2">
        <v>20060103</v>
      </c>
      <c r="B3993" s="13">
        <v>10847.41</v>
      </c>
      <c r="C3993" s="2">
        <f t="shared" si="310"/>
        <v>1.2121296944250045E-2</v>
      </c>
      <c r="D3993" s="21">
        <f t="shared" ca="1" si="311"/>
        <v>1.1737344529143177E-2</v>
      </c>
      <c r="E3993" s="21">
        <f t="shared" ca="1" si="313"/>
        <v>3.6154990236963364E-5</v>
      </c>
      <c r="F3993" s="11">
        <f t="shared" ca="1" si="314"/>
        <v>3.2086438911175081</v>
      </c>
      <c r="G3993" s="10">
        <f t="shared" ca="1" si="312"/>
        <v>0</v>
      </c>
    </row>
    <row r="3994" spans="1:7" x14ac:dyDescent="0.2">
      <c r="A3994" s="2">
        <v>20060104</v>
      </c>
      <c r="B3994" s="13">
        <v>10880.15</v>
      </c>
      <c r="C3994" s="2">
        <f t="shared" si="310"/>
        <v>3.0182320019248635E-3</v>
      </c>
      <c r="D3994" s="21">
        <f t="shared" ca="1" si="311"/>
        <v>2.6342795868179963E-3</v>
      </c>
      <c r="E3994" s="21">
        <f t="shared" ca="1" si="313"/>
        <v>4.0300769514689969E-5</v>
      </c>
      <c r="F3994" s="11">
        <f t="shared" ca="1" si="314"/>
        <v>4.9734745079626208</v>
      </c>
      <c r="G3994" s="10">
        <f t="shared" ca="1" si="312"/>
        <v>1</v>
      </c>
    </row>
    <row r="3995" spans="1:7" x14ac:dyDescent="0.2">
      <c r="A3995" s="2">
        <v>20060105</v>
      </c>
      <c r="B3995" s="13">
        <v>10882.15</v>
      </c>
      <c r="C3995" s="2">
        <f t="shared" si="310"/>
        <v>1.8382099511495706E-4</v>
      </c>
      <c r="D3995" s="21">
        <f t="shared" ca="1" si="311"/>
        <v>-2.0013141999191024E-4</v>
      </c>
      <c r="E3995" s="21">
        <f t="shared" ca="1" si="313"/>
        <v>3.9426118342799642E-5</v>
      </c>
      <c r="F3995" s="11">
        <f t="shared" ca="1" si="314"/>
        <v>5.0700330847694639</v>
      </c>
      <c r="G3995" s="10">
        <f t="shared" ca="1" si="312"/>
        <v>1</v>
      </c>
    </row>
    <row r="3996" spans="1:7" x14ac:dyDescent="0.2">
      <c r="A3996" s="2">
        <v>20060106</v>
      </c>
      <c r="B3996" s="13">
        <v>10959.31</v>
      </c>
      <c r="C3996" s="2">
        <f t="shared" si="310"/>
        <v>7.0905106068194111E-3</v>
      </c>
      <c r="D3996" s="21">
        <f t="shared" ca="1" si="311"/>
        <v>6.7065581917125439E-3</v>
      </c>
      <c r="E3996" s="21">
        <f t="shared" ca="1" si="313"/>
        <v>3.8342013946431229E-5</v>
      </c>
      <c r="F3996" s="11">
        <f t="shared" ca="1" si="314"/>
        <v>4.4979464100526503</v>
      </c>
      <c r="G3996" s="10">
        <f t="shared" ca="1" si="312"/>
        <v>0</v>
      </c>
    </row>
    <row r="3997" spans="1:7" x14ac:dyDescent="0.2">
      <c r="A3997" s="2">
        <v>20060109</v>
      </c>
      <c r="B3997" s="13">
        <v>11011.9</v>
      </c>
      <c r="C3997" s="2">
        <f t="shared" si="310"/>
        <v>4.7986597696387957E-3</v>
      </c>
      <c r="D3997" s="21">
        <f t="shared" ca="1" si="311"/>
        <v>4.4147073545319285E-3</v>
      </c>
      <c r="E3997" s="21">
        <f t="shared" ca="1" si="313"/>
        <v>3.8965198699085245E-5</v>
      </c>
      <c r="F3997" s="11">
        <f t="shared" ca="1" si="314"/>
        <v>4.8263304670925429</v>
      </c>
      <c r="G3997" s="10">
        <f t="shared" ca="1" si="312"/>
        <v>1</v>
      </c>
    </row>
    <row r="3998" spans="1:7" x14ac:dyDescent="0.2">
      <c r="A3998" s="2">
        <v>20060110</v>
      </c>
      <c r="B3998" s="13">
        <v>11011.58</v>
      </c>
      <c r="C3998" s="2">
        <f t="shared" si="310"/>
        <v>-2.9059472025691206E-5</v>
      </c>
      <c r="D3998" s="21">
        <f t="shared" ca="1" si="311"/>
        <v>-4.1301188713255851E-4</v>
      </c>
      <c r="E3998" s="21">
        <f t="shared" ca="1" si="313"/>
        <v>3.8619607706124976E-5</v>
      </c>
      <c r="F3998" s="11">
        <f t="shared" ca="1" si="314"/>
        <v>5.0786667710390887</v>
      </c>
      <c r="G3998" s="10">
        <f t="shared" ca="1" si="312"/>
        <v>1</v>
      </c>
    </row>
    <row r="3999" spans="1:7" x14ac:dyDescent="0.2">
      <c r="A3999" s="2">
        <v>20060111</v>
      </c>
      <c r="B3999" s="13">
        <v>11043.44</v>
      </c>
      <c r="C3999" s="2">
        <f t="shared" si="310"/>
        <v>2.8933177618471265E-3</v>
      </c>
      <c r="D3999" s="21">
        <f t="shared" ca="1" si="311"/>
        <v>2.5093653467402593E-3</v>
      </c>
      <c r="E3999" s="21">
        <f t="shared" ca="1" si="313"/>
        <v>3.7581104625937151E-5</v>
      </c>
      <c r="F3999" s="11">
        <f t="shared" ca="1" si="314"/>
        <v>5.0107269194674098</v>
      </c>
      <c r="G3999" s="10">
        <f t="shared" ca="1" si="312"/>
        <v>1</v>
      </c>
    </row>
    <row r="4000" spans="1:7" x14ac:dyDescent="0.2">
      <c r="A4000" s="2">
        <v>20060112</v>
      </c>
      <c r="B4000" s="13">
        <v>10962.36</v>
      </c>
      <c r="C4000" s="2">
        <f t="shared" si="310"/>
        <v>-7.3419152003361202E-3</v>
      </c>
      <c r="D4000" s="21">
        <f t="shared" ca="1" si="311"/>
        <v>-7.7258676154429873E-3</v>
      </c>
      <c r="E4000" s="21">
        <f t="shared" ca="1" si="313"/>
        <v>3.6820415816301465E-5</v>
      </c>
      <c r="F4000" s="11">
        <f t="shared" ca="1" si="314"/>
        <v>4.2941864543651107</v>
      </c>
      <c r="G4000" s="10">
        <f t="shared" ca="1" si="312"/>
        <v>0</v>
      </c>
    </row>
    <row r="4001" spans="1:7" x14ac:dyDescent="0.2">
      <c r="A4001" s="2">
        <v>20060113</v>
      </c>
      <c r="B4001" s="13">
        <v>10959.87</v>
      </c>
      <c r="C4001" s="2">
        <f t="shared" si="310"/>
        <v>-2.271408711262704E-4</v>
      </c>
      <c r="D4001" s="21">
        <f t="shared" ca="1" si="311"/>
        <v>-6.1109328623313772E-4</v>
      </c>
      <c r="E4001" s="21">
        <f t="shared" ca="1" si="313"/>
        <v>3.8061531833300808E-5</v>
      </c>
      <c r="F4001" s="11">
        <f t="shared" ca="1" si="314"/>
        <v>5.0832475496035485</v>
      </c>
      <c r="G4001" s="10">
        <f t="shared" ca="1" si="312"/>
        <v>1</v>
      </c>
    </row>
    <row r="4002" spans="1:7" x14ac:dyDescent="0.2">
      <c r="A4002" s="2">
        <v>20060117</v>
      </c>
      <c r="B4002" s="13">
        <v>10896.32</v>
      </c>
      <c r="C4002" s="2">
        <f t="shared" si="310"/>
        <v>-5.7984264411896384E-3</v>
      </c>
      <c r="D4002" s="21">
        <f t="shared" ca="1" si="311"/>
        <v>-6.1823788562965056E-3</v>
      </c>
      <c r="E4002" s="21">
        <f t="shared" ca="1" si="313"/>
        <v>3.7058721371413338E-5</v>
      </c>
      <c r="F4002" s="11">
        <f t="shared" ca="1" si="314"/>
        <v>4.5858109333882942</v>
      </c>
      <c r="G4002" s="10">
        <f t="shared" ca="1" si="312"/>
        <v>0</v>
      </c>
    </row>
    <row r="4003" spans="1:7" x14ac:dyDescent="0.2">
      <c r="A4003" s="2">
        <v>20060118</v>
      </c>
      <c r="B4003" s="13">
        <v>10854.86</v>
      </c>
      <c r="C4003" s="2">
        <f t="shared" si="310"/>
        <v>-3.8049543332059933E-3</v>
      </c>
      <c r="D4003" s="21">
        <f t="shared" ca="1" si="311"/>
        <v>-4.1889067483128605E-3</v>
      </c>
      <c r="E4003" s="21">
        <f t="shared" ca="1" si="313"/>
        <v>3.7498394192937385E-5</v>
      </c>
      <c r="F4003" s="11">
        <f t="shared" ca="1" si="314"/>
        <v>4.8616370081812432</v>
      </c>
      <c r="G4003" s="10">
        <f t="shared" ca="1" si="312"/>
        <v>1</v>
      </c>
    </row>
    <row r="4004" spans="1:7" x14ac:dyDescent="0.2">
      <c r="A4004" s="2">
        <v>20060119</v>
      </c>
      <c r="B4004" s="13">
        <v>10880.71</v>
      </c>
      <c r="C4004" s="2">
        <f t="shared" si="310"/>
        <v>2.3814217778947442E-3</v>
      </c>
      <c r="D4004" s="21">
        <f t="shared" ca="1" si="311"/>
        <v>1.997469362787877E-3</v>
      </c>
      <c r="E4004" s="21">
        <f t="shared" ca="1" si="313"/>
        <v>3.7155572804792441E-5</v>
      </c>
      <c r="F4004" s="11">
        <f t="shared" ca="1" si="314"/>
        <v>5.0465068009832521</v>
      </c>
      <c r="G4004" s="10">
        <f t="shared" ca="1" si="312"/>
        <v>1</v>
      </c>
    </row>
    <row r="4005" spans="1:7" x14ac:dyDescent="0.2">
      <c r="A4005" s="2">
        <v>20060120</v>
      </c>
      <c r="B4005" s="13">
        <v>10667.39</v>
      </c>
      <c r="C4005" s="2">
        <f t="shared" si="310"/>
        <v>-1.9605338254580787E-2</v>
      </c>
      <c r="D4005" s="21">
        <f t="shared" ca="1" si="311"/>
        <v>-1.9989290669687656E-2</v>
      </c>
      <c r="E4005" s="21">
        <f t="shared" ca="1" si="313"/>
        <v>3.6331578247190847E-5</v>
      </c>
      <c r="F4005" s="11">
        <f t="shared" ca="1" si="314"/>
        <v>-0.38754768261474215</v>
      </c>
      <c r="G4005" s="10">
        <f t="shared" ca="1" si="312"/>
        <v>0</v>
      </c>
    </row>
    <row r="4006" spans="1:7" x14ac:dyDescent="0.2">
      <c r="A4006" s="2">
        <v>20060123</v>
      </c>
      <c r="B4006" s="13">
        <v>10688.77</v>
      </c>
      <c r="C4006" s="2">
        <f t="shared" si="310"/>
        <v>2.0042390875369721E-3</v>
      </c>
      <c r="D4006" s="21">
        <f t="shared" ca="1" si="311"/>
        <v>1.6202866724301049E-3</v>
      </c>
      <c r="E4006" s="21">
        <f t="shared" ca="1" si="313"/>
        <v>5.0095505454870261E-5</v>
      </c>
      <c r="F4006" s="11">
        <f t="shared" ca="1" si="314"/>
        <v>4.9245863947233754</v>
      </c>
      <c r="G4006" s="10">
        <f t="shared" ca="1" si="312"/>
        <v>1</v>
      </c>
    </row>
    <row r="4007" spans="1:7" x14ac:dyDescent="0.2">
      <c r="A4007" s="2">
        <v>20060124</v>
      </c>
      <c r="B4007" s="13">
        <v>10712.22</v>
      </c>
      <c r="C4007" s="2">
        <f t="shared" si="310"/>
        <v>2.1938913457768207E-3</v>
      </c>
      <c r="D4007" s="21">
        <f t="shared" ca="1" si="311"/>
        <v>1.8099389306699535E-3</v>
      </c>
      <c r="E4007" s="21">
        <f t="shared" ca="1" si="313"/>
        <v>4.856669837559231E-5</v>
      </c>
      <c r="F4007" s="11">
        <f t="shared" ca="1" si="314"/>
        <v>4.9325606727259048</v>
      </c>
      <c r="G4007" s="10">
        <f t="shared" ca="1" si="312"/>
        <v>1</v>
      </c>
    </row>
    <row r="4008" spans="1:7" x14ac:dyDescent="0.2">
      <c r="A4008" s="2">
        <v>20060125</v>
      </c>
      <c r="B4008" s="13">
        <v>10709.74</v>
      </c>
      <c r="C4008" s="2">
        <f t="shared" si="310"/>
        <v>-2.3151130204566035E-4</v>
      </c>
      <c r="D4008" s="21">
        <f t="shared" ca="1" si="311"/>
        <v>-6.1546371715252759E-4</v>
      </c>
      <c r="E4008" s="21">
        <f t="shared" ca="1" si="313"/>
        <v>4.7139156010400532E-5</v>
      </c>
      <c r="F4008" s="11">
        <f t="shared" ca="1" si="314"/>
        <v>4.9771854378648213</v>
      </c>
      <c r="G4008" s="10">
        <f t="shared" ca="1" si="312"/>
        <v>1</v>
      </c>
    </row>
    <row r="4009" spans="1:7" x14ac:dyDescent="0.2">
      <c r="A4009" s="2">
        <v>20060126</v>
      </c>
      <c r="B4009" s="13">
        <v>10809.47</v>
      </c>
      <c r="C4009" s="2">
        <f t="shared" si="310"/>
        <v>9.3120841402311878E-3</v>
      </c>
      <c r="D4009" s="21">
        <f t="shared" ca="1" si="311"/>
        <v>8.9281317251243206E-3</v>
      </c>
      <c r="E4009" s="21">
        <f t="shared" ca="1" si="313"/>
        <v>4.5677302670440092E-5</v>
      </c>
      <c r="F4009" s="11">
        <f t="shared" ca="1" si="314"/>
        <v>4.1244036980789671</v>
      </c>
      <c r="G4009" s="10">
        <f t="shared" ca="1" si="312"/>
        <v>0</v>
      </c>
    </row>
    <row r="4010" spans="1:7" x14ac:dyDescent="0.2">
      <c r="A4010" s="2">
        <v>20060127</v>
      </c>
      <c r="B4010" s="13">
        <v>10907.21</v>
      </c>
      <c r="C4010" s="2">
        <f t="shared" si="310"/>
        <v>9.0420714429106878E-3</v>
      </c>
      <c r="D4010" s="21">
        <f t="shared" ca="1" si="311"/>
        <v>8.6581190278038206E-3</v>
      </c>
      <c r="E4010" s="21">
        <f t="shared" ca="1" si="313"/>
        <v>4.7206608359683947E-5</v>
      </c>
      <c r="F4010" s="11">
        <f t="shared" ca="1" si="314"/>
        <v>4.1864996560846768</v>
      </c>
      <c r="G4010" s="10">
        <f t="shared" ca="1" si="312"/>
        <v>0</v>
      </c>
    </row>
    <row r="4011" spans="1:7" x14ac:dyDescent="0.2">
      <c r="A4011" s="2">
        <v>20060130</v>
      </c>
      <c r="B4011" s="13">
        <v>10899.92</v>
      </c>
      <c r="C4011" s="2">
        <f t="shared" si="310"/>
        <v>-6.6836523730624559E-4</v>
      </c>
      <c r="D4011" s="21">
        <f t="shared" ca="1" si="311"/>
        <v>-1.0523176524131128E-3</v>
      </c>
      <c r="E4011" s="21">
        <f t="shared" ca="1" si="313"/>
        <v>4.8483934929912436E-5</v>
      </c>
      <c r="F4011" s="11">
        <f t="shared" ca="1" si="314"/>
        <v>4.955719033245356</v>
      </c>
      <c r="G4011" s="10">
        <f t="shared" ca="1" si="312"/>
        <v>1</v>
      </c>
    </row>
    <row r="4012" spans="1:7" x14ac:dyDescent="0.2">
      <c r="A4012" s="2">
        <v>20060131</v>
      </c>
      <c r="B4012" s="13">
        <v>10864.86</v>
      </c>
      <c r="C4012" s="2">
        <f t="shared" si="310"/>
        <v>-3.2165373690815611E-3</v>
      </c>
      <c r="D4012" s="21">
        <f t="shared" ca="1" si="311"/>
        <v>-3.6004897841884283E-3</v>
      </c>
      <c r="E4012" s="21">
        <f t="shared" ca="1" si="313"/>
        <v>4.6980839824693784E-5</v>
      </c>
      <c r="F4012" s="11">
        <f t="shared" ca="1" si="314"/>
        <v>4.8449192492586883</v>
      </c>
      <c r="G4012" s="10">
        <f t="shared" ca="1" si="312"/>
        <v>1</v>
      </c>
    </row>
    <row r="4013" spans="1:7" x14ac:dyDescent="0.2">
      <c r="A4013" s="2">
        <v>20060201</v>
      </c>
      <c r="B4013" s="13">
        <v>10953.95</v>
      </c>
      <c r="C4013" s="2">
        <f t="shared" si="310"/>
        <v>8.1998295422122461E-3</v>
      </c>
      <c r="D4013" s="21">
        <f t="shared" ca="1" si="311"/>
        <v>7.8158771271053789E-3</v>
      </c>
      <c r="E4013" s="21">
        <f t="shared" ca="1" si="313"/>
        <v>4.5989758288735923E-5</v>
      </c>
      <c r="F4013" s="11">
        <f t="shared" ca="1" si="314"/>
        <v>4.329398750069541</v>
      </c>
      <c r="G4013" s="10">
        <f t="shared" ca="1" si="312"/>
        <v>0</v>
      </c>
    </row>
    <row r="4014" spans="1:7" x14ac:dyDescent="0.2">
      <c r="A4014" s="2">
        <v>20060202</v>
      </c>
      <c r="B4014" s="13">
        <v>10851.98</v>
      </c>
      <c r="C4014" s="2">
        <f t="shared" ref="C4014:C4077" si="315">(B4014-B4013)/B4013</f>
        <v>-9.3089707365837122E-3</v>
      </c>
      <c r="D4014" s="21">
        <f t="shared" ca="1" si="311"/>
        <v>-9.6929231516905794E-3</v>
      </c>
      <c r="E4014" s="21">
        <f t="shared" ca="1" si="313"/>
        <v>4.6818434424977313E-5</v>
      </c>
      <c r="F4014" s="11">
        <f t="shared" ca="1" si="314"/>
        <v>3.9812431989911756</v>
      </c>
      <c r="G4014" s="10">
        <f t="shared" ca="1" si="312"/>
        <v>0</v>
      </c>
    </row>
    <row r="4015" spans="1:7" x14ac:dyDescent="0.2">
      <c r="A4015" s="2">
        <v>20060203</v>
      </c>
      <c r="B4015" s="13">
        <v>10793.62</v>
      </c>
      <c r="C4015" s="2">
        <f t="shared" si="315"/>
        <v>-5.3778204530416356E-3</v>
      </c>
      <c r="D4015" s="21">
        <f t="shared" ca="1" si="311"/>
        <v>-5.7617728681485028E-3</v>
      </c>
      <c r="E4015" s="21">
        <f t="shared" ca="1" si="313"/>
        <v>4.8813684523118678E-5</v>
      </c>
      <c r="F4015" s="11">
        <f t="shared" ca="1" si="314"/>
        <v>4.6237015734782689</v>
      </c>
      <c r="G4015" s="10">
        <f t="shared" ca="1" si="312"/>
        <v>1</v>
      </c>
    </row>
    <row r="4016" spans="1:7" x14ac:dyDescent="0.2">
      <c r="A4016" s="2">
        <v>20060206</v>
      </c>
      <c r="B4016" s="13">
        <v>10798.27</v>
      </c>
      <c r="C4016" s="2">
        <f t="shared" si="315"/>
        <v>4.3081005260511634E-4</v>
      </c>
      <c r="D4016" s="21">
        <f t="shared" ca="1" si="311"/>
        <v>4.6857637498249043E-5</v>
      </c>
      <c r="E4016" s="21">
        <f t="shared" ca="1" si="313"/>
        <v>4.8473936662018917E-5</v>
      </c>
      <c r="F4016" s="11">
        <f t="shared" ca="1" si="314"/>
        <v>4.9672194988230167</v>
      </c>
      <c r="G4016" s="10">
        <f t="shared" ca="1" si="312"/>
        <v>1</v>
      </c>
    </row>
    <row r="4017" spans="1:7" x14ac:dyDescent="0.2">
      <c r="A4017" s="2">
        <v>20060207</v>
      </c>
      <c r="B4017" s="13">
        <v>10749.76</v>
      </c>
      <c r="C4017" s="2">
        <f t="shared" si="315"/>
        <v>-4.4923862803949348E-3</v>
      </c>
      <c r="D4017" s="21">
        <f t="shared" ca="1" si="311"/>
        <v>-4.876338695501802E-3</v>
      </c>
      <c r="E4017" s="21">
        <f t="shared" ca="1" si="313"/>
        <v>4.6930708091713769E-5</v>
      </c>
      <c r="F4017" s="11">
        <f t="shared" ca="1" si="314"/>
        <v>4.7300810035920016</v>
      </c>
      <c r="G4017" s="10">
        <f t="shared" ca="1" si="312"/>
        <v>1</v>
      </c>
    </row>
    <row r="4018" spans="1:7" x14ac:dyDescent="0.2">
      <c r="A4018" s="2">
        <v>20060208</v>
      </c>
      <c r="B4018" s="13">
        <v>10858.62</v>
      </c>
      <c r="C4018" s="2">
        <f t="shared" si="315"/>
        <v>1.0126737713214116E-2</v>
      </c>
      <c r="D4018" s="21">
        <f t="shared" ca="1" si="311"/>
        <v>9.7427852981072493E-3</v>
      </c>
      <c r="E4018" s="21">
        <f t="shared" ca="1" si="313"/>
        <v>4.6339854773676439E-5</v>
      </c>
      <c r="F4018" s="11">
        <f t="shared" ca="1" si="314"/>
        <v>3.9655615654673708</v>
      </c>
      <c r="G4018" s="10">
        <f t="shared" ca="1" si="312"/>
        <v>0</v>
      </c>
    </row>
    <row r="4019" spans="1:7" x14ac:dyDescent="0.2">
      <c r="A4019" s="2">
        <v>20060209</v>
      </c>
      <c r="B4019" s="13">
        <v>10883.35</v>
      </c>
      <c r="C4019" s="2">
        <f t="shared" si="315"/>
        <v>2.2774533043793373E-3</v>
      </c>
      <c r="D4019" s="21">
        <f t="shared" ca="1" si="311"/>
        <v>1.8935008892724701E-3</v>
      </c>
      <c r="E4019" s="21">
        <f t="shared" ca="1" si="313"/>
        <v>4.839495209884504E-5</v>
      </c>
      <c r="F4019" s="11">
        <f t="shared" ca="1" si="314"/>
        <v>4.9310149648108643</v>
      </c>
      <c r="G4019" s="10">
        <f t="shared" ca="1" si="312"/>
        <v>1</v>
      </c>
    </row>
    <row r="4020" spans="1:7" x14ac:dyDescent="0.2">
      <c r="A4020" s="2">
        <v>20060210</v>
      </c>
      <c r="B4020" s="13">
        <v>10919.05</v>
      </c>
      <c r="C4020" s="2">
        <f t="shared" si="315"/>
        <v>3.2802399996323659E-3</v>
      </c>
      <c r="D4020" s="21">
        <f t="shared" ca="1" si="311"/>
        <v>2.8962875845254987E-3</v>
      </c>
      <c r="E4020" s="21">
        <f t="shared" ca="1" si="313"/>
        <v>4.6987478064691765E-5</v>
      </c>
      <c r="F4020" s="11">
        <f t="shared" ca="1" si="314"/>
        <v>4.8935517583573258</v>
      </c>
      <c r="G4020" s="10">
        <f t="shared" ca="1" si="312"/>
        <v>1</v>
      </c>
    </row>
    <row r="4021" spans="1:7" x14ac:dyDescent="0.2">
      <c r="A4021" s="2">
        <v>20060213</v>
      </c>
      <c r="B4021" s="13">
        <v>10892.32</v>
      </c>
      <c r="C4021" s="2">
        <f t="shared" si="315"/>
        <v>-2.448015166154525E-3</v>
      </c>
      <c r="D4021" s="21">
        <f t="shared" ca="1" si="311"/>
        <v>-2.8319675812613922E-3</v>
      </c>
      <c r="E4021" s="21">
        <f t="shared" ca="1" si="313"/>
        <v>4.5827828308263667E-5</v>
      </c>
      <c r="F4021" s="11">
        <f t="shared" ca="1" si="314"/>
        <v>4.9078076637576897</v>
      </c>
      <c r="G4021" s="10">
        <f t="shared" ca="1" si="312"/>
        <v>1</v>
      </c>
    </row>
    <row r="4022" spans="1:7" x14ac:dyDescent="0.2">
      <c r="A4022" s="2">
        <v>20060214</v>
      </c>
      <c r="B4022" s="13">
        <v>11028.39</v>
      </c>
      <c r="C4022" s="2">
        <f t="shared" si="315"/>
        <v>1.2492288144307155E-2</v>
      </c>
      <c r="D4022" s="21">
        <f t="shared" ca="1" si="311"/>
        <v>1.2108335729200288E-2</v>
      </c>
      <c r="E4022" s="21">
        <f t="shared" ca="1" si="313"/>
        <v>4.471329738158287E-5</v>
      </c>
      <c r="F4022" s="11">
        <f t="shared" ca="1" si="314"/>
        <v>3.3681545645792395</v>
      </c>
      <c r="G4022" s="10">
        <f t="shared" ca="1" si="312"/>
        <v>0</v>
      </c>
    </row>
    <row r="4023" spans="1:7" x14ac:dyDescent="0.2">
      <c r="A4023" s="2">
        <v>20060215</v>
      </c>
      <c r="B4023" s="13">
        <v>11058.97</v>
      </c>
      <c r="C4023" s="2">
        <f t="shared" si="315"/>
        <v>2.7728435428924737E-3</v>
      </c>
      <c r="D4023" s="21">
        <f t="shared" ca="1" si="311"/>
        <v>2.3888911277856065E-3</v>
      </c>
      <c r="E4023" s="21">
        <f t="shared" ca="1" si="313"/>
        <v>4.8751411714559223E-5</v>
      </c>
      <c r="F4023" s="11">
        <f t="shared" ca="1" si="314"/>
        <v>4.9058586057948999</v>
      </c>
      <c r="G4023" s="10">
        <f t="shared" ca="1" si="312"/>
        <v>1</v>
      </c>
    </row>
    <row r="4024" spans="1:7" x14ac:dyDescent="0.2">
      <c r="A4024" s="2">
        <v>20060216</v>
      </c>
      <c r="B4024" s="13">
        <v>11120.68</v>
      </c>
      <c r="C4024" s="2">
        <f t="shared" si="315"/>
        <v>5.5800856680143767E-3</v>
      </c>
      <c r="D4024" s="21">
        <f t="shared" ca="1" si="311"/>
        <v>5.1961332529075095E-3</v>
      </c>
      <c r="E4024" s="21">
        <f t="shared" ca="1" si="313"/>
        <v>4.7403913883042809E-5</v>
      </c>
      <c r="F4024" s="11">
        <f t="shared" ca="1" si="314"/>
        <v>4.6936183705714329</v>
      </c>
      <c r="G4024" s="10">
        <f t="shared" ca="1" si="312"/>
        <v>1</v>
      </c>
    </row>
    <row r="4025" spans="1:7" x14ac:dyDescent="0.2">
      <c r="A4025" s="2">
        <v>20060217</v>
      </c>
      <c r="B4025" s="13">
        <v>11115.32</v>
      </c>
      <c r="C4025" s="2">
        <f t="shared" si="315"/>
        <v>-4.8198491459160609E-4</v>
      </c>
      <c r="D4025" s="21">
        <f t="shared" ca="1" si="311"/>
        <v>-8.6593732969847338E-4</v>
      </c>
      <c r="E4025" s="21">
        <f t="shared" ca="1" si="313"/>
        <v>4.6907567197672202E-5</v>
      </c>
      <c r="F4025" s="11">
        <f t="shared" ca="1" si="314"/>
        <v>4.9756729542652423</v>
      </c>
      <c r="G4025" s="10">
        <f t="shared" ca="1" si="312"/>
        <v>1</v>
      </c>
    </row>
    <row r="4026" spans="1:7" x14ac:dyDescent="0.2">
      <c r="A4026" s="2">
        <v>20060221</v>
      </c>
      <c r="B4026" s="13">
        <v>11069.06</v>
      </c>
      <c r="C4026" s="2">
        <f t="shared" si="315"/>
        <v>-4.161823501257743E-3</v>
      </c>
      <c r="D4026" s="21">
        <f t="shared" ca="1" si="311"/>
        <v>-4.5457759163646102E-3</v>
      </c>
      <c r="E4026" s="21">
        <f t="shared" ca="1" si="313"/>
        <v>4.5471074237202986E-5</v>
      </c>
      <c r="F4026" s="11">
        <f t="shared" ca="1" si="314"/>
        <v>4.7719948426648742</v>
      </c>
      <c r="G4026" s="10">
        <f t="shared" ca="1" si="312"/>
        <v>1</v>
      </c>
    </row>
    <row r="4027" spans="1:7" x14ac:dyDescent="0.2">
      <c r="A4027" s="2">
        <v>20060222</v>
      </c>
      <c r="B4027" s="13">
        <v>11137.17</v>
      </c>
      <c r="C4027" s="2">
        <f t="shared" si="315"/>
        <v>6.1531873528556701E-3</v>
      </c>
      <c r="D4027" s="21">
        <f t="shared" ca="1" si="311"/>
        <v>5.7692349377488029E-3</v>
      </c>
      <c r="E4027" s="21">
        <f t="shared" ca="1" si="313"/>
        <v>4.4839534981838264E-5</v>
      </c>
      <c r="F4027" s="11">
        <f t="shared" ca="1" si="314"/>
        <v>4.635063678295829</v>
      </c>
      <c r="G4027" s="10">
        <f t="shared" ca="1" si="312"/>
        <v>1</v>
      </c>
    </row>
    <row r="4028" spans="1:7" x14ac:dyDescent="0.2">
      <c r="A4028" s="2">
        <v>20060223</v>
      </c>
      <c r="B4028" s="13">
        <v>11069.22</v>
      </c>
      <c r="C4028" s="2">
        <f t="shared" si="315"/>
        <v>-6.1011908770361523E-3</v>
      </c>
      <c r="D4028" s="21">
        <f t="shared" ca="1" si="311"/>
        <v>-6.4851432921430195E-3</v>
      </c>
      <c r="E4028" s="21">
        <f t="shared" ca="1" si="313"/>
        <v>4.4704004686188223E-5</v>
      </c>
      <c r="F4028" s="11">
        <f t="shared" ca="1" si="314"/>
        <v>4.5373287020263726</v>
      </c>
      <c r="G4028" s="10">
        <f t="shared" ca="1" si="312"/>
        <v>1</v>
      </c>
    </row>
    <row r="4029" spans="1:7" x14ac:dyDescent="0.2">
      <c r="A4029" s="2">
        <v>20060224</v>
      </c>
      <c r="B4029" s="13">
        <v>11061.85</v>
      </c>
      <c r="C4029" s="2">
        <f t="shared" si="315"/>
        <v>-6.6581023775830477E-4</v>
      </c>
      <c r="D4029" s="21">
        <f t="shared" ca="1" si="311"/>
        <v>-1.0497626528651722E-3</v>
      </c>
      <c r="E4029" s="21">
        <f t="shared" ca="1" si="313"/>
        <v>4.489792987305805E-5</v>
      </c>
      <c r="F4029" s="11">
        <f t="shared" ca="1" si="314"/>
        <v>4.9932871359162929</v>
      </c>
      <c r="G4029" s="10">
        <f t="shared" ca="1" si="312"/>
        <v>1</v>
      </c>
    </row>
    <row r="4030" spans="1:7" x14ac:dyDescent="0.2">
      <c r="A4030" s="2">
        <v>20060227</v>
      </c>
      <c r="B4030" s="13">
        <v>11097.55</v>
      </c>
      <c r="C4030" s="2">
        <f t="shared" si="315"/>
        <v>3.2273082712203573E-3</v>
      </c>
      <c r="D4030" s="21">
        <f t="shared" ca="1" si="311"/>
        <v>2.8433558561134901E-3</v>
      </c>
      <c r="E4030" s="21">
        <f t="shared" ca="1" si="313"/>
        <v>4.3576054450192128E-5</v>
      </c>
      <c r="F4030" s="11">
        <f t="shared" ca="1" si="314"/>
        <v>4.9277363022164185</v>
      </c>
      <c r="G4030" s="10">
        <f t="shared" ca="1" si="312"/>
        <v>1</v>
      </c>
    </row>
    <row r="4031" spans="1:7" x14ac:dyDescent="0.2">
      <c r="A4031" s="2">
        <v>20060228</v>
      </c>
      <c r="B4031" s="13">
        <v>10993.41</v>
      </c>
      <c r="C4031" s="2">
        <f t="shared" si="315"/>
        <v>-9.3840532369756768E-3</v>
      </c>
      <c r="D4031" s="21">
        <f t="shared" ca="1" si="311"/>
        <v>-9.768005652082544E-3</v>
      </c>
      <c r="E4031" s="21">
        <f t="shared" ca="1" si="313"/>
        <v>4.2577818141175354E-5</v>
      </c>
      <c r="F4031" s="11">
        <f t="shared" ca="1" si="314"/>
        <v>3.9116232839308225</v>
      </c>
      <c r="G4031" s="10">
        <f t="shared" ca="1" si="312"/>
        <v>0</v>
      </c>
    </row>
    <row r="4032" spans="1:7" x14ac:dyDescent="0.2">
      <c r="A4032" s="2">
        <v>20060301</v>
      </c>
      <c r="B4032" s="13">
        <v>11053.53</v>
      </c>
      <c r="C4032" s="2">
        <f t="shared" si="315"/>
        <v>5.4687308123685732E-3</v>
      </c>
      <c r="D4032" s="21">
        <f t="shared" ca="1" si="311"/>
        <v>5.084778397261706E-3</v>
      </c>
      <c r="E4032" s="21">
        <f t="shared" ca="1" si="313"/>
        <v>4.4841332376581532E-5</v>
      </c>
      <c r="F4032" s="11">
        <f t="shared" ca="1" si="314"/>
        <v>4.717896154347363</v>
      </c>
      <c r="G4032" s="10">
        <f t="shared" ca="1" si="312"/>
        <v>1</v>
      </c>
    </row>
    <row r="4033" spans="1:7" x14ac:dyDescent="0.2">
      <c r="A4033" s="2">
        <v>20060302</v>
      </c>
      <c r="B4033" s="13">
        <v>11025.51</v>
      </c>
      <c r="C4033" s="2">
        <f t="shared" si="315"/>
        <v>-2.5349368029941961E-3</v>
      </c>
      <c r="D4033" s="21">
        <f t="shared" ca="1" si="311"/>
        <v>-2.9188892181010633E-3</v>
      </c>
      <c r="E4033" s="21">
        <f t="shared" ca="1" si="313"/>
        <v>4.4432530156222495E-5</v>
      </c>
      <c r="F4033" s="11">
        <f t="shared" ca="1" si="314"/>
        <v>4.9148946110145788</v>
      </c>
      <c r="G4033" s="10">
        <f t="shared" ca="1" si="312"/>
        <v>1</v>
      </c>
    </row>
    <row r="4034" spans="1:7" x14ac:dyDescent="0.2">
      <c r="A4034" s="2">
        <v>20060303</v>
      </c>
      <c r="B4034" s="13">
        <v>11021.59</v>
      </c>
      <c r="C4034" s="2">
        <f t="shared" si="315"/>
        <v>-3.5553910884848615E-4</v>
      </c>
      <c r="D4034" s="21">
        <f t="shared" ca="1" si="311"/>
        <v>-7.3949152395535339E-4</v>
      </c>
      <c r="E4034" s="21">
        <f t="shared" ca="1" si="313"/>
        <v>4.3406969058075359E-5</v>
      </c>
      <c r="F4034" s="11">
        <f t="shared" ca="1" si="314"/>
        <v>5.0161461988053597</v>
      </c>
      <c r="G4034" s="10">
        <f t="shared" ca="1" si="312"/>
        <v>1</v>
      </c>
    </row>
    <row r="4035" spans="1:7" x14ac:dyDescent="0.2">
      <c r="A4035" s="2">
        <v>20060306</v>
      </c>
      <c r="B4035" s="13">
        <v>10958.59</v>
      </c>
      <c r="C4035" s="2">
        <f t="shared" si="315"/>
        <v>-5.7160536728366775E-3</v>
      </c>
      <c r="D4035" s="21">
        <f t="shared" ca="1" si="311"/>
        <v>-6.1000060879435446E-3</v>
      </c>
      <c r="E4035" s="21">
        <f t="shared" ca="1" si="313"/>
        <v>4.214010785504087E-5</v>
      </c>
      <c r="F4035" s="11">
        <f t="shared" ca="1" si="314"/>
        <v>4.5957510350346098</v>
      </c>
      <c r="G4035" s="10">
        <f t="shared" ca="1" si="312"/>
        <v>1</v>
      </c>
    </row>
    <row r="4036" spans="1:7" x14ac:dyDescent="0.2">
      <c r="A4036" s="2">
        <v>20060307</v>
      </c>
      <c r="B4036" s="13">
        <v>10980.69</v>
      </c>
      <c r="C4036" s="2">
        <f t="shared" si="315"/>
        <v>2.0166828031708789E-3</v>
      </c>
      <c r="D4036" s="21">
        <f t="shared" ca="1" si="311"/>
        <v>1.6327303880640117E-3</v>
      </c>
      <c r="E4036" s="21">
        <f t="shared" ca="1" si="313"/>
        <v>4.2285508433691462E-5</v>
      </c>
      <c r="F4036" s="11">
        <f t="shared" ca="1" si="314"/>
        <v>5.0040115224357713</v>
      </c>
      <c r="G4036" s="10">
        <f t="shared" ca="1" si="312"/>
        <v>1</v>
      </c>
    </row>
    <row r="4037" spans="1:7" x14ac:dyDescent="0.2">
      <c r="A4037" s="2">
        <v>20060308</v>
      </c>
      <c r="B4037" s="13">
        <v>11005.74</v>
      </c>
      <c r="C4037" s="2">
        <f t="shared" si="315"/>
        <v>2.2812774060645799E-3</v>
      </c>
      <c r="D4037" s="21">
        <f t="shared" ca="1" si="311"/>
        <v>1.8973249909577127E-3</v>
      </c>
      <c r="E4037" s="21">
        <f t="shared" ca="1" si="313"/>
        <v>4.1153300181547287E-5</v>
      </c>
      <c r="F4037" s="11">
        <f t="shared" ca="1" si="314"/>
        <v>5.0053662377707306</v>
      </c>
      <c r="G4037" s="10">
        <f t="shared" ca="1" si="312"/>
        <v>1</v>
      </c>
    </row>
    <row r="4038" spans="1:7" x14ac:dyDescent="0.2">
      <c r="A4038" s="2">
        <v>20060309</v>
      </c>
      <c r="B4038" s="13">
        <v>10972.28</v>
      </c>
      <c r="C4038" s="2">
        <f t="shared" si="315"/>
        <v>-3.0402317336225577E-3</v>
      </c>
      <c r="D4038" s="21">
        <f t="shared" ca="1" si="311"/>
        <v>-3.4241841487294249E-3</v>
      </c>
      <c r="E4038" s="21">
        <f t="shared" ca="1" si="313"/>
        <v>4.0112716764057759E-5</v>
      </c>
      <c r="F4038" s="11">
        <f t="shared" ca="1" si="314"/>
        <v>4.9157574523018663</v>
      </c>
      <c r="G4038" s="10">
        <f t="shared" ca="1" si="312"/>
        <v>1</v>
      </c>
    </row>
    <row r="4039" spans="1:7" x14ac:dyDescent="0.2">
      <c r="A4039" s="2">
        <v>20060310</v>
      </c>
      <c r="B4039" s="13">
        <v>11076.34</v>
      </c>
      <c r="C4039" s="2">
        <f t="shared" si="315"/>
        <v>9.4838994265548718E-3</v>
      </c>
      <c r="D4039" s="21">
        <f t="shared" ca="1" si="311"/>
        <v>9.0999470114480046E-3</v>
      </c>
      <c r="E4039" s="21">
        <f t="shared" ca="1" si="313"/>
        <v>3.9423554410051842E-5</v>
      </c>
      <c r="F4039" s="11">
        <f t="shared" ca="1" si="314"/>
        <v>4.0203253273166606</v>
      </c>
      <c r="G4039" s="10">
        <f t="shared" ca="1" si="312"/>
        <v>0</v>
      </c>
    </row>
    <row r="4040" spans="1:7" x14ac:dyDescent="0.2">
      <c r="A4040" s="2">
        <v>20060313</v>
      </c>
      <c r="B4040" s="13">
        <v>11076.02</v>
      </c>
      <c r="C4040" s="2">
        <f t="shared" si="315"/>
        <v>-2.8890409647926027E-5</v>
      </c>
      <c r="D4040" s="21">
        <f t="shared" ca="1" si="311"/>
        <v>-4.1284282475479334E-4</v>
      </c>
      <c r="E4040" s="21">
        <f t="shared" ca="1" si="313"/>
        <v>4.1383139748286938E-5</v>
      </c>
      <c r="F4040" s="11">
        <f t="shared" ca="1" si="314"/>
        <v>5.0442592232020296</v>
      </c>
      <c r="G4040" s="10">
        <f t="shared" ca="1" si="312"/>
        <v>1</v>
      </c>
    </row>
    <row r="4041" spans="1:7" x14ac:dyDescent="0.2">
      <c r="A4041" s="2">
        <v>20060314</v>
      </c>
      <c r="B4041" s="13">
        <v>11151.34</v>
      </c>
      <c r="C4041" s="2">
        <f t="shared" si="315"/>
        <v>6.8002766336644127E-3</v>
      </c>
      <c r="D4041" s="21">
        <f t="shared" ca="1" si="311"/>
        <v>6.4163242185575455E-3</v>
      </c>
      <c r="E4041" s="21">
        <f t="shared" ca="1" si="313"/>
        <v>4.0204823538047208E-5</v>
      </c>
      <c r="F4041" s="11">
        <f t="shared" ca="1" si="314"/>
        <v>4.5487682925365771</v>
      </c>
      <c r="G4041" s="10">
        <f t="shared" ca="1" si="312"/>
        <v>0</v>
      </c>
    </row>
    <row r="4042" spans="1:7" x14ac:dyDescent="0.2">
      <c r="A4042" s="2">
        <v>20060315</v>
      </c>
      <c r="B4042" s="13">
        <v>11209.77</v>
      </c>
      <c r="C4042" s="2">
        <f t="shared" si="315"/>
        <v>5.2397290370484887E-3</v>
      </c>
      <c r="D4042" s="21">
        <f t="shared" ca="1" si="311"/>
        <v>4.8557766219416215E-3</v>
      </c>
      <c r="E4042" s="21">
        <f t="shared" ca="1" si="313"/>
        <v>4.0593715359229931E-5</v>
      </c>
      <c r="F4042" s="11">
        <f t="shared" ca="1" si="314"/>
        <v>4.7655272572152763</v>
      </c>
      <c r="G4042" s="10">
        <f t="shared" ca="1" si="312"/>
        <v>1</v>
      </c>
    </row>
    <row r="4043" spans="1:7" x14ac:dyDescent="0.2">
      <c r="A4043" s="2">
        <v>20060316</v>
      </c>
      <c r="B4043" s="13">
        <v>11253.24</v>
      </c>
      <c r="C4043" s="2">
        <f t="shared" si="315"/>
        <v>3.8778672532977345E-3</v>
      </c>
      <c r="D4043" s="21">
        <f t="shared" ca="1" si="311"/>
        <v>3.4939148381908673E-3</v>
      </c>
      <c r="E4043" s="21">
        <f t="shared" ca="1" si="313"/>
        <v>4.0316094105107914E-5</v>
      </c>
      <c r="F4043" s="11">
        <f t="shared" ca="1" si="314"/>
        <v>4.9079832839281821</v>
      </c>
      <c r="G4043" s="10">
        <f t="shared" ca="1" si="312"/>
        <v>1</v>
      </c>
    </row>
    <row r="4044" spans="1:7" x14ac:dyDescent="0.2">
      <c r="A4044" s="2">
        <v>20060317</v>
      </c>
      <c r="B4044" s="13">
        <v>11279.65</v>
      </c>
      <c r="C4044" s="2">
        <f t="shared" si="315"/>
        <v>2.3468796542151288E-3</v>
      </c>
      <c r="D4044" s="21">
        <f t="shared" ca="1" si="311"/>
        <v>1.9629272391082616E-3</v>
      </c>
      <c r="E4044" s="21">
        <f t="shared" ca="1" si="313"/>
        <v>3.96343816549248E-5</v>
      </c>
      <c r="F4044" s="11">
        <f t="shared" ca="1" si="314"/>
        <v>5.019298956617555</v>
      </c>
      <c r="G4044" s="10">
        <f t="shared" ca="1" si="312"/>
        <v>1</v>
      </c>
    </row>
    <row r="4045" spans="1:7" x14ac:dyDescent="0.2">
      <c r="A4045" s="2">
        <v>20060320</v>
      </c>
      <c r="B4045" s="13">
        <v>11274.53</v>
      </c>
      <c r="C4045" s="2">
        <f t="shared" si="315"/>
        <v>-4.5391479345538042E-4</v>
      </c>
      <c r="D4045" s="21">
        <f t="shared" ca="1" si="311"/>
        <v>-8.3786720856224772E-4</v>
      </c>
      <c r="E4045" s="21">
        <f t="shared" ca="1" si="313"/>
        <v>3.8679952947826789E-5</v>
      </c>
      <c r="F4045" s="11">
        <f t="shared" ca="1" si="314"/>
        <v>5.0710198063969969</v>
      </c>
      <c r="G4045" s="10">
        <f t="shared" ca="1" si="312"/>
        <v>1</v>
      </c>
    </row>
    <row r="4046" spans="1:7" x14ac:dyDescent="0.2">
      <c r="A4046" s="2">
        <v>20060321</v>
      </c>
      <c r="B4046" s="13">
        <v>11235.47</v>
      </c>
      <c r="C4046" s="2">
        <f t="shared" si="315"/>
        <v>-3.4644459680360342E-3</v>
      </c>
      <c r="D4046" s="21">
        <f t="shared" ref="D4046:D4109" ca="1" si="316">(C4046-mu)</f>
        <v>-3.8483983831429014E-3</v>
      </c>
      <c r="E4046" s="21">
        <f t="shared" ca="1" si="313"/>
        <v>3.7657939055798367E-5</v>
      </c>
      <c r="F4046" s="11">
        <f t="shared" ca="1" si="314"/>
        <v>4.8968426391683186</v>
      </c>
      <c r="G4046" s="10">
        <f t="shared" ref="G4046:G4109" ca="1" si="317">IF(AND(C4046&lt;=mu+zvalue*SQRT(E4046),C4046&gt;=mu-zvalue*SQRT(E4046)),1,0)</f>
        <v>1</v>
      </c>
    </row>
    <row r="4047" spans="1:7" x14ac:dyDescent="0.2">
      <c r="A4047" s="2">
        <v>20060322</v>
      </c>
      <c r="B4047" s="13">
        <v>11317.43</v>
      </c>
      <c r="C4047" s="2">
        <f t="shared" si="315"/>
        <v>7.2947549145697468E-3</v>
      </c>
      <c r="D4047" s="21">
        <f t="shared" ca="1" si="316"/>
        <v>6.9108024994628797E-3</v>
      </c>
      <c r="E4047" s="21">
        <f t="shared" ref="E4047:E4110" ca="1" si="318">(1-alpha-beta)*longvar+alpha*D4046^2+beta*E4046</f>
        <v>3.7206410442660032E-5</v>
      </c>
      <c r="F4047" s="11">
        <f t="shared" ref="F4047:F4110" ca="1" si="319">(-0.5)*(LN(E4047)+D4047^2/E4047)</f>
        <v>4.4577007309620296</v>
      </c>
      <c r="G4047" s="10">
        <f t="shared" ca="1" si="317"/>
        <v>0</v>
      </c>
    </row>
    <row r="4048" spans="1:7" x14ac:dyDescent="0.2">
      <c r="A4048" s="2">
        <v>20060323</v>
      </c>
      <c r="B4048" s="13">
        <v>11270.29</v>
      </c>
      <c r="C4048" s="2">
        <f t="shared" si="315"/>
        <v>-4.1652565997756926E-3</v>
      </c>
      <c r="D4048" s="21">
        <f t="shared" ca="1" si="316"/>
        <v>-4.5492090148825598E-3</v>
      </c>
      <c r="E4048" s="21">
        <f t="shared" ca="1" si="318"/>
        <v>3.7989317846062212E-5</v>
      </c>
      <c r="F4048" s="11">
        <f t="shared" ca="1" si="319"/>
        <v>4.8167195901237658</v>
      </c>
      <c r="G4048" s="10">
        <f t="shared" ca="1" si="317"/>
        <v>1</v>
      </c>
    </row>
    <row r="4049" spans="1:7" x14ac:dyDescent="0.2">
      <c r="A4049" s="2">
        <v>20060324</v>
      </c>
      <c r="B4049" s="13">
        <v>11279.97</v>
      </c>
      <c r="C4049" s="2">
        <f t="shared" si="315"/>
        <v>8.588953789120308E-4</v>
      </c>
      <c r="D4049" s="21">
        <f t="shared" ca="1" si="316"/>
        <v>4.7494296380516351E-4</v>
      </c>
      <c r="E4049" s="21">
        <f t="shared" ca="1" si="318"/>
        <v>3.7737431270237439E-5</v>
      </c>
      <c r="F4049" s="11">
        <f t="shared" ca="1" si="319"/>
        <v>5.0894403540576887</v>
      </c>
      <c r="G4049" s="10">
        <f t="shared" ca="1" si="317"/>
        <v>1</v>
      </c>
    </row>
    <row r="4050" spans="1:7" x14ac:dyDescent="0.2">
      <c r="A4050" s="2">
        <v>20060327</v>
      </c>
      <c r="B4050" s="13">
        <v>11250.11</v>
      </c>
      <c r="C4050" s="2">
        <f t="shared" si="315"/>
        <v>-2.6471701609134392E-3</v>
      </c>
      <c r="D4050" s="21">
        <f t="shared" ca="1" si="316"/>
        <v>-3.0311225760203063E-3</v>
      </c>
      <c r="E4050" s="21">
        <f t="shared" ca="1" si="318"/>
        <v>3.6745579938267332E-5</v>
      </c>
      <c r="F4050" s="11">
        <f t="shared" ca="1" si="319"/>
        <v>4.9807284938234888</v>
      </c>
      <c r="G4050" s="10">
        <f t="shared" ca="1" si="317"/>
        <v>1</v>
      </c>
    </row>
    <row r="4051" spans="1:7" x14ac:dyDescent="0.2">
      <c r="A4051" s="2">
        <v>20060328</v>
      </c>
      <c r="B4051" s="13">
        <v>11154.54</v>
      </c>
      <c r="C4051" s="2">
        <f t="shared" si="315"/>
        <v>-8.4950280486146088E-3</v>
      </c>
      <c r="D4051" s="21">
        <f t="shared" ca="1" si="316"/>
        <v>-8.878980463721476E-3</v>
      </c>
      <c r="E4051" s="21">
        <f t="shared" ca="1" si="318"/>
        <v>3.6133459979744968E-5</v>
      </c>
      <c r="F4051" s="11">
        <f t="shared" ca="1" si="319"/>
        <v>4.0232413215748668</v>
      </c>
      <c r="G4051" s="10">
        <f t="shared" ca="1" si="317"/>
        <v>0</v>
      </c>
    </row>
    <row r="4052" spans="1:7" x14ac:dyDescent="0.2">
      <c r="A4052" s="2">
        <v>20060329</v>
      </c>
      <c r="B4052" s="13">
        <v>11215.7</v>
      </c>
      <c r="C4052" s="2">
        <f t="shared" si="315"/>
        <v>5.4829692663256263E-3</v>
      </c>
      <c r="D4052" s="21">
        <f t="shared" ca="1" si="316"/>
        <v>5.0990168512187592E-3</v>
      </c>
      <c r="E4052" s="21">
        <f t="shared" ca="1" si="318"/>
        <v>3.8113407635646977E-5</v>
      </c>
      <c r="F4052" s="11">
        <f t="shared" ca="1" si="319"/>
        <v>4.7463852535762587</v>
      </c>
      <c r="G4052" s="10">
        <f t="shared" ca="1" si="317"/>
        <v>1</v>
      </c>
    </row>
    <row r="4053" spans="1:7" x14ac:dyDescent="0.2">
      <c r="A4053" s="2">
        <v>20060330</v>
      </c>
      <c r="B4053" s="13">
        <v>11150.7</v>
      </c>
      <c r="C4053" s="2">
        <f t="shared" si="315"/>
        <v>-5.7954474531237456E-3</v>
      </c>
      <c r="D4053" s="21">
        <f t="shared" ca="1" si="316"/>
        <v>-6.1793998682306128E-3</v>
      </c>
      <c r="E4053" s="21">
        <f t="shared" ca="1" si="318"/>
        <v>3.8050305301522524E-5</v>
      </c>
      <c r="F4053" s="11">
        <f t="shared" ca="1" si="319"/>
        <v>4.5865309963596692</v>
      </c>
      <c r="G4053" s="10">
        <f t="shared" ca="1" si="317"/>
        <v>0</v>
      </c>
    </row>
    <row r="4054" spans="1:7" x14ac:dyDescent="0.2">
      <c r="A4054" s="2">
        <v>20060331</v>
      </c>
      <c r="B4054" s="13">
        <v>11109.32</v>
      </c>
      <c r="C4054" s="2">
        <f t="shared" si="315"/>
        <v>-3.7109777861480458E-3</v>
      </c>
      <c r="D4054" s="21">
        <f t="shared" ca="1" si="316"/>
        <v>-4.094930201254913E-3</v>
      </c>
      <c r="E4054" s="21">
        <f t="shared" ca="1" si="318"/>
        <v>3.8438459424238087E-5</v>
      </c>
      <c r="F4054" s="11">
        <f t="shared" ca="1" si="319"/>
        <v>4.8651052479914005</v>
      </c>
      <c r="G4054" s="10">
        <f t="shared" ca="1" si="317"/>
        <v>1</v>
      </c>
    </row>
    <row r="4055" spans="1:7" x14ac:dyDescent="0.2">
      <c r="A4055" s="2">
        <v>20060403</v>
      </c>
      <c r="B4055" s="13">
        <v>11144.94</v>
      </c>
      <c r="C4055" s="2">
        <f t="shared" si="315"/>
        <v>3.2063168582776263E-3</v>
      </c>
      <c r="D4055" s="21">
        <f t="shared" ca="1" si="316"/>
        <v>2.8223644431707592E-3</v>
      </c>
      <c r="E4055" s="21">
        <f t="shared" ca="1" si="318"/>
        <v>3.8019453522570501E-5</v>
      </c>
      <c r="F4055" s="11">
        <f t="shared" ca="1" si="319"/>
        <v>4.9839475446273589</v>
      </c>
      <c r="G4055" s="10">
        <f t="shared" ca="1" si="317"/>
        <v>1</v>
      </c>
    </row>
    <row r="4056" spans="1:7" x14ac:dyDescent="0.2">
      <c r="A4056" s="2">
        <v>20060404</v>
      </c>
      <c r="B4056" s="13">
        <v>11203.85</v>
      </c>
      <c r="C4056" s="2">
        <f t="shared" si="315"/>
        <v>5.2858068325177029E-3</v>
      </c>
      <c r="D4056" s="21">
        <f t="shared" ca="1" si="316"/>
        <v>4.9018544174108357E-3</v>
      </c>
      <c r="E4056" s="21">
        <f t="shared" ca="1" si="318"/>
        <v>3.7297954166097952E-5</v>
      </c>
      <c r="F4056" s="11">
        <f t="shared" ca="1" si="319"/>
        <v>4.7761748514285323</v>
      </c>
      <c r="G4056" s="10">
        <f t="shared" ca="1" si="317"/>
        <v>1</v>
      </c>
    </row>
    <row r="4057" spans="1:7" x14ac:dyDescent="0.2">
      <c r="A4057" s="2">
        <v>20060405</v>
      </c>
      <c r="B4057" s="13">
        <v>11239.55</v>
      </c>
      <c r="C4057" s="2">
        <f t="shared" si="315"/>
        <v>3.1864046733934234E-3</v>
      </c>
      <c r="D4057" s="21">
        <f t="shared" ca="1" si="316"/>
        <v>2.8024522582865562E-3</v>
      </c>
      <c r="E4057" s="21">
        <f t="shared" ca="1" si="318"/>
        <v>3.7203599505334023E-5</v>
      </c>
      <c r="F4057" s="11">
        <f t="shared" ca="1" si="319"/>
        <v>4.9940017299298241</v>
      </c>
      <c r="G4057" s="10">
        <f t="shared" ca="1" si="317"/>
        <v>1</v>
      </c>
    </row>
    <row r="4058" spans="1:7" x14ac:dyDescent="0.2">
      <c r="A4058" s="2">
        <v>20060406</v>
      </c>
      <c r="B4058" s="13">
        <v>11216.5</v>
      </c>
      <c r="C4058" s="2">
        <f t="shared" si="315"/>
        <v>-2.0507938485081053E-3</v>
      </c>
      <c r="D4058" s="21">
        <f t="shared" ca="1" si="316"/>
        <v>-2.4347462636149725E-3</v>
      </c>
      <c r="E4058" s="21">
        <f t="shared" ca="1" si="318"/>
        <v>3.6519255948779668E-5</v>
      </c>
      <c r="F4058" s="11">
        <f t="shared" ca="1" si="319"/>
        <v>5.0276729224286552</v>
      </c>
      <c r="G4058" s="10">
        <f t="shared" ca="1" si="317"/>
        <v>1</v>
      </c>
    </row>
    <row r="4059" spans="1:7" x14ac:dyDescent="0.2">
      <c r="A4059" s="2">
        <v>20060407</v>
      </c>
      <c r="B4059" s="13">
        <v>11120.04</v>
      </c>
      <c r="C4059" s="2">
        <f t="shared" si="315"/>
        <v>-8.5998306066954154E-3</v>
      </c>
      <c r="D4059" s="21">
        <f t="shared" ca="1" si="316"/>
        <v>-8.9837830218022826E-3</v>
      </c>
      <c r="E4059" s="21">
        <f t="shared" ca="1" si="318"/>
        <v>3.5798720394173336E-5</v>
      </c>
      <c r="F4059" s="11">
        <f t="shared" ca="1" si="319"/>
        <v>3.9915472173270197</v>
      </c>
      <c r="G4059" s="10">
        <f t="shared" ca="1" si="317"/>
        <v>0</v>
      </c>
    </row>
    <row r="4060" spans="1:7" x14ac:dyDescent="0.2">
      <c r="A4060" s="2">
        <v>20060410</v>
      </c>
      <c r="B4060" s="13">
        <v>11141.33</v>
      </c>
      <c r="C4060" s="2">
        <f t="shared" si="315"/>
        <v>1.9145614584119349E-3</v>
      </c>
      <c r="D4060" s="21">
        <f t="shared" ca="1" si="316"/>
        <v>1.5306090433050675E-3</v>
      </c>
      <c r="E4060" s="21">
        <f t="shared" ca="1" si="318"/>
        <v>3.7864441672461058E-5</v>
      </c>
      <c r="F4060" s="11">
        <f t="shared" ca="1" si="319"/>
        <v>5.0598128482147704</v>
      </c>
      <c r="G4060" s="10">
        <f t="shared" ca="1" si="317"/>
        <v>1</v>
      </c>
    </row>
    <row r="4061" spans="1:7" x14ac:dyDescent="0.2">
      <c r="A4061" s="2">
        <v>20060411</v>
      </c>
      <c r="B4061" s="13">
        <v>11089.63</v>
      </c>
      <c r="C4061" s="2">
        <f t="shared" si="315"/>
        <v>-4.6403795597115185E-3</v>
      </c>
      <c r="D4061" s="21">
        <f t="shared" ca="1" si="316"/>
        <v>-5.0243319748183857E-3</v>
      </c>
      <c r="E4061" s="21">
        <f t="shared" ca="1" si="318"/>
        <v>3.6944017734009252E-5</v>
      </c>
      <c r="F4061" s="11">
        <f t="shared" ca="1" si="319"/>
        <v>4.7614025400528002</v>
      </c>
      <c r="G4061" s="10">
        <f t="shared" ca="1" si="317"/>
        <v>1</v>
      </c>
    </row>
    <row r="4062" spans="1:7" x14ac:dyDescent="0.2">
      <c r="A4062" s="2">
        <v>20060412</v>
      </c>
      <c r="B4062" s="13">
        <v>11129.97</v>
      </c>
      <c r="C4062" s="2">
        <f t="shared" si="315"/>
        <v>3.6376326351735943E-3</v>
      </c>
      <c r="D4062" s="21">
        <f t="shared" ca="1" si="316"/>
        <v>3.2536802200667271E-3</v>
      </c>
      <c r="E4062" s="21">
        <f t="shared" ca="1" si="318"/>
        <v>3.6912273534905916E-5</v>
      </c>
      <c r="F4062" s="11">
        <f t="shared" ca="1" si="319"/>
        <v>4.9600832917989957</v>
      </c>
      <c r="G4062" s="10">
        <f t="shared" ca="1" si="317"/>
        <v>1</v>
      </c>
    </row>
    <row r="4063" spans="1:7" x14ac:dyDescent="0.2">
      <c r="A4063" s="2">
        <v>20060413</v>
      </c>
      <c r="B4063" s="13">
        <v>11137.65</v>
      </c>
      <c r="C4063" s="2">
        <f t="shared" si="315"/>
        <v>6.9002881409386467E-4</v>
      </c>
      <c r="D4063" s="21">
        <f t="shared" ca="1" si="316"/>
        <v>3.0607639898699737E-4</v>
      </c>
      <c r="E4063" s="21">
        <f t="shared" ca="1" si="318"/>
        <v>3.634315427001848E-5</v>
      </c>
      <c r="F4063" s="11">
        <f t="shared" ca="1" si="319"/>
        <v>5.1099634860190379</v>
      </c>
      <c r="G4063" s="10">
        <f t="shared" ca="1" si="317"/>
        <v>1</v>
      </c>
    </row>
    <row r="4064" spans="1:7" x14ac:dyDescent="0.2">
      <c r="A4064" s="2">
        <v>20060417</v>
      </c>
      <c r="B4064" s="13">
        <v>11073.78</v>
      </c>
      <c r="C4064" s="2">
        <f t="shared" si="315"/>
        <v>-5.7346029009709394E-3</v>
      </c>
      <c r="D4064" s="21">
        <f t="shared" ca="1" si="316"/>
        <v>-6.1185553160778066E-3</v>
      </c>
      <c r="E4064" s="21">
        <f t="shared" ca="1" si="318"/>
        <v>3.5416990116441893E-5</v>
      </c>
      <c r="F4064" s="11">
        <f t="shared" ca="1" si="319"/>
        <v>4.5956458917572185</v>
      </c>
      <c r="G4064" s="10">
        <f t="shared" ca="1" si="317"/>
        <v>0</v>
      </c>
    </row>
    <row r="4065" spans="1:7" x14ac:dyDescent="0.2">
      <c r="A4065" s="2">
        <v>20060418</v>
      </c>
      <c r="B4065" s="13">
        <v>11268.77</v>
      </c>
      <c r="C4065" s="2">
        <f t="shared" si="315"/>
        <v>1.7608260232729905E-2</v>
      </c>
      <c r="D4065" s="21">
        <f t="shared" ca="1" si="316"/>
        <v>1.7224307817623036E-2</v>
      </c>
      <c r="E4065" s="21">
        <f t="shared" ca="1" si="318"/>
        <v>3.5910849563249672E-5</v>
      </c>
      <c r="F4065" s="11">
        <f t="shared" ca="1" si="319"/>
        <v>0.98649534619013846</v>
      </c>
      <c r="G4065" s="10">
        <f t="shared" ca="1" si="317"/>
        <v>0</v>
      </c>
    </row>
    <row r="4066" spans="1:7" x14ac:dyDescent="0.2">
      <c r="A4066" s="2">
        <v>20060419</v>
      </c>
      <c r="B4066" s="13">
        <v>11278.77</v>
      </c>
      <c r="C4066" s="2">
        <f t="shared" si="315"/>
        <v>8.8740829744506273E-4</v>
      </c>
      <c r="D4066" s="21">
        <f t="shared" ca="1" si="316"/>
        <v>5.0345588233819544E-4</v>
      </c>
      <c r="E4066" s="21">
        <f t="shared" ca="1" si="318"/>
        <v>4.5912434173123706E-5</v>
      </c>
      <c r="F4066" s="11">
        <f t="shared" ca="1" si="319"/>
        <v>4.9916269506273601</v>
      </c>
      <c r="G4066" s="10">
        <f t="shared" ca="1" si="317"/>
        <v>1</v>
      </c>
    </row>
    <row r="4067" spans="1:7" x14ac:dyDescent="0.2">
      <c r="A4067" s="2">
        <v>20060420</v>
      </c>
      <c r="B4067" s="13">
        <v>11342.89</v>
      </c>
      <c r="C4067" s="2">
        <f t="shared" si="315"/>
        <v>5.6850170718969334E-3</v>
      </c>
      <c r="D4067" s="21">
        <f t="shared" ca="1" si="316"/>
        <v>5.3010646567900662E-3</v>
      </c>
      <c r="E4067" s="21">
        <f t="shared" ca="1" si="318"/>
        <v>4.4508032574202004E-5</v>
      </c>
      <c r="F4067" s="11">
        <f t="shared" ca="1" si="319"/>
        <v>4.6942326307634339</v>
      </c>
      <c r="G4067" s="10">
        <f t="shared" ca="1" si="317"/>
        <v>1</v>
      </c>
    </row>
    <row r="4068" spans="1:7" x14ac:dyDescent="0.2">
      <c r="A4068" s="2">
        <v>20060421</v>
      </c>
      <c r="B4068" s="13">
        <v>11347.45</v>
      </c>
      <c r="C4068" s="2">
        <f t="shared" si="315"/>
        <v>4.020139488262083E-4</v>
      </c>
      <c r="D4068" s="21">
        <f t="shared" ca="1" si="316"/>
        <v>1.8061533719341009E-5</v>
      </c>
      <c r="E4068" s="21">
        <f t="shared" ca="1" si="318"/>
        <v>4.4198693030687152E-5</v>
      </c>
      <c r="F4068" s="11">
        <f t="shared" ca="1" si="319"/>
        <v>5.0134039790103309</v>
      </c>
      <c r="G4068" s="10">
        <f t="shared" ca="1" si="317"/>
        <v>1</v>
      </c>
    </row>
    <row r="4069" spans="1:7" x14ac:dyDescent="0.2">
      <c r="A4069" s="2">
        <v>20060424</v>
      </c>
      <c r="B4069" s="13">
        <v>11336.32</v>
      </c>
      <c r="C4069" s="2">
        <f t="shared" si="315"/>
        <v>-9.8083710437155635E-4</v>
      </c>
      <c r="D4069" s="21">
        <f t="shared" ca="1" si="316"/>
        <v>-1.3647895194784238E-3</v>
      </c>
      <c r="E4069" s="21">
        <f t="shared" ca="1" si="318"/>
        <v>4.2871681701568347E-5</v>
      </c>
      <c r="F4069" s="11">
        <f t="shared" ca="1" si="319"/>
        <v>5.0069259728736153</v>
      </c>
      <c r="G4069" s="10">
        <f t="shared" ca="1" si="317"/>
        <v>1</v>
      </c>
    </row>
    <row r="4070" spans="1:7" x14ac:dyDescent="0.2">
      <c r="A4070" s="2">
        <v>20060425</v>
      </c>
      <c r="B4070" s="13">
        <v>11283.25</v>
      </c>
      <c r="C4070" s="2">
        <f t="shared" si="315"/>
        <v>-4.6814133687122193E-3</v>
      </c>
      <c r="D4070" s="21">
        <f t="shared" ca="1" si="316"/>
        <v>-5.0653657838190865E-3</v>
      </c>
      <c r="E4070" s="21">
        <f t="shared" ca="1" si="318"/>
        <v>4.1680285225562401E-5</v>
      </c>
      <c r="F4070" s="11">
        <f t="shared" ca="1" si="319"/>
        <v>4.7349465936147181</v>
      </c>
      <c r="G4070" s="10">
        <f t="shared" ca="1" si="317"/>
        <v>1</v>
      </c>
    </row>
    <row r="4071" spans="1:7" x14ac:dyDescent="0.2">
      <c r="A4071" s="2">
        <v>20060426</v>
      </c>
      <c r="B4071" s="13">
        <v>11354.49</v>
      </c>
      <c r="C4071" s="2">
        <f t="shared" si="315"/>
        <v>6.3137837059357707E-3</v>
      </c>
      <c r="D4071" s="21">
        <f t="shared" ca="1" si="316"/>
        <v>5.9298312908289035E-3</v>
      </c>
      <c r="E4071" s="21">
        <f t="shared" ca="1" si="318"/>
        <v>4.142415588620179E-5</v>
      </c>
      <c r="F4071" s="11">
        <f t="shared" ca="1" si="319"/>
        <v>4.621398132613904</v>
      </c>
      <c r="G4071" s="10">
        <f t="shared" ca="1" si="317"/>
        <v>1</v>
      </c>
    </row>
    <row r="4072" spans="1:7" x14ac:dyDescent="0.2">
      <c r="A4072" s="2">
        <v>20060427</v>
      </c>
      <c r="B4072" s="13">
        <v>11382.51</v>
      </c>
      <c r="C4072" s="2">
        <f t="shared" si="315"/>
        <v>2.4677462395933623E-3</v>
      </c>
      <c r="D4072" s="21">
        <f t="shared" ca="1" si="316"/>
        <v>2.0837938244864952E-3</v>
      </c>
      <c r="E4072" s="21">
        <f t="shared" ca="1" si="318"/>
        <v>4.1530498506505915E-5</v>
      </c>
      <c r="F4072" s="11">
        <f t="shared" ca="1" si="319"/>
        <v>4.9922640442201702</v>
      </c>
      <c r="G4072" s="10">
        <f t="shared" ca="1" si="317"/>
        <v>1</v>
      </c>
    </row>
    <row r="4073" spans="1:7" x14ac:dyDescent="0.2">
      <c r="A4073" s="2">
        <v>20060428</v>
      </c>
      <c r="B4073" s="13">
        <v>11367.14</v>
      </c>
      <c r="C4073" s="2">
        <f t="shared" si="315"/>
        <v>-1.3503172850277136E-3</v>
      </c>
      <c r="D4073" s="21">
        <f t="shared" ca="1" si="316"/>
        <v>-1.734269700134581E-3</v>
      </c>
      <c r="E4073" s="21">
        <f t="shared" ca="1" si="318"/>
        <v>4.0498130175712296E-5</v>
      </c>
      <c r="F4073" s="11">
        <f t="shared" ca="1" si="319"/>
        <v>5.0199936697979091</v>
      </c>
      <c r="G4073" s="10">
        <f t="shared" ca="1" si="317"/>
        <v>1</v>
      </c>
    </row>
    <row r="4074" spans="1:7" x14ac:dyDescent="0.2">
      <c r="A4074" s="2">
        <v>20060501</v>
      </c>
      <c r="B4074" s="13">
        <v>11343.29</v>
      </c>
      <c r="C4074" s="2">
        <f t="shared" si="315"/>
        <v>-2.0981530974368704E-3</v>
      </c>
      <c r="D4074" s="21">
        <f t="shared" ca="1" si="316"/>
        <v>-2.4821055125437376E-3</v>
      </c>
      <c r="E4074" s="21">
        <f t="shared" ca="1" si="318"/>
        <v>3.9468917608331769E-5</v>
      </c>
      <c r="F4074" s="11">
        <f t="shared" ca="1" si="319"/>
        <v>4.9919517162911182</v>
      </c>
      <c r="G4074" s="10">
        <f t="shared" ca="1" si="317"/>
        <v>1</v>
      </c>
    </row>
    <row r="4075" spans="1:7" x14ac:dyDescent="0.2">
      <c r="A4075" s="2">
        <v>20060502</v>
      </c>
      <c r="B4075" s="13">
        <v>11416.44</v>
      </c>
      <c r="C4075" s="2">
        <f t="shared" si="315"/>
        <v>6.4487463513671637E-3</v>
      </c>
      <c r="D4075" s="21">
        <f t="shared" ca="1" si="316"/>
        <v>6.0647939362602965E-3</v>
      </c>
      <c r="E4075" s="21">
        <f t="shared" ca="1" si="318"/>
        <v>3.8607720309365415E-5</v>
      </c>
      <c r="F4075" s="11">
        <f t="shared" ca="1" si="319"/>
        <v>4.6046771995821283</v>
      </c>
      <c r="G4075" s="10">
        <f t="shared" ca="1" si="317"/>
        <v>1</v>
      </c>
    </row>
    <row r="4076" spans="1:7" x14ac:dyDescent="0.2">
      <c r="A4076" s="2">
        <v>20060503</v>
      </c>
      <c r="B4076" s="13">
        <v>11400.28</v>
      </c>
      <c r="C4076" s="2">
        <f t="shared" si="315"/>
        <v>-1.4155025559631422E-3</v>
      </c>
      <c r="D4076" s="21">
        <f t="shared" ca="1" si="316"/>
        <v>-1.7994549710700094E-3</v>
      </c>
      <c r="E4076" s="21">
        <f t="shared" ca="1" si="318"/>
        <v>3.8916074404348891E-5</v>
      </c>
      <c r="F4076" s="11">
        <f t="shared" ca="1" si="319"/>
        <v>5.0354487475598564</v>
      </c>
      <c r="G4076" s="10">
        <f t="shared" ca="1" si="317"/>
        <v>1</v>
      </c>
    </row>
    <row r="4077" spans="1:7" x14ac:dyDescent="0.2">
      <c r="A4077" s="2">
        <v>20060504</v>
      </c>
      <c r="B4077" s="13">
        <v>11438.86</v>
      </c>
      <c r="C4077" s="2">
        <f t="shared" si="315"/>
        <v>3.3841274073970048E-3</v>
      </c>
      <c r="D4077" s="21">
        <f t="shared" ca="1" si="316"/>
        <v>3.0001749922901376E-3</v>
      </c>
      <c r="E4077" s="21">
        <f t="shared" ca="1" si="318"/>
        <v>3.797536881339227E-5</v>
      </c>
      <c r="F4077" s="11">
        <f t="shared" ca="1" si="319"/>
        <v>4.9707747125612265</v>
      </c>
      <c r="G4077" s="10">
        <f t="shared" ca="1" si="317"/>
        <v>1</v>
      </c>
    </row>
    <row r="4078" spans="1:7" x14ac:dyDescent="0.2">
      <c r="A4078" s="2">
        <v>20060505</v>
      </c>
      <c r="B4078" s="13">
        <v>11577.74</v>
      </c>
      <c r="C4078" s="2">
        <f t="shared" ref="C4078:C4141" si="320">(B4078-B4077)/B4077</f>
        <v>1.2141070001730871E-2</v>
      </c>
      <c r="D4078" s="21">
        <f t="shared" ca="1" si="316"/>
        <v>1.1757117586624004E-2</v>
      </c>
      <c r="E4078" s="21">
        <f t="shared" ca="1" si="318"/>
        <v>3.7294169834084478E-5</v>
      </c>
      <c r="F4078" s="11">
        <f t="shared" ca="1" si="319"/>
        <v>3.2451005369228514</v>
      </c>
      <c r="G4078" s="10">
        <f t="shared" ca="1" si="317"/>
        <v>0</v>
      </c>
    </row>
    <row r="4079" spans="1:7" x14ac:dyDescent="0.2">
      <c r="A4079" s="2">
        <v>20060508</v>
      </c>
      <c r="B4079" s="13">
        <v>11584.54</v>
      </c>
      <c r="C4079" s="2">
        <f t="shared" si="320"/>
        <v>5.8733397018771293E-4</v>
      </c>
      <c r="D4079" s="21">
        <f t="shared" ca="1" si="316"/>
        <v>2.0338155508084564E-4</v>
      </c>
      <c r="E4079" s="21">
        <f t="shared" ca="1" si="318"/>
        <v>4.1399400225796245E-5</v>
      </c>
      <c r="F4079" s="11">
        <f t="shared" ca="1" si="319"/>
        <v>5.0456225091261535</v>
      </c>
      <c r="G4079" s="10">
        <f t="shared" ca="1" si="317"/>
        <v>1</v>
      </c>
    </row>
    <row r="4080" spans="1:7" x14ac:dyDescent="0.2">
      <c r="A4080" s="2">
        <v>20060509</v>
      </c>
      <c r="B4080" s="13">
        <v>11639.77</v>
      </c>
      <c r="C4080" s="2">
        <f t="shared" si="320"/>
        <v>4.7675609044467507E-3</v>
      </c>
      <c r="D4080" s="21">
        <f t="shared" ca="1" si="316"/>
        <v>4.3836084893398835E-3</v>
      </c>
      <c r="E4080" s="21">
        <f t="shared" ca="1" si="318"/>
        <v>4.0215515074339321E-5</v>
      </c>
      <c r="F4080" s="11">
        <f t="shared" ca="1" si="319"/>
        <v>4.8217157866272924</v>
      </c>
      <c r="G4080" s="10">
        <f t="shared" ca="1" si="317"/>
        <v>1</v>
      </c>
    </row>
    <row r="4081" spans="1:7" x14ac:dyDescent="0.2">
      <c r="A4081" s="2">
        <v>20060510</v>
      </c>
      <c r="B4081" s="13">
        <v>11642.65</v>
      </c>
      <c r="C4081" s="2">
        <f t="shared" si="320"/>
        <v>2.4742756944503197E-4</v>
      </c>
      <c r="D4081" s="21">
        <f t="shared" ca="1" si="316"/>
        <v>-1.3652484566183533E-4</v>
      </c>
      <c r="E4081" s="21">
        <f t="shared" ca="1" si="318"/>
        <v>3.9796608765959182E-5</v>
      </c>
      <c r="F4081" s="11">
        <f t="shared" ca="1" si="319"/>
        <v>5.0656302494290886</v>
      </c>
      <c r="G4081" s="10">
        <f t="shared" ca="1" si="317"/>
        <v>1</v>
      </c>
    </row>
    <row r="4082" spans="1:7" x14ac:dyDescent="0.2">
      <c r="A4082" s="2">
        <v>20060511</v>
      </c>
      <c r="B4082" s="13">
        <v>11500.73</v>
      </c>
      <c r="C4082" s="2">
        <f t="shared" si="320"/>
        <v>-1.2189664724096326E-2</v>
      </c>
      <c r="D4082" s="21">
        <f t="shared" ca="1" si="316"/>
        <v>-1.2573617139203193E-2</v>
      </c>
      <c r="E4082" s="21">
        <f t="shared" ca="1" si="318"/>
        <v>3.8692973723405659E-5</v>
      </c>
      <c r="F4082" s="11">
        <f t="shared" ca="1" si="319"/>
        <v>3.0369733374468777</v>
      </c>
      <c r="G4082" s="10">
        <f t="shared" ca="1" si="317"/>
        <v>0</v>
      </c>
    </row>
    <row r="4083" spans="1:7" x14ac:dyDescent="0.2">
      <c r="A4083" s="2">
        <v>20060512</v>
      </c>
      <c r="B4083" s="13">
        <v>11380.99</v>
      </c>
      <c r="C4083" s="2">
        <f t="shared" si="320"/>
        <v>-1.0411513008304672E-2</v>
      </c>
      <c r="D4083" s="21">
        <f t="shared" ca="1" si="316"/>
        <v>-1.0795465423411539E-2</v>
      </c>
      <c r="E4083" s="21">
        <f t="shared" ca="1" si="318"/>
        <v>4.3457946923636508E-5</v>
      </c>
      <c r="F4083" s="11">
        <f t="shared" ca="1" si="319"/>
        <v>3.680998087006369</v>
      </c>
      <c r="G4083" s="10">
        <f t="shared" ca="1" si="317"/>
        <v>0</v>
      </c>
    </row>
    <row r="4084" spans="1:7" x14ac:dyDescent="0.2">
      <c r="A4084" s="2">
        <v>20060515</v>
      </c>
      <c r="B4084" s="13">
        <v>11428.77</v>
      </c>
      <c r="C4084" s="2">
        <f t="shared" si="320"/>
        <v>4.1982288008337284E-3</v>
      </c>
      <c r="D4084" s="21">
        <f t="shared" ca="1" si="316"/>
        <v>3.8142763857268612E-3</v>
      </c>
      <c r="E4084" s="21">
        <f t="shared" ca="1" si="318"/>
        <v>4.6453853726523466E-5</v>
      </c>
      <c r="F4084" s="11">
        <f t="shared" ca="1" si="319"/>
        <v>4.8319324825249934</v>
      </c>
      <c r="G4084" s="10">
        <f t="shared" ca="1" si="317"/>
        <v>1</v>
      </c>
    </row>
    <row r="4085" spans="1:7" x14ac:dyDescent="0.2">
      <c r="A4085" s="2">
        <v>20060516</v>
      </c>
      <c r="B4085" s="13">
        <v>11419.89</v>
      </c>
      <c r="C4085" s="2">
        <f t="shared" si="320"/>
        <v>-7.7698649985965401E-4</v>
      </c>
      <c r="D4085" s="21">
        <f t="shared" ca="1" si="316"/>
        <v>-1.1609389149665212E-3</v>
      </c>
      <c r="E4085" s="21">
        <f t="shared" ca="1" si="318"/>
        <v>4.5547722341167305E-5</v>
      </c>
      <c r="F4085" s="11">
        <f t="shared" ca="1" si="319"/>
        <v>4.9835797273318798</v>
      </c>
      <c r="G4085" s="10">
        <f t="shared" ca="1" si="317"/>
        <v>1</v>
      </c>
    </row>
    <row r="4086" spans="1:7" x14ac:dyDescent="0.2">
      <c r="A4086" s="2">
        <v>20060517</v>
      </c>
      <c r="B4086" s="13">
        <v>11205.61</v>
      </c>
      <c r="C4086" s="2">
        <f t="shared" si="320"/>
        <v>-1.8763753416188671E-2</v>
      </c>
      <c r="D4086" s="21">
        <f t="shared" ca="1" si="316"/>
        <v>-1.914770583129554E-2</v>
      </c>
      <c r="E4086" s="21">
        <f t="shared" ca="1" si="318"/>
        <v>4.4202011372558461E-5</v>
      </c>
      <c r="F4086" s="11">
        <f t="shared" ca="1" si="319"/>
        <v>0.86610819495027869</v>
      </c>
      <c r="G4086" s="10">
        <f t="shared" ca="1" si="317"/>
        <v>0</v>
      </c>
    </row>
    <row r="4087" spans="1:7" x14ac:dyDescent="0.2">
      <c r="A4087" s="2">
        <v>20060518</v>
      </c>
      <c r="B4087" s="13">
        <v>11128.29</v>
      </c>
      <c r="C4087" s="2">
        <f t="shared" si="320"/>
        <v>-6.9001152101491759E-3</v>
      </c>
      <c r="D4087" s="21">
        <f t="shared" ca="1" si="316"/>
        <v>-7.2840676252560431E-3</v>
      </c>
      <c r="E4087" s="21">
        <f t="shared" ca="1" si="318"/>
        <v>5.6356615994511679E-5</v>
      </c>
      <c r="F4087" s="11">
        <f t="shared" ca="1" si="319"/>
        <v>4.4211742025311223</v>
      </c>
      <c r="G4087" s="10">
        <f t="shared" ca="1" si="317"/>
        <v>1</v>
      </c>
    </row>
    <row r="4088" spans="1:7" x14ac:dyDescent="0.2">
      <c r="A4088" s="2">
        <v>20060519</v>
      </c>
      <c r="B4088" s="13">
        <v>11144.06</v>
      </c>
      <c r="C4088" s="2">
        <f t="shared" si="320"/>
        <v>1.4171090077629732E-3</v>
      </c>
      <c r="D4088" s="21">
        <f t="shared" ca="1" si="316"/>
        <v>1.033156592656106E-3</v>
      </c>
      <c r="E4088" s="21">
        <f t="shared" ca="1" si="318"/>
        <v>5.636554145077461E-5</v>
      </c>
      <c r="F4088" s="11">
        <f t="shared" ca="1" si="319"/>
        <v>4.882357614467379</v>
      </c>
      <c r="G4088" s="10">
        <f t="shared" ca="1" si="317"/>
        <v>1</v>
      </c>
    </row>
    <row r="4089" spans="1:7" x14ac:dyDescent="0.2">
      <c r="A4089" s="2">
        <v>20060522</v>
      </c>
      <c r="B4089" s="13">
        <v>11125.32</v>
      </c>
      <c r="C4089" s="2">
        <f t="shared" si="320"/>
        <v>-1.6816133437903046E-3</v>
      </c>
      <c r="D4089" s="21">
        <f t="shared" ca="1" si="316"/>
        <v>-2.0655657588971718E-3</v>
      </c>
      <c r="E4089" s="21">
        <f t="shared" ca="1" si="318"/>
        <v>5.4462243881363002E-5</v>
      </c>
      <c r="F4089" s="11">
        <f t="shared" ca="1" si="319"/>
        <v>4.8698315289856273</v>
      </c>
      <c r="G4089" s="10">
        <f t="shared" ca="1" si="317"/>
        <v>1</v>
      </c>
    </row>
    <row r="4090" spans="1:7" x14ac:dyDescent="0.2">
      <c r="A4090" s="2">
        <v>20060523</v>
      </c>
      <c r="B4090" s="13">
        <v>11098.35</v>
      </c>
      <c r="C4090" s="2">
        <f t="shared" si="320"/>
        <v>-2.4241999331254603E-3</v>
      </c>
      <c r="D4090" s="21">
        <f t="shared" ca="1" si="316"/>
        <v>-2.8081523482323275E-3</v>
      </c>
      <c r="E4090" s="21">
        <f t="shared" ca="1" si="318"/>
        <v>5.2772873070485566E-5</v>
      </c>
      <c r="F4090" s="11">
        <f t="shared" ca="1" si="319"/>
        <v>4.8500428728272826</v>
      </c>
      <c r="G4090" s="10">
        <f t="shared" ca="1" si="317"/>
        <v>1</v>
      </c>
    </row>
    <row r="4091" spans="1:7" x14ac:dyDescent="0.2">
      <c r="A4091" s="2">
        <v>20060524</v>
      </c>
      <c r="B4091" s="13">
        <v>11117.32</v>
      </c>
      <c r="C4091" s="2">
        <f t="shared" si="320"/>
        <v>1.709263088657264E-3</v>
      </c>
      <c r="D4091" s="21">
        <f t="shared" ca="1" si="316"/>
        <v>1.3253106735503966E-3</v>
      </c>
      <c r="E4091" s="21">
        <f t="shared" ca="1" si="318"/>
        <v>5.1302050833269571E-5</v>
      </c>
      <c r="F4091" s="11">
        <f t="shared" ca="1" si="319"/>
        <v>4.9217712190875069</v>
      </c>
      <c r="G4091" s="10">
        <f t="shared" ca="1" si="317"/>
        <v>1</v>
      </c>
    </row>
    <row r="4092" spans="1:7" x14ac:dyDescent="0.2">
      <c r="A4092" s="2">
        <v>20060525</v>
      </c>
      <c r="B4092" s="13">
        <v>11211.05</v>
      </c>
      <c r="C4092" s="2">
        <f t="shared" si="320"/>
        <v>8.4309887634789298E-3</v>
      </c>
      <c r="D4092" s="21">
        <f t="shared" ca="1" si="316"/>
        <v>8.0470363483720626E-3</v>
      </c>
      <c r="E4092" s="21">
        <f t="shared" ca="1" si="318"/>
        <v>4.968025397222045E-5</v>
      </c>
      <c r="F4092" s="11">
        <f t="shared" ca="1" si="319"/>
        <v>4.3032358946273392</v>
      </c>
      <c r="G4092" s="10">
        <f t="shared" ca="1" si="317"/>
        <v>0</v>
      </c>
    </row>
    <row r="4093" spans="1:7" x14ac:dyDescent="0.2">
      <c r="A4093" s="2">
        <v>20060526</v>
      </c>
      <c r="B4093" s="13">
        <v>11278.61</v>
      </c>
      <c r="C4093" s="2">
        <f t="shared" si="320"/>
        <v>6.0261973677756603E-3</v>
      </c>
      <c r="D4093" s="21">
        <f t="shared" ca="1" si="316"/>
        <v>5.6422449526687931E-3</v>
      </c>
      <c r="E4093" s="21">
        <f t="shared" ca="1" si="318"/>
        <v>5.0457063514549294E-5</v>
      </c>
      <c r="F4093" s="11">
        <f t="shared" ca="1" si="319"/>
        <v>4.6317283799592097</v>
      </c>
      <c r="G4093" s="10">
        <f t="shared" ca="1" si="317"/>
        <v>1</v>
      </c>
    </row>
    <row r="4094" spans="1:7" x14ac:dyDescent="0.2">
      <c r="A4094" s="2">
        <v>20060530</v>
      </c>
      <c r="B4094" s="13">
        <v>11094.43</v>
      </c>
      <c r="C4094" s="2">
        <f t="shared" si="320"/>
        <v>-1.6330026483759991E-2</v>
      </c>
      <c r="D4094" s="21">
        <f t="shared" ca="1" si="316"/>
        <v>-1.671397889886686E-2</v>
      </c>
      <c r="E4094" s="21">
        <f t="shared" ca="1" si="318"/>
        <v>4.9984053058088963E-5</v>
      </c>
      <c r="F4094" s="11">
        <f t="shared" ca="1" si="319"/>
        <v>2.1574411022878315</v>
      </c>
      <c r="G4094" s="10">
        <f t="shared" ca="1" si="317"/>
        <v>0</v>
      </c>
    </row>
    <row r="4095" spans="1:7" x14ac:dyDescent="0.2">
      <c r="A4095" s="2">
        <v>20060531</v>
      </c>
      <c r="B4095" s="13">
        <v>11168.31</v>
      </c>
      <c r="C4095" s="2">
        <f t="shared" si="320"/>
        <v>6.6591974531363214E-3</v>
      </c>
      <c r="D4095" s="21">
        <f t="shared" ca="1" si="316"/>
        <v>6.2752450380294542E-3</v>
      </c>
      <c r="E4095" s="21">
        <f t="shared" ca="1" si="318"/>
        <v>5.8636794457786123E-5</v>
      </c>
      <c r="F4095" s="11">
        <f t="shared" ca="1" si="319"/>
        <v>4.5362891836613697</v>
      </c>
      <c r="G4095" s="10">
        <f t="shared" ca="1" si="317"/>
        <v>1</v>
      </c>
    </row>
    <row r="4096" spans="1:7" x14ac:dyDescent="0.2">
      <c r="A4096" s="2">
        <v>20060601</v>
      </c>
      <c r="B4096" s="13">
        <v>11260.28</v>
      </c>
      <c r="C4096" s="2">
        <f t="shared" si="320"/>
        <v>8.2349075195800592E-3</v>
      </c>
      <c r="D4096" s="21">
        <f t="shared" ca="1" si="316"/>
        <v>7.850955104473192E-3</v>
      </c>
      <c r="E4096" s="21">
        <f t="shared" ca="1" si="318"/>
        <v>5.8027366394505385E-5</v>
      </c>
      <c r="F4096" s="11">
        <f t="shared" ca="1" si="319"/>
        <v>4.3461907821718695</v>
      </c>
      <c r="G4096" s="10">
        <f t="shared" ca="1" si="317"/>
        <v>0</v>
      </c>
    </row>
    <row r="4097" spans="1:7" x14ac:dyDescent="0.2">
      <c r="A4097" s="2">
        <v>20060602</v>
      </c>
      <c r="B4097" s="13">
        <v>11247.87</v>
      </c>
      <c r="C4097" s="2">
        <f t="shared" si="320"/>
        <v>-1.102104032937001E-3</v>
      </c>
      <c r="D4097" s="21">
        <f t="shared" ca="1" si="316"/>
        <v>-1.4860564480438684E-3</v>
      </c>
      <c r="E4097" s="21">
        <f t="shared" ca="1" si="318"/>
        <v>5.8267264282798035E-5</v>
      </c>
      <c r="F4097" s="11">
        <f t="shared" ca="1" si="319"/>
        <v>4.8562847678224532</v>
      </c>
      <c r="G4097" s="10">
        <f t="shared" ca="1" si="317"/>
        <v>1</v>
      </c>
    </row>
    <row r="4098" spans="1:7" x14ac:dyDescent="0.2">
      <c r="A4098" s="2">
        <v>20060605</v>
      </c>
      <c r="B4098" s="13">
        <v>11048.72</v>
      </c>
      <c r="C4098" s="2">
        <f t="shared" si="320"/>
        <v>-1.7705574477656787E-2</v>
      </c>
      <c r="D4098" s="21">
        <f t="shared" ca="1" si="316"/>
        <v>-1.8089526892763656E-2</v>
      </c>
      <c r="E4098" s="21">
        <f t="shared" ca="1" si="318"/>
        <v>5.6309712697725948E-5</v>
      </c>
      <c r="F4098" s="11">
        <f t="shared" ca="1" si="319"/>
        <v>1.9866864132886879</v>
      </c>
      <c r="G4098" s="10">
        <f t="shared" ca="1" si="317"/>
        <v>0</v>
      </c>
    </row>
    <row r="4099" spans="1:7" x14ac:dyDescent="0.2">
      <c r="A4099" s="2">
        <v>20060606</v>
      </c>
      <c r="B4099" s="13">
        <v>11002.14</v>
      </c>
      <c r="C4099" s="2">
        <f t="shared" si="320"/>
        <v>-4.2158729699005798E-3</v>
      </c>
      <c r="D4099" s="21">
        <f t="shared" ca="1" si="316"/>
        <v>-4.599825385007447E-3</v>
      </c>
      <c r="E4099" s="21">
        <f t="shared" ca="1" si="318"/>
        <v>6.6402843513391194E-5</v>
      </c>
      <c r="F4099" s="11">
        <f t="shared" ca="1" si="319"/>
        <v>4.6505669090475141</v>
      </c>
      <c r="G4099" s="10">
        <f t="shared" ca="1" si="317"/>
        <v>1</v>
      </c>
    </row>
    <row r="4100" spans="1:7" x14ac:dyDescent="0.2">
      <c r="A4100" s="2">
        <v>20060607</v>
      </c>
      <c r="B4100" s="13">
        <v>10930.9</v>
      </c>
      <c r="C4100" s="2">
        <f t="shared" si="320"/>
        <v>-6.4751039343254845E-3</v>
      </c>
      <c r="D4100" s="21">
        <f t="shared" ca="1" si="316"/>
        <v>-6.8590563494323516E-3</v>
      </c>
      <c r="E4100" s="21">
        <f t="shared" ca="1" si="318"/>
        <v>6.4730535979890298E-5</v>
      </c>
      <c r="F4100" s="11">
        <f t="shared" ca="1" si="319"/>
        <v>4.4592348869253389</v>
      </c>
      <c r="G4100" s="10">
        <f t="shared" ca="1" si="317"/>
        <v>1</v>
      </c>
    </row>
    <row r="4101" spans="1:7" x14ac:dyDescent="0.2">
      <c r="A4101" s="2">
        <v>20060608</v>
      </c>
      <c r="B4101" s="13">
        <v>10938.82</v>
      </c>
      <c r="C4101" s="2">
        <f t="shared" si="320"/>
        <v>7.2455150079134137E-4</v>
      </c>
      <c r="D4101" s="21">
        <f t="shared" ca="1" si="316"/>
        <v>3.4059908568447408E-4</v>
      </c>
      <c r="E4101" s="21">
        <f t="shared" ca="1" si="318"/>
        <v>6.4094787573350787E-5</v>
      </c>
      <c r="F4101" s="11">
        <f t="shared" ca="1" si="319"/>
        <v>4.8266687870909033</v>
      </c>
      <c r="G4101" s="10">
        <f t="shared" ca="1" si="317"/>
        <v>1</v>
      </c>
    </row>
    <row r="4102" spans="1:7" x14ac:dyDescent="0.2">
      <c r="A4102" s="2">
        <v>20060609</v>
      </c>
      <c r="B4102" s="13">
        <v>10891.92</v>
      </c>
      <c r="C4102" s="2">
        <f t="shared" si="320"/>
        <v>-4.2874825621044719E-3</v>
      </c>
      <c r="D4102" s="21">
        <f t="shared" ca="1" si="316"/>
        <v>-4.6714349772113391E-3</v>
      </c>
      <c r="E4102" s="21">
        <f t="shared" ca="1" si="318"/>
        <v>6.1765480081653727E-5</v>
      </c>
      <c r="F4102" s="11">
        <f t="shared" ca="1" si="319"/>
        <v>4.6694284237415689</v>
      </c>
      <c r="G4102" s="10">
        <f t="shared" ca="1" si="317"/>
        <v>1</v>
      </c>
    </row>
    <row r="4103" spans="1:7" x14ac:dyDescent="0.2">
      <c r="A4103" s="2">
        <v>20060612</v>
      </c>
      <c r="B4103" s="13">
        <v>10792.58</v>
      </c>
      <c r="C4103" s="2">
        <f t="shared" si="320"/>
        <v>-9.1205223688752904E-3</v>
      </c>
      <c r="D4103" s="21">
        <f t="shared" ca="1" si="316"/>
        <v>-9.5044747839821576E-3</v>
      </c>
      <c r="E4103" s="21">
        <f t="shared" ca="1" si="318"/>
        <v>6.0352191464161705E-5</v>
      </c>
      <c r="F4103" s="11">
        <f t="shared" ca="1" si="319"/>
        <v>4.1092576373189011</v>
      </c>
      <c r="G4103" s="10">
        <f t="shared" ca="1" si="317"/>
        <v>0</v>
      </c>
    </row>
    <row r="4104" spans="1:7" x14ac:dyDescent="0.2">
      <c r="A4104" s="2">
        <v>20060613</v>
      </c>
      <c r="B4104" s="13">
        <v>10706.14</v>
      </c>
      <c r="C4104" s="2">
        <f t="shared" si="320"/>
        <v>-8.0092063250863568E-3</v>
      </c>
      <c r="D4104" s="21">
        <f t="shared" ca="1" si="316"/>
        <v>-8.3931587401932239E-3</v>
      </c>
      <c r="E4104" s="21">
        <f t="shared" ca="1" si="318"/>
        <v>6.1529734518718296E-5</v>
      </c>
      <c r="F4104" s="11">
        <f t="shared" ca="1" si="319"/>
        <v>4.2755472764903732</v>
      </c>
      <c r="G4104" s="10">
        <f t="shared" ca="1" si="317"/>
        <v>0</v>
      </c>
    </row>
    <row r="4105" spans="1:7" x14ac:dyDescent="0.2">
      <c r="A4105" s="2">
        <v>20060614</v>
      </c>
      <c r="B4105" s="13">
        <v>10816.91</v>
      </c>
      <c r="C4105" s="2">
        <f t="shared" si="320"/>
        <v>1.0346399355883674E-2</v>
      </c>
      <c r="D4105" s="21">
        <f t="shared" ca="1" si="316"/>
        <v>9.962446940776807E-3</v>
      </c>
      <c r="E4105" s="21">
        <f t="shared" ca="1" si="318"/>
        <v>6.1916317927540612E-5</v>
      </c>
      <c r="F4105" s="11">
        <f t="shared" ca="1" si="319"/>
        <v>4.0433755802143745</v>
      </c>
      <c r="G4105" s="10">
        <f t="shared" ca="1" si="317"/>
        <v>0</v>
      </c>
    </row>
    <row r="4106" spans="1:7" x14ac:dyDescent="0.2">
      <c r="A4106" s="2">
        <v>20060615</v>
      </c>
      <c r="B4106" s="13">
        <v>11015.19</v>
      </c>
      <c r="C4106" s="2">
        <f t="shared" si="320"/>
        <v>1.8330558357238867E-2</v>
      </c>
      <c r="D4106" s="21">
        <f t="shared" ca="1" si="316"/>
        <v>1.7946605942131998E-2</v>
      </c>
      <c r="E4106" s="21">
        <f t="shared" ca="1" si="318"/>
        <v>6.3342562755734188E-5</v>
      </c>
      <c r="F4106" s="11">
        <f t="shared" ca="1" si="319"/>
        <v>2.2911049318458847</v>
      </c>
      <c r="G4106" s="10">
        <f t="shared" ca="1" si="317"/>
        <v>0</v>
      </c>
    </row>
    <row r="4107" spans="1:7" x14ac:dyDescent="0.2">
      <c r="A4107" s="2">
        <v>20060616</v>
      </c>
      <c r="B4107" s="13">
        <v>11014.54</v>
      </c>
      <c r="C4107" s="2">
        <f t="shared" si="320"/>
        <v>-5.9009422442975217E-5</v>
      </c>
      <c r="D4107" s="21">
        <f t="shared" ca="1" si="316"/>
        <v>-4.4296183754984249E-4</v>
      </c>
      <c r="E4107" s="21">
        <f t="shared" ca="1" si="318"/>
        <v>7.2890513172434914E-5</v>
      </c>
      <c r="F4107" s="11">
        <f t="shared" ca="1" si="319"/>
        <v>4.7619300727644518</v>
      </c>
      <c r="G4107" s="10">
        <f t="shared" ca="1" si="317"/>
        <v>1</v>
      </c>
    </row>
    <row r="4108" spans="1:7" x14ac:dyDescent="0.2">
      <c r="A4108" s="2">
        <v>20060619</v>
      </c>
      <c r="B4108" s="13">
        <v>10942.11</v>
      </c>
      <c r="C4108" s="2">
        <f t="shared" si="320"/>
        <v>-6.5758533719974038E-3</v>
      </c>
      <c r="D4108" s="21">
        <f t="shared" ca="1" si="316"/>
        <v>-6.959805787104271E-3</v>
      </c>
      <c r="E4108" s="21">
        <f t="shared" ca="1" si="318"/>
        <v>7.0119176394631009E-5</v>
      </c>
      <c r="F4108" s="11">
        <f t="shared" ca="1" si="319"/>
        <v>4.4372530605836662</v>
      </c>
      <c r="G4108" s="10">
        <f t="shared" ca="1" si="317"/>
        <v>1</v>
      </c>
    </row>
    <row r="4109" spans="1:7" x14ac:dyDescent="0.2">
      <c r="A4109" s="2">
        <v>20060620</v>
      </c>
      <c r="B4109" s="13">
        <v>10974.84</v>
      </c>
      <c r="C4109" s="2">
        <f t="shared" si="320"/>
        <v>2.9911963963074363E-3</v>
      </c>
      <c r="D4109" s="21">
        <f t="shared" ca="1" si="316"/>
        <v>2.6072439812005691E-3</v>
      </c>
      <c r="E4109" s="21">
        <f t="shared" ca="1" si="318"/>
        <v>6.9262010086160736E-5</v>
      </c>
      <c r="F4109" s="11">
        <f t="shared" ca="1" si="319"/>
        <v>4.7397344898981304</v>
      </c>
      <c r="G4109" s="10">
        <f t="shared" ca="1" si="317"/>
        <v>1</v>
      </c>
    </row>
    <row r="4110" spans="1:7" x14ac:dyDescent="0.2">
      <c r="A4110" s="2">
        <v>20060621</v>
      </c>
      <c r="B4110" s="13">
        <v>11079.46</v>
      </c>
      <c r="C4110" s="2">
        <f t="shared" si="320"/>
        <v>9.5327130053831297E-3</v>
      </c>
      <c r="D4110" s="21">
        <f t="shared" ref="D4110:D4173" ca="1" si="321">(C4110-mu)</f>
        <v>9.1487605902762625E-3</v>
      </c>
      <c r="E4110" s="21">
        <f t="shared" ca="1" si="318"/>
        <v>6.6916989375946114E-5</v>
      </c>
      <c r="F4110" s="11">
        <f t="shared" ca="1" si="319"/>
        <v>4.1806284618341234</v>
      </c>
      <c r="G4110" s="10">
        <f t="shared" ref="G4110:G4173" ca="1" si="322">IF(AND(C4110&lt;=mu+zvalue*SQRT(E4110),C4110&gt;=mu-zvalue*SQRT(E4110)),1,0)</f>
        <v>0</v>
      </c>
    </row>
    <row r="4111" spans="1:7" x14ac:dyDescent="0.2">
      <c r="A4111" s="2">
        <v>20060622</v>
      </c>
      <c r="B4111" s="13">
        <v>11019.11</v>
      </c>
      <c r="C4111" s="2">
        <f t="shared" si="320"/>
        <v>-5.447016370833827E-3</v>
      </c>
      <c r="D4111" s="21">
        <f t="shared" ca="1" si="321"/>
        <v>-5.8309687859406942E-3</v>
      </c>
      <c r="E4111" s="21">
        <f t="shared" ref="E4111:E4174" ca="1" si="323">(1-alpha-beta)*longvar+alpha*D4110^2+beta*E4110</f>
        <v>6.7518428496415379E-5</v>
      </c>
      <c r="F4111" s="11">
        <f t="shared" ref="F4111:F4174" ca="1" si="324">(-0.5)*(LN(E4111)+D4111^2/E4111)</f>
        <v>4.5497704212149852</v>
      </c>
      <c r="G4111" s="10">
        <f t="shared" ca="1" si="322"/>
        <v>1</v>
      </c>
    </row>
    <row r="4112" spans="1:7" x14ac:dyDescent="0.2">
      <c r="A4112" s="2">
        <v>20060623</v>
      </c>
      <c r="B4112" s="13">
        <v>10989.09</v>
      </c>
      <c r="C4112" s="2">
        <f t="shared" si="320"/>
        <v>-2.7243579563141157E-3</v>
      </c>
      <c r="D4112" s="21">
        <f t="shared" ca="1" si="321"/>
        <v>-3.1083103714209829E-3</v>
      </c>
      <c r="E4112" s="21">
        <f t="shared" ca="1" si="323"/>
        <v>6.6261898685081858E-5</v>
      </c>
      <c r="F4112" s="11">
        <f t="shared" ca="1" si="324"/>
        <v>4.7380431613096183</v>
      </c>
      <c r="G4112" s="10">
        <f t="shared" ca="1" si="322"/>
        <v>1</v>
      </c>
    </row>
    <row r="4113" spans="1:7" x14ac:dyDescent="0.2">
      <c r="A4113" s="2">
        <v>20060626</v>
      </c>
      <c r="B4113" s="13">
        <v>11045.28</v>
      </c>
      <c r="C4113" s="2">
        <f t="shared" si="320"/>
        <v>5.1132532357092818E-3</v>
      </c>
      <c r="D4113" s="21">
        <f t="shared" ca="1" si="321"/>
        <v>4.7293008206024147E-3</v>
      </c>
      <c r="E4113" s="21">
        <f t="shared" ca="1" si="323"/>
        <v>6.4173964179270167E-5</v>
      </c>
      <c r="F4113" s="11">
        <f t="shared" ca="1" si="324"/>
        <v>4.6526935544194661</v>
      </c>
      <c r="G4113" s="10">
        <f t="shared" ca="1" si="322"/>
        <v>1</v>
      </c>
    </row>
    <row r="4114" spans="1:7" x14ac:dyDescent="0.2">
      <c r="A4114" s="2">
        <v>20060627</v>
      </c>
      <c r="B4114" s="13">
        <v>10924.74</v>
      </c>
      <c r="C4114" s="2">
        <f t="shared" si="320"/>
        <v>-1.0913258876189727E-2</v>
      </c>
      <c r="D4114" s="21">
        <f t="shared" ca="1" si="321"/>
        <v>-1.1297211291296594E-2</v>
      </c>
      <c r="E4114" s="21">
        <f t="shared" ca="1" si="323"/>
        <v>6.2658832708024166E-5</v>
      </c>
      <c r="F4114" s="11">
        <f t="shared" ca="1" si="324"/>
        <v>3.8204752412126353</v>
      </c>
      <c r="G4114" s="10">
        <f t="shared" ca="1" si="322"/>
        <v>0</v>
      </c>
    </row>
    <row r="4115" spans="1:7" x14ac:dyDescent="0.2">
      <c r="A4115" s="2">
        <v>20060628</v>
      </c>
      <c r="B4115" s="13">
        <v>10973.56</v>
      </c>
      <c r="C4115" s="2">
        <f t="shared" si="320"/>
        <v>4.4687562358463181E-3</v>
      </c>
      <c r="D4115" s="21">
        <f t="shared" ca="1" si="321"/>
        <v>4.0848038207394509E-3</v>
      </c>
      <c r="E4115" s="21">
        <f t="shared" ca="1" si="323"/>
        <v>6.5090971844886875E-5</v>
      </c>
      <c r="F4115" s="11">
        <f t="shared" ca="1" si="324"/>
        <v>4.6916907940975241</v>
      </c>
      <c r="G4115" s="10">
        <f t="shared" ca="1" si="322"/>
        <v>1</v>
      </c>
    </row>
    <row r="4116" spans="1:7" x14ac:dyDescent="0.2">
      <c r="A4116" s="2">
        <v>20060629</v>
      </c>
      <c r="B4116" s="13">
        <v>11190.8</v>
      </c>
      <c r="C4116" s="2">
        <f t="shared" si="320"/>
        <v>1.9796674916799997E-2</v>
      </c>
      <c r="D4116" s="21">
        <f t="shared" ca="1" si="321"/>
        <v>1.9412722501693128E-2</v>
      </c>
      <c r="E4116" s="21">
        <f t="shared" ca="1" si="323"/>
        <v>6.3320560719992827E-5</v>
      </c>
      <c r="F4116" s="11">
        <f t="shared" ca="1" si="324"/>
        <v>1.8578885646095813</v>
      </c>
      <c r="G4116" s="10">
        <f t="shared" ca="1" si="322"/>
        <v>0</v>
      </c>
    </row>
    <row r="4117" spans="1:7" x14ac:dyDescent="0.2">
      <c r="A4117" s="2">
        <v>20060630</v>
      </c>
      <c r="B4117" s="13">
        <v>11150.22</v>
      </c>
      <c r="C4117" s="2">
        <f t="shared" si="320"/>
        <v>-3.6261929442041613E-3</v>
      </c>
      <c r="D4117" s="21">
        <f t="shared" ca="1" si="321"/>
        <v>-4.0101453593110285E-3</v>
      </c>
      <c r="E4117" s="21">
        <f t="shared" ca="1" si="323"/>
        <v>7.4883727856635553E-5</v>
      </c>
      <c r="F4117" s="11">
        <f t="shared" ca="1" si="324"/>
        <v>4.642412069827424</v>
      </c>
      <c r="G4117" s="10">
        <f t="shared" ca="1" si="322"/>
        <v>1</v>
      </c>
    </row>
    <row r="4118" spans="1:7" x14ac:dyDescent="0.2">
      <c r="A4118" s="2">
        <v>20060703</v>
      </c>
      <c r="B4118" s="13">
        <v>11228.02</v>
      </c>
      <c r="C4118" s="2">
        <f t="shared" si="320"/>
        <v>6.9774408038586772E-3</v>
      </c>
      <c r="D4118" s="21">
        <f t="shared" ca="1" si="321"/>
        <v>6.59348838875181E-3</v>
      </c>
      <c r="E4118" s="21">
        <f t="shared" ca="1" si="323"/>
        <v>7.2595674738759703E-5</v>
      </c>
      <c r="F4118" s="11">
        <f t="shared" ca="1" si="324"/>
        <v>4.4658764411018934</v>
      </c>
      <c r="G4118" s="10">
        <f t="shared" ca="1" si="322"/>
        <v>1</v>
      </c>
    </row>
    <row r="4119" spans="1:7" x14ac:dyDescent="0.2">
      <c r="A4119" s="2">
        <v>20060705</v>
      </c>
      <c r="B4119" s="13">
        <v>11151.82</v>
      </c>
      <c r="C4119" s="2">
        <f t="shared" si="320"/>
        <v>-6.7865928275867632E-3</v>
      </c>
      <c r="D4119" s="21">
        <f t="shared" ca="1" si="321"/>
        <v>-7.1705452426936303E-3</v>
      </c>
      <c r="E4119" s="21">
        <f t="shared" ca="1" si="323"/>
        <v>7.1430656924486799E-5</v>
      </c>
      <c r="F4119" s="11">
        <f t="shared" ca="1" si="324"/>
        <v>4.4134851806680278</v>
      </c>
      <c r="G4119" s="10">
        <f t="shared" ca="1" si="322"/>
        <v>1</v>
      </c>
    </row>
    <row r="4120" spans="1:7" x14ac:dyDescent="0.2">
      <c r="A4120" s="2">
        <v>20060706</v>
      </c>
      <c r="B4120" s="13">
        <v>11225.3</v>
      </c>
      <c r="C4120" s="2">
        <f t="shared" si="320"/>
        <v>6.5890590056151875E-3</v>
      </c>
      <c r="D4120" s="21">
        <f t="shared" ca="1" si="321"/>
        <v>6.2051065905083204E-3</v>
      </c>
      <c r="E4120" s="21">
        <f t="shared" ca="1" si="323"/>
        <v>7.0616642116316772E-5</v>
      </c>
      <c r="F4120" s="11">
        <f t="shared" ca="1" si="324"/>
        <v>4.5065000230959589</v>
      </c>
      <c r="G4120" s="10">
        <f t="shared" ca="1" si="322"/>
        <v>1</v>
      </c>
    </row>
    <row r="4121" spans="1:7" x14ac:dyDescent="0.2">
      <c r="A4121" s="2">
        <v>20060707</v>
      </c>
      <c r="B4121" s="13">
        <v>11090.67</v>
      </c>
      <c r="C4121" s="2">
        <f t="shared" si="320"/>
        <v>-1.1993443382359421E-2</v>
      </c>
      <c r="D4121" s="21">
        <f t="shared" ca="1" si="321"/>
        <v>-1.2377395797466289E-2</v>
      </c>
      <c r="E4121" s="21">
        <f t="shared" ca="1" si="323"/>
        <v>6.9368961376074022E-5</v>
      </c>
      <c r="F4121" s="11">
        <f t="shared" ca="1" si="324"/>
        <v>3.683795783814976</v>
      </c>
      <c r="G4121" s="10">
        <f t="shared" ca="1" si="322"/>
        <v>0</v>
      </c>
    </row>
    <row r="4122" spans="1:7" x14ac:dyDescent="0.2">
      <c r="A4122" s="2">
        <v>20060710</v>
      </c>
      <c r="B4122" s="13">
        <v>11103.55</v>
      </c>
      <c r="C4122" s="2">
        <f t="shared" si="320"/>
        <v>1.1613365107788077E-3</v>
      </c>
      <c r="D4122" s="21">
        <f t="shared" ca="1" si="321"/>
        <v>7.7738409567194042E-4</v>
      </c>
      <c r="E4122" s="21">
        <f t="shared" ca="1" si="323"/>
        <v>7.2401994688087932E-5</v>
      </c>
      <c r="F4122" s="11">
        <f t="shared" ca="1" si="324"/>
        <v>4.7624649466652897</v>
      </c>
      <c r="G4122" s="10">
        <f t="shared" ca="1" si="322"/>
        <v>1</v>
      </c>
    </row>
    <row r="4123" spans="1:7" x14ac:dyDescent="0.2">
      <c r="A4123" s="2">
        <v>20060711</v>
      </c>
      <c r="B4123" s="13">
        <v>11134.77</v>
      </c>
      <c r="C4123" s="2">
        <f t="shared" si="320"/>
        <v>2.8117133709490358E-3</v>
      </c>
      <c r="D4123" s="21">
        <f t="shared" ca="1" si="321"/>
        <v>2.4277609558421686E-3</v>
      </c>
      <c r="E4123" s="21">
        <f t="shared" ca="1" si="323"/>
        <v>6.9670379169524854E-5</v>
      </c>
      <c r="F4123" s="11">
        <f t="shared" ca="1" si="324"/>
        <v>4.743568305062837</v>
      </c>
      <c r="G4123" s="10">
        <f t="shared" ca="1" si="322"/>
        <v>1</v>
      </c>
    </row>
    <row r="4124" spans="1:7" x14ac:dyDescent="0.2">
      <c r="A4124" s="2">
        <v>20060712</v>
      </c>
      <c r="B4124" s="13">
        <v>11013.18</v>
      </c>
      <c r="C4124" s="2">
        <f t="shared" si="320"/>
        <v>-1.0919848366872431E-2</v>
      </c>
      <c r="D4124" s="21">
        <f t="shared" ca="1" si="321"/>
        <v>-1.1303800781979298E-2</v>
      </c>
      <c r="E4124" s="21">
        <f t="shared" ca="1" si="323"/>
        <v>6.7271468382548309E-5</v>
      </c>
      <c r="F4124" s="11">
        <f t="shared" ca="1" si="324"/>
        <v>3.8536835736472059</v>
      </c>
      <c r="G4124" s="10">
        <f t="shared" ca="1" si="322"/>
        <v>0</v>
      </c>
    </row>
    <row r="4125" spans="1:7" x14ac:dyDescent="0.2">
      <c r="A4125" s="2">
        <v>20060713</v>
      </c>
      <c r="B4125" s="13">
        <v>10846.29</v>
      </c>
      <c r="C4125" s="2">
        <f t="shared" si="320"/>
        <v>-1.515366134032127E-2</v>
      </c>
      <c r="D4125" s="21">
        <f t="shared" ca="1" si="321"/>
        <v>-1.5537613755428137E-2</v>
      </c>
      <c r="E4125" s="21">
        <f t="shared" ca="1" si="323"/>
        <v>6.9475729147055147E-5</v>
      </c>
      <c r="F4125" s="11">
        <f t="shared" ca="1" si="324"/>
        <v>3.049843675424329</v>
      </c>
      <c r="G4125" s="10">
        <f t="shared" ca="1" si="322"/>
        <v>0</v>
      </c>
    </row>
    <row r="4126" spans="1:7" x14ac:dyDescent="0.2">
      <c r="A4126" s="2">
        <v>20060714</v>
      </c>
      <c r="B4126" s="13">
        <v>10739.35</v>
      </c>
      <c r="C4126" s="2">
        <f t="shared" si="320"/>
        <v>-9.8595925427035873E-3</v>
      </c>
      <c r="D4126" s="21">
        <f t="shared" ca="1" si="321"/>
        <v>-1.0243544957810454E-2</v>
      </c>
      <c r="E4126" s="21">
        <f t="shared" ca="1" si="323"/>
        <v>7.5747273081952537E-5</v>
      </c>
      <c r="F4126" s="11">
        <f t="shared" ca="1" si="324"/>
        <v>4.0514204538455143</v>
      </c>
      <c r="G4126" s="10">
        <f t="shared" ca="1" si="322"/>
        <v>0</v>
      </c>
    </row>
    <row r="4127" spans="1:7" x14ac:dyDescent="0.2">
      <c r="A4127" s="2">
        <v>20060717</v>
      </c>
      <c r="B4127" s="13">
        <v>10747.36</v>
      </c>
      <c r="C4127" s="2">
        <f t="shared" si="320"/>
        <v>7.4585519607799522E-4</v>
      </c>
      <c r="D4127" s="21">
        <f t="shared" ca="1" si="321"/>
        <v>3.6190278097112793E-4</v>
      </c>
      <c r="E4127" s="21">
        <f t="shared" ca="1" si="323"/>
        <v>7.6682663860807481E-5</v>
      </c>
      <c r="F4127" s="11">
        <f t="shared" ca="1" si="324"/>
        <v>4.7370634526037012</v>
      </c>
      <c r="G4127" s="10">
        <f t="shared" ca="1" si="322"/>
        <v>1</v>
      </c>
    </row>
    <row r="4128" spans="1:7" x14ac:dyDescent="0.2">
      <c r="A4128" s="2">
        <v>20060718</v>
      </c>
      <c r="B4128" s="13">
        <v>10799.23</v>
      </c>
      <c r="C4128" s="2">
        <f t="shared" si="320"/>
        <v>4.8263015289335218E-3</v>
      </c>
      <c r="D4128" s="21">
        <f t="shared" ca="1" si="321"/>
        <v>4.4423491138266546E-3</v>
      </c>
      <c r="E4128" s="21">
        <f t="shared" ca="1" si="323"/>
        <v>7.3717081884738423E-5</v>
      </c>
      <c r="F4128" s="11">
        <f t="shared" ca="1" si="324"/>
        <v>4.6237852725955682</v>
      </c>
      <c r="G4128" s="10">
        <f t="shared" ca="1" si="322"/>
        <v>1</v>
      </c>
    </row>
    <row r="4129" spans="1:7" x14ac:dyDescent="0.2">
      <c r="A4129" s="2">
        <v>20060719</v>
      </c>
      <c r="B4129" s="13">
        <v>11011.42</v>
      </c>
      <c r="C4129" s="2">
        <f t="shared" si="320"/>
        <v>1.9648623096276355E-2</v>
      </c>
      <c r="D4129" s="21">
        <f t="shared" ca="1" si="321"/>
        <v>1.9264670681169486E-2</v>
      </c>
      <c r="E4129" s="21">
        <f t="shared" ca="1" si="323"/>
        <v>7.1622384307723475E-5</v>
      </c>
      <c r="F4129" s="11">
        <f t="shared" ca="1" si="324"/>
        <v>2.1811886922445147</v>
      </c>
      <c r="G4129" s="10">
        <f t="shared" ca="1" si="322"/>
        <v>0</v>
      </c>
    </row>
    <row r="4130" spans="1:7" x14ac:dyDescent="0.2">
      <c r="A4130" s="2">
        <v>20060720</v>
      </c>
      <c r="B4130" s="13">
        <v>10928.1</v>
      </c>
      <c r="C4130" s="2">
        <f t="shared" si="320"/>
        <v>-7.566689854714443E-3</v>
      </c>
      <c r="D4130" s="21">
        <f t="shared" ca="1" si="321"/>
        <v>-7.9506422698213102E-3</v>
      </c>
      <c r="E4130" s="21">
        <f t="shared" ca="1" si="323"/>
        <v>8.2554994933169335E-5</v>
      </c>
      <c r="F4130" s="11">
        <f t="shared" ca="1" si="324"/>
        <v>4.3181708034716939</v>
      </c>
      <c r="G4130" s="10">
        <f t="shared" ca="1" si="322"/>
        <v>1</v>
      </c>
    </row>
    <row r="4131" spans="1:7" x14ac:dyDescent="0.2">
      <c r="A4131" s="2">
        <v>20060721</v>
      </c>
      <c r="B4131" s="13">
        <v>10868.38</v>
      </c>
      <c r="C4131" s="2">
        <f t="shared" si="320"/>
        <v>-5.4648109003395985E-3</v>
      </c>
      <c r="D4131" s="21">
        <f t="shared" ca="1" si="321"/>
        <v>-5.8487633154464657E-3</v>
      </c>
      <c r="E4131" s="21">
        <f t="shared" ca="1" si="323"/>
        <v>8.1611955476895373E-5</v>
      </c>
      <c r="F4131" s="11">
        <f t="shared" ca="1" si="324"/>
        <v>4.4971900614327991</v>
      </c>
      <c r="G4131" s="10">
        <f t="shared" ca="1" si="322"/>
        <v>1</v>
      </c>
    </row>
    <row r="4132" spans="1:7" x14ac:dyDescent="0.2">
      <c r="A4132" s="2">
        <v>20060724</v>
      </c>
      <c r="B4132" s="13">
        <v>11051.05</v>
      </c>
      <c r="C4132" s="2">
        <f t="shared" si="320"/>
        <v>1.680747268682178E-2</v>
      </c>
      <c r="D4132" s="21">
        <f t="shared" ca="1" si="321"/>
        <v>1.6423520271714911E-2</v>
      </c>
      <c r="E4132" s="21">
        <f t="shared" ca="1" si="323"/>
        <v>7.9650071963374345E-5</v>
      </c>
      <c r="F4132" s="11">
        <f t="shared" ca="1" si="324"/>
        <v>3.0257023312531284</v>
      </c>
      <c r="G4132" s="10">
        <f t="shared" ca="1" si="322"/>
        <v>0</v>
      </c>
    </row>
    <row r="4133" spans="1:7" x14ac:dyDescent="0.2">
      <c r="A4133" s="2">
        <v>20060725</v>
      </c>
      <c r="B4133" s="13">
        <v>11103.71</v>
      </c>
      <c r="C4133" s="2">
        <f t="shared" si="320"/>
        <v>4.7651580619036075E-3</v>
      </c>
      <c r="D4133" s="21">
        <f t="shared" ca="1" si="321"/>
        <v>4.3812056467967403E-3</v>
      </c>
      <c r="E4133" s="21">
        <f t="shared" ca="1" si="323"/>
        <v>8.6448068976437365E-5</v>
      </c>
      <c r="F4133" s="11">
        <f t="shared" ca="1" si="324"/>
        <v>4.5669631466617417</v>
      </c>
      <c r="G4133" s="10">
        <f t="shared" ca="1" si="322"/>
        <v>1</v>
      </c>
    </row>
    <row r="4134" spans="1:7" x14ac:dyDescent="0.2">
      <c r="A4134" s="2">
        <v>20060726</v>
      </c>
      <c r="B4134" s="13">
        <v>11102.51</v>
      </c>
      <c r="C4134" s="2">
        <f t="shared" si="320"/>
        <v>-1.0807198675027614E-4</v>
      </c>
      <c r="D4134" s="21">
        <f t="shared" ca="1" si="321"/>
        <v>-4.9202440185714346E-4</v>
      </c>
      <c r="E4134" s="21">
        <f t="shared" ca="1" si="323"/>
        <v>8.3689468113229716E-5</v>
      </c>
      <c r="F4134" s="11">
        <f t="shared" ca="1" si="324"/>
        <v>4.6927523617510714</v>
      </c>
      <c r="G4134" s="10">
        <f t="shared" ca="1" si="322"/>
        <v>1</v>
      </c>
    </row>
    <row r="4135" spans="1:7" x14ac:dyDescent="0.2">
      <c r="A4135" s="2">
        <v>20060727</v>
      </c>
      <c r="B4135" s="13">
        <v>11100.43</v>
      </c>
      <c r="C4135" s="2">
        <f t="shared" si="320"/>
        <v>-1.8734502378290379E-4</v>
      </c>
      <c r="D4135" s="21">
        <f t="shared" ca="1" si="321"/>
        <v>-5.7129743888977111E-4</v>
      </c>
      <c r="E4135" s="21">
        <f t="shared" ca="1" si="323"/>
        <v>8.0373495473040171E-5</v>
      </c>
      <c r="F4135" s="11">
        <f t="shared" ca="1" si="324"/>
        <v>4.7123826467562777</v>
      </c>
      <c r="G4135" s="10">
        <f t="shared" ca="1" si="322"/>
        <v>1</v>
      </c>
    </row>
    <row r="4136" spans="1:7" x14ac:dyDescent="0.2">
      <c r="A4136" s="2">
        <v>20060728</v>
      </c>
      <c r="B4136" s="13">
        <v>11219.7</v>
      </c>
      <c r="C4136" s="2">
        <f t="shared" si="320"/>
        <v>1.0744628811676704E-2</v>
      </c>
      <c r="D4136" s="21">
        <f t="shared" ca="1" si="321"/>
        <v>1.0360676396569837E-2</v>
      </c>
      <c r="E4136" s="21">
        <f t="shared" ca="1" si="323"/>
        <v>7.7228378572206786E-5</v>
      </c>
      <c r="F4136" s="11">
        <f t="shared" ca="1" si="324"/>
        <v>4.0393965870970359</v>
      </c>
      <c r="G4136" s="10">
        <f t="shared" ca="1" si="322"/>
        <v>0</v>
      </c>
    </row>
    <row r="4137" spans="1:7" x14ac:dyDescent="0.2">
      <c r="A4137" s="2">
        <v>20060731</v>
      </c>
      <c r="B4137" s="13">
        <v>11185.68</v>
      </c>
      <c r="C4137" s="2">
        <f t="shared" si="320"/>
        <v>-3.0321666354715753E-3</v>
      </c>
      <c r="D4137" s="21">
        <f t="shared" ca="1" si="321"/>
        <v>-3.4161190505784425E-3</v>
      </c>
      <c r="E4137" s="21">
        <f t="shared" ca="1" si="323"/>
        <v>7.8177584745462087E-5</v>
      </c>
      <c r="F4137" s="11">
        <f t="shared" ca="1" si="324"/>
        <v>4.6536268688161586</v>
      </c>
      <c r="G4137" s="10">
        <f t="shared" ca="1" si="322"/>
        <v>1</v>
      </c>
    </row>
    <row r="4138" spans="1:7" x14ac:dyDescent="0.2">
      <c r="A4138" s="2">
        <v>20060801</v>
      </c>
      <c r="B4138" s="13">
        <v>11125.73</v>
      </c>
      <c r="C4138" s="2">
        <f t="shared" si="320"/>
        <v>-5.3595311147825366E-3</v>
      </c>
      <c r="D4138" s="21">
        <f t="shared" ca="1" si="321"/>
        <v>-5.7434835298894038E-3</v>
      </c>
      <c r="E4138" s="21">
        <f t="shared" ca="1" si="323"/>
        <v>7.5560679573607445E-5</v>
      </c>
      <c r="F4138" s="11">
        <f t="shared" ca="1" si="324"/>
        <v>4.527001750078675</v>
      </c>
      <c r="G4138" s="10">
        <f t="shared" ca="1" si="322"/>
        <v>1</v>
      </c>
    </row>
    <row r="4139" spans="1:7" x14ac:dyDescent="0.2">
      <c r="A4139" s="2">
        <v>20060802</v>
      </c>
      <c r="B4139" s="13">
        <v>11199.92</v>
      </c>
      <c r="C4139" s="2">
        <f t="shared" si="320"/>
        <v>6.6683264828465653E-3</v>
      </c>
      <c r="D4139" s="21">
        <f t="shared" ca="1" si="321"/>
        <v>6.2843740677396981E-3</v>
      </c>
      <c r="E4139" s="21">
        <f t="shared" ca="1" si="323"/>
        <v>7.386005478561207E-5</v>
      </c>
      <c r="F4139" s="11">
        <f t="shared" ca="1" si="324"/>
        <v>4.4893165894695111</v>
      </c>
      <c r="G4139" s="10">
        <f t="shared" ca="1" si="322"/>
        <v>1</v>
      </c>
    </row>
    <row r="4140" spans="1:7" x14ac:dyDescent="0.2">
      <c r="A4140" s="2">
        <v>20060803</v>
      </c>
      <c r="B4140" s="13">
        <v>11242.59</v>
      </c>
      <c r="C4140" s="2">
        <f t="shared" si="320"/>
        <v>3.8098486417760193E-3</v>
      </c>
      <c r="D4140" s="21">
        <f t="shared" ca="1" si="321"/>
        <v>3.4258962266691521E-3</v>
      </c>
      <c r="E4140" s="21">
        <f t="shared" ca="1" si="323"/>
        <v>7.24846931129569E-5</v>
      </c>
      <c r="F4140" s="11">
        <f t="shared" ca="1" si="324"/>
        <v>4.6851072742373896</v>
      </c>
      <c r="G4140" s="10">
        <f t="shared" ca="1" si="322"/>
        <v>1</v>
      </c>
    </row>
    <row r="4141" spans="1:7" x14ac:dyDescent="0.2">
      <c r="A4141" s="2">
        <v>20060804</v>
      </c>
      <c r="B4141" s="13">
        <v>11240.35</v>
      </c>
      <c r="C4141" s="2">
        <f t="shared" si="320"/>
        <v>-1.9924234540259688E-4</v>
      </c>
      <c r="D4141" s="21">
        <f t="shared" ca="1" si="321"/>
        <v>-5.831947605094642E-4</v>
      </c>
      <c r="E4141" s="21">
        <f t="shared" ca="1" si="323"/>
        <v>7.0158253070836844E-5</v>
      </c>
      <c r="F4141" s="11">
        <f t="shared" ca="1" si="324"/>
        <v>4.7799546336943992</v>
      </c>
      <c r="G4141" s="10">
        <f t="shared" ca="1" si="322"/>
        <v>1</v>
      </c>
    </row>
    <row r="4142" spans="1:7" x14ac:dyDescent="0.2">
      <c r="A4142" s="2">
        <v>20060807</v>
      </c>
      <c r="B4142" s="13">
        <v>11219.38</v>
      </c>
      <c r="C4142" s="2">
        <f t="shared" ref="C4142:C4205" si="325">(B4142-B4141)/B4141</f>
        <v>-1.8656002704543154E-3</v>
      </c>
      <c r="D4142" s="21">
        <f t="shared" ca="1" si="321"/>
        <v>-2.2495526855611826E-3</v>
      </c>
      <c r="E4142" s="21">
        <f t="shared" ca="1" si="323"/>
        <v>6.7530433719999191E-5</v>
      </c>
      <c r="F4142" s="11">
        <f t="shared" ca="1" si="324"/>
        <v>4.7639978981682631</v>
      </c>
      <c r="G4142" s="10">
        <f t="shared" ca="1" si="322"/>
        <v>1</v>
      </c>
    </row>
    <row r="4143" spans="1:7" x14ac:dyDescent="0.2">
      <c r="A4143" s="2">
        <v>20060808</v>
      </c>
      <c r="B4143" s="13">
        <v>11173.59</v>
      </c>
      <c r="C4143" s="2">
        <f t="shared" si="325"/>
        <v>-4.081330697418133E-3</v>
      </c>
      <c r="D4143" s="21">
        <f t="shared" ca="1" si="321"/>
        <v>-4.4652831125250002E-3</v>
      </c>
      <c r="E4143" s="21">
        <f t="shared" ca="1" si="323"/>
        <v>6.5209132904779594E-5</v>
      </c>
      <c r="F4143" s="11">
        <f t="shared" ca="1" si="324"/>
        <v>4.6660723772921102</v>
      </c>
      <c r="G4143" s="10">
        <f t="shared" ca="1" si="322"/>
        <v>1</v>
      </c>
    </row>
    <row r="4144" spans="1:7" x14ac:dyDescent="0.2">
      <c r="A4144" s="2">
        <v>20060809</v>
      </c>
      <c r="B4144" s="13">
        <v>11076.18</v>
      </c>
      <c r="C4144" s="2">
        <f t="shared" si="325"/>
        <v>-8.7178784974211374E-3</v>
      </c>
      <c r="D4144" s="21">
        <f t="shared" ca="1" si="321"/>
        <v>-9.1018309125280045E-3</v>
      </c>
      <c r="E4144" s="21">
        <f t="shared" ca="1" si="323"/>
        <v>6.3552367280724081E-5</v>
      </c>
      <c r="F4144" s="11">
        <f t="shared" ca="1" si="324"/>
        <v>4.1800510064303715</v>
      </c>
      <c r="G4144" s="10">
        <f t="shared" ca="1" si="322"/>
        <v>0</v>
      </c>
    </row>
    <row r="4145" spans="1:7" x14ac:dyDescent="0.2">
      <c r="A4145" s="2">
        <v>20060810</v>
      </c>
      <c r="B4145" s="13">
        <v>11124.37</v>
      </c>
      <c r="C4145" s="2">
        <f t="shared" si="325"/>
        <v>4.3507779758003668E-3</v>
      </c>
      <c r="D4145" s="21">
        <f t="shared" ca="1" si="321"/>
        <v>3.9668255606934997E-3</v>
      </c>
      <c r="E4145" s="21">
        <f t="shared" ca="1" si="323"/>
        <v>6.4292528947084118E-5</v>
      </c>
      <c r="F4145" s="11">
        <f t="shared" ca="1" si="324"/>
        <v>4.7036577176775651</v>
      </c>
      <c r="G4145" s="10">
        <f t="shared" ca="1" si="322"/>
        <v>1</v>
      </c>
    </row>
    <row r="4146" spans="1:7" x14ac:dyDescent="0.2">
      <c r="A4146" s="2">
        <v>20060811</v>
      </c>
      <c r="B4146" s="13">
        <v>11088.02</v>
      </c>
      <c r="C4146" s="2">
        <f t="shared" si="325"/>
        <v>-3.2676007719988063E-3</v>
      </c>
      <c r="D4146" s="21">
        <f t="shared" ca="1" si="321"/>
        <v>-3.6515531871056735E-3</v>
      </c>
      <c r="E4146" s="21">
        <f t="shared" ca="1" si="323"/>
        <v>6.2527581196326817E-5</v>
      </c>
      <c r="F4146" s="11">
        <f t="shared" ca="1" si="324"/>
        <v>4.7333277272212708</v>
      </c>
      <c r="G4146" s="10">
        <f t="shared" ca="1" si="322"/>
        <v>1</v>
      </c>
    </row>
    <row r="4147" spans="1:7" x14ac:dyDescent="0.2">
      <c r="A4147" s="2">
        <v>20060814</v>
      </c>
      <c r="B4147" s="13">
        <v>11097.87</v>
      </c>
      <c r="C4147" s="2">
        <f t="shared" si="325"/>
        <v>8.8834616099180586E-4</v>
      </c>
      <c r="D4147" s="21">
        <f t="shared" ca="1" si="321"/>
        <v>5.0439374588493856E-4</v>
      </c>
      <c r="E4147" s="21">
        <f t="shared" ca="1" si="323"/>
        <v>6.0763601987470805E-5</v>
      </c>
      <c r="F4147" s="11">
        <f t="shared" ca="1" si="324"/>
        <v>4.8521663340426393</v>
      </c>
      <c r="G4147" s="10">
        <f t="shared" ca="1" si="322"/>
        <v>1</v>
      </c>
    </row>
    <row r="4148" spans="1:7" x14ac:dyDescent="0.2">
      <c r="A4148" s="2">
        <v>20060815</v>
      </c>
      <c r="B4148" s="13">
        <v>11230.26</v>
      </c>
      <c r="C4148" s="2">
        <f t="shared" si="325"/>
        <v>1.1929316166075059E-2</v>
      </c>
      <c r="D4148" s="21">
        <f t="shared" ca="1" si="321"/>
        <v>1.1545363750968192E-2</v>
      </c>
      <c r="E4148" s="21">
        <f t="shared" ca="1" si="323"/>
        <v>5.8607909676451486E-5</v>
      </c>
      <c r="F4148" s="11">
        <f t="shared" ca="1" si="324"/>
        <v>3.7351409695865909</v>
      </c>
      <c r="G4148" s="10">
        <f t="shared" ca="1" si="322"/>
        <v>0</v>
      </c>
    </row>
    <row r="4149" spans="1:7" x14ac:dyDescent="0.2">
      <c r="A4149" s="2">
        <v>20060816</v>
      </c>
      <c r="B4149" s="13">
        <v>11327.12</v>
      </c>
      <c r="C4149" s="2">
        <f t="shared" si="325"/>
        <v>8.6249116227051364E-3</v>
      </c>
      <c r="D4149" s="21">
        <f t="shared" ca="1" si="321"/>
        <v>8.2409592075982693E-3</v>
      </c>
      <c r="E4149" s="21">
        <f t="shared" ca="1" si="323"/>
        <v>6.1453424822931874E-5</v>
      </c>
      <c r="F4149" s="11">
        <f t="shared" ca="1" si="324"/>
        <v>4.2960554964644224</v>
      </c>
      <c r="G4149" s="10">
        <f t="shared" ca="1" si="322"/>
        <v>0</v>
      </c>
    </row>
    <row r="4150" spans="1:7" x14ac:dyDescent="0.2">
      <c r="A4150" s="2">
        <v>20060817</v>
      </c>
      <c r="B4150" s="13">
        <v>11334.96</v>
      </c>
      <c r="C4150" s="2">
        <f t="shared" si="325"/>
        <v>6.921441637413858E-4</v>
      </c>
      <c r="D4150" s="21">
        <f t="shared" ca="1" si="321"/>
        <v>3.081917486345185E-4</v>
      </c>
      <c r="E4150" s="21">
        <f t="shared" ca="1" si="323"/>
        <v>6.1750773551917735E-5</v>
      </c>
      <c r="F4150" s="11">
        <f t="shared" ca="1" si="324"/>
        <v>4.845432951056778</v>
      </c>
      <c r="G4150" s="10">
        <f t="shared" ca="1" si="322"/>
        <v>1</v>
      </c>
    </row>
    <row r="4151" spans="1:7" x14ac:dyDescent="0.2">
      <c r="A4151" s="2">
        <v>20060818</v>
      </c>
      <c r="B4151" s="13">
        <v>11381.47</v>
      </c>
      <c r="C4151" s="2">
        <f t="shared" si="325"/>
        <v>4.103234594564094E-3</v>
      </c>
      <c r="D4151" s="21">
        <f t="shared" ca="1" si="321"/>
        <v>3.7192821794572268E-3</v>
      </c>
      <c r="E4151" s="21">
        <f t="shared" ca="1" si="323"/>
        <v>5.9539277353957577E-5</v>
      </c>
      <c r="F4151" s="11">
        <f t="shared" ca="1" si="324"/>
        <v>4.7482696536237281</v>
      </c>
      <c r="G4151" s="10">
        <f t="shared" ca="1" si="322"/>
        <v>1</v>
      </c>
    </row>
    <row r="4152" spans="1:7" x14ac:dyDescent="0.2">
      <c r="A4152" s="2">
        <v>20060821</v>
      </c>
      <c r="B4152" s="13">
        <v>11345.04</v>
      </c>
      <c r="C4152" s="2">
        <f t="shared" si="325"/>
        <v>-3.2008167661996627E-3</v>
      </c>
      <c r="D4152" s="21">
        <f t="shared" ca="1" si="321"/>
        <v>-3.5847691813065299E-3</v>
      </c>
      <c r="E4152" s="21">
        <f t="shared" ca="1" si="323"/>
        <v>5.7944834583991224E-5</v>
      </c>
      <c r="F4152" s="11">
        <f t="shared" ca="1" si="324"/>
        <v>4.7671233203690973</v>
      </c>
      <c r="G4152" s="10">
        <f t="shared" ca="1" si="322"/>
        <v>1</v>
      </c>
    </row>
    <row r="4153" spans="1:7" x14ac:dyDescent="0.2">
      <c r="A4153" s="2">
        <v>20060822</v>
      </c>
      <c r="B4153" s="13">
        <v>11339.84</v>
      </c>
      <c r="C4153" s="2">
        <f t="shared" si="325"/>
        <v>-4.5835008074019372E-4</v>
      </c>
      <c r="D4153" s="21">
        <f t="shared" ca="1" si="321"/>
        <v>-8.4230249584706096E-4</v>
      </c>
      <c r="E4153" s="21">
        <f t="shared" ca="1" si="323"/>
        <v>5.6394927331596097E-5</v>
      </c>
      <c r="F4153" s="11">
        <f t="shared" ca="1" si="324"/>
        <v>4.885275447829267</v>
      </c>
      <c r="G4153" s="10">
        <f t="shared" ca="1" si="322"/>
        <v>1</v>
      </c>
    </row>
    <row r="4154" spans="1:7" x14ac:dyDescent="0.2">
      <c r="A4154" s="2">
        <v>20060823</v>
      </c>
      <c r="B4154" s="13">
        <v>11297.9</v>
      </c>
      <c r="C4154" s="2">
        <f t="shared" si="325"/>
        <v>-3.6984648813387587E-3</v>
      </c>
      <c r="D4154" s="21">
        <f t="shared" ca="1" si="321"/>
        <v>-4.0824172964456264E-3</v>
      </c>
      <c r="E4154" s="21">
        <f t="shared" ca="1" si="323"/>
        <v>5.4476981076934961E-5</v>
      </c>
      <c r="F4154" s="11">
        <f t="shared" ca="1" si="324"/>
        <v>4.7559012641951073</v>
      </c>
      <c r="G4154" s="10">
        <f t="shared" ca="1" si="322"/>
        <v>1</v>
      </c>
    </row>
    <row r="4155" spans="1:7" x14ac:dyDescent="0.2">
      <c r="A4155" s="2">
        <v>20060824</v>
      </c>
      <c r="B4155" s="13">
        <v>11304.46</v>
      </c>
      <c r="C4155" s="2">
        <f t="shared" si="325"/>
        <v>5.8063887979177466E-4</v>
      </c>
      <c r="D4155" s="21">
        <f t="shared" ca="1" si="321"/>
        <v>1.9668646468490737E-4</v>
      </c>
      <c r="E4155" s="21">
        <f t="shared" ca="1" si="323"/>
        <v>5.3242818511709938E-5</v>
      </c>
      <c r="F4155" s="11">
        <f t="shared" ca="1" si="324"/>
        <v>4.919960519309198</v>
      </c>
      <c r="G4155" s="10">
        <f t="shared" ca="1" si="322"/>
        <v>1</v>
      </c>
    </row>
    <row r="4156" spans="1:7" x14ac:dyDescent="0.2">
      <c r="A4156" s="2">
        <v>20060825</v>
      </c>
      <c r="B4156" s="13">
        <v>11284.05</v>
      </c>
      <c r="C4156" s="2">
        <f t="shared" si="325"/>
        <v>-1.805482084062384E-3</v>
      </c>
      <c r="D4156" s="21">
        <f t="shared" ca="1" si="321"/>
        <v>-2.1894344991692512E-3</v>
      </c>
      <c r="E4156" s="21">
        <f t="shared" ca="1" si="323"/>
        <v>5.1459672436742664E-5</v>
      </c>
      <c r="F4156" s="11">
        <f t="shared" ca="1" si="324"/>
        <v>4.8907795528254869</v>
      </c>
      <c r="G4156" s="10">
        <f t="shared" ca="1" si="322"/>
        <v>1</v>
      </c>
    </row>
    <row r="4157" spans="1:7" x14ac:dyDescent="0.2">
      <c r="A4157" s="2">
        <v>20060828</v>
      </c>
      <c r="B4157" s="13">
        <v>11352.01</v>
      </c>
      <c r="C4157" s="2">
        <f t="shared" si="325"/>
        <v>6.0226603037030983E-3</v>
      </c>
      <c r="D4157" s="21">
        <f t="shared" ca="1" si="321"/>
        <v>5.6387078885962311E-3</v>
      </c>
      <c r="E4157" s="21">
        <f t="shared" ca="1" si="323"/>
        <v>4.9941583676319803E-5</v>
      </c>
      <c r="F4157" s="11">
        <f t="shared" ca="1" si="324"/>
        <v>4.6340061102691834</v>
      </c>
      <c r="G4157" s="10">
        <f t="shared" ca="1" si="322"/>
        <v>1</v>
      </c>
    </row>
    <row r="4158" spans="1:7" x14ac:dyDescent="0.2">
      <c r="A4158" s="2">
        <v>20060829</v>
      </c>
      <c r="B4158" s="13">
        <v>11369.94</v>
      </c>
      <c r="C4158" s="2">
        <f t="shared" si="325"/>
        <v>1.5794559729951163E-3</v>
      </c>
      <c r="D4158" s="21">
        <f t="shared" ca="1" si="321"/>
        <v>1.1955035578882492E-3</v>
      </c>
      <c r="E4158" s="21">
        <f t="shared" ca="1" si="323"/>
        <v>4.9493184268508013E-5</v>
      </c>
      <c r="F4158" s="11">
        <f t="shared" ca="1" si="324"/>
        <v>4.9423991525183437</v>
      </c>
      <c r="G4158" s="10">
        <f t="shared" ca="1" si="322"/>
        <v>1</v>
      </c>
    </row>
    <row r="4159" spans="1:7" x14ac:dyDescent="0.2">
      <c r="A4159" s="2">
        <v>20060830</v>
      </c>
      <c r="B4159" s="13">
        <v>11382.91</v>
      </c>
      <c r="C4159" s="2">
        <f t="shared" si="325"/>
        <v>1.1407272157987944E-3</v>
      </c>
      <c r="D4159" s="21">
        <f t="shared" ca="1" si="321"/>
        <v>7.5677480069192714E-4</v>
      </c>
      <c r="E4159" s="21">
        <f t="shared" ca="1" si="323"/>
        <v>4.7950866125631489E-5</v>
      </c>
      <c r="F4159" s="11">
        <f t="shared" ca="1" si="324"/>
        <v>4.9666950245940065</v>
      </c>
      <c r="G4159" s="10">
        <f t="shared" ca="1" si="322"/>
        <v>1</v>
      </c>
    </row>
    <row r="4160" spans="1:7" x14ac:dyDescent="0.2">
      <c r="A4160" s="2">
        <v>20060831</v>
      </c>
      <c r="B4160" s="13">
        <v>11381.15</v>
      </c>
      <c r="C4160" s="2">
        <f t="shared" si="325"/>
        <v>-1.5461775591656425E-4</v>
      </c>
      <c r="D4160" s="21">
        <f t="shared" ca="1" si="321"/>
        <v>-5.3857017102343157E-4</v>
      </c>
      <c r="E4160" s="21">
        <f t="shared" ca="1" si="323"/>
        <v>4.6455078605314764E-5</v>
      </c>
      <c r="F4160" s="11">
        <f t="shared" ca="1" si="324"/>
        <v>4.9853904645777778</v>
      </c>
      <c r="G4160" s="10">
        <f t="shared" ca="1" si="322"/>
        <v>1</v>
      </c>
    </row>
    <row r="4161" spans="1:7" x14ac:dyDescent="0.2">
      <c r="A4161" s="2">
        <v>20060901</v>
      </c>
      <c r="B4161" s="13">
        <v>11464.15</v>
      </c>
      <c r="C4161" s="2">
        <f t="shared" si="325"/>
        <v>7.2927603976751035E-3</v>
      </c>
      <c r="D4161" s="21">
        <f t="shared" ca="1" si="321"/>
        <v>6.9088079825682363E-3</v>
      </c>
      <c r="E4161" s="21">
        <f t="shared" ca="1" si="323"/>
        <v>4.5024569924217359E-5</v>
      </c>
      <c r="F4161" s="11">
        <f t="shared" ca="1" si="324"/>
        <v>4.4740891030699341</v>
      </c>
      <c r="G4161" s="10">
        <f t="shared" ca="1" si="322"/>
        <v>0</v>
      </c>
    </row>
    <row r="4162" spans="1:7" x14ac:dyDescent="0.2">
      <c r="A4162" s="2">
        <v>20060905</v>
      </c>
      <c r="B4162" s="13">
        <v>11469.28</v>
      </c>
      <c r="C4162" s="2">
        <f t="shared" si="325"/>
        <v>4.4748193280801617E-4</v>
      </c>
      <c r="D4162" s="21">
        <f t="shared" ca="1" si="321"/>
        <v>6.3529517701148871E-5</v>
      </c>
      <c r="E4162" s="21">
        <f t="shared" ca="1" si="323"/>
        <v>4.5410940509148908E-5</v>
      </c>
      <c r="F4162" s="11">
        <f t="shared" ca="1" si="324"/>
        <v>4.9998343121589972</v>
      </c>
      <c r="G4162" s="10">
        <f t="shared" ca="1" si="322"/>
        <v>1</v>
      </c>
    </row>
    <row r="4163" spans="1:7" x14ac:dyDescent="0.2">
      <c r="A4163" s="2">
        <v>20060906</v>
      </c>
      <c r="B4163" s="13">
        <v>11406.2</v>
      </c>
      <c r="C4163" s="2">
        <f t="shared" si="325"/>
        <v>-5.499909322991498E-3</v>
      </c>
      <c r="D4163" s="21">
        <f t="shared" ca="1" si="321"/>
        <v>-5.8838617380983652E-3</v>
      </c>
      <c r="E4163" s="21">
        <f t="shared" ca="1" si="323"/>
        <v>4.4022737596055739E-5</v>
      </c>
      <c r="F4163" s="11">
        <f t="shared" ca="1" si="324"/>
        <v>4.6221981932636673</v>
      </c>
      <c r="G4163" s="10">
        <f t="shared" ca="1" si="322"/>
        <v>1</v>
      </c>
    </row>
    <row r="4164" spans="1:7" x14ac:dyDescent="0.2">
      <c r="A4164" s="2">
        <v>20060907</v>
      </c>
      <c r="B4164" s="13">
        <v>11331.44</v>
      </c>
      <c r="C4164" s="2">
        <f t="shared" si="325"/>
        <v>-6.5543301011730653E-3</v>
      </c>
      <c r="D4164" s="21">
        <f t="shared" ca="1" si="321"/>
        <v>-6.9382825162799325E-3</v>
      </c>
      <c r="E4164" s="21">
        <f t="shared" ca="1" si="323"/>
        <v>4.3977647473123052E-5</v>
      </c>
      <c r="F4164" s="11">
        <f t="shared" ca="1" si="324"/>
        <v>4.468593711159591</v>
      </c>
      <c r="G4164" s="10">
        <f t="shared" ca="1" si="322"/>
        <v>0</v>
      </c>
    </row>
    <row r="4165" spans="1:7" x14ac:dyDescent="0.2">
      <c r="A4165" s="2">
        <v>20060908</v>
      </c>
      <c r="B4165" s="13">
        <v>11392.11</v>
      </c>
      <c r="C4165" s="2">
        <f t="shared" si="325"/>
        <v>5.3541297487345006E-3</v>
      </c>
      <c r="D4165" s="21">
        <f t="shared" ca="1" si="321"/>
        <v>4.9701773336276334E-3</v>
      </c>
      <c r="E4165" s="21">
        <f t="shared" ca="1" si="323"/>
        <v>4.4431990102613552E-5</v>
      </c>
      <c r="F4165" s="11">
        <f t="shared" ca="1" si="324"/>
        <v>4.732792572286904</v>
      </c>
      <c r="G4165" s="10">
        <f t="shared" ca="1" si="322"/>
        <v>1</v>
      </c>
    </row>
    <row r="4166" spans="1:7" x14ac:dyDescent="0.2">
      <c r="A4166" s="2">
        <v>20060911</v>
      </c>
      <c r="B4166" s="13">
        <v>11396.84</v>
      </c>
      <c r="C4166" s="2">
        <f t="shared" si="325"/>
        <v>4.1519964255959282E-4</v>
      </c>
      <c r="D4166" s="21">
        <f t="shared" ca="1" si="321"/>
        <v>3.1247227452725526E-5</v>
      </c>
      <c r="E4166" s="21">
        <f t="shared" ca="1" si="323"/>
        <v>4.400152424267675E-5</v>
      </c>
      <c r="F4166" s="11">
        <f t="shared" ca="1" si="324"/>
        <v>5.0156320464357709</v>
      </c>
      <c r="G4166" s="10">
        <f t="shared" ca="1" si="322"/>
        <v>1</v>
      </c>
    </row>
    <row r="4167" spans="1:7" x14ac:dyDescent="0.2">
      <c r="A4167" s="2">
        <v>20060912</v>
      </c>
      <c r="B4167" s="13">
        <v>11498.09</v>
      </c>
      <c r="C4167" s="2">
        <f t="shared" si="325"/>
        <v>8.8840415413395293E-3</v>
      </c>
      <c r="D4167" s="21">
        <f t="shared" ca="1" si="321"/>
        <v>8.5000891262326621E-3</v>
      </c>
      <c r="E4167" s="21">
        <f t="shared" ca="1" si="323"/>
        <v>4.2684511655358368E-5</v>
      </c>
      <c r="F4167" s="11">
        <f t="shared" ca="1" si="324"/>
        <v>4.1844937472234438</v>
      </c>
      <c r="G4167" s="10">
        <f t="shared" ca="1" si="322"/>
        <v>0</v>
      </c>
    </row>
    <row r="4168" spans="1:7" x14ac:dyDescent="0.2">
      <c r="A4168" s="2">
        <v>20060913</v>
      </c>
      <c r="B4168" s="13">
        <v>11543.32</v>
      </c>
      <c r="C4168" s="2">
        <f t="shared" si="325"/>
        <v>3.9336968139925465E-3</v>
      </c>
      <c r="D4168" s="21">
        <f t="shared" ca="1" si="321"/>
        <v>3.5497443988856793E-3</v>
      </c>
      <c r="E4168" s="21">
        <f t="shared" ca="1" si="323"/>
        <v>4.4090905631695544E-5</v>
      </c>
      <c r="F4168" s="11">
        <f t="shared" ca="1" si="324"/>
        <v>4.8717341285776108</v>
      </c>
      <c r="G4168" s="10">
        <f t="shared" ca="1" si="322"/>
        <v>1</v>
      </c>
    </row>
    <row r="4169" spans="1:7" x14ac:dyDescent="0.2">
      <c r="A4169" s="2">
        <v>20060914</v>
      </c>
      <c r="B4169" s="13">
        <v>11527.39</v>
      </c>
      <c r="C4169" s="2">
        <f t="shared" si="325"/>
        <v>-1.3800189200334299E-3</v>
      </c>
      <c r="D4169" s="21">
        <f t="shared" ca="1" si="321"/>
        <v>-1.7639713351402971E-3</v>
      </c>
      <c r="E4169" s="21">
        <f t="shared" ca="1" si="323"/>
        <v>4.3232684506715695E-5</v>
      </c>
      <c r="F4169" s="11">
        <f t="shared" ca="1" si="324"/>
        <v>4.9884702789135709</v>
      </c>
      <c r="G4169" s="10">
        <f t="shared" ca="1" si="322"/>
        <v>1</v>
      </c>
    </row>
    <row r="4170" spans="1:7" x14ac:dyDescent="0.2">
      <c r="A4170" s="2">
        <v>20060915</v>
      </c>
      <c r="B4170" s="13">
        <v>11560.77</v>
      </c>
      <c r="C4170" s="2">
        <f t="shared" si="325"/>
        <v>2.8957118653919942E-3</v>
      </c>
      <c r="D4170" s="21">
        <f t="shared" ca="1" si="321"/>
        <v>2.511759450285127E-3</v>
      </c>
      <c r="E4170" s="21">
        <f t="shared" ca="1" si="323"/>
        <v>4.206895064765946E-5</v>
      </c>
      <c r="F4170" s="11">
        <f t="shared" ca="1" si="324"/>
        <v>4.9631170251129078</v>
      </c>
      <c r="G4170" s="10">
        <f t="shared" ca="1" si="322"/>
        <v>1</v>
      </c>
    </row>
    <row r="4171" spans="1:7" x14ac:dyDescent="0.2">
      <c r="A4171" s="2">
        <v>20060918</v>
      </c>
      <c r="B4171" s="13">
        <v>11555</v>
      </c>
      <c r="C4171" s="2">
        <f t="shared" si="325"/>
        <v>-4.9910170343328661E-4</v>
      </c>
      <c r="D4171" s="21">
        <f t="shared" ca="1" si="321"/>
        <v>-8.8305411854015391E-4</v>
      </c>
      <c r="E4171" s="21">
        <f t="shared" ca="1" si="323"/>
        <v>4.1081662266664518E-5</v>
      </c>
      <c r="F4171" s="11">
        <f t="shared" ca="1" si="324"/>
        <v>5.0404836899418139</v>
      </c>
      <c r="G4171" s="10">
        <f t="shared" ca="1" si="322"/>
        <v>1</v>
      </c>
    </row>
    <row r="4172" spans="1:7" x14ac:dyDescent="0.2">
      <c r="A4172" s="2">
        <v>20060919</v>
      </c>
      <c r="B4172" s="13">
        <v>11540.91</v>
      </c>
      <c r="C4172" s="2">
        <f t="shared" si="325"/>
        <v>-1.2193855473820983E-3</v>
      </c>
      <c r="D4172" s="21">
        <f t="shared" ca="1" si="321"/>
        <v>-1.6033379624889655E-3</v>
      </c>
      <c r="E4172" s="21">
        <f t="shared" ca="1" si="323"/>
        <v>3.9941004594992338E-5</v>
      </c>
      <c r="F4172" s="11">
        <f t="shared" ca="1" si="324"/>
        <v>5.0318724176131111</v>
      </c>
      <c r="G4172" s="10">
        <f t="shared" ca="1" si="322"/>
        <v>1</v>
      </c>
    </row>
    <row r="4173" spans="1:7" x14ac:dyDescent="0.2">
      <c r="A4173" s="2">
        <v>20060920</v>
      </c>
      <c r="B4173" s="13">
        <v>11613.19</v>
      </c>
      <c r="C4173" s="2">
        <f t="shared" si="325"/>
        <v>6.2629376712928751E-3</v>
      </c>
      <c r="D4173" s="21">
        <f t="shared" ca="1" si="321"/>
        <v>5.8789852561860079E-3</v>
      </c>
      <c r="E4173" s="21">
        <f t="shared" ca="1" si="323"/>
        <v>3.8923907986357542E-5</v>
      </c>
      <c r="F4173" s="11">
        <f t="shared" ca="1" si="324"/>
        <v>4.6329761588305951</v>
      </c>
      <c r="G4173" s="10">
        <f t="shared" ca="1" si="322"/>
        <v>1</v>
      </c>
    </row>
    <row r="4174" spans="1:7" x14ac:dyDescent="0.2">
      <c r="A4174" s="2">
        <v>20060921</v>
      </c>
      <c r="B4174" s="13">
        <v>11533.23</v>
      </c>
      <c r="C4174" s="2">
        <f t="shared" si="325"/>
        <v>-6.8852744164179646E-3</v>
      </c>
      <c r="D4174" s="21">
        <f t="shared" ref="D4174:D4227" ca="1" si="326">(C4174-mu)</f>
        <v>-7.2692268315248318E-3</v>
      </c>
      <c r="E4174" s="21">
        <f t="shared" ca="1" si="323"/>
        <v>3.9134660056695466E-5</v>
      </c>
      <c r="F4174" s="11">
        <f t="shared" ca="1" si="324"/>
        <v>4.3991249455395538</v>
      </c>
      <c r="G4174" s="10">
        <f t="shared" ref="G4174:G4227" ca="1" si="327">IF(AND(C4174&lt;=mu+zvalue*SQRT(E4174),C4174&gt;=mu-zvalue*SQRT(E4174)),1,0)</f>
        <v>0</v>
      </c>
    </row>
    <row r="4175" spans="1:7" x14ac:dyDescent="0.2">
      <c r="A4175" s="2">
        <v>20060922</v>
      </c>
      <c r="B4175" s="13">
        <v>11508.1</v>
      </c>
      <c r="C4175" s="2">
        <f t="shared" si="325"/>
        <v>-2.178921256230839E-3</v>
      </c>
      <c r="D4175" s="21">
        <f t="shared" ca="1" si="326"/>
        <v>-2.5628736713377061E-3</v>
      </c>
      <c r="E4175" s="21">
        <f t="shared" ref="E4175:E4227" ca="1" si="328">(1-alpha-beta)*longvar+alpha*D4174^2+beta*E4174</f>
        <v>4.0006907882951207E-5</v>
      </c>
      <c r="F4175" s="11">
        <f t="shared" ref="F4175:F4227" ca="1" si="329">(-0.5)*(LN(E4175)+D4175^2/E4175)</f>
        <v>4.9811393693284565</v>
      </c>
      <c r="G4175" s="10">
        <f t="shared" ca="1" si="327"/>
        <v>1</v>
      </c>
    </row>
    <row r="4176" spans="1:7" x14ac:dyDescent="0.2">
      <c r="A4176" s="2">
        <v>20060925</v>
      </c>
      <c r="B4176" s="13">
        <v>11575.81</v>
      </c>
      <c r="C4176" s="2">
        <f t="shared" si="325"/>
        <v>5.8836819283808036E-3</v>
      </c>
      <c r="D4176" s="21">
        <f t="shared" ca="1" si="326"/>
        <v>5.4997295132739365E-3</v>
      </c>
      <c r="E4176" s="21">
        <f t="shared" ca="1" si="328"/>
        <v>3.9133476997526668E-5</v>
      </c>
      <c r="F4176" s="11">
        <f t="shared" ca="1" si="329"/>
        <v>4.6878064192496076</v>
      </c>
      <c r="G4176" s="10">
        <f t="shared" ca="1" si="327"/>
        <v>1</v>
      </c>
    </row>
    <row r="4177" spans="1:7" x14ac:dyDescent="0.2">
      <c r="A4177" s="2">
        <v>20060926</v>
      </c>
      <c r="B4177" s="13">
        <v>11669.39</v>
      </c>
      <c r="C4177" s="2">
        <f t="shared" si="325"/>
        <v>8.0840995144184236E-3</v>
      </c>
      <c r="D4177" s="21">
        <f t="shared" ca="1" si="326"/>
        <v>7.7001470993115564E-3</v>
      </c>
      <c r="E4177" s="21">
        <f t="shared" ca="1" si="328"/>
        <v>3.9174940531330662E-5</v>
      </c>
      <c r="F4177" s="11">
        <f t="shared" ca="1" si="329"/>
        <v>4.3169739717831126</v>
      </c>
      <c r="G4177" s="10">
        <f t="shared" ca="1" si="327"/>
        <v>0</v>
      </c>
    </row>
    <row r="4178" spans="1:7" x14ac:dyDescent="0.2">
      <c r="A4178" s="2">
        <v>20060927</v>
      </c>
      <c r="B4178" s="13">
        <v>11689.24</v>
      </c>
      <c r="C4178" s="2">
        <f t="shared" si="325"/>
        <v>1.7010315020751182E-3</v>
      </c>
      <c r="D4178" s="21">
        <f t="shared" ca="1" si="326"/>
        <v>1.3170790869682508E-3</v>
      </c>
      <c r="E4178" s="21">
        <f t="shared" ca="1" si="328"/>
        <v>4.0282350623697555E-5</v>
      </c>
      <c r="F4178" s="11">
        <f t="shared" ca="1" si="329"/>
        <v>5.0382668382737359</v>
      </c>
      <c r="G4178" s="10">
        <f t="shared" ca="1" si="327"/>
        <v>1</v>
      </c>
    </row>
    <row r="4179" spans="1:7" x14ac:dyDescent="0.2">
      <c r="A4179" s="2">
        <v>20060928</v>
      </c>
      <c r="B4179" s="13">
        <v>11718.45</v>
      </c>
      <c r="C4179" s="2">
        <f t="shared" si="325"/>
        <v>2.4988793112298959E-3</v>
      </c>
      <c r="D4179" s="21">
        <f t="shared" ca="1" si="326"/>
        <v>2.1149268961230287E-3</v>
      </c>
      <c r="E4179" s="21">
        <f t="shared" ca="1" si="328"/>
        <v>3.9217244200186237E-5</v>
      </c>
      <c r="F4179" s="11">
        <f t="shared" ca="1" si="329"/>
        <v>5.0161695918060563</v>
      </c>
      <c r="G4179" s="10">
        <f t="shared" ca="1" si="327"/>
        <v>1</v>
      </c>
    </row>
    <row r="4180" spans="1:7" x14ac:dyDescent="0.2">
      <c r="A4180" s="2">
        <v>20060929</v>
      </c>
      <c r="B4180" s="13">
        <v>11679.07</v>
      </c>
      <c r="C4180" s="2">
        <f t="shared" si="325"/>
        <v>-3.3605126957917657E-3</v>
      </c>
      <c r="D4180" s="21">
        <f t="shared" ca="1" si="326"/>
        <v>-3.7444651108986329E-3</v>
      </c>
      <c r="E4180" s="21">
        <f t="shared" ca="1" si="328"/>
        <v>3.8306710934976351E-5</v>
      </c>
      <c r="F4180" s="11">
        <f t="shared" ca="1" si="329"/>
        <v>4.9019327724292205</v>
      </c>
      <c r="G4180" s="10">
        <f t="shared" ca="1" si="327"/>
        <v>1</v>
      </c>
    </row>
    <row r="4181" spans="1:7" x14ac:dyDescent="0.2">
      <c r="A4181" s="2">
        <v>20061002</v>
      </c>
      <c r="B4181" s="13">
        <v>11670.35</v>
      </c>
      <c r="C4181" s="2">
        <f t="shared" si="325"/>
        <v>-7.4663479198252474E-4</v>
      </c>
      <c r="D4181" s="21">
        <f t="shared" ca="1" si="326"/>
        <v>-1.130587207089392E-3</v>
      </c>
      <c r="E4181" s="21">
        <f t="shared" ca="1" si="328"/>
        <v>3.7793342273222469E-5</v>
      </c>
      <c r="F4181" s="11">
        <f t="shared" ca="1" si="329"/>
        <v>5.0747780518232837</v>
      </c>
      <c r="G4181" s="10">
        <f t="shared" ca="1" si="327"/>
        <v>1</v>
      </c>
    </row>
    <row r="4182" spans="1:7" x14ac:dyDescent="0.2">
      <c r="A4182" s="2">
        <v>20061003</v>
      </c>
      <c r="B4182" s="13">
        <v>11727.34</v>
      </c>
      <c r="C4182" s="2">
        <f t="shared" si="325"/>
        <v>4.8833154104204052E-3</v>
      </c>
      <c r="D4182" s="21">
        <f t="shared" ca="1" si="326"/>
        <v>4.499362995313538E-3</v>
      </c>
      <c r="E4182" s="21">
        <f t="shared" ca="1" si="328"/>
        <v>3.6837370406885373E-5</v>
      </c>
      <c r="F4182" s="11">
        <f t="shared" ca="1" si="329"/>
        <v>4.8297199215206792</v>
      </c>
      <c r="G4182" s="10">
        <f t="shared" ca="1" si="327"/>
        <v>1</v>
      </c>
    </row>
    <row r="4183" spans="1:7" x14ac:dyDescent="0.2">
      <c r="A4183" s="2">
        <v>20061004</v>
      </c>
      <c r="B4183" s="13">
        <v>11850.61</v>
      </c>
      <c r="C4183" s="2">
        <f t="shared" si="325"/>
        <v>1.0511335051256333E-2</v>
      </c>
      <c r="D4183" s="21">
        <f t="shared" ca="1" si="326"/>
        <v>1.0127382636149465E-2</v>
      </c>
      <c r="E4183" s="21">
        <f t="shared" ca="1" si="328"/>
        <v>3.6627175875886066E-5</v>
      </c>
      <c r="F4183" s="11">
        <f t="shared" ca="1" si="329"/>
        <v>3.7072537459253461</v>
      </c>
      <c r="G4183" s="10">
        <f t="shared" ca="1" si="327"/>
        <v>0</v>
      </c>
    </row>
    <row r="4184" spans="1:7" x14ac:dyDescent="0.2">
      <c r="A4184" s="2">
        <v>20061005</v>
      </c>
      <c r="B4184" s="13">
        <v>11866.69</v>
      </c>
      <c r="C4184" s="2">
        <f t="shared" si="325"/>
        <v>1.3568921768584003E-3</v>
      </c>
      <c r="D4184" s="21">
        <f t="shared" ca="1" si="326"/>
        <v>9.7293976175153298E-4</v>
      </c>
      <c r="E4184" s="21">
        <f t="shared" ca="1" si="328"/>
        <v>3.9454651011374859E-5</v>
      </c>
      <c r="F4184" s="11">
        <f t="shared" ca="1" si="329"/>
        <v>5.0581831104908437</v>
      </c>
      <c r="G4184" s="10">
        <f t="shared" ca="1" si="327"/>
        <v>1</v>
      </c>
    </row>
    <row r="4185" spans="1:7" x14ac:dyDescent="0.2">
      <c r="A4185" s="2">
        <v>20061006</v>
      </c>
      <c r="B4185" s="13">
        <v>11850.21</v>
      </c>
      <c r="C4185" s="2">
        <f t="shared" si="325"/>
        <v>-1.3887613142334874E-3</v>
      </c>
      <c r="D4185" s="21">
        <f t="shared" ca="1" si="326"/>
        <v>-1.7727137293403546E-3</v>
      </c>
      <c r="E4185" s="21">
        <f t="shared" ca="1" si="328"/>
        <v>3.8402438902393646E-5</v>
      </c>
      <c r="F4185" s="11">
        <f t="shared" ca="1" si="329"/>
        <v>5.0427792417235446</v>
      </c>
      <c r="G4185" s="10">
        <f t="shared" ca="1" si="327"/>
        <v>1</v>
      </c>
    </row>
    <row r="4186" spans="1:7" x14ac:dyDescent="0.2">
      <c r="A4186" s="2">
        <v>20061009</v>
      </c>
      <c r="B4186" s="13">
        <v>11857.81</v>
      </c>
      <c r="C4186" s="2">
        <f t="shared" si="325"/>
        <v>6.4133884547196748E-4</v>
      </c>
      <c r="D4186" s="21">
        <f t="shared" ca="1" si="326"/>
        <v>2.5738643036510018E-4</v>
      </c>
      <c r="E4186" s="21">
        <f t="shared" ca="1" si="328"/>
        <v>3.7484205707996592E-5</v>
      </c>
      <c r="F4186" s="11">
        <f t="shared" ca="1" si="329"/>
        <v>5.0949117715667755</v>
      </c>
      <c r="G4186" s="10">
        <f t="shared" ca="1" si="327"/>
        <v>1</v>
      </c>
    </row>
    <row r="4187" spans="1:7" x14ac:dyDescent="0.2">
      <c r="A4187" s="2">
        <v>20061010</v>
      </c>
      <c r="B4187" s="13">
        <v>11867.17</v>
      </c>
      <c r="C4187" s="2">
        <f t="shared" si="325"/>
        <v>7.8935317735741946E-4</v>
      </c>
      <c r="D4187" s="21">
        <f t="shared" ca="1" si="326"/>
        <v>4.0540076225055216E-4</v>
      </c>
      <c r="E4187" s="21">
        <f t="shared" ca="1" si="328"/>
        <v>3.6499306554072766E-5</v>
      </c>
      <c r="F4187" s="11">
        <f t="shared" ca="1" si="329"/>
        <v>5.1068572384416067</v>
      </c>
      <c r="G4187" s="10">
        <f t="shared" ca="1" si="327"/>
        <v>1</v>
      </c>
    </row>
    <row r="4188" spans="1:7" x14ac:dyDescent="0.2">
      <c r="A4188" s="2">
        <v>20061011</v>
      </c>
      <c r="B4188" s="13">
        <v>11852.13</v>
      </c>
      <c r="C4188" s="2">
        <f t="shared" si="325"/>
        <v>-1.2673619742534128E-3</v>
      </c>
      <c r="D4188" s="21">
        <f t="shared" ca="1" si="326"/>
        <v>-1.6513143893602802E-3</v>
      </c>
      <c r="E4188" s="21">
        <f t="shared" ca="1" si="328"/>
        <v>3.5567841154597364E-5</v>
      </c>
      <c r="F4188" s="11">
        <f t="shared" ca="1" si="329"/>
        <v>5.0837014022047367</v>
      </c>
      <c r="G4188" s="10">
        <f t="shared" ca="1" si="327"/>
        <v>1</v>
      </c>
    </row>
    <row r="4189" spans="1:7" x14ac:dyDescent="0.2">
      <c r="A4189" s="2">
        <v>20061012</v>
      </c>
      <c r="B4189" s="13">
        <v>11947.7</v>
      </c>
      <c r="C4189" s="2">
        <f t="shared" si="325"/>
        <v>8.0635295090419647E-3</v>
      </c>
      <c r="D4189" s="21">
        <f t="shared" ca="1" si="326"/>
        <v>7.6795770939350975E-3</v>
      </c>
      <c r="E4189" s="21">
        <f t="shared" ca="1" si="328"/>
        <v>3.4777726107112502E-5</v>
      </c>
      <c r="F4189" s="11">
        <f t="shared" ca="1" si="329"/>
        <v>4.2853690671968785</v>
      </c>
      <c r="G4189" s="10">
        <f t="shared" ca="1" si="327"/>
        <v>0</v>
      </c>
    </row>
    <row r="4190" spans="1:7" x14ac:dyDescent="0.2">
      <c r="A4190" s="2">
        <v>20061013</v>
      </c>
      <c r="B4190" s="13">
        <v>11960.51</v>
      </c>
      <c r="C4190" s="2">
        <f t="shared" si="325"/>
        <v>1.0721728868317325E-3</v>
      </c>
      <c r="D4190" s="21">
        <f t="shared" ca="1" si="326"/>
        <v>6.8822047172486525E-4</v>
      </c>
      <c r="E4190" s="21">
        <f t="shared" ca="1" si="328"/>
        <v>3.6095959578351483E-5</v>
      </c>
      <c r="F4190" s="11">
        <f t="shared" ca="1" si="329"/>
        <v>5.108103863100542</v>
      </c>
      <c r="G4190" s="10">
        <f t="shared" ca="1" si="327"/>
        <v>1</v>
      </c>
    </row>
    <row r="4191" spans="1:7" x14ac:dyDescent="0.2">
      <c r="A4191" s="2">
        <v>20061016</v>
      </c>
      <c r="B4191" s="13">
        <v>11980.59</v>
      </c>
      <c r="C4191" s="2">
        <f t="shared" si="325"/>
        <v>1.6788581757801236E-3</v>
      </c>
      <c r="D4191" s="21">
        <f t="shared" ca="1" si="326"/>
        <v>1.2949057606732564E-3</v>
      </c>
      <c r="E4191" s="21">
        <f t="shared" ca="1" si="328"/>
        <v>3.5196273049444403E-5</v>
      </c>
      <c r="F4191" s="11">
        <f t="shared" ca="1" si="329"/>
        <v>5.103464747107612</v>
      </c>
      <c r="G4191" s="10">
        <f t="shared" ca="1" si="327"/>
        <v>1</v>
      </c>
    </row>
    <row r="4192" spans="1:7" x14ac:dyDescent="0.2">
      <c r="A4192" s="2">
        <v>20061017</v>
      </c>
      <c r="B4192" s="13">
        <v>11950.02</v>
      </c>
      <c r="C4192" s="2">
        <f t="shared" si="325"/>
        <v>-2.5516272570883162E-3</v>
      </c>
      <c r="D4192" s="21">
        <f t="shared" ca="1" si="326"/>
        <v>-2.9355796721951834E-3</v>
      </c>
      <c r="E4192" s="21">
        <f t="shared" ca="1" si="328"/>
        <v>3.438634327820847E-5</v>
      </c>
      <c r="F4192" s="11">
        <f t="shared" ca="1" si="329"/>
        <v>5.0136195677819853</v>
      </c>
      <c r="G4192" s="10">
        <f t="shared" ca="1" si="327"/>
        <v>1</v>
      </c>
    </row>
    <row r="4193" spans="1:7" x14ac:dyDescent="0.2">
      <c r="A4193" s="2">
        <v>20061018</v>
      </c>
      <c r="B4193" s="13">
        <v>11992.68</v>
      </c>
      <c r="C4193" s="2">
        <f t="shared" si="325"/>
        <v>3.5698685023121176E-3</v>
      </c>
      <c r="D4193" s="21">
        <f t="shared" ca="1" si="326"/>
        <v>3.1859160872052504E-3</v>
      </c>
      <c r="E4193" s="21">
        <f t="shared" ca="1" si="328"/>
        <v>3.3872615187059806E-5</v>
      </c>
      <c r="F4193" s="11">
        <f t="shared" ca="1" si="329"/>
        <v>4.9966248897685297</v>
      </c>
      <c r="G4193" s="10">
        <f t="shared" ca="1" si="327"/>
        <v>1</v>
      </c>
    </row>
    <row r="4194" spans="1:7" x14ac:dyDescent="0.2">
      <c r="A4194" s="2">
        <v>20061019</v>
      </c>
      <c r="B4194" s="13">
        <v>12011.73</v>
      </c>
      <c r="C4194" s="2">
        <f t="shared" si="325"/>
        <v>1.5884689660692415E-3</v>
      </c>
      <c r="D4194" s="21">
        <f t="shared" ca="1" si="326"/>
        <v>1.2045165509623743E-3</v>
      </c>
      <c r="E4194" s="21">
        <f t="shared" ca="1" si="328"/>
        <v>3.3441227017443242E-5</v>
      </c>
      <c r="F4194" s="11">
        <f t="shared" ca="1" si="329"/>
        <v>5.13116785195127</v>
      </c>
      <c r="G4194" s="10">
        <f t="shared" ca="1" si="327"/>
        <v>1</v>
      </c>
    </row>
    <row r="4195" spans="1:7" x14ac:dyDescent="0.2">
      <c r="A4195" s="2">
        <v>20061020</v>
      </c>
      <c r="B4195" s="13">
        <v>12002.37</v>
      </c>
      <c r="C4195" s="2">
        <f t="shared" si="325"/>
        <v>-7.7923829456695776E-4</v>
      </c>
      <c r="D4195" s="21">
        <f t="shared" ca="1" si="326"/>
        <v>-1.1631907096738251E-3</v>
      </c>
      <c r="E4195" s="21">
        <f t="shared" ca="1" si="328"/>
        <v>3.2711778100280733E-5</v>
      </c>
      <c r="F4195" s="11">
        <f t="shared" ca="1" si="329"/>
        <v>5.1432068616632609</v>
      </c>
      <c r="G4195" s="10">
        <f t="shared" ca="1" si="327"/>
        <v>1</v>
      </c>
    </row>
    <row r="4196" spans="1:7" x14ac:dyDescent="0.2">
      <c r="A4196" s="2">
        <v>20061023</v>
      </c>
      <c r="B4196" s="13">
        <v>12116.91</v>
      </c>
      <c r="C4196" s="2">
        <f t="shared" si="325"/>
        <v>9.5431152347410595E-3</v>
      </c>
      <c r="D4196" s="21">
        <f t="shared" ca="1" si="326"/>
        <v>9.1591628196341923E-3</v>
      </c>
      <c r="E4196" s="21">
        <f t="shared" ca="1" si="328"/>
        <v>3.2015634220800929E-5</v>
      </c>
      <c r="F4196" s="11">
        <f t="shared" ca="1" si="329"/>
        <v>3.8644978313555409</v>
      </c>
      <c r="G4196" s="10">
        <f t="shared" ca="1" si="327"/>
        <v>0</v>
      </c>
    </row>
    <row r="4197" spans="1:7" x14ac:dyDescent="0.2">
      <c r="A4197" s="2">
        <v>20061024</v>
      </c>
      <c r="B4197" s="13">
        <v>12127.88</v>
      </c>
      <c r="C4197" s="2">
        <f t="shared" si="325"/>
        <v>9.0534633004613757E-4</v>
      </c>
      <c r="D4197" s="21">
        <f t="shared" ca="1" si="326"/>
        <v>5.2139391493927028E-4</v>
      </c>
      <c r="E4197" s="21">
        <f t="shared" ca="1" si="328"/>
        <v>3.4389747320001298E-5</v>
      </c>
      <c r="F4197" s="11">
        <f t="shared" ca="1" si="329"/>
        <v>5.1349235308913528</v>
      </c>
      <c r="G4197" s="10">
        <f t="shared" ca="1" si="327"/>
        <v>1</v>
      </c>
    </row>
    <row r="4198" spans="1:7" x14ac:dyDescent="0.2">
      <c r="A4198" s="2">
        <v>20061025</v>
      </c>
      <c r="B4198" s="13">
        <v>12134.68</v>
      </c>
      <c r="C4198" s="2">
        <f t="shared" si="325"/>
        <v>5.6069156357096972E-4</v>
      </c>
      <c r="D4198" s="21">
        <f t="shared" ca="1" si="326"/>
        <v>1.7673914846410242E-4</v>
      </c>
      <c r="E4198" s="21">
        <f t="shared" ca="1" si="328"/>
        <v>3.3568958247011547E-5</v>
      </c>
      <c r="F4198" s="11">
        <f t="shared" ca="1" si="329"/>
        <v>5.1504891277783402</v>
      </c>
      <c r="G4198" s="10">
        <f t="shared" ca="1" si="327"/>
        <v>1</v>
      </c>
    </row>
    <row r="4199" spans="1:7" x14ac:dyDescent="0.2">
      <c r="A4199" s="2">
        <v>20061026</v>
      </c>
      <c r="B4199" s="13">
        <v>12163.66</v>
      </c>
      <c r="C4199" s="2">
        <f t="shared" si="325"/>
        <v>2.3881964748967061E-3</v>
      </c>
      <c r="D4199" s="21">
        <f t="shared" ca="1" si="326"/>
        <v>2.004244059789839E-3</v>
      </c>
      <c r="E4199" s="21">
        <f t="shared" ca="1" si="328"/>
        <v>3.278084533392655E-5</v>
      </c>
      <c r="F4199" s="11">
        <f t="shared" ca="1" si="329"/>
        <v>5.1015626490318811</v>
      </c>
      <c r="G4199" s="10">
        <f t="shared" ca="1" si="327"/>
        <v>1</v>
      </c>
    </row>
    <row r="4200" spans="1:7" x14ac:dyDescent="0.2">
      <c r="A4200" s="2">
        <v>20061027</v>
      </c>
      <c r="B4200" s="13">
        <v>12090.26</v>
      </c>
      <c r="C4200" s="2">
        <f t="shared" si="325"/>
        <v>-6.0343679451743664E-3</v>
      </c>
      <c r="D4200" s="21">
        <f t="shared" ca="1" si="326"/>
        <v>-6.4183203602812336E-3</v>
      </c>
      <c r="E4200" s="21">
        <f t="shared" ca="1" si="328"/>
        <v>3.2179166576111823E-5</v>
      </c>
      <c r="F4200" s="11">
        <f t="shared" ca="1" si="329"/>
        <v>4.5320101516800921</v>
      </c>
      <c r="G4200" s="10">
        <f t="shared" ca="1" si="327"/>
        <v>0</v>
      </c>
    </row>
    <row r="4201" spans="1:7" x14ac:dyDescent="0.2">
      <c r="A4201" s="2">
        <v>20061030</v>
      </c>
      <c r="B4201" s="13">
        <v>12086.49</v>
      </c>
      <c r="C4201" s="2">
        <f t="shared" si="325"/>
        <v>-3.1182125115592521E-4</v>
      </c>
      <c r="D4201" s="21">
        <f t="shared" ca="1" si="326"/>
        <v>-6.9577366626279256E-4</v>
      </c>
      <c r="E4201" s="21">
        <f t="shared" ca="1" si="328"/>
        <v>3.2975021109220825E-5</v>
      </c>
      <c r="F4201" s="11">
        <f t="shared" ca="1" si="329"/>
        <v>5.1525396898172522</v>
      </c>
      <c r="G4201" s="10">
        <f t="shared" ca="1" si="327"/>
        <v>1</v>
      </c>
    </row>
    <row r="4202" spans="1:7" x14ac:dyDescent="0.2">
      <c r="A4202" s="2">
        <v>20061031</v>
      </c>
      <c r="B4202" s="13">
        <v>12080.73</v>
      </c>
      <c r="C4202" s="2">
        <f t="shared" si="325"/>
        <v>-4.7656515663358168E-4</v>
      </c>
      <c r="D4202" s="21">
        <f t="shared" ca="1" si="326"/>
        <v>-8.6051757174044892E-4</v>
      </c>
      <c r="E4202" s="21">
        <f t="shared" ca="1" si="328"/>
        <v>3.2233608281358024E-5</v>
      </c>
      <c r="F4202" s="11">
        <f t="shared" ca="1" si="329"/>
        <v>5.1597641462564354</v>
      </c>
      <c r="G4202" s="10">
        <f t="shared" ca="1" si="327"/>
        <v>1</v>
      </c>
    </row>
    <row r="4203" spans="1:7" x14ac:dyDescent="0.2">
      <c r="A4203" s="2">
        <v>20061101</v>
      </c>
      <c r="B4203" s="13">
        <v>12031.02</v>
      </c>
      <c r="C4203" s="2">
        <f t="shared" si="325"/>
        <v>-4.1148175648325165E-3</v>
      </c>
      <c r="D4203" s="21">
        <f t="shared" ca="1" si="326"/>
        <v>-4.4987699799393837E-3</v>
      </c>
      <c r="E4203" s="21">
        <f t="shared" ca="1" si="328"/>
        <v>3.1539131662036021E-5</v>
      </c>
      <c r="F4203" s="11">
        <f t="shared" ca="1" si="329"/>
        <v>4.8612864650313288</v>
      </c>
      <c r="G4203" s="10">
        <f t="shared" ca="1" si="327"/>
        <v>1</v>
      </c>
    </row>
    <row r="4204" spans="1:7" x14ac:dyDescent="0.2">
      <c r="A4204" s="2">
        <v>20061102</v>
      </c>
      <c r="B4204" s="13">
        <v>12018.54</v>
      </c>
      <c r="C4204" s="2">
        <f t="shared" si="325"/>
        <v>-1.0373185315957884E-3</v>
      </c>
      <c r="D4204" s="21">
        <f t="shared" ca="1" si="326"/>
        <v>-1.4212709467026556E-3</v>
      </c>
      <c r="E4204" s="21">
        <f t="shared" ca="1" si="328"/>
        <v>3.1596780558475508E-5</v>
      </c>
      <c r="F4204" s="11">
        <f t="shared" ca="1" si="329"/>
        <v>5.1492622041248017</v>
      </c>
      <c r="G4204" s="10">
        <f t="shared" ca="1" si="327"/>
        <v>1</v>
      </c>
    </row>
    <row r="4205" spans="1:7" x14ac:dyDescent="0.2">
      <c r="A4205" s="2">
        <v>20061103</v>
      </c>
      <c r="B4205" s="13">
        <v>11986.04</v>
      </c>
      <c r="C4205" s="2">
        <f t="shared" si="325"/>
        <v>-2.7041554132199086E-3</v>
      </c>
      <c r="D4205" s="21">
        <f t="shared" ca="1" si="326"/>
        <v>-3.0881078283267758E-3</v>
      </c>
      <c r="E4205" s="21">
        <f t="shared" ca="1" si="328"/>
        <v>3.0981571470369724E-5</v>
      </c>
      <c r="F4205" s="11">
        <f t="shared" ca="1" si="329"/>
        <v>5.0371544441703016</v>
      </c>
      <c r="G4205" s="10">
        <f t="shared" ca="1" si="327"/>
        <v>1</v>
      </c>
    </row>
    <row r="4206" spans="1:7" x14ac:dyDescent="0.2">
      <c r="A4206" s="2">
        <v>20061106</v>
      </c>
      <c r="B4206" s="13">
        <v>12105.55</v>
      </c>
      <c r="C4206" s="2">
        <f t="shared" ref="C4206:C4227" si="330">(B4206-B4205)/B4205</f>
        <v>9.9707659911028486E-3</v>
      </c>
      <c r="D4206" s="21">
        <f t="shared" ca="1" si="326"/>
        <v>9.5868135759959814E-3</v>
      </c>
      <c r="E4206" s="21">
        <f t="shared" ca="1" si="328"/>
        <v>3.0673877122497954E-5</v>
      </c>
      <c r="F4206" s="11">
        <f t="shared" ca="1" si="329"/>
        <v>3.6979182261637398</v>
      </c>
      <c r="G4206" s="10">
        <f t="shared" ca="1" si="327"/>
        <v>0</v>
      </c>
    </row>
    <row r="4207" spans="1:7" x14ac:dyDescent="0.2">
      <c r="A4207" s="2">
        <v>20061107</v>
      </c>
      <c r="B4207" s="13">
        <v>12156.77</v>
      </c>
      <c r="C4207" s="2">
        <f t="shared" si="330"/>
        <v>4.231117132224572E-3</v>
      </c>
      <c r="D4207" s="21">
        <f t="shared" ca="1" si="326"/>
        <v>3.8471647171177048E-3</v>
      </c>
      <c r="E4207" s="21">
        <f t="shared" ca="1" si="328"/>
        <v>3.3410659350977605E-5</v>
      </c>
      <c r="F4207" s="11">
        <f t="shared" ca="1" si="329"/>
        <v>4.9318214607727633</v>
      </c>
      <c r="G4207" s="10">
        <f t="shared" ca="1" si="327"/>
        <v>1</v>
      </c>
    </row>
    <row r="4208" spans="1:7" x14ac:dyDescent="0.2">
      <c r="A4208" s="2">
        <v>20061108</v>
      </c>
      <c r="B4208" s="13">
        <v>12176.54</v>
      </c>
      <c r="C4208" s="2">
        <f t="shared" si="330"/>
        <v>1.6262543422307435E-3</v>
      </c>
      <c r="D4208" s="21">
        <f t="shared" ca="1" si="326"/>
        <v>1.2423019271238763E-3</v>
      </c>
      <c r="E4208" s="21">
        <f t="shared" ca="1" si="328"/>
        <v>3.3173652914645285E-5</v>
      </c>
      <c r="F4208" s="11">
        <f t="shared" ca="1" si="329"/>
        <v>5.1336161503663362</v>
      </c>
      <c r="G4208" s="10">
        <f t="shared" ca="1" si="327"/>
        <v>1</v>
      </c>
    </row>
    <row r="4209" spans="1:7" x14ac:dyDescent="0.2">
      <c r="A4209" s="2">
        <v>20061109</v>
      </c>
      <c r="B4209" s="13">
        <v>12103.3</v>
      </c>
      <c r="C4209" s="2">
        <f t="shared" si="330"/>
        <v>-6.0148449395313937E-3</v>
      </c>
      <c r="D4209" s="21">
        <f t="shared" ca="1" si="326"/>
        <v>-6.3987973546382609E-3</v>
      </c>
      <c r="E4209" s="21">
        <f t="shared" ca="1" si="328"/>
        <v>3.2461140352858818E-5</v>
      </c>
      <c r="F4209" s="11">
        <f t="shared" ca="1" si="329"/>
        <v>4.5370623111964443</v>
      </c>
      <c r="G4209" s="10">
        <f t="shared" ca="1" si="327"/>
        <v>0</v>
      </c>
    </row>
    <row r="4210" spans="1:7" x14ac:dyDescent="0.2">
      <c r="A4210" s="2">
        <v>20061110</v>
      </c>
      <c r="B4210" s="13">
        <v>12108.43</v>
      </c>
      <c r="C4210" s="2">
        <f t="shared" si="330"/>
        <v>4.2385134632711894E-4</v>
      </c>
      <c r="D4210" s="21">
        <f t="shared" ca="1" si="326"/>
        <v>3.9898931220251643E-5</v>
      </c>
      <c r="E4210" s="21">
        <f t="shared" ca="1" si="328"/>
        <v>3.3233528394964846E-5</v>
      </c>
      <c r="F4210" s="11">
        <f t="shared" ca="1" si="329"/>
        <v>5.1559516995299699</v>
      </c>
      <c r="G4210" s="10">
        <f t="shared" ca="1" si="327"/>
        <v>1</v>
      </c>
    </row>
    <row r="4211" spans="1:7" x14ac:dyDescent="0.2">
      <c r="A4211" s="2">
        <v>20061113</v>
      </c>
      <c r="B4211" s="13">
        <v>12131.88</v>
      </c>
      <c r="C4211" s="2">
        <f t="shared" si="330"/>
        <v>1.9366672640465286E-3</v>
      </c>
      <c r="D4211" s="21">
        <f t="shared" ca="1" si="326"/>
        <v>1.5527148489396614E-3</v>
      </c>
      <c r="E4211" s="21">
        <f t="shared" ca="1" si="328"/>
        <v>3.2461294897413353E-5</v>
      </c>
      <c r="F4211" s="11">
        <f t="shared" ca="1" si="329"/>
        <v>5.130595697557613</v>
      </c>
      <c r="G4211" s="10">
        <f t="shared" ca="1" si="327"/>
        <v>1</v>
      </c>
    </row>
    <row r="4212" spans="1:7" x14ac:dyDescent="0.2">
      <c r="A4212" s="2">
        <v>20061114</v>
      </c>
      <c r="B4212" s="13">
        <v>12218.01</v>
      </c>
      <c r="C4212" s="2">
        <f t="shared" si="330"/>
        <v>7.0994767505119585E-3</v>
      </c>
      <c r="D4212" s="21">
        <f t="shared" ca="1" si="326"/>
        <v>6.7155243354050913E-3</v>
      </c>
      <c r="E4212" s="21">
        <f t="shared" ca="1" si="328"/>
        <v>3.1816724272002231E-5</v>
      </c>
      <c r="F4212" s="11">
        <f t="shared" ca="1" si="329"/>
        <v>4.4690397230969996</v>
      </c>
      <c r="G4212" s="10">
        <f t="shared" ca="1" si="327"/>
        <v>0</v>
      </c>
    </row>
    <row r="4213" spans="1:7" x14ac:dyDescent="0.2">
      <c r="A4213" s="2">
        <v>20061115</v>
      </c>
      <c r="B4213" s="13">
        <v>12251.71</v>
      </c>
      <c r="C4213" s="2">
        <f t="shared" si="330"/>
        <v>2.75822331132475E-3</v>
      </c>
      <c r="D4213" s="21">
        <f t="shared" ca="1" si="326"/>
        <v>2.3742708962178828E-3</v>
      </c>
      <c r="E4213" s="21">
        <f t="shared" ca="1" si="328"/>
        <v>3.2774450848625443E-5</v>
      </c>
      <c r="F4213" s="11">
        <f t="shared" ca="1" si="329"/>
        <v>5.0769313017474342</v>
      </c>
      <c r="G4213" s="10">
        <f t="shared" ca="1" si="327"/>
        <v>1</v>
      </c>
    </row>
    <row r="4214" spans="1:7" x14ac:dyDescent="0.2">
      <c r="A4214" s="2">
        <v>20061116</v>
      </c>
      <c r="B4214" s="13">
        <v>12305.82</v>
      </c>
      <c r="C4214" s="2">
        <f t="shared" si="330"/>
        <v>4.416526346118263E-3</v>
      </c>
      <c r="D4214" s="21">
        <f t="shared" ca="1" si="326"/>
        <v>4.0325739310113958E-3</v>
      </c>
      <c r="E4214" s="21">
        <f t="shared" ca="1" si="328"/>
        <v>3.2232671997553312E-5</v>
      </c>
      <c r="F4214" s="11">
        <f t="shared" ca="1" si="329"/>
        <v>4.91901080043292</v>
      </c>
      <c r="G4214" s="10">
        <f t="shared" ca="1" si="327"/>
        <v>1</v>
      </c>
    </row>
    <row r="4215" spans="1:7" x14ac:dyDescent="0.2">
      <c r="A4215" s="2">
        <v>20061117</v>
      </c>
      <c r="B4215" s="13">
        <v>12342.55</v>
      </c>
      <c r="C4215" s="2">
        <f t="shared" si="330"/>
        <v>2.9847665576125415E-3</v>
      </c>
      <c r="D4215" s="21">
        <f t="shared" ca="1" si="326"/>
        <v>2.6008141425056743E-3</v>
      </c>
      <c r="E4215" s="21">
        <f t="shared" ca="1" si="328"/>
        <v>3.2108982973211039E-5</v>
      </c>
      <c r="F4215" s="11">
        <f t="shared" ca="1" si="329"/>
        <v>5.0678549348853066</v>
      </c>
      <c r="G4215" s="10">
        <f t="shared" ca="1" si="327"/>
        <v>1</v>
      </c>
    </row>
    <row r="4216" spans="1:7" x14ac:dyDescent="0.2">
      <c r="A4216" s="2">
        <v>20061120</v>
      </c>
      <c r="B4216" s="13">
        <v>12316.54</v>
      </c>
      <c r="C4216" s="2">
        <f t="shared" si="330"/>
        <v>-2.1073441063636281E-3</v>
      </c>
      <c r="D4216" s="21">
        <f t="shared" ca="1" si="326"/>
        <v>-2.4912965214704953E-3</v>
      </c>
      <c r="E4216" s="21">
        <f t="shared" ca="1" si="328"/>
        <v>3.1642314763314547E-5</v>
      </c>
      <c r="F4216" s="11">
        <f t="shared" ca="1" si="329"/>
        <v>5.0824339198951218</v>
      </c>
      <c r="G4216" s="10">
        <f t="shared" ca="1" si="327"/>
        <v>1</v>
      </c>
    </row>
    <row r="4217" spans="1:7" x14ac:dyDescent="0.2">
      <c r="A4217" s="2">
        <v>20061121</v>
      </c>
      <c r="B4217" s="13">
        <v>12321.59</v>
      </c>
      <c r="C4217" s="2">
        <f t="shared" si="330"/>
        <v>4.1001774849099438E-4</v>
      </c>
      <c r="D4217" s="21">
        <f t="shared" ca="1" si="326"/>
        <v>2.6065333384127083E-5</v>
      </c>
      <c r="E4217" s="21">
        <f t="shared" ca="1" si="328"/>
        <v>3.1178748737229428E-5</v>
      </c>
      <c r="F4217" s="11">
        <f t="shared" ca="1" si="329"/>
        <v>5.1878760174528882</v>
      </c>
      <c r="G4217" s="10">
        <f t="shared" ca="1" si="327"/>
        <v>1</v>
      </c>
    </row>
    <row r="4218" spans="1:7" x14ac:dyDescent="0.2">
      <c r="A4218" s="2">
        <v>20061122</v>
      </c>
      <c r="B4218" s="13">
        <v>12326.95</v>
      </c>
      <c r="C4218" s="2">
        <f t="shared" si="330"/>
        <v>4.3500879350802797E-4</v>
      </c>
      <c r="D4218" s="21">
        <f t="shared" ca="1" si="326"/>
        <v>5.1056378401160673E-5</v>
      </c>
      <c r="E4218" s="21">
        <f t="shared" ca="1" si="328"/>
        <v>3.0510433664060331E-5</v>
      </c>
      <c r="F4218" s="11">
        <f t="shared" ca="1" si="329"/>
        <v>5.1986782036968</v>
      </c>
      <c r="G4218" s="10">
        <f t="shared" ca="1" si="327"/>
        <v>1</v>
      </c>
    </row>
    <row r="4219" spans="1:7" x14ac:dyDescent="0.2">
      <c r="A4219" s="2">
        <v>20061124</v>
      </c>
      <c r="B4219" s="13">
        <v>12280.17</v>
      </c>
      <c r="C4219" s="2">
        <f t="shared" si="330"/>
        <v>-3.79493710934178E-3</v>
      </c>
      <c r="D4219" s="21">
        <f t="shared" ca="1" si="326"/>
        <v>-4.1788895244486476E-3</v>
      </c>
      <c r="E4219" s="21">
        <f t="shared" ca="1" si="328"/>
        <v>2.9875999742599721E-5</v>
      </c>
      <c r="F4219" s="11">
        <f t="shared" ca="1" si="329"/>
        <v>4.9169675706942604</v>
      </c>
      <c r="G4219" s="10">
        <f t="shared" ca="1" si="327"/>
        <v>1</v>
      </c>
    </row>
    <row r="4220" spans="1:7" x14ac:dyDescent="0.2">
      <c r="A4220" s="2">
        <v>20061127</v>
      </c>
      <c r="B4220" s="13">
        <v>12121.71</v>
      </c>
      <c r="C4220" s="2">
        <f t="shared" si="330"/>
        <v>-1.2903730160087437E-2</v>
      </c>
      <c r="D4220" s="21">
        <f t="shared" ca="1" si="326"/>
        <v>-1.3287682575194304E-2</v>
      </c>
      <c r="E4220" s="21">
        <f t="shared" ca="1" si="328"/>
        <v>2.9915715514927632E-5</v>
      </c>
      <c r="F4220" s="11">
        <f t="shared" ca="1" si="329"/>
        <v>2.2575640545054716</v>
      </c>
      <c r="G4220" s="10">
        <f t="shared" ca="1" si="327"/>
        <v>0</v>
      </c>
    </row>
    <row r="4221" spans="1:7" x14ac:dyDescent="0.2">
      <c r="A4221" s="2">
        <v>20061128</v>
      </c>
      <c r="B4221" s="13">
        <v>12136.44</v>
      </c>
      <c r="C4221" s="2">
        <f t="shared" si="330"/>
        <v>1.2151750866834286E-3</v>
      </c>
      <c r="D4221" s="21">
        <f t="shared" ca="1" si="326"/>
        <v>8.3122267157656135E-4</v>
      </c>
      <c r="E4221" s="21">
        <f t="shared" ca="1" si="328"/>
        <v>3.5803784439228786E-5</v>
      </c>
      <c r="F4221" s="11">
        <f t="shared" ca="1" si="329"/>
        <v>5.1090796236483795</v>
      </c>
      <c r="G4221" s="10">
        <f t="shared" ca="1" si="327"/>
        <v>1</v>
      </c>
    </row>
    <row r="4222" spans="1:7" x14ac:dyDescent="0.2">
      <c r="A4222" s="2">
        <v>20061129</v>
      </c>
      <c r="B4222" s="13">
        <v>12226.73</v>
      </c>
      <c r="C4222" s="2">
        <f t="shared" si="330"/>
        <v>7.4395786573327148E-3</v>
      </c>
      <c r="D4222" s="21">
        <f t="shared" ca="1" si="326"/>
        <v>7.0556262422258476E-3</v>
      </c>
      <c r="E4222" s="21">
        <f t="shared" ca="1" si="328"/>
        <v>3.4926869048292121E-5</v>
      </c>
      <c r="F4222" s="11">
        <f t="shared" ca="1" si="329"/>
        <v>4.4184685482161319</v>
      </c>
      <c r="G4222" s="10">
        <f t="shared" ca="1" si="327"/>
        <v>0</v>
      </c>
    </row>
    <row r="4223" spans="1:7" x14ac:dyDescent="0.2">
      <c r="A4223" s="2">
        <v>20061130</v>
      </c>
      <c r="B4223" s="13">
        <v>12221.93</v>
      </c>
      <c r="C4223" s="2">
        <f t="shared" si="330"/>
        <v>-3.925824811702943E-4</v>
      </c>
      <c r="D4223" s="21">
        <f t="shared" ca="1" si="326"/>
        <v>-7.7653489627716159E-4</v>
      </c>
      <c r="E4223" s="21">
        <f t="shared" ca="1" si="328"/>
        <v>3.5899476326759553E-5</v>
      </c>
      <c r="F4223" s="11">
        <f t="shared" ca="1" si="329"/>
        <v>5.1089953838219477</v>
      </c>
      <c r="G4223" s="10">
        <f t="shared" ca="1" si="327"/>
        <v>1</v>
      </c>
    </row>
    <row r="4224" spans="1:7" x14ac:dyDescent="0.2">
      <c r="A4224" s="2">
        <v>20061201</v>
      </c>
      <c r="B4224" s="13">
        <v>12194.13</v>
      </c>
      <c r="C4224" s="2">
        <f t="shared" si="330"/>
        <v>-2.2745998381598562E-3</v>
      </c>
      <c r="D4224" s="21">
        <f t="shared" ca="1" si="326"/>
        <v>-2.6585522532667234E-3</v>
      </c>
      <c r="E4224" s="21">
        <f t="shared" ca="1" si="328"/>
        <v>3.5014486707551161E-5</v>
      </c>
      <c r="F4224" s="11">
        <f t="shared" ca="1" si="329"/>
        <v>5.0289461116908347</v>
      </c>
      <c r="G4224" s="10">
        <f t="shared" ca="1" si="327"/>
        <v>1</v>
      </c>
    </row>
    <row r="4225" spans="1:7" x14ac:dyDescent="0.2">
      <c r="A4225" s="2">
        <v>20061204</v>
      </c>
      <c r="B4225" s="13">
        <v>12283.85</v>
      </c>
      <c r="C4225" s="2">
        <f t="shared" si="330"/>
        <v>7.3576384703132715E-3</v>
      </c>
      <c r="D4225" s="21">
        <f t="shared" ca="1" si="326"/>
        <v>6.9736860552064043E-3</v>
      </c>
      <c r="E4225" s="21">
        <f t="shared" ca="1" si="328"/>
        <v>3.441199443165963E-5</v>
      </c>
      <c r="F4225" s="11">
        <f t="shared" ca="1" si="329"/>
        <v>4.4319342850871983</v>
      </c>
      <c r="G4225" s="10">
        <f t="shared" ca="1" si="327"/>
        <v>0</v>
      </c>
    </row>
    <row r="4226" spans="1:7" x14ac:dyDescent="0.2">
      <c r="A4226" s="2">
        <v>20061205</v>
      </c>
      <c r="B4226" s="13">
        <v>12331.6</v>
      </c>
      <c r="C4226" s="2">
        <f t="shared" si="330"/>
        <v>3.8872177696731886E-3</v>
      </c>
      <c r="D4226" s="21">
        <f t="shared" ca="1" si="326"/>
        <v>3.5032653545663214E-3</v>
      </c>
      <c r="E4226" s="21">
        <f t="shared" ca="1" si="328"/>
        <v>3.5368377893631518E-5</v>
      </c>
      <c r="F4226" s="11">
        <f t="shared" ca="1" si="329"/>
        <v>4.951345628607112</v>
      </c>
      <c r="G4226" s="10">
        <f t="shared" ca="1" si="327"/>
        <v>1</v>
      </c>
    </row>
    <row r="4227" spans="1:7" x14ac:dyDescent="0.2">
      <c r="A4227" s="2">
        <v>20061206</v>
      </c>
      <c r="B4227" s="13">
        <v>12309.25</v>
      </c>
      <c r="C4227" s="2">
        <f t="shared" si="330"/>
        <v>-1.8124168802102212E-3</v>
      </c>
      <c r="D4227" s="21">
        <f t="shared" ca="1" si="326"/>
        <v>-2.1963692953170886E-3</v>
      </c>
      <c r="E4227" s="21">
        <f t="shared" ca="1" si="328"/>
        <v>3.4939377909840308E-5</v>
      </c>
      <c r="F4227" s="11">
        <f t="shared" ca="1" si="329"/>
        <v>5.061913627531335</v>
      </c>
      <c r="G4227" s="10">
        <f t="shared" ca="1" si="327"/>
        <v>1</v>
      </c>
    </row>
  </sheetData>
  <phoneticPr fontId="3" type="noConversion"/>
  <dataValidations count="1">
    <dataValidation type="list" allowBlank="1" showInputMessage="1" showErrorMessage="1" sqref="E2">
      <formula1>"0.01, 0.025, 0.05, 0.1"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stimateBestParameters" altText="Estimate Parameters and call Solver">
                <anchor moveWithCells="1" sizeWithCells="1">
                  <from>
                    <xdr:col>5</xdr:col>
                    <xdr:colOff>28575</xdr:colOff>
                    <xdr:row>0</xdr:row>
                    <xdr:rowOff>114300</xdr:rowOff>
                  </from>
                  <to>
                    <xdr:col>6</xdr:col>
                    <xdr:colOff>276225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5</vt:i4>
      </vt:variant>
    </vt:vector>
  </HeadingPairs>
  <TitlesOfParts>
    <vt:vector size="6" baseType="lpstr">
      <vt:lpstr>Garch</vt:lpstr>
      <vt:lpstr>alpha</vt:lpstr>
      <vt:lpstr>beta</vt:lpstr>
      <vt:lpstr>longvar</vt:lpstr>
      <vt:lpstr>mu</vt:lpstr>
      <vt:lpstr>zvalue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user</cp:lastModifiedBy>
  <cp:lastPrinted>2007-01-02T12:09:13Z</cp:lastPrinted>
  <dcterms:created xsi:type="dcterms:W3CDTF">2006-12-11T17:20:41Z</dcterms:created>
  <dcterms:modified xsi:type="dcterms:W3CDTF">2019-01-16T10:18:43Z</dcterms:modified>
</cp:coreProperties>
</file>